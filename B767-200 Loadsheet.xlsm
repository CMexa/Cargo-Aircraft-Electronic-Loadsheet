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ml.chartshap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My Drive\LOADSHEETS\"/>
    </mc:Choice>
  </mc:AlternateContent>
  <xr:revisionPtr revIDLastSave="0" documentId="13_ncr:1_{E2A04236-7D33-4479-869C-1C52D780F6D4}" xr6:coauthVersionLast="47" xr6:coauthVersionMax="47" xr10:uidLastSave="{00000000-0000-0000-0000-000000000000}"/>
  <bookViews>
    <workbookView xWindow="-120" yWindow="-16320" windowWidth="29040" windowHeight="16440" tabRatio="644" firstSheet="1" activeTab="3" xr2:uid="{00000000-000D-0000-FFFF-FFFF00000000}"/>
  </bookViews>
  <sheets>
    <sheet name="Missing Constrains" sheetId="47" state="veryHidden" r:id="rId1"/>
    <sheet name="Load Plan " sheetId="46" r:id="rId2"/>
    <sheet name="Load Sheet" sheetId="1" r:id="rId3"/>
    <sheet name="Trim Sheet" sheetId="9" r:id="rId4"/>
    <sheet name="Chart" sheetId="51" state="veryHidden" r:id="rId5"/>
    <sheet name="Indeces" sheetId="49" state="veryHidden" r:id="rId6"/>
    <sheet name="Stab Refrence table" sheetId="43" state="veryHidden" r:id="rId7"/>
    <sheet name="Combined IATA Codes" sheetId="42" state="veryHidden" r:id="rId8"/>
  </sheets>
  <externalReferences>
    <externalReference r:id="rId9"/>
  </externalReferences>
  <definedNames>
    <definedName name="_xleta.INDEX" hidden="1" xlm="1">#NAME?</definedName>
    <definedName name="_xleta.SUM" hidden="1" xlm="1">#NAME?</definedName>
    <definedName name="_xlpm.badPair" hidden="1" xlm="1">#NAME?</definedName>
    <definedName name="_xlpm.code" hidden="1" xlm="1">#NAME?</definedName>
    <definedName name="_xlpm.hasCode" hidden="1" xlm="1">#NAME?</definedName>
    <definedName name="_xlpm.hasVal" hidden="1" xlm="1">#NAME?</definedName>
    <definedName name="_xlpm.isLD2" hidden="1" xlm="1">#NAME?</definedName>
    <definedName name="_xlpm.lookupRes" hidden="1" xlm="1">#NAME?</definedName>
    <definedName name="_xlpm.rawCode" hidden="1" xlm="1">#NAME?</definedName>
    <definedName name="_xlpm.rawVal" hidden="1" xlm="1">#NAME?</definedName>
    <definedName name="_xlpm.val" hidden="1" xlm="1">#NAME?</definedName>
    <definedName name="c_hold_5">#REF!</definedName>
    <definedName name="C_Index" localSheetId="4">'[1]Load Sheet'!#REF!</definedName>
    <definedName name="C_Index">'Load Sheet'!#REF!</definedName>
    <definedName name="C_Weight" localSheetId="4">'[1]Load Sheet'!#REF!</definedName>
    <definedName name="C_Weight">'Load Sheet'!#REF!</definedName>
    <definedName name="Cargo_hold_1">#REF!</definedName>
    <definedName name="CGhold_1">#REF!</definedName>
    <definedName name="CGhold_1A">#REF!</definedName>
    <definedName name="CGhold_2">#REF!</definedName>
    <definedName name="CGhold_3">#REF!</definedName>
    <definedName name="CGhold_4">#REF!</definedName>
    <definedName name="CGhold_5">#REF!</definedName>
    <definedName name="CH_1">#REF!</definedName>
    <definedName name="CH_2">#REF!</definedName>
    <definedName name="CH_3">#REF!</definedName>
    <definedName name="CH_4">#REF!</definedName>
    <definedName name="CHold_3">#REF!</definedName>
    <definedName name="Comb_1" localSheetId="4">'[1]Load Sheet'!#REF!</definedName>
    <definedName name="Comb_1">'Load Sheet'!#REF!</definedName>
    <definedName name="Comb_10" localSheetId="4">'[1]Load Sheet'!#REF!</definedName>
    <definedName name="Comb_10">'Load Sheet'!#REF!</definedName>
    <definedName name="Comb_11" localSheetId="4">'[1]Load Sheet'!#REF!</definedName>
    <definedName name="Comb_11">'Load Sheet'!#REF!</definedName>
    <definedName name="Comb_12" localSheetId="4">'[1]Load Sheet'!#REF!</definedName>
    <definedName name="Comb_12">'Load Sheet'!#REF!</definedName>
    <definedName name="Comb_13" localSheetId="4">'[1]Load Sheet'!#REF!</definedName>
    <definedName name="Comb_13">'Load Sheet'!#REF!</definedName>
    <definedName name="Comb_14" localSheetId="4">'[1]Load Sheet'!#REF!</definedName>
    <definedName name="Comb_14">'Load Sheet'!#REF!</definedName>
    <definedName name="Comb_15" localSheetId="4">'[1]Load Sheet'!#REF!</definedName>
    <definedName name="Comb_15">'Load Sheet'!#REF!</definedName>
    <definedName name="Comb_2" localSheetId="4">'[1]Load Sheet'!#REF!</definedName>
    <definedName name="Comb_2">'Load Sheet'!#REF!</definedName>
    <definedName name="Comb_3" localSheetId="4">'[1]Load Sheet'!#REF!</definedName>
    <definedName name="Comb_3">'Load Sheet'!#REF!</definedName>
    <definedName name="Comb_4" localSheetId="4">'[1]Load Sheet'!#REF!</definedName>
    <definedName name="Comb_4">'Load Sheet'!#REF!</definedName>
    <definedName name="Comb_5" localSheetId="4">'[1]Load Sheet'!#REF!</definedName>
    <definedName name="Comb_5">'Load Sheet'!#REF!</definedName>
    <definedName name="Comb_6" localSheetId="4">'[1]Load Sheet'!#REF!</definedName>
    <definedName name="Comb_6">'Load Sheet'!#REF!</definedName>
    <definedName name="Comb_7" localSheetId="4">'[1]Load Sheet'!#REF!</definedName>
    <definedName name="Comb_7">'Load Sheet'!#REF!</definedName>
    <definedName name="Comb_8" localSheetId="4">'[1]Load Sheet'!#REF!</definedName>
    <definedName name="Comb_8">'Load Sheet'!#REF!</definedName>
    <definedName name="Comb_9" localSheetId="4">'[1]Load Sheet'!#REF!</definedName>
    <definedName name="Comb_9">'Load Sheet'!#REF!</definedName>
    <definedName name="combofuelindex">#REF!</definedName>
    <definedName name="Combofuelindexxx">#REF!</definedName>
    <definedName name="Crew" localSheetId="4">'[1]Load Sheet'!$E$11</definedName>
    <definedName name="Crew">'Load Sheet'!$E$11</definedName>
    <definedName name="Crew_bagg" localSheetId="4">'[1]Load Sheet'!$E$13</definedName>
    <definedName name="Crew_bagg">'Load Sheet'!$E$13</definedName>
    <definedName name="FT_Range">#REF!</definedName>
    <definedName name="Fuel">'Load Sheet'!$P$46:$T$72</definedName>
    <definedName name="Fuel_range">#REF!</definedName>
    <definedName name="Fuel_Table">#REF!</definedName>
    <definedName name="fuelcombo">#REF!</definedName>
    <definedName name="G1_Cons" localSheetId="4">'[1]Load Sheet'!$E$14</definedName>
    <definedName name="G1_Cons">'Load Sheet'!$E$14</definedName>
    <definedName name="hold_1">'Load Sheet'!$H$25</definedName>
    <definedName name="hold_1_A">'Load Sheet'!$H$25</definedName>
    <definedName name="hold_1A">'Load Sheet'!$H$25</definedName>
    <definedName name="hold_2">'Load Sheet'!$H$26</definedName>
    <definedName name="hold_2b">'Load Sheet'!$H$27</definedName>
    <definedName name="hold_3">'Load Sheet'!$H$34</definedName>
    <definedName name="hold_4" localSheetId="4">'[1]Load Sheet'!#REF!</definedName>
    <definedName name="hold_4">'Load Sheet'!#REF!</definedName>
    <definedName name="hold_5" localSheetId="4">'[1]Load Sheet'!#REF!</definedName>
    <definedName name="hold_5">'Load Sheet'!#REF!</definedName>
    <definedName name="lav_fluid" localSheetId="4">'[1]Load Sheet'!$E$12</definedName>
    <definedName name="lav_fluid">'Load Sheet'!$E$12</definedName>
    <definedName name="NO_of_CREW" localSheetId="4">'[1]Load Sheet'!$J$3</definedName>
    <definedName name="NO_of_CREW">'Load Sheet'!$J$3</definedName>
    <definedName name="Overlap_1" localSheetId="4">'[1]Load Plan '!$E$18,'[1]Load Plan '!$F$18,'[1]Load Plan '!$G$18,'[1]Load Plan '!$H$18,'[1]Load Plan '!$D$31,'[1]Load Plan '!$F$31,'[1]Load Plan '!$E$33</definedName>
    <definedName name="Overlap_1">'Load Plan '!$E$18,'Load Plan '!$F$18,'Load Plan '!$G$18,'Load Plan '!$H$18,'Load Plan '!$D$31,'Load Plan '!$F$31,'Load Plan '!$E$33</definedName>
    <definedName name="Overlap_2" localSheetId="4">'[1]Load Plan '!$G$18,'[1]Load Plan '!$H$18,'[1]Load Plan '!$I$18,'[1]Load Plan '!$J$18,'[1]Load Plan '!$F$31,'[1]Load Plan '!$H$31,'[1]Load Plan '!$G$33</definedName>
    <definedName name="Overlap_2">'Load Plan '!$G$18,'Load Plan '!$H$18,'Load Plan '!$I$18,'Load Plan '!$J$18,'Load Plan '!$F$31,'Load Plan '!$H$31,'Load Plan '!$G$33</definedName>
    <definedName name="Overlap_3" localSheetId="4">'[1]Load Plan '!$I$18,'[1]Load Plan '!$J$18,'[1]Load Plan '!$K$18,'[1]Load Plan '!$L$18,'[1]Load Plan '!$H$31:$I$31,'[1]Load Plan '!$J$31:$K$31,'[1]Load Plan '!$I$33:$J$33</definedName>
    <definedName name="Overlap_3">'Load Plan '!$I$18,'Load Plan '!$J$18,'Load Plan '!$K$18,'Load Plan '!$L$18,'Load Plan '!$H$31:$I$31,'Load Plan '!$J$31:$K$31,'Load Plan '!$I$33:$J$33</definedName>
    <definedName name="Overlap_4" localSheetId="4">'[1]Load Plan '!$K$18,'[1]Load Plan '!$L$18,'[1]Load Plan '!$M$18,'[1]Load Plan '!$N$18,'[1]Load Plan '!$J$31,'[1]Load Plan '!$L$31,'[1]Load Plan '!$K$33</definedName>
    <definedName name="Overlap_4">'Load Plan '!$K$18,'Load Plan '!$L$18,'Load Plan '!$M$18,'Load Plan '!$N$18,'Load Plan '!$J$31,'Load Plan '!$L$31,'Load Plan '!$K$33</definedName>
    <definedName name="Overlap_5" localSheetId="4">'[1]Load Plan '!$M$18,'[1]Load Plan '!$N$18,'[1]Load Plan '!$O$18,'[1]Load Plan '!$P$18,'[1]Load Plan '!$L$31,'[1]Load Plan '!$O$31,'[1]Load Plan '!$N$33</definedName>
    <definedName name="Overlap_5">'Load Plan '!$M$18,'Load Plan '!$N$18,'Load Plan '!$O$18,'Load Plan '!$P$18,'Load Plan '!$L$31,'Load Plan '!$O$31,'Load Plan '!$N$33</definedName>
    <definedName name="Overlap_6" localSheetId="4">'[1]Load Plan '!$P$18,'[1]Load Plan '!$Q$18,'[1]Load Plan '!$O$31,'[1]Load Plan '!$P$33</definedName>
    <definedName name="Overlap_6">'Load Plan '!$P$18,'Load Plan '!$Q$18,'Load Plan '!$O$31,'Load Plan '!$P$33</definedName>
    <definedName name="P_1">#REF!</definedName>
    <definedName name="P_10">#REF!</definedName>
    <definedName name="P_11">#REF!</definedName>
    <definedName name="P_2">#REF!</definedName>
    <definedName name="P_3">#REF!</definedName>
    <definedName name="P_4">#REF!</definedName>
    <definedName name="P_5">#REF!</definedName>
    <definedName name="P_6">#REF!</definedName>
    <definedName name="P_7">#REF!</definedName>
    <definedName name="P_8">#REF!</definedName>
    <definedName name="P_9">#REF!</definedName>
    <definedName name="Pallet_1">#REF!</definedName>
    <definedName name="Pallet_10">#REF!</definedName>
    <definedName name="Pallet_11">#REF!</definedName>
    <definedName name="Pallet_12">#REF!</definedName>
    <definedName name="Pallet_13">#REF!</definedName>
    <definedName name="Pallet_14">#REF!</definedName>
    <definedName name="Pallet_15">#REF!</definedName>
    <definedName name="Pallet_2">#REF!</definedName>
    <definedName name="Pallet_3">#REF!</definedName>
    <definedName name="Pallet_4">#REF!</definedName>
    <definedName name="Pallet_5">#REF!</definedName>
    <definedName name="Pallet_6">#REF!</definedName>
    <definedName name="Pallet_7">#REF!</definedName>
    <definedName name="Pallet_8">#REF!</definedName>
    <definedName name="Pallet_9">#REF!</definedName>
    <definedName name="Pos_1">'Load Sheet'!$D$25</definedName>
    <definedName name="Pos_10">'Load Sheet'!$D$34</definedName>
    <definedName name="Pos_11" localSheetId="4">'[1]Load Sheet'!#REF!</definedName>
    <definedName name="Pos_11">'Load Sheet'!#REF!</definedName>
    <definedName name="Pos_12" localSheetId="4">'[1]Load Sheet'!#REF!</definedName>
    <definedName name="Pos_12">'Load Sheet'!#REF!</definedName>
    <definedName name="Pos_13" localSheetId="4">'[1]Load Sheet'!#REF!</definedName>
    <definedName name="Pos_13">'Load Sheet'!#REF!</definedName>
    <definedName name="Pos_14" localSheetId="4">'[1]Load Sheet'!#REF!</definedName>
    <definedName name="Pos_14">'Load Sheet'!#REF!</definedName>
    <definedName name="Pos_15" localSheetId="4">'[1]Load Sheet'!#REF!</definedName>
    <definedName name="Pos_15">'Load Sheet'!#REF!</definedName>
    <definedName name="Pos_2">'Load Sheet'!$D$26</definedName>
    <definedName name="Pos_3">'Load Sheet'!$D$27</definedName>
    <definedName name="Pos_4">'Load Sheet'!$D$28</definedName>
    <definedName name="Pos_5">'Load Sheet'!$D$29</definedName>
    <definedName name="Pos_6">'Load Sheet'!$D$30</definedName>
    <definedName name="Pos_7">'Load Sheet'!$D$31</definedName>
    <definedName name="Pos_8">'Load Sheet'!$D$32</definedName>
    <definedName name="Pos_9">'Load Sheet'!$D$33</definedName>
    <definedName name="Position_1">#REF!</definedName>
    <definedName name="Position_10">#REF!</definedName>
    <definedName name="Position_11">#REF!</definedName>
    <definedName name="Position_12">#REF!</definedName>
    <definedName name="Position_13">#REF!</definedName>
    <definedName name="Position_14">#REF!</definedName>
    <definedName name="Position_15">#REF!</definedName>
    <definedName name="Position_2">#REF!</definedName>
    <definedName name="Position_3">#REF!</definedName>
    <definedName name="Position_4">#REF!</definedName>
    <definedName name="Position_5">#REF!</definedName>
    <definedName name="Position_6">#REF!</definedName>
    <definedName name="Position_7">#REF!</definedName>
    <definedName name="Position_8">#REF!</definedName>
    <definedName name="Position_9">#REF!</definedName>
    <definedName name="_xlnm.Print_Area" localSheetId="2">'Load Sheet'!$B$2:$T$90</definedName>
    <definedName name="sn">#REF!</definedName>
    <definedName name="SNY" localSheetId="4">'[1]Load Sheet'!$E$16</definedName>
    <definedName name="SNY">'Load Sheet'!$E$16</definedName>
    <definedName name="Stab_Trim">#REF!</definedName>
    <definedName name="Trial">#REF!</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 i="9" l="1"/>
  <c r="X23" i="51"/>
  <c r="X22" i="51"/>
  <c r="E10" i="46"/>
  <c r="E11" i="9"/>
  <c r="E10" i="9"/>
  <c r="E8" i="9"/>
  <c r="E7" i="9"/>
  <c r="E6" i="9"/>
  <c r="S57" i="1"/>
  <c r="S46" i="1"/>
  <c r="S47" i="1"/>
  <c r="S48" i="1"/>
  <c r="S49" i="1"/>
  <c r="S50" i="1"/>
  <c r="S51" i="1"/>
  <c r="S52" i="1"/>
  <c r="S53" i="1"/>
  <c r="S54" i="1"/>
  <c r="S55" i="1"/>
  <c r="S56" i="1"/>
  <c r="S45" i="1"/>
  <c r="R46" i="1"/>
  <c r="R47" i="1"/>
  <c r="R48" i="1"/>
  <c r="R49" i="1"/>
  <c r="R50" i="1"/>
  <c r="R51" i="1"/>
  <c r="R52" i="1"/>
  <c r="R53" i="1"/>
  <c r="R54" i="1"/>
  <c r="R55" i="1"/>
  <c r="R56" i="1"/>
  <c r="R45" i="1"/>
  <c r="Q46" i="1"/>
  <c r="Q47" i="1"/>
  <c r="Q48" i="1"/>
  <c r="Q49" i="1"/>
  <c r="Q50" i="1"/>
  <c r="Q51" i="1"/>
  <c r="Q52" i="1"/>
  <c r="Q53" i="1"/>
  <c r="Q54" i="1"/>
  <c r="Q55" i="1"/>
  <c r="Q56" i="1"/>
  <c r="Q57" i="1"/>
  <c r="Q45" i="1"/>
  <c r="T50" i="47"/>
  <c r="Q25" i="1"/>
  <c r="Q26" i="1"/>
  <c r="Q27" i="1"/>
  <c r="Q28" i="1"/>
  <c r="Q29" i="1"/>
  <c r="Q30" i="1"/>
  <c r="Q31" i="1"/>
  <c r="Q32" i="1"/>
  <c r="Q33" i="1"/>
  <c r="Q34" i="1"/>
  <c r="Q35" i="1"/>
  <c r="Q24" i="1"/>
  <c r="P25" i="1"/>
  <c r="P26" i="1"/>
  <c r="P27" i="1"/>
  <c r="P28" i="1"/>
  <c r="P29" i="1"/>
  <c r="P30" i="1"/>
  <c r="P31" i="1"/>
  <c r="P32" i="1"/>
  <c r="P33" i="1"/>
  <c r="P34" i="1"/>
  <c r="P35" i="1"/>
  <c r="P36" i="1"/>
  <c r="P24" i="1"/>
  <c r="E80" i="49"/>
  <c r="E79" i="49"/>
  <c r="E78" i="49"/>
  <c r="E77" i="49"/>
  <c r="E76" i="49"/>
  <c r="E75" i="49"/>
  <c r="E74" i="49"/>
  <c r="E73" i="49"/>
  <c r="E72" i="49"/>
  <c r="E71" i="49"/>
  <c r="E70" i="49"/>
  <c r="E69" i="49"/>
  <c r="K8" i="46" l="1"/>
  <c r="X15" i="51"/>
  <c r="X14" i="51"/>
  <c r="Y15" i="51"/>
  <c r="Y14" i="51"/>
  <c r="M41" i="51"/>
  <c r="J41" i="51"/>
  <c r="G41" i="51"/>
  <c r="M40" i="51"/>
  <c r="J40" i="51"/>
  <c r="G40" i="51"/>
  <c r="M39" i="51"/>
  <c r="J39" i="51"/>
  <c r="G39" i="51"/>
  <c r="M38" i="51"/>
  <c r="J38" i="51"/>
  <c r="G38" i="51"/>
  <c r="M37" i="51"/>
  <c r="J37" i="51"/>
  <c r="G37" i="51"/>
  <c r="M36" i="51"/>
  <c r="J36" i="51"/>
  <c r="G36" i="51"/>
  <c r="M35" i="51"/>
  <c r="J35" i="51"/>
  <c r="G35" i="51"/>
  <c r="M34" i="51"/>
  <c r="J34" i="51"/>
  <c r="G34" i="51"/>
  <c r="M33" i="51"/>
  <c r="J33" i="51"/>
  <c r="G33" i="51"/>
  <c r="S32" i="51"/>
  <c r="M32" i="51"/>
  <c r="J32" i="51"/>
  <c r="G32" i="51"/>
  <c r="S31" i="51"/>
  <c r="M31" i="51"/>
  <c r="J31" i="51"/>
  <c r="G31" i="51"/>
  <c r="S30" i="51"/>
  <c r="M30" i="51"/>
  <c r="J30" i="51"/>
  <c r="G30" i="51"/>
  <c r="S29" i="51"/>
  <c r="M29" i="51"/>
  <c r="J29" i="51"/>
  <c r="G29" i="51"/>
  <c r="S28" i="51"/>
  <c r="M28" i="51"/>
  <c r="J28" i="51"/>
  <c r="G28" i="51"/>
  <c r="S27" i="51"/>
  <c r="M27" i="51"/>
  <c r="J27" i="51"/>
  <c r="G27" i="51"/>
  <c r="S26" i="51"/>
  <c r="M26" i="51"/>
  <c r="J26" i="51"/>
  <c r="G26" i="51"/>
  <c r="S25" i="51"/>
  <c r="M25" i="51"/>
  <c r="J25" i="51"/>
  <c r="G25" i="51"/>
  <c r="S24" i="51"/>
  <c r="S23" i="51"/>
  <c r="S22" i="51"/>
  <c r="S21" i="51"/>
  <c r="P21" i="51"/>
  <c r="M21" i="51"/>
  <c r="J21" i="51"/>
  <c r="G21" i="51"/>
  <c r="D21" i="51"/>
  <c r="S20" i="51"/>
  <c r="P20" i="51"/>
  <c r="M20" i="51"/>
  <c r="J20" i="51"/>
  <c r="G20" i="51"/>
  <c r="D20" i="51"/>
  <c r="S19" i="51"/>
  <c r="P19" i="51"/>
  <c r="M19" i="51"/>
  <c r="J19" i="51"/>
  <c r="G19" i="51"/>
  <c r="D19" i="51"/>
  <c r="S18" i="51"/>
  <c r="P18" i="51"/>
  <c r="M18" i="51"/>
  <c r="J18" i="51"/>
  <c r="G18" i="51"/>
  <c r="D18" i="51"/>
  <c r="S17" i="51"/>
  <c r="P17" i="51"/>
  <c r="M17" i="51"/>
  <c r="J17" i="51"/>
  <c r="G17" i="51"/>
  <c r="D17" i="51"/>
  <c r="S16" i="51"/>
  <c r="P16" i="51"/>
  <c r="M16" i="51"/>
  <c r="J16" i="51"/>
  <c r="G16" i="51"/>
  <c r="D16" i="51"/>
  <c r="S15" i="51"/>
  <c r="P15" i="51"/>
  <c r="M15" i="51"/>
  <c r="J15" i="51"/>
  <c r="G15" i="51"/>
  <c r="D15" i="51"/>
  <c r="S14" i="51"/>
  <c r="P14" i="51"/>
  <c r="M14" i="51"/>
  <c r="J14" i="51"/>
  <c r="G14" i="51"/>
  <c r="D14" i="51"/>
  <c r="S13" i="51"/>
  <c r="P13" i="51"/>
  <c r="M13" i="51"/>
  <c r="J13" i="51"/>
  <c r="G13" i="51"/>
  <c r="D13" i="51"/>
  <c r="S12" i="51"/>
  <c r="P12" i="51"/>
  <c r="M12" i="51"/>
  <c r="J12" i="51"/>
  <c r="G12" i="51"/>
  <c r="D12" i="51"/>
  <c r="S11" i="51"/>
  <c r="P11" i="51"/>
  <c r="M11" i="51"/>
  <c r="J11" i="51"/>
  <c r="G11" i="51"/>
  <c r="D11" i="51"/>
  <c r="S10" i="51"/>
  <c r="P10" i="51"/>
  <c r="M10" i="51"/>
  <c r="J10" i="51"/>
  <c r="G10" i="51"/>
  <c r="D10" i="51"/>
  <c r="S9" i="51"/>
  <c r="P9" i="51"/>
  <c r="M9" i="51"/>
  <c r="J9" i="51"/>
  <c r="G9" i="51"/>
  <c r="D9" i="51"/>
  <c r="S8" i="51"/>
  <c r="P8" i="51"/>
  <c r="M8" i="51"/>
  <c r="J8" i="51"/>
  <c r="G8" i="51"/>
  <c r="D8" i="51"/>
  <c r="S7" i="51"/>
  <c r="P7" i="51"/>
  <c r="M7" i="51"/>
  <c r="J7" i="51"/>
  <c r="G7" i="51"/>
  <c r="D7" i="51"/>
  <c r="S6" i="51"/>
  <c r="P6" i="51"/>
  <c r="M6" i="51"/>
  <c r="J6" i="51"/>
  <c r="G6" i="51"/>
  <c r="D6" i="51"/>
  <c r="S5" i="51"/>
  <c r="P5" i="51"/>
  <c r="M5" i="51"/>
  <c r="J5" i="51"/>
  <c r="G5" i="51"/>
  <c r="D5" i="51"/>
  <c r="D6" i="46" l="1"/>
  <c r="B67" i="1" l="1"/>
  <c r="K85" i="49"/>
  <c r="C54" i="46"/>
  <c r="D54" i="46"/>
  <c r="P78" i="49" l="1"/>
  <c r="P77" i="49"/>
  <c r="P76" i="49"/>
  <c r="P75" i="49"/>
  <c r="P74" i="49"/>
  <c r="P73" i="49"/>
  <c r="Q73" i="49" s="1"/>
  <c r="P72" i="49"/>
  <c r="Q72" i="49" s="1"/>
  <c r="P71" i="49"/>
  <c r="Q71" i="49" s="1"/>
  <c r="P70" i="49"/>
  <c r="Q70" i="49" s="1"/>
  <c r="P69" i="49"/>
  <c r="I36" i="1"/>
  <c r="I35" i="1"/>
  <c r="I34" i="1"/>
  <c r="I33" i="1"/>
  <c r="I32" i="1"/>
  <c r="H36" i="1"/>
  <c r="H35" i="1"/>
  <c r="H34" i="1"/>
  <c r="H33" i="1"/>
  <c r="H32" i="1"/>
  <c r="I30" i="1"/>
  <c r="I29" i="1"/>
  <c r="I28" i="1"/>
  <c r="I27" i="1"/>
  <c r="I26" i="1"/>
  <c r="I25" i="1"/>
  <c r="H30" i="1"/>
  <c r="H29" i="1"/>
  <c r="H28" i="1"/>
  <c r="H27" i="1"/>
  <c r="H26" i="1"/>
  <c r="H25" i="1"/>
  <c r="J40" i="1" l="1"/>
  <c r="H40" i="1"/>
  <c r="H41" i="1" l="1"/>
  <c r="J54" i="46"/>
  <c r="M54" i="46"/>
  <c r="L54" i="46"/>
  <c r="K54" i="46"/>
  <c r="I54" i="46"/>
  <c r="H54" i="46"/>
  <c r="H56" i="46" s="1"/>
  <c r="G54" i="46"/>
  <c r="G56" i="46" s="1"/>
  <c r="F54" i="46"/>
  <c r="E54" i="46"/>
  <c r="C47" i="46"/>
  <c r="M47" i="46"/>
  <c r="L47" i="46"/>
  <c r="K47" i="46"/>
  <c r="J47" i="46"/>
  <c r="I47" i="46"/>
  <c r="H47" i="46"/>
  <c r="G47" i="46"/>
  <c r="E47" i="46"/>
  <c r="E56" i="46" s="1"/>
  <c r="D47" i="46"/>
  <c r="F47" i="46"/>
  <c r="N56" i="46"/>
  <c r="N55" i="46" s="1"/>
  <c r="R79" i="49" s="1"/>
  <c r="D56" i="46" l="1"/>
  <c r="D55" i="46" s="1"/>
  <c r="R69" i="49" s="1"/>
  <c r="Q69" i="49" s="1"/>
  <c r="C56" i="46"/>
  <c r="C55" i="46" s="1"/>
  <c r="R68" i="49" s="1"/>
  <c r="G55" i="46"/>
  <c r="R72" i="49" s="1"/>
  <c r="H55" i="46"/>
  <c r="R73" i="49" s="1"/>
  <c r="E55" i="46"/>
  <c r="R70" i="49" s="1"/>
  <c r="K56" i="46"/>
  <c r="F56" i="46"/>
  <c r="M56" i="46"/>
  <c r="L56" i="46"/>
  <c r="J56" i="46"/>
  <c r="I56" i="46"/>
  <c r="F55" i="46" l="1"/>
  <c r="R71" i="49" s="1"/>
  <c r="R78" i="49"/>
  <c r="Q78" i="49" s="1"/>
  <c r="M55" i="46"/>
  <c r="L55" i="46"/>
  <c r="R77" i="49" s="1"/>
  <c r="Q77" i="49" s="1"/>
  <c r="K55" i="46"/>
  <c r="R76" i="49" s="1"/>
  <c r="Q76" i="49" s="1"/>
  <c r="J55" i="46"/>
  <c r="R75" i="49" s="1"/>
  <c r="Q75" i="49" s="1"/>
  <c r="I55" i="46"/>
  <c r="R74" i="49" s="1"/>
  <c r="O17" i="46" a="1"/>
  <c r="O17" i="46" s="1"/>
  <c r="N17" i="46" a="1"/>
  <c r="N17" i="46" s="1"/>
  <c r="M17" i="46" a="1"/>
  <c r="M17" i="46" s="1"/>
  <c r="L17" i="46" a="1"/>
  <c r="L17" i="46" s="1"/>
  <c r="K17" i="46" a="1"/>
  <c r="K17" i="46" s="1"/>
  <c r="J17" i="46" a="1"/>
  <c r="J17" i="46" s="1"/>
  <c r="I17" i="46" a="1"/>
  <c r="I17" i="46" s="1"/>
  <c r="H17" i="46" a="1"/>
  <c r="H17" i="46" s="1"/>
  <c r="G17" i="46" a="1"/>
  <c r="G17" i="46" s="1"/>
  <c r="N24" i="46" a="1"/>
  <c r="N24" i="46" s="1"/>
  <c r="M24" i="46" a="1"/>
  <c r="M24" i="46" s="1"/>
  <c r="L24" i="46" a="1"/>
  <c r="L24" i="46" s="1"/>
  <c r="K24" i="46" a="1"/>
  <c r="K24" i="46" s="1"/>
  <c r="K30" i="46" s="1"/>
  <c r="I24" i="46" a="1"/>
  <c r="I24" i="46" s="1"/>
  <c r="H24" i="46" a="1"/>
  <c r="H24" i="46" s="1"/>
  <c r="J24" i="46" a="1"/>
  <c r="J24" i="46" s="1"/>
  <c r="G24" i="46" a="1"/>
  <c r="G24" i="46" s="1"/>
  <c r="Q8" i="1"/>
  <c r="F24" i="46" a="1"/>
  <c r="F24" i="46" s="1"/>
  <c r="S36" i="1"/>
  <c r="S35" i="1"/>
  <c r="S32" i="1"/>
  <c r="S33" i="1"/>
  <c r="S34" i="1"/>
  <c r="S31" i="1"/>
  <c r="S25" i="1"/>
  <c r="S26" i="1"/>
  <c r="S27" i="1"/>
  <c r="S28" i="1"/>
  <c r="S29" i="1"/>
  <c r="S24" i="1"/>
  <c r="D5" i="9"/>
  <c r="F5" i="9" s="1"/>
  <c r="G64" i="9"/>
  <c r="G63" i="9"/>
  <c r="S87" i="1"/>
  <c r="P87" i="1"/>
  <c r="E11" i="1"/>
  <c r="D6" i="9" s="1"/>
  <c r="E16" i="1"/>
  <c r="E15" i="1"/>
  <c r="S6" i="1"/>
  <c r="E18" i="1"/>
  <c r="O35" i="46" l="1"/>
  <c r="N35" i="46"/>
  <c r="M35" i="46"/>
  <c r="L35" i="46"/>
  <c r="N30" i="46"/>
  <c r="L30" i="46"/>
  <c r="K35" i="46"/>
  <c r="J35" i="46"/>
  <c r="I35" i="46"/>
  <c r="H35" i="46"/>
  <c r="G35" i="46"/>
  <c r="Q74" i="49"/>
  <c r="R80" i="49"/>
  <c r="N23" i="46"/>
  <c r="M23" i="46"/>
  <c r="M36" i="46" s="1"/>
  <c r="M6" i="1"/>
  <c r="S77" i="1"/>
  <c r="S79" i="1"/>
  <c r="G62" i="9"/>
  <c r="T36" i="1"/>
  <c r="K64" i="46"/>
  <c r="K63" i="46"/>
  <c r="K62" i="46"/>
  <c r="K61" i="46"/>
  <c r="K60" i="46"/>
  <c r="K59" i="46"/>
  <c r="N78" i="49"/>
  <c r="O78" i="49" s="1"/>
  <c r="N77" i="49"/>
  <c r="O77" i="49" s="1"/>
  <c r="N76" i="49"/>
  <c r="O76" i="49" s="1"/>
  <c r="N75" i="49"/>
  <c r="O75" i="49" s="1"/>
  <c r="N74" i="49"/>
  <c r="O74" i="49" s="1"/>
  <c r="N73" i="49"/>
  <c r="O73" i="49" s="1"/>
  <c r="N72" i="49"/>
  <c r="O72" i="49" s="1"/>
  <c r="N71" i="49"/>
  <c r="O71" i="49" s="1"/>
  <c r="N70" i="49"/>
  <c r="O70" i="49" s="1"/>
  <c r="N69" i="49"/>
  <c r="O69" i="49" s="1"/>
  <c r="P68" i="49"/>
  <c r="Q68" i="49" s="1"/>
  <c r="N68" i="49"/>
  <c r="O68" i="49" s="1"/>
  <c r="N36" i="46" l="1"/>
  <c r="K58" i="46"/>
  <c r="C149" i="43" a="1"/>
  <c r="C149" i="43" s="1"/>
  <c r="P150" i="43" a="1"/>
  <c r="P150" i="43" s="1"/>
  <c r="Q150" i="43" a="1"/>
  <c r="Q150" i="43" s="1"/>
  <c r="R150" i="43" a="1"/>
  <c r="R150" i="43" s="1"/>
  <c r="S150" i="43" a="1"/>
  <c r="S150" i="43" s="1"/>
  <c r="T150" i="43" a="1"/>
  <c r="T150" i="43" s="1"/>
  <c r="U150" i="43" a="1"/>
  <c r="U150" i="43" s="1"/>
  <c r="V150" i="43" a="1"/>
  <c r="V150" i="43" s="1"/>
  <c r="W150" i="43" a="1"/>
  <c r="W150" i="43" s="1"/>
  <c r="X150" i="43" a="1"/>
  <c r="X150" i="43" s="1"/>
  <c r="Y150" i="43" a="1"/>
  <c r="Y150" i="43" s="1"/>
  <c r="P151" i="43" a="1"/>
  <c r="P151" i="43" s="1"/>
  <c r="Q151" i="43" a="1"/>
  <c r="Q151" i="43" s="1"/>
  <c r="R151" i="43" a="1"/>
  <c r="R151" i="43" s="1"/>
  <c r="S151" i="43" a="1"/>
  <c r="S151" i="43" s="1"/>
  <c r="T151" i="43" a="1"/>
  <c r="T151" i="43" s="1"/>
  <c r="U151" i="43" a="1"/>
  <c r="U151" i="43" s="1"/>
  <c r="V151" i="43" a="1"/>
  <c r="V151" i="43" s="1"/>
  <c r="W151" i="43" a="1"/>
  <c r="W151" i="43" s="1"/>
  <c r="X151" i="43" a="1"/>
  <c r="X151" i="43" s="1"/>
  <c r="Y151" i="43" a="1"/>
  <c r="Y151" i="43" s="1"/>
  <c r="P152" i="43" a="1"/>
  <c r="P152" i="43" s="1"/>
  <c r="Q152" i="43" a="1"/>
  <c r="Q152" i="43" s="1"/>
  <c r="R152" i="43" a="1"/>
  <c r="R152" i="43" s="1"/>
  <c r="S152" i="43" a="1"/>
  <c r="S152" i="43" s="1"/>
  <c r="T152" i="43" a="1"/>
  <c r="T152" i="43" s="1"/>
  <c r="U152" i="43" a="1"/>
  <c r="U152" i="43" s="1"/>
  <c r="V152" i="43" a="1"/>
  <c r="V152" i="43" s="1"/>
  <c r="W152" i="43" a="1"/>
  <c r="W152" i="43" s="1"/>
  <c r="X152" i="43" a="1"/>
  <c r="X152" i="43" s="1"/>
  <c r="Y152" i="43" a="1"/>
  <c r="Y152" i="43" s="1"/>
  <c r="P153" i="43" a="1"/>
  <c r="P153" i="43" s="1"/>
  <c r="Q153" i="43" a="1"/>
  <c r="Q153" i="43" s="1"/>
  <c r="R153" i="43" a="1"/>
  <c r="R153" i="43" s="1"/>
  <c r="S153" i="43" a="1"/>
  <c r="S153" i="43" s="1"/>
  <c r="T153" i="43" a="1"/>
  <c r="T153" i="43" s="1"/>
  <c r="U153" i="43" a="1"/>
  <c r="U153" i="43" s="1"/>
  <c r="V153" i="43" a="1"/>
  <c r="V153" i="43" s="1"/>
  <c r="W153" i="43" a="1"/>
  <c r="W153" i="43" s="1"/>
  <c r="X153" i="43" a="1"/>
  <c r="X153" i="43" s="1"/>
  <c r="Y153" i="43" a="1"/>
  <c r="Y153" i="43" s="1"/>
  <c r="P154" i="43" a="1"/>
  <c r="P154" i="43" s="1"/>
  <c r="Q154" i="43" a="1"/>
  <c r="Q154" i="43" s="1"/>
  <c r="R154" i="43" a="1"/>
  <c r="R154" i="43" s="1"/>
  <c r="S154" i="43" a="1"/>
  <c r="S154" i="43" s="1"/>
  <c r="T154" i="43" a="1"/>
  <c r="T154" i="43" s="1"/>
  <c r="U154" i="43" a="1"/>
  <c r="U154" i="43" s="1"/>
  <c r="V154" i="43" a="1"/>
  <c r="V154" i="43" s="1"/>
  <c r="W154" i="43" a="1"/>
  <c r="W154" i="43" s="1"/>
  <c r="X154" i="43" a="1"/>
  <c r="X154" i="43" s="1"/>
  <c r="Y154" i="43" a="1"/>
  <c r="Y154" i="43" s="1"/>
  <c r="P155" i="43" a="1"/>
  <c r="P155" i="43" s="1"/>
  <c r="Q155" i="43" a="1"/>
  <c r="Q155" i="43" s="1"/>
  <c r="R155" i="43" a="1"/>
  <c r="R155" i="43" s="1"/>
  <c r="S155" i="43" a="1"/>
  <c r="S155" i="43" s="1"/>
  <c r="T155" i="43" a="1"/>
  <c r="T155" i="43" s="1"/>
  <c r="U155" i="43" a="1"/>
  <c r="U155" i="43" s="1"/>
  <c r="V155" i="43" a="1"/>
  <c r="V155" i="43" s="1"/>
  <c r="W155" i="43" a="1"/>
  <c r="W155" i="43" s="1"/>
  <c r="X155" i="43" a="1"/>
  <c r="X155" i="43" s="1"/>
  <c r="Y155" i="43" a="1"/>
  <c r="Y155" i="43" s="1"/>
  <c r="P156" i="43" a="1"/>
  <c r="P156" i="43" s="1"/>
  <c r="Q156" i="43" a="1"/>
  <c r="Q156" i="43" s="1"/>
  <c r="R156" i="43" a="1"/>
  <c r="R156" i="43" s="1"/>
  <c r="S156" i="43" a="1"/>
  <c r="S156" i="43" s="1"/>
  <c r="T156" i="43" a="1"/>
  <c r="T156" i="43" s="1"/>
  <c r="U156" i="43" a="1"/>
  <c r="U156" i="43" s="1"/>
  <c r="V156" i="43" a="1"/>
  <c r="V156" i="43" s="1"/>
  <c r="W156" i="43" a="1"/>
  <c r="W156" i="43" s="1"/>
  <c r="X156" i="43" a="1"/>
  <c r="X156" i="43" s="1"/>
  <c r="Y156" i="43" a="1"/>
  <c r="Y156" i="43" s="1"/>
  <c r="P157" i="43" a="1"/>
  <c r="P157" i="43" s="1"/>
  <c r="Q157" i="43" a="1"/>
  <c r="Q157" i="43" s="1"/>
  <c r="R157" i="43" a="1"/>
  <c r="R157" i="43" s="1"/>
  <c r="S157" i="43" a="1"/>
  <c r="S157" i="43" s="1"/>
  <c r="T157" i="43" a="1"/>
  <c r="T157" i="43" s="1"/>
  <c r="U157" i="43" a="1"/>
  <c r="U157" i="43" s="1"/>
  <c r="V157" i="43" a="1"/>
  <c r="V157" i="43" s="1"/>
  <c r="W157" i="43" a="1"/>
  <c r="W157" i="43" s="1"/>
  <c r="X157" i="43" a="1"/>
  <c r="X157" i="43" s="1"/>
  <c r="Y157" i="43" a="1"/>
  <c r="Y157" i="43" s="1"/>
  <c r="P158" i="43" a="1"/>
  <c r="P158" i="43" s="1"/>
  <c r="Q158" i="43" a="1"/>
  <c r="Q158" i="43" s="1"/>
  <c r="R158" i="43" a="1"/>
  <c r="R158" i="43" s="1"/>
  <c r="S158" i="43" a="1"/>
  <c r="S158" i="43" s="1"/>
  <c r="T158" i="43" a="1"/>
  <c r="T158" i="43" s="1"/>
  <c r="U158" i="43" a="1"/>
  <c r="U158" i="43" s="1"/>
  <c r="V158" i="43" a="1"/>
  <c r="V158" i="43" s="1"/>
  <c r="W158" i="43" a="1"/>
  <c r="W158" i="43" s="1"/>
  <c r="X158" i="43" a="1"/>
  <c r="X158" i="43" s="1"/>
  <c r="Y158" i="43" a="1"/>
  <c r="Y158" i="43" s="1"/>
  <c r="P159" i="43" a="1"/>
  <c r="P159" i="43" s="1"/>
  <c r="Q159" i="43" a="1"/>
  <c r="Q159" i="43" s="1"/>
  <c r="R159" i="43" a="1"/>
  <c r="R159" i="43" s="1"/>
  <c r="S159" i="43" a="1"/>
  <c r="S159" i="43" s="1"/>
  <c r="T159" i="43" a="1"/>
  <c r="T159" i="43" s="1"/>
  <c r="U159" i="43" a="1"/>
  <c r="U159" i="43" s="1"/>
  <c r="V159" i="43" a="1"/>
  <c r="V159" i="43" s="1"/>
  <c r="W159" i="43" a="1"/>
  <c r="W159" i="43" s="1"/>
  <c r="X159" i="43" a="1"/>
  <c r="X159" i="43" s="1"/>
  <c r="Y159" i="43" a="1"/>
  <c r="Y159" i="43" s="1"/>
  <c r="P160" i="43" a="1"/>
  <c r="P160" i="43" s="1"/>
  <c r="Q160" i="43" a="1"/>
  <c r="Q160" i="43" s="1"/>
  <c r="R160" i="43" a="1"/>
  <c r="R160" i="43" s="1"/>
  <c r="S160" i="43" a="1"/>
  <c r="S160" i="43" s="1"/>
  <c r="T160" i="43" a="1"/>
  <c r="T160" i="43" s="1"/>
  <c r="U160" i="43" a="1"/>
  <c r="U160" i="43" s="1"/>
  <c r="V160" i="43" a="1"/>
  <c r="V160" i="43" s="1"/>
  <c r="W160" i="43" a="1"/>
  <c r="W160" i="43" s="1"/>
  <c r="X160" i="43" a="1"/>
  <c r="X160" i="43" s="1"/>
  <c r="Y160" i="43" a="1"/>
  <c r="Y160" i="43" s="1"/>
  <c r="P161" i="43" a="1"/>
  <c r="P161" i="43" s="1"/>
  <c r="Q161" i="43" a="1"/>
  <c r="Q161" i="43" s="1"/>
  <c r="R161" i="43" a="1"/>
  <c r="R161" i="43" s="1"/>
  <c r="S161" i="43" a="1"/>
  <c r="S161" i="43" s="1"/>
  <c r="T161" i="43" a="1"/>
  <c r="T161" i="43" s="1"/>
  <c r="U161" i="43" a="1"/>
  <c r="U161" i="43" s="1"/>
  <c r="V161" i="43" a="1"/>
  <c r="V161" i="43" s="1"/>
  <c r="W161" i="43" a="1"/>
  <c r="W161" i="43" s="1"/>
  <c r="X161" i="43" a="1"/>
  <c r="X161" i="43" s="1"/>
  <c r="Y161" i="43" a="1"/>
  <c r="Y161" i="43" s="1"/>
  <c r="P162" i="43" a="1"/>
  <c r="P162" i="43" s="1"/>
  <c r="Q162" i="43" a="1"/>
  <c r="Q162" i="43" s="1"/>
  <c r="R162" i="43" a="1"/>
  <c r="R162" i="43" s="1"/>
  <c r="S162" i="43" a="1"/>
  <c r="S162" i="43" s="1"/>
  <c r="T162" i="43" a="1"/>
  <c r="T162" i="43" s="1"/>
  <c r="U162" i="43" a="1"/>
  <c r="U162" i="43" s="1"/>
  <c r="V162" i="43" a="1"/>
  <c r="V162" i="43" s="1"/>
  <c r="W162" i="43" a="1"/>
  <c r="W162" i="43" s="1"/>
  <c r="X162" i="43" a="1"/>
  <c r="X162" i="43" s="1"/>
  <c r="Y162" i="43" a="1"/>
  <c r="Y162" i="43" s="1"/>
  <c r="P163" i="43" a="1"/>
  <c r="P163" i="43" s="1"/>
  <c r="Q163" i="43" a="1"/>
  <c r="Q163" i="43" s="1"/>
  <c r="R163" i="43" a="1"/>
  <c r="R163" i="43" s="1"/>
  <c r="S163" i="43" a="1"/>
  <c r="S163" i="43" s="1"/>
  <c r="T163" i="43" a="1"/>
  <c r="T163" i="43" s="1"/>
  <c r="U163" i="43" a="1"/>
  <c r="U163" i="43" s="1"/>
  <c r="V163" i="43" a="1"/>
  <c r="V163" i="43" s="1"/>
  <c r="W163" i="43" a="1"/>
  <c r="W163" i="43" s="1"/>
  <c r="X163" i="43" a="1"/>
  <c r="X163" i="43" s="1"/>
  <c r="Y163" i="43" a="1"/>
  <c r="Y163" i="43" s="1"/>
  <c r="P164" i="43" a="1"/>
  <c r="P164" i="43" s="1"/>
  <c r="Q164" i="43" a="1"/>
  <c r="Q164" i="43" s="1"/>
  <c r="R164" i="43" a="1"/>
  <c r="R164" i="43" s="1"/>
  <c r="S164" i="43" a="1"/>
  <c r="S164" i="43" s="1"/>
  <c r="T164" i="43" a="1"/>
  <c r="T164" i="43" s="1"/>
  <c r="U164" i="43" a="1"/>
  <c r="U164" i="43" s="1"/>
  <c r="V164" i="43" a="1"/>
  <c r="V164" i="43" s="1"/>
  <c r="W164" i="43" a="1"/>
  <c r="W164" i="43" s="1"/>
  <c r="X164" i="43" a="1"/>
  <c r="X164" i="43" s="1"/>
  <c r="Y164" i="43" a="1"/>
  <c r="Y164" i="43" s="1"/>
  <c r="P165" i="43" a="1"/>
  <c r="P165" i="43" s="1"/>
  <c r="Q165" i="43" a="1"/>
  <c r="Q165" i="43" s="1"/>
  <c r="R165" i="43" a="1"/>
  <c r="R165" i="43" s="1"/>
  <c r="S165" i="43" a="1"/>
  <c r="S165" i="43" s="1"/>
  <c r="T165" i="43" a="1"/>
  <c r="T165" i="43" s="1"/>
  <c r="U165" i="43" a="1"/>
  <c r="U165" i="43" s="1"/>
  <c r="V165" i="43" a="1"/>
  <c r="V165" i="43" s="1"/>
  <c r="W165" i="43" a="1"/>
  <c r="W165" i="43" s="1"/>
  <c r="X165" i="43" a="1"/>
  <c r="X165" i="43" s="1"/>
  <c r="Y165" i="43" a="1"/>
  <c r="Y165" i="43" s="1"/>
  <c r="P166" i="43" a="1"/>
  <c r="P166" i="43" s="1"/>
  <c r="Q166" i="43" a="1"/>
  <c r="Q166" i="43" s="1"/>
  <c r="R166" i="43" a="1"/>
  <c r="R166" i="43" s="1"/>
  <c r="S166" i="43" a="1"/>
  <c r="S166" i="43" s="1"/>
  <c r="T166" i="43" a="1"/>
  <c r="T166" i="43" s="1"/>
  <c r="U166" i="43" a="1"/>
  <c r="U166" i="43" s="1"/>
  <c r="V166" i="43" a="1"/>
  <c r="V166" i="43" s="1"/>
  <c r="W166" i="43" a="1"/>
  <c r="W166" i="43" s="1"/>
  <c r="X166" i="43" a="1"/>
  <c r="X166" i="43" s="1"/>
  <c r="Y166" i="43" a="1"/>
  <c r="Y166" i="43" s="1"/>
  <c r="P167" i="43" a="1"/>
  <c r="P167" i="43" s="1"/>
  <c r="Q167" i="43" a="1"/>
  <c r="Q167" i="43" s="1"/>
  <c r="R167" i="43" a="1"/>
  <c r="R167" i="43" s="1"/>
  <c r="S167" i="43" a="1"/>
  <c r="S167" i="43" s="1"/>
  <c r="T167" i="43" a="1"/>
  <c r="T167" i="43" s="1"/>
  <c r="U167" i="43" a="1"/>
  <c r="U167" i="43" s="1"/>
  <c r="V167" i="43" a="1"/>
  <c r="V167" i="43" s="1"/>
  <c r="W167" i="43" a="1"/>
  <c r="W167" i="43" s="1"/>
  <c r="X167" i="43" a="1"/>
  <c r="X167" i="43" s="1"/>
  <c r="Y167" i="43" a="1"/>
  <c r="Y167" i="43" s="1"/>
  <c r="P168" i="43" a="1"/>
  <c r="P168" i="43" s="1"/>
  <c r="Q168" i="43" a="1"/>
  <c r="Q168" i="43" s="1"/>
  <c r="R168" i="43" a="1"/>
  <c r="R168" i="43" s="1"/>
  <c r="S168" i="43" a="1"/>
  <c r="S168" i="43" s="1"/>
  <c r="T168" i="43" a="1"/>
  <c r="T168" i="43" s="1"/>
  <c r="U168" i="43" a="1"/>
  <c r="U168" i="43" s="1"/>
  <c r="V168" i="43" a="1"/>
  <c r="V168" i="43" s="1"/>
  <c r="W168" i="43" a="1"/>
  <c r="W168" i="43" s="1"/>
  <c r="X168" i="43" a="1"/>
  <c r="X168" i="43" s="1"/>
  <c r="Y168" i="43" a="1"/>
  <c r="Y168" i="43" s="1"/>
  <c r="P169" i="43" a="1"/>
  <c r="P169" i="43" s="1"/>
  <c r="Q169" i="43" a="1"/>
  <c r="Q169" i="43" s="1"/>
  <c r="R169" i="43" a="1"/>
  <c r="R169" i="43" s="1"/>
  <c r="S169" i="43" a="1"/>
  <c r="S169" i="43" s="1"/>
  <c r="T169" i="43" a="1"/>
  <c r="T169" i="43" s="1"/>
  <c r="U169" i="43" a="1"/>
  <c r="U169" i="43" s="1"/>
  <c r="V169" i="43" a="1"/>
  <c r="V169" i="43" s="1"/>
  <c r="W169" i="43" a="1"/>
  <c r="W169" i="43" s="1"/>
  <c r="X169" i="43" a="1"/>
  <c r="X169" i="43" s="1"/>
  <c r="Y169" i="43" a="1"/>
  <c r="Y169" i="43" s="1"/>
  <c r="P170" i="43" a="1"/>
  <c r="P170" i="43" s="1"/>
  <c r="Q170" i="43" a="1"/>
  <c r="Q170" i="43" s="1"/>
  <c r="R170" i="43" a="1"/>
  <c r="R170" i="43" s="1"/>
  <c r="S170" i="43" a="1"/>
  <c r="S170" i="43" s="1"/>
  <c r="T170" i="43" a="1"/>
  <c r="T170" i="43" s="1"/>
  <c r="U170" i="43" a="1"/>
  <c r="U170" i="43" s="1"/>
  <c r="V170" i="43" a="1"/>
  <c r="V170" i="43" s="1"/>
  <c r="W170" i="43" a="1"/>
  <c r="W170" i="43" s="1"/>
  <c r="X170" i="43" a="1"/>
  <c r="X170" i="43" s="1"/>
  <c r="Y170" i="43" a="1"/>
  <c r="Y170" i="43" s="1"/>
  <c r="P171" i="43" a="1"/>
  <c r="P171" i="43" s="1"/>
  <c r="Q171" i="43" a="1"/>
  <c r="Q171" i="43" s="1"/>
  <c r="R171" i="43" a="1"/>
  <c r="R171" i="43" s="1"/>
  <c r="S171" i="43" a="1"/>
  <c r="S171" i="43" s="1"/>
  <c r="T171" i="43" a="1"/>
  <c r="T171" i="43" s="1"/>
  <c r="U171" i="43" a="1"/>
  <c r="U171" i="43" s="1"/>
  <c r="V171" i="43" a="1"/>
  <c r="V171" i="43" s="1"/>
  <c r="W171" i="43" a="1"/>
  <c r="W171" i="43" s="1"/>
  <c r="X171" i="43" a="1"/>
  <c r="X171" i="43" s="1"/>
  <c r="Y171" i="43" a="1"/>
  <c r="Y171" i="43" s="1"/>
  <c r="P172" i="43" a="1"/>
  <c r="P172" i="43" s="1"/>
  <c r="Q172" i="43" a="1"/>
  <c r="Q172" i="43" s="1"/>
  <c r="R172" i="43" a="1"/>
  <c r="R172" i="43" s="1"/>
  <c r="S172" i="43" a="1"/>
  <c r="S172" i="43" s="1"/>
  <c r="T172" i="43" a="1"/>
  <c r="T172" i="43" s="1"/>
  <c r="U172" i="43" a="1"/>
  <c r="U172" i="43" s="1"/>
  <c r="V172" i="43" a="1"/>
  <c r="V172" i="43" s="1"/>
  <c r="W172" i="43" a="1"/>
  <c r="W172" i="43" s="1"/>
  <c r="X172" i="43" a="1"/>
  <c r="X172" i="43" s="1"/>
  <c r="Y172" i="43" a="1"/>
  <c r="Y172" i="43" s="1"/>
  <c r="P173" i="43" a="1"/>
  <c r="P173" i="43" s="1"/>
  <c r="Q173" i="43" a="1"/>
  <c r="Q173" i="43" s="1"/>
  <c r="R173" i="43" a="1"/>
  <c r="R173" i="43" s="1"/>
  <c r="S173" i="43" a="1"/>
  <c r="S173" i="43" s="1"/>
  <c r="T173" i="43" a="1"/>
  <c r="T173" i="43" s="1"/>
  <c r="U173" i="43" a="1"/>
  <c r="U173" i="43" s="1"/>
  <c r="V173" i="43" a="1"/>
  <c r="V173" i="43" s="1"/>
  <c r="W173" i="43" a="1"/>
  <c r="W173" i="43" s="1"/>
  <c r="X173" i="43" a="1"/>
  <c r="X173" i="43" s="1"/>
  <c r="Y173" i="43" a="1"/>
  <c r="Y173" i="43" s="1"/>
  <c r="P174" i="43" a="1"/>
  <c r="P174" i="43" s="1"/>
  <c r="Q174" i="43" a="1"/>
  <c r="Q174" i="43" s="1"/>
  <c r="R174" i="43" a="1"/>
  <c r="R174" i="43" s="1"/>
  <c r="S174" i="43" a="1"/>
  <c r="S174" i="43" s="1"/>
  <c r="T174" i="43" a="1"/>
  <c r="T174" i="43" s="1"/>
  <c r="U174" i="43" a="1"/>
  <c r="U174" i="43" s="1"/>
  <c r="V174" i="43" a="1"/>
  <c r="V174" i="43" s="1"/>
  <c r="W174" i="43" a="1"/>
  <c r="W174" i="43" s="1"/>
  <c r="X174" i="43" a="1"/>
  <c r="X174" i="43" s="1"/>
  <c r="Y174" i="43" a="1"/>
  <c r="Y174" i="43" s="1"/>
  <c r="P175" i="43" a="1"/>
  <c r="P175" i="43" s="1"/>
  <c r="Q175" i="43" a="1"/>
  <c r="Q175" i="43" s="1"/>
  <c r="R175" i="43" a="1"/>
  <c r="R175" i="43" s="1"/>
  <c r="S175" i="43" a="1"/>
  <c r="S175" i="43" s="1"/>
  <c r="T175" i="43" a="1"/>
  <c r="T175" i="43" s="1"/>
  <c r="U175" i="43" a="1"/>
  <c r="U175" i="43"/>
  <c r="V175" i="43" a="1"/>
  <c r="V175" i="43" s="1"/>
  <c r="W175" i="43" a="1"/>
  <c r="W175" i="43" s="1"/>
  <c r="X175" i="43" a="1"/>
  <c r="X175" i="43" s="1"/>
  <c r="Y175" i="43" a="1"/>
  <c r="Y175" i="43" s="1"/>
  <c r="P176" i="43" a="1"/>
  <c r="P176" i="43" s="1"/>
  <c r="Q176" i="43" a="1"/>
  <c r="Q176" i="43" s="1"/>
  <c r="R176" i="43" a="1"/>
  <c r="R176" i="43" s="1"/>
  <c r="S176" i="43" a="1"/>
  <c r="S176" i="43" s="1"/>
  <c r="T176" i="43" a="1"/>
  <c r="T176" i="43" s="1"/>
  <c r="U176" i="43" a="1"/>
  <c r="U176" i="43" s="1"/>
  <c r="V176" i="43" a="1"/>
  <c r="V176" i="43" s="1"/>
  <c r="W176" i="43" a="1"/>
  <c r="W176" i="43" s="1"/>
  <c r="X176" i="43" a="1"/>
  <c r="X176" i="43" s="1"/>
  <c r="Y176" i="43" a="1"/>
  <c r="Y176" i="43" s="1"/>
  <c r="Y149" i="43" a="1"/>
  <c r="Y149" i="43" s="1"/>
  <c r="X149" i="43" a="1"/>
  <c r="X149" i="43" s="1"/>
  <c r="W149" i="43" a="1"/>
  <c r="W149" i="43" s="1"/>
  <c r="V149" i="43" a="1"/>
  <c r="V149" i="43" s="1"/>
  <c r="U149" i="43" a="1"/>
  <c r="U149" i="43" s="1"/>
  <c r="T149" i="43" a="1"/>
  <c r="T149" i="43" s="1"/>
  <c r="S149" i="43" a="1"/>
  <c r="S149" i="43" s="1"/>
  <c r="R149" i="43" a="1"/>
  <c r="R149" i="43" s="1"/>
  <c r="Q149" i="43" a="1"/>
  <c r="Q149" i="43" s="1"/>
  <c r="P149" i="43" a="1"/>
  <c r="P149" i="43" s="1"/>
  <c r="C164" i="43" a="1"/>
  <c r="C164" i="43" s="1"/>
  <c r="D164" i="43" a="1"/>
  <c r="D164" i="43" s="1"/>
  <c r="E164" i="43" a="1"/>
  <c r="E164" i="43" s="1"/>
  <c r="F164" i="43" a="1"/>
  <c r="F164" i="43" s="1"/>
  <c r="G164" i="43" a="1"/>
  <c r="G164" i="43" s="1"/>
  <c r="H164" i="43" a="1"/>
  <c r="H164" i="43" s="1"/>
  <c r="I164" i="43" a="1"/>
  <c r="I164" i="43" s="1"/>
  <c r="J164" i="43" a="1"/>
  <c r="J164" i="43" s="1"/>
  <c r="K164" i="43" a="1"/>
  <c r="K164" i="43" s="1"/>
  <c r="L164" i="43" a="1"/>
  <c r="L164" i="43" s="1"/>
  <c r="C165" i="43" a="1"/>
  <c r="C165" i="43" s="1"/>
  <c r="D165" i="43" a="1"/>
  <c r="D165" i="43" s="1"/>
  <c r="E165" i="43" a="1"/>
  <c r="E165" i="43" s="1"/>
  <c r="F165" i="43" a="1"/>
  <c r="F165" i="43" s="1"/>
  <c r="G165" i="43" a="1"/>
  <c r="G165" i="43" s="1"/>
  <c r="H165" i="43" a="1"/>
  <c r="H165" i="43" s="1"/>
  <c r="I165" i="43" a="1"/>
  <c r="I165" i="43" s="1"/>
  <c r="J165" i="43" a="1"/>
  <c r="J165" i="43" s="1"/>
  <c r="K165" i="43" a="1"/>
  <c r="K165" i="43" s="1"/>
  <c r="L165" i="43" a="1"/>
  <c r="L165" i="43" s="1"/>
  <c r="C166" i="43" a="1"/>
  <c r="C166" i="43" s="1"/>
  <c r="D166" i="43" a="1"/>
  <c r="D166" i="43" s="1"/>
  <c r="E166" i="43" a="1"/>
  <c r="E166" i="43" s="1"/>
  <c r="F166" i="43" a="1"/>
  <c r="F166" i="43" s="1"/>
  <c r="G166" i="43" a="1"/>
  <c r="G166" i="43" s="1"/>
  <c r="H166" i="43" a="1"/>
  <c r="H166" i="43" s="1"/>
  <c r="I166" i="43" a="1"/>
  <c r="I166" i="43" s="1"/>
  <c r="J166" i="43" a="1"/>
  <c r="J166" i="43" s="1"/>
  <c r="K166" i="43" a="1"/>
  <c r="K166" i="43" s="1"/>
  <c r="L166" i="43" a="1"/>
  <c r="L166" i="43" s="1"/>
  <c r="C167" i="43" a="1"/>
  <c r="C167" i="43" s="1"/>
  <c r="D167" i="43" a="1"/>
  <c r="D167" i="43" s="1"/>
  <c r="E167" i="43" a="1"/>
  <c r="E167" i="43" s="1"/>
  <c r="F167" i="43" a="1"/>
  <c r="F167" i="43" s="1"/>
  <c r="G167" i="43" a="1"/>
  <c r="G167" i="43" s="1"/>
  <c r="H167" i="43" a="1"/>
  <c r="H167" i="43" s="1"/>
  <c r="I167" i="43" a="1"/>
  <c r="I167" i="43" s="1"/>
  <c r="J167" i="43" a="1"/>
  <c r="J167" i="43" s="1"/>
  <c r="K167" i="43" a="1"/>
  <c r="K167" i="43" s="1"/>
  <c r="L167" i="43" a="1"/>
  <c r="L167" i="43" s="1"/>
  <c r="C168" i="43" a="1"/>
  <c r="C168" i="43" s="1"/>
  <c r="D168" i="43" a="1"/>
  <c r="D168" i="43" s="1"/>
  <c r="E168" i="43" a="1"/>
  <c r="E168" i="43" s="1"/>
  <c r="F168" i="43" a="1"/>
  <c r="F168" i="43" s="1"/>
  <c r="G168" i="43" a="1"/>
  <c r="G168" i="43" s="1"/>
  <c r="H168" i="43" a="1"/>
  <c r="H168" i="43" s="1"/>
  <c r="I168" i="43" a="1"/>
  <c r="I168" i="43" s="1"/>
  <c r="J168" i="43" a="1"/>
  <c r="J168" i="43" s="1"/>
  <c r="K168" i="43" a="1"/>
  <c r="K168" i="43" s="1"/>
  <c r="L168" i="43" a="1"/>
  <c r="L168" i="43" s="1"/>
  <c r="C169" i="43" a="1"/>
  <c r="C169" i="43" s="1"/>
  <c r="D169" i="43" a="1"/>
  <c r="D169" i="43" s="1"/>
  <c r="E169" i="43" a="1"/>
  <c r="E169" i="43" s="1"/>
  <c r="F169" i="43" a="1"/>
  <c r="F169" i="43" s="1"/>
  <c r="G169" i="43" a="1"/>
  <c r="G169" i="43" s="1"/>
  <c r="H169" i="43" a="1"/>
  <c r="H169" i="43" s="1"/>
  <c r="I169" i="43" a="1"/>
  <c r="I169" i="43" s="1"/>
  <c r="J169" i="43" a="1"/>
  <c r="J169" i="43" s="1"/>
  <c r="K169" i="43" a="1"/>
  <c r="K169" i="43" s="1"/>
  <c r="L169" i="43" a="1"/>
  <c r="L169" i="43" s="1"/>
  <c r="C170" i="43" a="1"/>
  <c r="C170" i="43" s="1"/>
  <c r="D170" i="43" a="1"/>
  <c r="D170" i="43" s="1"/>
  <c r="E170" i="43" a="1"/>
  <c r="E170" i="43" s="1"/>
  <c r="F170" i="43" a="1"/>
  <c r="F170" i="43" s="1"/>
  <c r="G170" i="43" a="1"/>
  <c r="G170" i="43" s="1"/>
  <c r="H170" i="43" a="1"/>
  <c r="H170" i="43" s="1"/>
  <c r="I170" i="43" a="1"/>
  <c r="I170" i="43" s="1"/>
  <c r="J170" i="43" a="1"/>
  <c r="J170" i="43" s="1"/>
  <c r="K170" i="43" a="1"/>
  <c r="K170" i="43" s="1"/>
  <c r="L170" i="43" a="1"/>
  <c r="L170" i="43" s="1"/>
  <c r="C171" i="43" a="1"/>
  <c r="C171" i="43" s="1"/>
  <c r="D171" i="43" a="1"/>
  <c r="D171" i="43" s="1"/>
  <c r="E171" i="43" a="1"/>
  <c r="E171" i="43" s="1"/>
  <c r="F171" i="43" a="1"/>
  <c r="F171" i="43" s="1"/>
  <c r="G171" i="43" a="1"/>
  <c r="G171" i="43" s="1"/>
  <c r="H171" i="43" a="1"/>
  <c r="H171" i="43" s="1"/>
  <c r="I171" i="43" a="1"/>
  <c r="I171" i="43" s="1"/>
  <c r="J171" i="43" a="1"/>
  <c r="J171" i="43" s="1"/>
  <c r="K171" i="43" a="1"/>
  <c r="K171" i="43" s="1"/>
  <c r="L171" i="43" a="1"/>
  <c r="L171" i="43" s="1"/>
  <c r="C172" i="43" a="1"/>
  <c r="C172" i="43" s="1"/>
  <c r="D172" i="43" a="1"/>
  <c r="D172" i="43" s="1"/>
  <c r="E172" i="43" a="1"/>
  <c r="E172" i="43" s="1"/>
  <c r="F172" i="43" a="1"/>
  <c r="F172" i="43" s="1"/>
  <c r="G172" i="43" a="1"/>
  <c r="G172" i="43" s="1"/>
  <c r="H172" i="43" a="1"/>
  <c r="H172" i="43" s="1"/>
  <c r="I172" i="43" a="1"/>
  <c r="I172" i="43" s="1"/>
  <c r="J172" i="43" a="1"/>
  <c r="J172" i="43" s="1"/>
  <c r="K172" i="43" a="1"/>
  <c r="K172" i="43" s="1"/>
  <c r="L172" i="43" a="1"/>
  <c r="L172" i="43" s="1"/>
  <c r="C173" i="43" a="1"/>
  <c r="C173" i="43" s="1"/>
  <c r="D173" i="43" a="1"/>
  <c r="D173" i="43" s="1"/>
  <c r="E173" i="43" a="1"/>
  <c r="E173" i="43" s="1"/>
  <c r="F173" i="43" a="1"/>
  <c r="F173" i="43" s="1"/>
  <c r="G173" i="43" a="1"/>
  <c r="G173" i="43" s="1"/>
  <c r="H173" i="43" a="1"/>
  <c r="H173" i="43" s="1"/>
  <c r="I173" i="43" a="1"/>
  <c r="I173" i="43" s="1"/>
  <c r="J173" i="43" a="1"/>
  <c r="J173" i="43" s="1"/>
  <c r="K173" i="43" a="1"/>
  <c r="K173" i="43" s="1"/>
  <c r="L173" i="43" a="1"/>
  <c r="L173" i="43" s="1"/>
  <c r="C174" i="43" a="1"/>
  <c r="C174" i="43" s="1"/>
  <c r="D174" i="43" a="1"/>
  <c r="D174" i="43" s="1"/>
  <c r="E174" i="43" a="1"/>
  <c r="E174" i="43" s="1"/>
  <c r="F174" i="43" a="1"/>
  <c r="F174" i="43" s="1"/>
  <c r="G174" i="43" a="1"/>
  <c r="G174" i="43" s="1"/>
  <c r="H174" i="43" a="1"/>
  <c r="H174" i="43" s="1"/>
  <c r="I174" i="43" a="1"/>
  <c r="I174" i="43" s="1"/>
  <c r="J174" i="43" a="1"/>
  <c r="J174" i="43" s="1"/>
  <c r="K174" i="43" a="1"/>
  <c r="K174" i="43" s="1"/>
  <c r="L174" i="43" a="1"/>
  <c r="L174" i="43" s="1"/>
  <c r="C175" i="43" a="1"/>
  <c r="C175" i="43" s="1"/>
  <c r="D175" i="43" a="1"/>
  <c r="D175" i="43" s="1"/>
  <c r="E175" i="43" a="1"/>
  <c r="E175" i="43" s="1"/>
  <c r="F175" i="43" a="1"/>
  <c r="F175" i="43" s="1"/>
  <c r="G175" i="43" a="1"/>
  <c r="G175" i="43" s="1"/>
  <c r="H175" i="43" a="1"/>
  <c r="H175" i="43" s="1"/>
  <c r="I175" i="43" a="1"/>
  <c r="I175" i="43" s="1"/>
  <c r="J175" i="43" a="1"/>
  <c r="J175" i="43" s="1"/>
  <c r="K175" i="43" a="1"/>
  <c r="K175" i="43" s="1"/>
  <c r="L175" i="43" a="1"/>
  <c r="L175" i="43" s="1"/>
  <c r="C176" i="43" a="1"/>
  <c r="C176" i="43" s="1"/>
  <c r="D176" i="43" a="1"/>
  <c r="D176" i="43" s="1"/>
  <c r="E176" i="43" a="1"/>
  <c r="E176" i="43" s="1"/>
  <c r="F176" i="43" a="1"/>
  <c r="F176" i="43" s="1"/>
  <c r="G176" i="43" a="1"/>
  <c r="G176" i="43" s="1"/>
  <c r="H176" i="43" a="1"/>
  <c r="H176" i="43" s="1"/>
  <c r="I176" i="43" a="1"/>
  <c r="I176" i="43" s="1"/>
  <c r="J176" i="43" a="1"/>
  <c r="J176" i="43" s="1"/>
  <c r="K176" i="43" a="1"/>
  <c r="K176" i="43" s="1"/>
  <c r="L176" i="43" a="1"/>
  <c r="L176" i="43" s="1"/>
  <c r="L149" i="43" a="1"/>
  <c r="L149" i="43" s="1"/>
  <c r="C150" i="43" a="1"/>
  <c r="C150" i="43" s="1"/>
  <c r="D150" i="43" a="1"/>
  <c r="D150" i="43" s="1"/>
  <c r="E150" i="43" a="1"/>
  <c r="E150" i="43" s="1"/>
  <c r="F150" i="43" a="1"/>
  <c r="F150" i="43" s="1"/>
  <c r="G150" i="43" a="1"/>
  <c r="G150" i="43" s="1"/>
  <c r="H150" i="43" a="1"/>
  <c r="H150" i="43" s="1"/>
  <c r="I150" i="43" a="1"/>
  <c r="I150" i="43" s="1"/>
  <c r="J150" i="43" a="1"/>
  <c r="J150" i="43" s="1"/>
  <c r="K150" i="43" a="1"/>
  <c r="K150" i="43" s="1"/>
  <c r="L150" i="43" a="1"/>
  <c r="L150" i="43" s="1"/>
  <c r="C151" i="43" a="1"/>
  <c r="C151" i="43" s="1"/>
  <c r="D151" i="43" a="1"/>
  <c r="D151" i="43" s="1"/>
  <c r="E151" i="43" a="1"/>
  <c r="E151" i="43" s="1"/>
  <c r="F151" i="43" a="1"/>
  <c r="F151" i="43" s="1"/>
  <c r="G151" i="43" a="1"/>
  <c r="G151" i="43" s="1"/>
  <c r="H151" i="43" a="1"/>
  <c r="H151" i="43" s="1"/>
  <c r="I151" i="43" a="1"/>
  <c r="I151" i="43" s="1"/>
  <c r="J151" i="43" a="1"/>
  <c r="J151" i="43" s="1"/>
  <c r="K151" i="43" a="1"/>
  <c r="K151" i="43" s="1"/>
  <c r="L151" i="43" a="1"/>
  <c r="L151" i="43" s="1"/>
  <c r="C152" i="43" a="1"/>
  <c r="C152" i="43" s="1"/>
  <c r="D152" i="43" a="1"/>
  <c r="D152" i="43" s="1"/>
  <c r="E152" i="43" a="1"/>
  <c r="E152" i="43" s="1"/>
  <c r="F152" i="43" a="1"/>
  <c r="F152" i="43" s="1"/>
  <c r="G152" i="43" a="1"/>
  <c r="G152" i="43" s="1"/>
  <c r="H152" i="43" a="1"/>
  <c r="H152" i="43" s="1"/>
  <c r="I152" i="43" a="1"/>
  <c r="I152" i="43" s="1"/>
  <c r="J152" i="43" a="1"/>
  <c r="J152" i="43" s="1"/>
  <c r="K152" i="43" a="1"/>
  <c r="K152" i="43" s="1"/>
  <c r="L152" i="43" a="1"/>
  <c r="L152" i="43" s="1"/>
  <c r="C153" i="43" a="1"/>
  <c r="C153" i="43" s="1"/>
  <c r="D153" i="43" a="1"/>
  <c r="D153" i="43" s="1"/>
  <c r="E153" i="43" a="1"/>
  <c r="E153" i="43" s="1"/>
  <c r="F153" i="43" a="1"/>
  <c r="F153" i="43" s="1"/>
  <c r="G153" i="43" a="1"/>
  <c r="G153" i="43" s="1"/>
  <c r="H153" i="43" a="1"/>
  <c r="H153" i="43" s="1"/>
  <c r="I153" i="43" a="1"/>
  <c r="I153" i="43" s="1"/>
  <c r="J153" i="43" a="1"/>
  <c r="J153" i="43" s="1"/>
  <c r="K153" i="43" a="1"/>
  <c r="K153" i="43" s="1"/>
  <c r="L153" i="43" a="1"/>
  <c r="L153" i="43" s="1"/>
  <c r="C154" i="43" a="1"/>
  <c r="C154" i="43" s="1"/>
  <c r="D154" i="43" a="1"/>
  <c r="D154" i="43" s="1"/>
  <c r="E154" i="43" a="1"/>
  <c r="E154" i="43" s="1"/>
  <c r="F154" i="43" a="1"/>
  <c r="F154" i="43" s="1"/>
  <c r="G154" i="43" a="1"/>
  <c r="G154" i="43" s="1"/>
  <c r="H154" i="43" a="1"/>
  <c r="H154" i="43" s="1"/>
  <c r="I154" i="43" a="1"/>
  <c r="I154" i="43" s="1"/>
  <c r="J154" i="43" a="1"/>
  <c r="J154" i="43" s="1"/>
  <c r="K154" i="43" a="1"/>
  <c r="K154" i="43" s="1"/>
  <c r="L154" i="43" a="1"/>
  <c r="L154" i="43" s="1"/>
  <c r="C155" i="43" a="1"/>
  <c r="C155" i="43" s="1"/>
  <c r="D155" i="43" a="1"/>
  <c r="D155" i="43" s="1"/>
  <c r="E155" i="43" a="1"/>
  <c r="E155" i="43" s="1"/>
  <c r="F155" i="43" a="1"/>
  <c r="F155" i="43" s="1"/>
  <c r="G155" i="43" a="1"/>
  <c r="G155" i="43" s="1"/>
  <c r="H155" i="43" a="1"/>
  <c r="H155" i="43" s="1"/>
  <c r="I155" i="43" a="1"/>
  <c r="I155" i="43" s="1"/>
  <c r="J155" i="43" a="1"/>
  <c r="J155" i="43" s="1"/>
  <c r="K155" i="43" a="1"/>
  <c r="K155" i="43" s="1"/>
  <c r="L155" i="43" a="1"/>
  <c r="L155" i="43" s="1"/>
  <c r="C156" i="43" a="1"/>
  <c r="C156" i="43" s="1"/>
  <c r="D156" i="43" a="1"/>
  <c r="D156" i="43" s="1"/>
  <c r="E156" i="43" a="1"/>
  <c r="E156" i="43" s="1"/>
  <c r="F156" i="43" a="1"/>
  <c r="F156" i="43" s="1"/>
  <c r="G156" i="43" a="1"/>
  <c r="G156" i="43" s="1"/>
  <c r="H156" i="43" a="1"/>
  <c r="H156" i="43" s="1"/>
  <c r="I156" i="43" a="1"/>
  <c r="I156" i="43" s="1"/>
  <c r="J156" i="43" a="1"/>
  <c r="J156" i="43" s="1"/>
  <c r="K156" i="43" a="1"/>
  <c r="K156" i="43" s="1"/>
  <c r="L156" i="43" a="1"/>
  <c r="L156" i="43" s="1"/>
  <c r="C157" i="43" a="1"/>
  <c r="C157" i="43" s="1"/>
  <c r="D157" i="43" a="1"/>
  <c r="D157" i="43" s="1"/>
  <c r="E157" i="43" a="1"/>
  <c r="E157" i="43" s="1"/>
  <c r="F157" i="43" a="1"/>
  <c r="F157" i="43" s="1"/>
  <c r="G157" i="43" a="1"/>
  <c r="G157" i="43" s="1"/>
  <c r="H157" i="43" a="1"/>
  <c r="H157" i="43" s="1"/>
  <c r="I157" i="43" a="1"/>
  <c r="I157" i="43" s="1"/>
  <c r="J157" i="43" a="1"/>
  <c r="J157" i="43" s="1"/>
  <c r="K157" i="43" a="1"/>
  <c r="K157" i="43" s="1"/>
  <c r="L157" i="43" a="1"/>
  <c r="L157" i="43" s="1"/>
  <c r="C158" i="43" a="1"/>
  <c r="C158" i="43" s="1"/>
  <c r="D158" i="43" a="1"/>
  <c r="D158" i="43" s="1"/>
  <c r="E158" i="43" a="1"/>
  <c r="E158" i="43" s="1"/>
  <c r="F158" i="43" a="1"/>
  <c r="F158" i="43" s="1"/>
  <c r="G158" i="43" a="1"/>
  <c r="G158" i="43" s="1"/>
  <c r="H158" i="43" a="1"/>
  <c r="H158" i="43" s="1"/>
  <c r="I158" i="43" a="1"/>
  <c r="I158" i="43" s="1"/>
  <c r="J158" i="43" a="1"/>
  <c r="J158" i="43" s="1"/>
  <c r="K158" i="43" a="1"/>
  <c r="K158" i="43" s="1"/>
  <c r="L158" i="43" a="1"/>
  <c r="L158" i="43" s="1"/>
  <c r="C159" i="43" a="1"/>
  <c r="C159" i="43" s="1"/>
  <c r="D159" i="43" a="1"/>
  <c r="D159" i="43" s="1"/>
  <c r="E159" i="43" a="1"/>
  <c r="E159" i="43" s="1"/>
  <c r="F159" i="43" a="1"/>
  <c r="F159" i="43" s="1"/>
  <c r="G159" i="43" a="1"/>
  <c r="G159" i="43" s="1"/>
  <c r="H159" i="43" a="1"/>
  <c r="H159" i="43" s="1"/>
  <c r="I159" i="43" a="1"/>
  <c r="I159" i="43" s="1"/>
  <c r="J159" i="43" a="1"/>
  <c r="J159" i="43" s="1"/>
  <c r="K159" i="43" a="1"/>
  <c r="K159" i="43" s="1"/>
  <c r="L159" i="43" a="1"/>
  <c r="L159" i="43" s="1"/>
  <c r="C160" i="43" a="1"/>
  <c r="C160" i="43" s="1"/>
  <c r="D160" i="43" a="1"/>
  <c r="D160" i="43" s="1"/>
  <c r="E160" i="43" a="1"/>
  <c r="E160" i="43" s="1"/>
  <c r="F160" i="43" a="1"/>
  <c r="F160" i="43" s="1"/>
  <c r="G160" i="43" a="1"/>
  <c r="G160" i="43" s="1"/>
  <c r="H160" i="43" a="1"/>
  <c r="H160" i="43" s="1"/>
  <c r="I160" i="43" a="1"/>
  <c r="I160" i="43" s="1"/>
  <c r="J160" i="43" a="1"/>
  <c r="J160" i="43" s="1"/>
  <c r="K160" i="43" a="1"/>
  <c r="K160" i="43" s="1"/>
  <c r="L160" i="43" a="1"/>
  <c r="L160" i="43" s="1"/>
  <c r="C161" i="43" a="1"/>
  <c r="C161" i="43" s="1"/>
  <c r="D161" i="43" a="1"/>
  <c r="D161" i="43" s="1"/>
  <c r="E161" i="43" a="1"/>
  <c r="E161" i="43" s="1"/>
  <c r="F161" i="43" a="1"/>
  <c r="F161" i="43" s="1"/>
  <c r="G161" i="43" a="1"/>
  <c r="G161" i="43" s="1"/>
  <c r="H161" i="43" a="1"/>
  <c r="H161" i="43" s="1"/>
  <c r="I161" i="43" a="1"/>
  <c r="I161" i="43" s="1"/>
  <c r="J161" i="43" a="1"/>
  <c r="J161" i="43" s="1"/>
  <c r="K161" i="43" a="1"/>
  <c r="K161" i="43" s="1"/>
  <c r="L161" i="43" a="1"/>
  <c r="L161" i="43" s="1"/>
  <c r="C162" i="43" a="1"/>
  <c r="C162" i="43" s="1"/>
  <c r="D162" i="43" a="1"/>
  <c r="D162" i="43" s="1"/>
  <c r="E162" i="43" a="1"/>
  <c r="E162" i="43" s="1"/>
  <c r="F162" i="43" a="1"/>
  <c r="F162" i="43" s="1"/>
  <c r="G162" i="43" a="1"/>
  <c r="G162" i="43" s="1"/>
  <c r="H162" i="43" a="1"/>
  <c r="H162" i="43" s="1"/>
  <c r="I162" i="43" a="1"/>
  <c r="I162" i="43" s="1"/>
  <c r="J162" i="43" a="1"/>
  <c r="J162" i="43" s="1"/>
  <c r="K162" i="43" a="1"/>
  <c r="K162" i="43" s="1"/>
  <c r="L162" i="43" a="1"/>
  <c r="L162" i="43" s="1"/>
  <c r="C163" i="43" a="1"/>
  <c r="C163" i="43" s="1"/>
  <c r="D163" i="43" a="1"/>
  <c r="D163" i="43" s="1"/>
  <c r="E163" i="43" a="1"/>
  <c r="E163" i="43" s="1"/>
  <c r="F163" i="43" a="1"/>
  <c r="F163" i="43" s="1"/>
  <c r="G163" i="43" a="1"/>
  <c r="G163" i="43" s="1"/>
  <c r="H163" i="43" a="1"/>
  <c r="H163" i="43" s="1"/>
  <c r="I163" i="43" a="1"/>
  <c r="I163" i="43" s="1"/>
  <c r="J163" i="43" a="1"/>
  <c r="J163" i="43" s="1"/>
  <c r="K163" i="43" a="1"/>
  <c r="K163" i="43" s="1"/>
  <c r="L163" i="43" a="1"/>
  <c r="L163" i="43" s="1"/>
  <c r="K149" i="43" a="1"/>
  <c r="K149" i="43" s="1"/>
  <c r="J149" i="43" a="1"/>
  <c r="J149" i="43" s="1"/>
  <c r="I149" i="43" a="1"/>
  <c r="I149" i="43" s="1"/>
  <c r="H149" i="43" a="1"/>
  <c r="H149" i="43" s="1"/>
  <c r="G149" i="43" a="1"/>
  <c r="G149" i="43" s="1"/>
  <c r="F149" i="43" a="1"/>
  <c r="F149" i="43" s="1"/>
  <c r="E149" i="43" a="1"/>
  <c r="E149" i="43" s="1"/>
  <c r="D149" i="43" a="1"/>
  <c r="D149" i="43" s="1"/>
  <c r="N63" i="46"/>
  <c r="N62" i="46"/>
  <c r="N61" i="46"/>
  <c r="N60" i="46"/>
  <c r="N59" i="46"/>
  <c r="G59" i="46"/>
  <c r="G63" i="46"/>
  <c r="G62" i="46"/>
  <c r="G61" i="46"/>
  <c r="G60" i="46"/>
  <c r="F37" i="1"/>
  <c r="F36" i="1"/>
  <c r="F35" i="1"/>
  <c r="F34" i="1"/>
  <c r="F33" i="1"/>
  <c r="F32" i="1"/>
  <c r="T53" i="47" s="1"/>
  <c r="F31" i="1"/>
  <c r="F30" i="1"/>
  <c r="F29" i="1"/>
  <c r="T51" i="47" s="1"/>
  <c r="B88" i="1"/>
  <c r="T57" i="47" l="1"/>
  <c r="T55" i="47" a="1"/>
  <c r="T55" i="47" s="1"/>
  <c r="T52" i="47"/>
  <c r="T56" i="47" a="1"/>
  <c r="T56" i="47" s="1"/>
  <c r="T54" i="47"/>
  <c r="T46" i="47" a="1"/>
  <c r="T46" i="47" s="1"/>
  <c r="T23" i="47" a="1"/>
  <c r="T23" i="47" s="1"/>
  <c r="T42" i="47" a="1"/>
  <c r="T42" i="47" s="1"/>
  <c r="T22" i="47" a="1"/>
  <c r="T22" i="47" s="1"/>
  <c r="T58" i="47" a="1"/>
  <c r="T58" i="47" s="1"/>
  <c r="T45" i="47" a="1"/>
  <c r="T45" i="47" s="1"/>
  <c r="T31" i="47"/>
  <c r="T41" i="47"/>
  <c r="T44" i="47"/>
  <c r="T43" i="47" a="1"/>
  <c r="T43" i="47" s="1"/>
  <c r="T40" i="47"/>
  <c r="T39" i="47"/>
  <c r="T38" i="47"/>
  <c r="T33" i="47" a="1"/>
  <c r="T33" i="47" s="1"/>
  <c r="J25" i="1"/>
  <c r="N58" i="46"/>
  <c r="G58" i="46"/>
  <c r="K25" i="1" l="1"/>
  <c r="H37" i="1"/>
  <c r="J37" i="1"/>
  <c r="B30" i="1"/>
  <c r="B37" i="1"/>
  <c r="B36" i="1"/>
  <c r="B35" i="1"/>
  <c r="R57" i="1" l="1"/>
  <c r="D36" i="1"/>
  <c r="D30" i="1"/>
  <c r="T24" i="1"/>
  <c r="T33" i="1"/>
  <c r="C36" i="1"/>
  <c r="C30" i="1"/>
  <c r="J32" i="1"/>
  <c r="T31" i="1"/>
  <c r="T26" i="1"/>
  <c r="T28" i="1"/>
  <c r="K34" i="1"/>
  <c r="J34" i="1"/>
  <c r="J33" i="1"/>
  <c r="J36" i="1"/>
  <c r="J28" i="1"/>
  <c r="J35" i="1"/>
  <c r="J26" i="1"/>
  <c r="J30" i="1"/>
  <c r="J29" i="1"/>
  <c r="J27" i="1"/>
  <c r="H31" i="1" l="1"/>
  <c r="T25" i="1"/>
  <c r="H38" i="1"/>
  <c r="K26" i="1"/>
  <c r="K30" i="1"/>
  <c r="K29" i="1"/>
  <c r="K33" i="1"/>
  <c r="K36" i="1"/>
  <c r="K35" i="1"/>
  <c r="T21" i="47" s="1"/>
  <c r="K32" i="1"/>
  <c r="K28" i="1"/>
  <c r="T27" i="1"/>
  <c r="K27" i="1"/>
  <c r="T30" i="47" l="1"/>
  <c r="T32" i="47" a="1"/>
  <c r="T32" i="47" s="1"/>
  <c r="T29" i="47"/>
  <c r="T20" i="47"/>
  <c r="T18" i="47"/>
  <c r="T19" i="47"/>
  <c r="T28" i="47"/>
  <c r="T16" i="47"/>
  <c r="T26" i="47"/>
  <c r="J38" i="1"/>
  <c r="J31" i="1"/>
  <c r="T29" i="1"/>
  <c r="T32" i="1"/>
  <c r="T34" i="1"/>
  <c r="T35" i="1"/>
  <c r="N42" i="1"/>
  <c r="D17" i="46" a="1"/>
  <c r="D17" i="46" s="1"/>
  <c r="C17" i="46" a="1"/>
  <c r="C17" i="46" s="1"/>
  <c r="C24" i="46" a="1"/>
  <c r="C24" i="46" s="1"/>
  <c r="T77" i="1"/>
  <c r="O10" i="9" s="1" a="1"/>
  <c r="O10" i="9" s="1"/>
  <c r="D35" i="46" l="1"/>
  <c r="F26" i="1" s="1"/>
  <c r="C35" i="46" a="1"/>
  <c r="C35" i="46" s="1"/>
  <c r="F25" i="1" s="1"/>
  <c r="T39" i="1"/>
  <c r="B26" i="1"/>
  <c r="C23" i="46"/>
  <c r="B25" i="1"/>
  <c r="N10" i="9"/>
  <c r="N11" i="9" s="1"/>
  <c r="T79" i="1"/>
  <c r="O11" i="9" s="1" a="1"/>
  <c r="O11" i="9" s="1"/>
  <c r="T47" i="47" l="1"/>
  <c r="T35" i="47"/>
  <c r="T34" i="47"/>
  <c r="T24" i="47"/>
  <c r="T14" i="47"/>
  <c r="D26" i="1"/>
  <c r="C26" i="1"/>
  <c r="C25" i="1"/>
  <c r="D25" i="1"/>
  <c r="Q81" i="49"/>
  <c r="F80" i="49"/>
  <c r="F79" i="49"/>
  <c r="F78" i="49"/>
  <c r="F77" i="49"/>
  <c r="F76" i="49"/>
  <c r="F75" i="49"/>
  <c r="F74" i="49"/>
  <c r="F73" i="49"/>
  <c r="F69" i="49"/>
  <c r="F70" i="49"/>
  <c r="F71" i="49"/>
  <c r="F72" i="49"/>
  <c r="F68" i="49"/>
  <c r="E68" i="49" s="1"/>
  <c r="B34" i="1" l="1"/>
  <c r="J30" i="46"/>
  <c r="I30" i="46"/>
  <c r="H30" i="46"/>
  <c r="G30" i="46"/>
  <c r="F30" i="46"/>
  <c r="E24" i="46" a="1"/>
  <c r="E24" i="46" s="1"/>
  <c r="E30" i="46" s="1"/>
  <c r="D24" i="46" a="1"/>
  <c r="D24" i="46" s="1"/>
  <c r="D30" i="46" s="1"/>
  <c r="C30" i="46"/>
  <c r="B29" i="1"/>
  <c r="F17" i="46" a="1"/>
  <c r="F17" i="46" s="1"/>
  <c r="B33" i="1"/>
  <c r="B32" i="1"/>
  <c r="B31" i="1"/>
  <c r="E17" i="46" a="1"/>
  <c r="E17" i="46" s="1"/>
  <c r="D34" i="1" l="1"/>
  <c r="D33" i="1"/>
  <c r="D31" i="1"/>
  <c r="F35" i="46"/>
  <c r="E35" i="46"/>
  <c r="B28" i="1"/>
  <c r="B27" i="1"/>
  <c r="C34" i="1"/>
  <c r="C33" i="1"/>
  <c r="C31" i="1"/>
  <c r="C36" i="46"/>
  <c r="G79" i="49"/>
  <c r="K23" i="46"/>
  <c r="K36" i="46" s="1"/>
  <c r="G76" i="49"/>
  <c r="J23" i="46"/>
  <c r="J36" i="46" s="1"/>
  <c r="G75" i="49"/>
  <c r="G78" i="49"/>
  <c r="L23" i="46"/>
  <c r="L36" i="46" s="1"/>
  <c r="G77" i="49"/>
  <c r="F23" i="46"/>
  <c r="G71" i="49"/>
  <c r="I23" i="46"/>
  <c r="G74" i="49"/>
  <c r="E23" i="46"/>
  <c r="G70" i="49"/>
  <c r="H23" i="46"/>
  <c r="G73" i="49"/>
  <c r="O23" i="46"/>
  <c r="O36" i="46" s="1"/>
  <c r="G80" i="49"/>
  <c r="G23" i="46"/>
  <c r="G36" i="46" s="1"/>
  <c r="G72" i="49"/>
  <c r="D23" i="46"/>
  <c r="G69" i="49"/>
  <c r="G68" i="49"/>
  <c r="D28" i="1" l="1"/>
  <c r="D27" i="1"/>
  <c r="I80" i="49"/>
  <c r="H80" i="49"/>
  <c r="I79" i="49"/>
  <c r="H79" i="49"/>
  <c r="H78" i="49"/>
  <c r="I78" i="49"/>
  <c r="I77" i="49"/>
  <c r="H77" i="49"/>
  <c r="H76" i="49"/>
  <c r="I76" i="49"/>
  <c r="H75" i="49"/>
  <c r="I75" i="49"/>
  <c r="H74" i="49"/>
  <c r="I74" i="49"/>
  <c r="I73" i="49"/>
  <c r="H73" i="49"/>
  <c r="H72" i="49"/>
  <c r="I72" i="49"/>
  <c r="H71" i="49"/>
  <c r="I71" i="49"/>
  <c r="H70" i="49"/>
  <c r="I70" i="49"/>
  <c r="H69" i="49"/>
  <c r="I69" i="49"/>
  <c r="H68" i="49"/>
  <c r="I68" i="49"/>
  <c r="C28" i="1"/>
  <c r="F28" i="1"/>
  <c r="C27" i="1"/>
  <c r="F27" i="1"/>
  <c r="E33" i="1"/>
  <c r="E32" i="1"/>
  <c r="I36" i="46"/>
  <c r="E31" i="1" s="1"/>
  <c r="H36" i="46"/>
  <c r="E30" i="1" s="1"/>
  <c r="E29" i="1"/>
  <c r="F36" i="46"/>
  <c r="E28" i="1" s="1"/>
  <c r="E36" i="46"/>
  <c r="E27" i="1" s="1"/>
  <c r="D36" i="46"/>
  <c r="E26" i="1" s="1"/>
  <c r="E34" i="1"/>
  <c r="E37" i="1"/>
  <c r="E35" i="1"/>
  <c r="E36" i="1"/>
  <c r="E25" i="1"/>
  <c r="L3" i="1"/>
  <c r="K3" i="1"/>
  <c r="D8" i="9"/>
  <c r="F3" i="1"/>
  <c r="T49" i="47" l="1"/>
  <c r="E40" i="1"/>
  <c r="T36" i="47"/>
  <c r="T48" i="47"/>
  <c r="T37" i="47"/>
  <c r="T15" i="47"/>
  <c r="T27" i="47"/>
  <c r="T25" i="47"/>
  <c r="T17" i="47"/>
  <c r="J68" i="49"/>
  <c r="C40" i="1"/>
  <c r="J78" i="49"/>
  <c r="J72" i="49"/>
  <c r="J80" i="49"/>
  <c r="Q36" i="1" s="1"/>
  <c r="J75" i="49"/>
  <c r="J79" i="49"/>
  <c r="J77" i="49"/>
  <c r="J76" i="49"/>
  <c r="J74" i="49"/>
  <c r="J73" i="49"/>
  <c r="J70" i="49"/>
  <c r="J69" i="49"/>
  <c r="F42" i="1"/>
  <c r="G44" i="1" s="1"/>
  <c r="J71" i="49"/>
  <c r="E14" i="1"/>
  <c r="C41" i="1" l="1"/>
  <c r="O27" i="46" s="1"/>
  <c r="J81" i="49"/>
  <c r="D7" i="9"/>
  <c r="C31" i="46" l="1"/>
  <c r="E12" i="1"/>
  <c r="E13" i="1"/>
  <c r="D11" i="9"/>
  <c r="E17" i="1" l="1"/>
  <c r="E20" i="1" s="1"/>
  <c r="D9" i="9"/>
  <c r="D10" i="9"/>
  <c r="G46" i="1" l="1"/>
  <c r="G52" i="1" s="1"/>
  <c r="D7" i="46"/>
  <c r="O76" i="1" l="1"/>
  <c r="G45" i="1" s="1"/>
  <c r="G49" i="1" l="1"/>
  <c r="R84" i="1"/>
  <c r="R83" i="1"/>
  <c r="R82" i="1"/>
  <c r="N49" i="1" l="1"/>
  <c r="F12" i="9" l="1" a="1"/>
  <c r="F12" i="9" s="1"/>
  <c r="N55" i="1"/>
  <c r="G55" i="1"/>
  <c r="G67" i="1" s="1"/>
  <c r="G79" i="1" s="1"/>
  <c r="G3" i="1" l="1"/>
  <c r="G70" i="1"/>
  <c r="M3" i="1"/>
  <c r="D3" i="1"/>
  <c r="C3" i="1"/>
  <c r="B3" i="1"/>
  <c r="N8" i="1" l="1"/>
  <c r="G58" i="1"/>
  <c r="T8" i="1"/>
  <c r="M15" i="1" l="1"/>
  <c r="M10" i="1"/>
  <c r="M12" i="1" s="1"/>
  <c r="S15" i="1"/>
  <c r="P15" i="1"/>
  <c r="P10" i="1"/>
  <c r="P12" i="1" s="1"/>
  <c r="D67" i="1"/>
  <c r="P17" i="1" l="1"/>
  <c r="M17" i="1"/>
  <c r="B3" i="9" l="1"/>
  <c r="C3" i="9"/>
  <c r="D3" i="9"/>
  <c r="E3" i="9"/>
  <c r="F3" i="9"/>
  <c r="K5" i="9" l="1"/>
  <c r="I15" i="9"/>
  <c r="G64" i="1"/>
  <c r="G76" i="1" s="1"/>
  <c r="N46" i="1"/>
  <c r="V9" i="51" l="1"/>
  <c r="I17" i="9"/>
  <c r="V11" i="51" s="1"/>
  <c r="I16" i="9"/>
  <c r="V10" i="51" s="1"/>
  <c r="K6" i="9"/>
  <c r="S10" i="1"/>
  <c r="S12" i="1" s="1"/>
  <c r="N44" i="1" s="1"/>
  <c r="S17" i="1" l="1"/>
  <c r="C15" i="46"/>
  <c r="D15" i="46" s="1"/>
  <c r="K7" i="9"/>
  <c r="N52" i="1" l="1"/>
  <c r="B15" i="46" l="1"/>
  <c r="O81" i="49" l="1"/>
  <c r="O83" i="49" l="1"/>
  <c r="F84" i="49"/>
  <c r="Q39" i="1"/>
  <c r="R41" i="1" s="1"/>
  <c r="F83" i="49"/>
  <c r="I14" i="9" l="1"/>
  <c r="M6" i="9" s="1"/>
  <c r="M5" i="9" l="1"/>
  <c r="M7" i="9" s="1"/>
  <c r="W10" i="51"/>
  <c r="X10" i="51" s="1"/>
  <c r="Y10" i="51" s="1"/>
  <c r="W9" i="51" l="1"/>
  <c r="X9" i="51" s="1"/>
  <c r="Y9" i="51" s="1"/>
  <c r="Z10" i="51"/>
  <c r="N6" i="9"/>
  <c r="I11" i="9" s="1"/>
  <c r="I12" i="9" s="1"/>
  <c r="W11" i="51"/>
  <c r="X11" i="51" s="1"/>
  <c r="Y11" i="51" s="1"/>
  <c r="H29" i="9" l="1"/>
  <c r="N7" i="9"/>
  <c r="Z11" i="51"/>
  <c r="N5" i="9"/>
  <c r="Z9" i="51"/>
  <c r="J11" i="9"/>
  <c r="I29" i="9" s="1"/>
  <c r="J12" i="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<sst xmlns="http://schemas.openxmlformats.org/spreadsheetml/2006/main" count="24241" uniqueCount="23427">
  <si>
    <t>From</t>
  </si>
  <si>
    <t>To</t>
  </si>
  <si>
    <t>Flight No.</t>
  </si>
  <si>
    <t>Registration</t>
  </si>
  <si>
    <t>Captain</t>
  </si>
  <si>
    <t>Crew</t>
  </si>
  <si>
    <t>Date</t>
  </si>
  <si>
    <t>E.I.C. (Equipment in Compartment)</t>
  </si>
  <si>
    <t>DRY OPERATING WEIGHT</t>
  </si>
  <si>
    <t>Take-off fuel</t>
  </si>
  <si>
    <t>OPERATING WEIGHT</t>
  </si>
  <si>
    <t>Total Traffic Load</t>
  </si>
  <si>
    <t>ZERO FUEL WEIGHT</t>
  </si>
  <si>
    <t>TAKE-OFF WEIGHT</t>
  </si>
  <si>
    <t>Trip fuel</t>
  </si>
  <si>
    <t>LANDING WEIGHT</t>
  </si>
  <si>
    <t>=</t>
  </si>
  <si>
    <t>The weight of all pallets, loadspreaders, nets and any other equipment carried on the aircraft but not included in the Dry Operating Weight and Index, must be included in the overall weight per compartment.</t>
  </si>
  <si>
    <t>LANDING</t>
  </si>
  <si>
    <t>TAKE-OFF</t>
  </si>
  <si>
    <t>ZERO FUEL</t>
  </si>
  <si>
    <t>+</t>
  </si>
  <si>
    <t>Maximum weights for:</t>
  </si>
  <si>
    <t>Allowed weight for take-off</t>
  </si>
  <si>
    <t>(lowest of a, b or c.)</t>
  </si>
  <si>
    <t>Operating Weight</t>
  </si>
  <si>
    <t>ALLOWED TRAFFIC LOAD</t>
  </si>
  <si>
    <t>UNDERLOAD BEFORE L.M.C.'s</t>
  </si>
  <si>
    <t>-</t>
  </si>
  <si>
    <t>a</t>
  </si>
  <si>
    <t>b</t>
  </si>
  <si>
    <t>c</t>
  </si>
  <si>
    <t>MAIN DECK</t>
  </si>
  <si>
    <t>MAX</t>
  </si>
  <si>
    <t>Weight</t>
  </si>
  <si>
    <t>Index</t>
  </si>
  <si>
    <t>Allowed Traffic Load</t>
  </si>
  <si>
    <t>Underload before L.M.C.'s</t>
  </si>
  <si>
    <t>LAST MINUTE CHANGES</t>
  </si>
  <si>
    <t>±</t>
  </si>
  <si>
    <t>Dest</t>
  </si>
  <si>
    <t>L.M.C. Total</t>
  </si>
  <si>
    <t>DANGEROUS GOODS?</t>
  </si>
  <si>
    <t>LIVE ANIMALS?</t>
  </si>
  <si>
    <t>FLAP</t>
  </si>
  <si>
    <t>%MAC</t>
  </si>
  <si>
    <t>STAB.</t>
  </si>
  <si>
    <t>INDEX</t>
  </si>
  <si>
    <t>AZFW</t>
  </si>
  <si>
    <t>TOW</t>
  </si>
  <si>
    <t>LW</t>
  </si>
  <si>
    <t>% MAC</t>
  </si>
  <si>
    <t>WEIGHT</t>
  </si>
  <si>
    <t>STAB TRIM SETTING FOR TAKEOFF</t>
  </si>
  <si>
    <t>TAKEOFF WEIGHT (1000 KG)</t>
  </si>
  <si>
    <t>LOWER DECK</t>
  </si>
  <si>
    <t>SNY</t>
  </si>
  <si>
    <t>CREW</t>
  </si>
  <si>
    <t>MLW</t>
  </si>
  <si>
    <t>Take off fuel</t>
  </si>
  <si>
    <t>AFT</t>
  </si>
  <si>
    <t xml:space="preserve">      =                     
LMC</t>
  </si>
  <si>
    <t>Specification</t>
  </si>
  <si>
    <t>SPECIAL LOAD?</t>
  </si>
  <si>
    <t xml:space="preserve">      =                    
 LMC</t>
  </si>
  <si>
    <t>Position</t>
  </si>
  <si>
    <t>Pallet Number</t>
  </si>
  <si>
    <t>Destination</t>
  </si>
  <si>
    <t>Special Load instructions</t>
  </si>
  <si>
    <t>Mass (KG)</t>
  </si>
  <si>
    <t>Max Mass (KG)</t>
  </si>
  <si>
    <t>HOLD</t>
  </si>
  <si>
    <t>DATE</t>
  </si>
  <si>
    <t>Origin</t>
  </si>
  <si>
    <t>Aircraft REG</t>
  </si>
  <si>
    <t>Flight Number</t>
  </si>
  <si>
    <t>NBO</t>
  </si>
  <si>
    <t>JNB</t>
  </si>
  <si>
    <t>CAPTAIN</t>
  </si>
  <si>
    <t>PAG</t>
  </si>
  <si>
    <t>ACT</t>
  </si>
  <si>
    <t>AOG</t>
  </si>
  <si>
    <t>AVI</t>
  </si>
  <si>
    <t>BIG</t>
  </si>
  <si>
    <t>BUP</t>
  </si>
  <si>
    <t>CAO</t>
  </si>
  <si>
    <t>CAT</t>
  </si>
  <si>
    <t>COL</t>
  </si>
  <si>
    <t>COM</t>
  </si>
  <si>
    <t>CRT</t>
  </si>
  <si>
    <t>DIP</t>
  </si>
  <si>
    <t>EAT</t>
  </si>
  <si>
    <t>ELM</t>
  </si>
  <si>
    <t>FIL</t>
  </si>
  <si>
    <t>FRI</t>
  </si>
  <si>
    <t>FRO</t>
  </si>
  <si>
    <t>GOG</t>
  </si>
  <si>
    <t>HEA</t>
  </si>
  <si>
    <t>HUM</t>
  </si>
  <si>
    <t>LIC</t>
  </si>
  <si>
    <t>MAG</t>
  </si>
  <si>
    <t>MAL</t>
  </si>
  <si>
    <t>MUW</t>
  </si>
  <si>
    <t>PAC</t>
  </si>
  <si>
    <t>PEA</t>
  </si>
  <si>
    <t>PEM</t>
  </si>
  <si>
    <t>PER</t>
  </si>
  <si>
    <t>PES</t>
  </si>
  <si>
    <t>PIL</t>
  </si>
  <si>
    <t>QRT</t>
  </si>
  <si>
    <t>RAC</t>
  </si>
  <si>
    <t>RCL</t>
  </si>
  <si>
    <t>RCM</t>
  </si>
  <si>
    <t>RCX</t>
  </si>
  <si>
    <t>RDS</t>
  </si>
  <si>
    <t>REQ</t>
  </si>
  <si>
    <t>REX</t>
  </si>
  <si>
    <t>RFG</t>
  </si>
  <si>
    <t>RFS</t>
  </si>
  <si>
    <t>RIS</t>
  </si>
  <si>
    <t>ROP</t>
  </si>
  <si>
    <t>ROX</t>
  </si>
  <si>
    <t>RPB</t>
  </si>
  <si>
    <t>RRE</t>
  </si>
  <si>
    <t>RSB</t>
  </si>
  <si>
    <t>RXE</t>
  </si>
  <si>
    <t>RXS</t>
  </si>
  <si>
    <t>SCO</t>
  </si>
  <si>
    <t>SCY</t>
  </si>
  <si>
    <t>SHL</t>
  </si>
  <si>
    <t>SHR</t>
  </si>
  <si>
    <t>SPF</t>
  </si>
  <si>
    <t>SUR</t>
  </si>
  <si>
    <t>SWP</t>
  </si>
  <si>
    <t>VAL</t>
  </si>
  <si>
    <t>VOL</t>
  </si>
  <si>
    <t>WET</t>
  </si>
  <si>
    <t>IATA</t>
  </si>
  <si>
    <t>ICAO</t>
  </si>
  <si>
    <t>NAME</t>
  </si>
  <si>
    <t>AAA</t>
  </si>
  <si>
    <t>NTGA</t>
  </si>
  <si>
    <t>Anaa Airport</t>
  </si>
  <si>
    <t>AAB</t>
  </si>
  <si>
    <t>YARY</t>
  </si>
  <si>
    <t>Arrabury Airport</t>
  </si>
  <si>
    <t>AAC</t>
  </si>
  <si>
    <t>HEAR</t>
  </si>
  <si>
    <t>El Arish International Airport</t>
  </si>
  <si>
    <t>AAE</t>
  </si>
  <si>
    <t>DABB</t>
  </si>
  <si>
    <t>Rabah Bitat Airport (Les Salines Airport)</t>
  </si>
  <si>
    <t>AAF</t>
  </si>
  <si>
    <t>KAAF</t>
  </si>
  <si>
    <t>Apalachicola Municipal Airport</t>
  </si>
  <si>
    <t>AAG</t>
  </si>
  <si>
    <t>SSYA</t>
  </si>
  <si>
    <t>Arapoti Airport</t>
  </si>
  <si>
    <t>AAH</t>
  </si>
  <si>
    <t>EDKA</t>
  </si>
  <si>
    <t>Aachen-Merzbrück Airport</t>
  </si>
  <si>
    <t>AAI</t>
  </si>
  <si>
    <t>SWRA</t>
  </si>
  <si>
    <t>Arraias Airport</t>
  </si>
  <si>
    <t>AAK</t>
  </si>
  <si>
    <t>NGUK</t>
  </si>
  <si>
    <t>Aranuka Airport</t>
  </si>
  <si>
    <t>AAL</t>
  </si>
  <si>
    <t>EKYT</t>
  </si>
  <si>
    <t>Aalborg Airport</t>
  </si>
  <si>
    <t>AAM</t>
  </si>
  <si>
    <t>FAMD</t>
  </si>
  <si>
    <t>Mala Mala Airport</t>
  </si>
  <si>
    <t>AAN</t>
  </si>
  <si>
    <t>OMAL</t>
  </si>
  <si>
    <t>Al Ain International Airport</t>
  </si>
  <si>
    <t>AAO</t>
  </si>
  <si>
    <t>SVAN</t>
  </si>
  <si>
    <t>Anaco Airport</t>
  </si>
  <si>
    <t>AAP</t>
  </si>
  <si>
    <t>KAAP</t>
  </si>
  <si>
    <t>Andrau Airpark</t>
  </si>
  <si>
    <t>AAQ</t>
  </si>
  <si>
    <t>URKA</t>
  </si>
  <si>
    <t>Vityazevo Airport</t>
  </si>
  <si>
    <t>AAR</t>
  </si>
  <si>
    <t>EKAH</t>
  </si>
  <si>
    <t>Aarhus Airport</t>
  </si>
  <si>
    <t>AAT</t>
  </si>
  <si>
    <t>ZWAT</t>
  </si>
  <si>
    <t>Altay Airport</t>
  </si>
  <si>
    <t>AAU</t>
  </si>
  <si>
    <t>NSAU</t>
  </si>
  <si>
    <t>Asau Airport</t>
  </si>
  <si>
    <t>AAV</t>
  </si>
  <si>
    <t>RPMA</t>
  </si>
  <si>
    <t>Allah Valley Airport</t>
  </si>
  <si>
    <t>AAW</t>
  </si>
  <si>
    <t>OPAB</t>
  </si>
  <si>
    <t>Abbottabad Airport</t>
  </si>
  <si>
    <t>AAX</t>
  </si>
  <si>
    <t>SBAX</t>
  </si>
  <si>
    <t>Araxa Airport (Aeroporto Araxá)</t>
  </si>
  <si>
    <t>AAY</t>
  </si>
  <si>
    <t>OYGD</t>
  </si>
  <si>
    <t>Al Ghaydah Airport</t>
  </si>
  <si>
    <t>AAZ</t>
  </si>
  <si>
    <t>MGQZ</t>
  </si>
  <si>
    <t>Quetzaltenango Airport</t>
  </si>
  <si>
    <t>ABA</t>
  </si>
  <si>
    <t>UNAA</t>
  </si>
  <si>
    <t>Abakan Airport</t>
  </si>
  <si>
    <t>ABB</t>
  </si>
  <si>
    <t>DNAS</t>
  </si>
  <si>
    <t>Asaba International Airport</t>
  </si>
  <si>
    <t>EGUD</t>
  </si>
  <si>
    <t>RAF Abingdon</t>
  </si>
  <si>
    <t>ABC</t>
  </si>
  <si>
    <t>LEAB</t>
  </si>
  <si>
    <t>Albacete-Los Llanos Airport</t>
  </si>
  <si>
    <t>ABD</t>
  </si>
  <si>
    <t>OIAA</t>
  </si>
  <si>
    <t>Abadan Airport</t>
  </si>
  <si>
    <t>ABE</t>
  </si>
  <si>
    <t>KABE</t>
  </si>
  <si>
    <t>Lehigh Valley International Airport</t>
  </si>
  <si>
    <t>ABF</t>
  </si>
  <si>
    <t>NGAB</t>
  </si>
  <si>
    <t>Abaiang Atoll Airport</t>
  </si>
  <si>
    <t>ABH</t>
  </si>
  <si>
    <t>YAPH</t>
  </si>
  <si>
    <t>Alpha Airport</t>
  </si>
  <si>
    <t>ABI</t>
  </si>
  <si>
    <t>KABI</t>
  </si>
  <si>
    <t>Abilene Regional Airport</t>
  </si>
  <si>
    <t>ABJ</t>
  </si>
  <si>
    <t>DIAP</t>
  </si>
  <si>
    <t>Félix-Houphouët-Boigny International Airport</t>
  </si>
  <si>
    <t>ABK</t>
  </si>
  <si>
    <t>HAKD</t>
  </si>
  <si>
    <t>Kabri Dar Airport</t>
  </si>
  <si>
    <t>ABL</t>
  </si>
  <si>
    <t>PAFM</t>
  </si>
  <si>
    <t>Ambler Airport</t>
  </si>
  <si>
    <t>ABM</t>
  </si>
  <si>
    <t>YBAM</t>
  </si>
  <si>
    <t>Bamaga Injinoo Airport</t>
  </si>
  <si>
    <t>ABN</t>
  </si>
  <si>
    <t>SMBN</t>
  </si>
  <si>
    <t>Albina Airport</t>
  </si>
  <si>
    <t>ABO</t>
  </si>
  <si>
    <t>DIAO</t>
  </si>
  <si>
    <t>Aboisso Airport</t>
  </si>
  <si>
    <t>ABQ</t>
  </si>
  <si>
    <t>KABQ</t>
  </si>
  <si>
    <t>Albuquerque International Sunport</t>
  </si>
  <si>
    <t>ABR</t>
  </si>
  <si>
    <t>KABR</t>
  </si>
  <si>
    <t>Aberdeen Regional Airport</t>
  </si>
  <si>
    <t>ABS</t>
  </si>
  <si>
    <t>HEBL</t>
  </si>
  <si>
    <t>Abu Simbel Airport</t>
  </si>
  <si>
    <t>ABT</t>
  </si>
  <si>
    <t>OEBA</t>
  </si>
  <si>
    <t>Al-Baha Domestic Airport</t>
  </si>
  <si>
    <t>ABU</t>
  </si>
  <si>
    <t>WRKA</t>
  </si>
  <si>
    <t>Haliwen Airport</t>
  </si>
  <si>
    <t>ABV</t>
  </si>
  <si>
    <t>DNAA</t>
  </si>
  <si>
    <t>Nnamdi Azikiwe International Airport</t>
  </si>
  <si>
    <t>ABX</t>
  </si>
  <si>
    <t>YMAY</t>
  </si>
  <si>
    <t>Albury Airport</t>
  </si>
  <si>
    <t>ABY</t>
  </si>
  <si>
    <t>KABY</t>
  </si>
  <si>
    <t>Southwest Georgia Regional Airport</t>
  </si>
  <si>
    <t>ABZ</t>
  </si>
  <si>
    <t>EGPD</t>
  </si>
  <si>
    <t>Aberdeen Airport</t>
  </si>
  <si>
    <t>ACA</t>
  </si>
  <si>
    <t>MMAA</t>
  </si>
  <si>
    <t>General Juan N. Álvarez International Airport</t>
  </si>
  <si>
    <t>ACB</t>
  </si>
  <si>
    <t>KACB</t>
  </si>
  <si>
    <t>Antrim County Airport</t>
  </si>
  <si>
    <t>ACC</t>
  </si>
  <si>
    <t>DGAA</t>
  </si>
  <si>
    <t>Kotoka International Airport</t>
  </si>
  <si>
    <t>ACD</t>
  </si>
  <si>
    <t>SKAD</t>
  </si>
  <si>
    <t>Alcides Fernández Airport</t>
  </si>
  <si>
    <t>ACE</t>
  </si>
  <si>
    <t>GCRR</t>
  </si>
  <si>
    <t>Lanzarote Airport</t>
  </si>
  <si>
    <t>ACF</t>
  </si>
  <si>
    <t>YBAF</t>
  </si>
  <si>
    <t>Brisbane Archerfield Airport</t>
  </si>
  <si>
    <t>ACH</t>
  </si>
  <si>
    <t>LSZR</t>
  </si>
  <si>
    <t>St. Gallen Altenrhein Airport</t>
  </si>
  <si>
    <t>ACI</t>
  </si>
  <si>
    <t>EGJA</t>
  </si>
  <si>
    <t>Alderney Airport</t>
  </si>
  <si>
    <t>ACK</t>
  </si>
  <si>
    <t>KACK</t>
  </si>
  <si>
    <t>Nantucket Memorial Airport</t>
  </si>
  <si>
    <t>ACL</t>
  </si>
  <si>
    <t>SKAG</t>
  </si>
  <si>
    <t>Cesar Airport</t>
  </si>
  <si>
    <t>ACN</t>
  </si>
  <si>
    <t>MMCC</t>
  </si>
  <si>
    <t>Ciudad Acuna International Airport</t>
  </si>
  <si>
    <t>ACO</t>
  </si>
  <si>
    <t>LSZD</t>
  </si>
  <si>
    <t>Ascona Airport</t>
  </si>
  <si>
    <t>ACP</t>
  </si>
  <si>
    <t>OITM</t>
  </si>
  <si>
    <t>Sahand Airport</t>
  </si>
  <si>
    <t>ACR</t>
  </si>
  <si>
    <t>SKAC</t>
  </si>
  <si>
    <t>Araracuara Airport</t>
  </si>
  <si>
    <t>ACS</t>
  </si>
  <si>
    <t>UNKS</t>
  </si>
  <si>
    <t>Achinsk Airport</t>
  </si>
  <si>
    <t>KACT</t>
  </si>
  <si>
    <t>Waco Regional Airport</t>
  </si>
  <si>
    <t>ACV</t>
  </si>
  <si>
    <t>KACV</t>
  </si>
  <si>
    <t>Arcata-Eureka Airport</t>
  </si>
  <si>
    <t>ACY</t>
  </si>
  <si>
    <t>KACY</t>
  </si>
  <si>
    <t>Atlantic City International Airport</t>
  </si>
  <si>
    <t>ACZ</t>
  </si>
  <si>
    <t>OIZB</t>
  </si>
  <si>
    <t>Zabol Airport</t>
  </si>
  <si>
    <t>ADA</t>
  </si>
  <si>
    <t>LTAF</t>
  </si>
  <si>
    <t>Adana Şakirpaşa Airport</t>
  </si>
  <si>
    <t>ADB</t>
  </si>
  <si>
    <t>LTBJ</t>
  </si>
  <si>
    <t>Adnan Menderes Airport</t>
  </si>
  <si>
    <t>ADD</t>
  </si>
  <si>
    <t>HAAB</t>
  </si>
  <si>
    <t>Bole International Airport</t>
  </si>
  <si>
    <t>ADE</t>
  </si>
  <si>
    <t>OYAA</t>
  </si>
  <si>
    <t>Aden International Airport</t>
  </si>
  <si>
    <t>ADF</t>
  </si>
  <si>
    <t>LTCP</t>
  </si>
  <si>
    <t>Adıyaman Airport</t>
  </si>
  <si>
    <t>ADG</t>
  </si>
  <si>
    <t>KADG</t>
  </si>
  <si>
    <t>Lenawee County Airport</t>
  </si>
  <si>
    <t>ADH</t>
  </si>
  <si>
    <t>UEAA</t>
  </si>
  <si>
    <t>Aldan Airport</t>
  </si>
  <si>
    <t>UEEA</t>
  </si>
  <si>
    <t>ADI</t>
  </si>
  <si>
    <t>FYAR</t>
  </si>
  <si>
    <t>Arandis Airport</t>
  </si>
  <si>
    <t>ADJ</t>
  </si>
  <si>
    <t>OJAM</t>
  </si>
  <si>
    <t>Marka International Airport</t>
  </si>
  <si>
    <t>ADK</t>
  </si>
  <si>
    <t>PADK</t>
  </si>
  <si>
    <t>Adak Island Airport</t>
  </si>
  <si>
    <t>ADL</t>
  </si>
  <si>
    <t>YPAD</t>
  </si>
  <si>
    <t>Adelaide International Airport</t>
  </si>
  <si>
    <t>ADM</t>
  </si>
  <si>
    <t>KADM</t>
  </si>
  <si>
    <t>Ardmore Municipal Airport</t>
  </si>
  <si>
    <t>ADN</t>
  </si>
  <si>
    <t>SKAN</t>
  </si>
  <si>
    <t>Andes Airport</t>
  </si>
  <si>
    <t>ADO</t>
  </si>
  <si>
    <t>YAMK</t>
  </si>
  <si>
    <t>Andamooka Airport</t>
  </si>
  <si>
    <t>ADP</t>
  </si>
  <si>
    <t>VCCA</t>
  </si>
  <si>
    <t>Anuradhapura Airport</t>
  </si>
  <si>
    <t>ADQ</t>
  </si>
  <si>
    <t>PADQ</t>
  </si>
  <si>
    <t>Kodiak Airport</t>
  </si>
  <si>
    <t>ADR</t>
  </si>
  <si>
    <t>KPHH</t>
  </si>
  <si>
    <t>Robert F. Swinnie Airport</t>
  </si>
  <si>
    <t>ADS</t>
  </si>
  <si>
    <t>KADS</t>
  </si>
  <si>
    <t>Addison Airport</t>
  </si>
  <si>
    <t>ADT</t>
  </si>
  <si>
    <t>KADH</t>
  </si>
  <si>
    <t>Ada Municipal Airport</t>
  </si>
  <si>
    <t>ADU</t>
  </si>
  <si>
    <t>OITL</t>
  </si>
  <si>
    <t>Ardabil Airport</t>
  </si>
  <si>
    <t>ADV</t>
  </si>
  <si>
    <t>EGWA</t>
  </si>
  <si>
    <t>Andover Airport</t>
  </si>
  <si>
    <t>ADW</t>
  </si>
  <si>
    <t>KADW</t>
  </si>
  <si>
    <t>Andrews Air Force Base</t>
  </si>
  <si>
    <t>ADX</t>
  </si>
  <si>
    <t>EGQL</t>
  </si>
  <si>
    <t>RAF Leuchars</t>
  </si>
  <si>
    <t>ADY</t>
  </si>
  <si>
    <t>FAAL</t>
  </si>
  <si>
    <t>Alldays Airport</t>
  </si>
  <si>
    <t>ADZ</t>
  </si>
  <si>
    <t>SKSP</t>
  </si>
  <si>
    <t>Gustavo Rojas Pinilla International Airport</t>
  </si>
  <si>
    <t>AEA</t>
  </si>
  <si>
    <t>NGTB</t>
  </si>
  <si>
    <t>Abemama Atoll Airport</t>
  </si>
  <si>
    <t>AEB</t>
  </si>
  <si>
    <t>ZBGS</t>
  </si>
  <si>
    <t>Tian Yang Air Base</t>
  </si>
  <si>
    <t>AED</t>
  </si>
  <si>
    <t>PARD</t>
  </si>
  <si>
    <t>Red Dog Airport</t>
  </si>
  <si>
    <t>AEG</t>
  </si>
  <si>
    <t>WIME</t>
  </si>
  <si>
    <t>Aek Godang Airport</t>
  </si>
  <si>
    <t>AEH</t>
  </si>
  <si>
    <t>FTTC</t>
  </si>
  <si>
    <t>Abéché Airport</t>
  </si>
  <si>
    <t>AEL</t>
  </si>
  <si>
    <t>KAEL</t>
  </si>
  <si>
    <t>Albert Lea Municipal Airport</t>
  </si>
  <si>
    <t>AEO</t>
  </si>
  <si>
    <t>GQNA</t>
  </si>
  <si>
    <t>Aioun El Atrouss Airport</t>
  </si>
  <si>
    <t>AEP</t>
  </si>
  <si>
    <t>SABE</t>
  </si>
  <si>
    <t>Jorge Newbery Airpark</t>
  </si>
  <si>
    <t>AER</t>
  </si>
  <si>
    <t>URSS</t>
  </si>
  <si>
    <t>Sochi International Airport</t>
  </si>
  <si>
    <t>AES</t>
  </si>
  <si>
    <t>ENAL</t>
  </si>
  <si>
    <t>Ålesund Airport, Vigra</t>
  </si>
  <si>
    <t>AET</t>
  </si>
  <si>
    <t>PFAL</t>
  </si>
  <si>
    <t>Allakaket Airport</t>
  </si>
  <si>
    <t>AEU</t>
  </si>
  <si>
    <t>OIBA</t>
  </si>
  <si>
    <t>Abumusa Island Airport</t>
  </si>
  <si>
    <t>AEX</t>
  </si>
  <si>
    <t>KAEX</t>
  </si>
  <si>
    <t>Alexandria International Airport</t>
  </si>
  <si>
    <t>AEY</t>
  </si>
  <si>
    <t>BIAR</t>
  </si>
  <si>
    <t>Akureyri Airport</t>
  </si>
  <si>
    <t>AFA</t>
  </si>
  <si>
    <t>SAMR</t>
  </si>
  <si>
    <t>San Rafael Airport</t>
  </si>
  <si>
    <t>AFB</t>
  </si>
  <si>
    <t>FAWK</t>
  </si>
  <si>
    <t>Waterkloof Air Force Base Airport</t>
  </si>
  <si>
    <t>AFD</t>
  </si>
  <si>
    <t>FAPA</t>
  </si>
  <si>
    <t>Port Alfred Airport</t>
  </si>
  <si>
    <t>AFE</t>
  </si>
  <si>
    <t>PAFE</t>
  </si>
  <si>
    <t>Kake Airport</t>
  </si>
  <si>
    <t>AFF</t>
  </si>
  <si>
    <t>KAFF</t>
  </si>
  <si>
    <t>United States Air Force Academy Airfield</t>
  </si>
  <si>
    <t>AFI</t>
  </si>
  <si>
    <t>SKAM</t>
  </si>
  <si>
    <t>Amalfi Airport</t>
  </si>
  <si>
    <t>AFL</t>
  </si>
  <si>
    <t>SBAT</t>
  </si>
  <si>
    <t>Alta Floresta Airport</t>
  </si>
  <si>
    <t>AFN</t>
  </si>
  <si>
    <t>KAFN</t>
  </si>
  <si>
    <t>Jaffrey Airport - Silver Ranch Airport</t>
  </si>
  <si>
    <t>AFO</t>
  </si>
  <si>
    <t>KAFO</t>
  </si>
  <si>
    <t>Afton Municipal Airport</t>
  </si>
  <si>
    <t>AFS</t>
  </si>
  <si>
    <t>UTSN</t>
  </si>
  <si>
    <t>Sugraly Airport</t>
  </si>
  <si>
    <t>AGAF</t>
  </si>
  <si>
    <t>Afutara Airport</t>
  </si>
  <si>
    <t>AFW</t>
  </si>
  <si>
    <t>KAFW</t>
  </si>
  <si>
    <t>Fort Worth Alliance Airport</t>
  </si>
  <si>
    <t>AFY</t>
  </si>
  <si>
    <t>LTAH</t>
  </si>
  <si>
    <t>Afyon Airport</t>
  </si>
  <si>
    <t>AFZ</t>
  </si>
  <si>
    <t>OIMS</t>
  </si>
  <si>
    <t>Sabzevar National Airport</t>
  </si>
  <si>
    <t>AGA</t>
  </si>
  <si>
    <t>GMAD</t>
  </si>
  <si>
    <t>Al Massira Airport</t>
  </si>
  <si>
    <t>AGB</t>
  </si>
  <si>
    <t>EDMA</t>
  </si>
  <si>
    <t>Augsburg Airport</t>
  </si>
  <si>
    <t>AGC</t>
  </si>
  <si>
    <t>KAGC</t>
  </si>
  <si>
    <t>Allegheny County Airport</t>
  </si>
  <si>
    <t>AGE</t>
  </si>
  <si>
    <t>EDWG</t>
  </si>
  <si>
    <t>Wangerooge Airport</t>
  </si>
  <si>
    <t>AGF</t>
  </si>
  <si>
    <t>LFBA</t>
  </si>
  <si>
    <t>Agen - La Garenne Aerodrome</t>
  </si>
  <si>
    <t>AGH</t>
  </si>
  <si>
    <t>ESTA</t>
  </si>
  <si>
    <t>Ängelholm-Helsingborg Airport (former ICAO code: ESDB)</t>
  </si>
  <si>
    <t>AGI</t>
  </si>
  <si>
    <t>SMWA</t>
  </si>
  <si>
    <t>Wageningen Airport</t>
  </si>
  <si>
    <t>AGJ</t>
  </si>
  <si>
    <t>RORA</t>
  </si>
  <si>
    <t>Aguni Airport</t>
  </si>
  <si>
    <t>AGM</t>
  </si>
  <si>
    <t>BGAM</t>
  </si>
  <si>
    <t>Ammassalik Heliport</t>
  </si>
  <si>
    <t>AGN</t>
  </si>
  <si>
    <t>PAGN</t>
  </si>
  <si>
    <t>Angoon Seaplane Base</t>
  </si>
  <si>
    <t>AGO</t>
  </si>
  <si>
    <t>KAGO</t>
  </si>
  <si>
    <t>Magnolia Municipal Airport</t>
  </si>
  <si>
    <t>AGP</t>
  </si>
  <si>
    <t>LEMG</t>
  </si>
  <si>
    <t>Pablo Ruiz Picasso Airport</t>
  </si>
  <si>
    <t>AGQ</t>
  </si>
  <si>
    <t>LGAG</t>
  </si>
  <si>
    <t>Agrinion Airport</t>
  </si>
  <si>
    <t>AGR</t>
  </si>
  <si>
    <t>VIAG</t>
  </si>
  <si>
    <t>Kheria Airport</t>
  </si>
  <si>
    <t>AGS</t>
  </si>
  <si>
    <t>KAGS</t>
  </si>
  <si>
    <t>Augusta Regional Airport</t>
  </si>
  <si>
    <t>AGT</t>
  </si>
  <si>
    <t>SGES</t>
  </si>
  <si>
    <t>Guarani International Airport (Alejo Garcia Airport)</t>
  </si>
  <si>
    <t>AGU</t>
  </si>
  <si>
    <t>MMAS</t>
  </si>
  <si>
    <t>Lic. Jesús Terán Peredo International Airport</t>
  </si>
  <si>
    <t>AGV</t>
  </si>
  <si>
    <t>SVAC</t>
  </si>
  <si>
    <t>Oswaldo Guevara Mujica Airport</t>
  </si>
  <si>
    <t>AGX</t>
  </si>
  <si>
    <t>VOAT</t>
  </si>
  <si>
    <t>Agatti Island Airport</t>
  </si>
  <si>
    <t>AGZ</t>
  </si>
  <si>
    <t>FAAG</t>
  </si>
  <si>
    <t>Aggeneys Airport</t>
  </si>
  <si>
    <t>AHB</t>
  </si>
  <si>
    <t>OEAB</t>
  </si>
  <si>
    <t>Abha Regional Airport</t>
  </si>
  <si>
    <t>AHC</t>
  </si>
  <si>
    <t>KAHC</t>
  </si>
  <si>
    <t>Amedee Army Airfield</t>
  </si>
  <si>
    <t>AHE</t>
  </si>
  <si>
    <t>NTHE</t>
  </si>
  <si>
    <t>Ahe Airport</t>
  </si>
  <si>
    <t>AHH</t>
  </si>
  <si>
    <t>KAHH</t>
  </si>
  <si>
    <t>Amery Municipal Airport</t>
  </si>
  <si>
    <t>AHI</t>
  </si>
  <si>
    <t>WAPA</t>
  </si>
  <si>
    <t>Amahai Airport</t>
  </si>
  <si>
    <t>AHL</t>
  </si>
  <si>
    <t>SYAH</t>
  </si>
  <si>
    <t>Aishalton Airport</t>
  </si>
  <si>
    <t>AHM</t>
  </si>
  <si>
    <t>KS03</t>
  </si>
  <si>
    <t>Ashland Municipal Sumner Parker Field</t>
  </si>
  <si>
    <t>AHN</t>
  </si>
  <si>
    <t>KAHN</t>
  </si>
  <si>
    <t>Athens-Ben Epps Airport</t>
  </si>
  <si>
    <t>AHO</t>
  </si>
  <si>
    <t>LIEA</t>
  </si>
  <si>
    <t>Fertilia Airport (Alghero Airport)</t>
  </si>
  <si>
    <t>AHS</t>
  </si>
  <si>
    <t>MHAH</t>
  </si>
  <si>
    <t>Ahuas Airport</t>
  </si>
  <si>
    <t>AHU</t>
  </si>
  <si>
    <t>GMTA</t>
  </si>
  <si>
    <t>Charif Al ldrissi Airport</t>
  </si>
  <si>
    <t>AHZ</t>
  </si>
  <si>
    <t>LFHU</t>
  </si>
  <si>
    <t>Alpe d'Huez Airport</t>
  </si>
  <si>
    <t>AIA</t>
  </si>
  <si>
    <t>KAIA</t>
  </si>
  <si>
    <t>Alliance Municipal Airport</t>
  </si>
  <si>
    <t>AID</t>
  </si>
  <si>
    <t>KAID</t>
  </si>
  <si>
    <t>Anderson Municipal Airport (Darlington Field)</t>
  </si>
  <si>
    <t>AIF</t>
  </si>
  <si>
    <t>SBAS</t>
  </si>
  <si>
    <t>Assis Airport</t>
  </si>
  <si>
    <t>AIG</t>
  </si>
  <si>
    <t>FEFY</t>
  </si>
  <si>
    <t>Yalinga Airport</t>
  </si>
  <si>
    <t>AII</t>
  </si>
  <si>
    <t>HDAS</t>
  </si>
  <si>
    <t>Ali-Sabieh Airport</t>
  </si>
  <si>
    <t>AIK</t>
  </si>
  <si>
    <t>KAIK</t>
  </si>
  <si>
    <t>Aiken Municipal Airport</t>
  </si>
  <si>
    <t>AIN</t>
  </si>
  <si>
    <t>PAWI</t>
  </si>
  <si>
    <t>Wainwright Airport</t>
  </si>
  <si>
    <t>PAWT</t>
  </si>
  <si>
    <t>AIO</t>
  </si>
  <si>
    <t>KAIO</t>
  </si>
  <si>
    <t>Atlantic Municipal Airport</t>
  </si>
  <si>
    <t>AIR</t>
  </si>
  <si>
    <t>SWRP</t>
  </si>
  <si>
    <t>Aripuanã Airport</t>
  </si>
  <si>
    <t>AIS</t>
  </si>
  <si>
    <t>NGTR</t>
  </si>
  <si>
    <t>Arorae Island Airport</t>
  </si>
  <si>
    <t>AIT</t>
  </si>
  <si>
    <t>NCAI</t>
  </si>
  <si>
    <t>Aitutaki Island Airport</t>
  </si>
  <si>
    <t>AIU</t>
  </si>
  <si>
    <t>NCAT</t>
  </si>
  <si>
    <t>Atiu Island Airport</t>
  </si>
  <si>
    <t>AIV</t>
  </si>
  <si>
    <t>KAIV</t>
  </si>
  <si>
    <t>George Downer Airport</t>
  </si>
  <si>
    <t>AIY</t>
  </si>
  <si>
    <t>KAIY</t>
  </si>
  <si>
    <t>Atlantic City Municipal Airport (Bader Field)</t>
  </si>
  <si>
    <t>AIZ</t>
  </si>
  <si>
    <t>KAIZ</t>
  </si>
  <si>
    <t>Lee C. Fine Memorial Airport</t>
  </si>
  <si>
    <t>AJA</t>
  </si>
  <si>
    <t>LFKJ</t>
  </si>
  <si>
    <t>Ajaccio Napoleon Bonaparte Airport</t>
  </si>
  <si>
    <t>AJF</t>
  </si>
  <si>
    <t>OESK</t>
  </si>
  <si>
    <t>Al-Jawf Domestic Airport</t>
  </si>
  <si>
    <t>AJI</t>
  </si>
  <si>
    <t>LTCO</t>
  </si>
  <si>
    <t>Agri Airport</t>
  </si>
  <si>
    <t>AJJ</t>
  </si>
  <si>
    <t>GQNJ</t>
  </si>
  <si>
    <t>Akjoujt Airport</t>
  </si>
  <si>
    <t>AJK</t>
  </si>
  <si>
    <t>OIHR</t>
  </si>
  <si>
    <t>Arak Airport</t>
  </si>
  <si>
    <t>AJL</t>
  </si>
  <si>
    <t>VEAZ</t>
  </si>
  <si>
    <t>Aizawl Airport</t>
  </si>
  <si>
    <t>VELP</t>
  </si>
  <si>
    <t>Lengpui Airport</t>
  </si>
  <si>
    <t>AJN</t>
  </si>
  <si>
    <t>FMCV</t>
  </si>
  <si>
    <t>Ouani Airport</t>
  </si>
  <si>
    <t>AJR</t>
  </si>
  <si>
    <t>ESNX</t>
  </si>
  <si>
    <t>Arvidsjaur Airport</t>
  </si>
  <si>
    <t>AJU</t>
  </si>
  <si>
    <t>SBAR</t>
  </si>
  <si>
    <t>Santa Maria Airport</t>
  </si>
  <si>
    <t>AJY</t>
  </si>
  <si>
    <t>DRZA</t>
  </si>
  <si>
    <t>Mano Dayak International Airport</t>
  </si>
  <si>
    <t>AKA</t>
  </si>
  <si>
    <t>ZLAK</t>
  </si>
  <si>
    <t>Ankang Airport</t>
  </si>
  <si>
    <t>AKB</t>
  </si>
  <si>
    <t>PAAK</t>
  </si>
  <si>
    <t>Atka Airport</t>
  </si>
  <si>
    <t>AKC</t>
  </si>
  <si>
    <t>KAKR</t>
  </si>
  <si>
    <t>Akron Fulton International Airport</t>
  </si>
  <si>
    <t>AKD</t>
  </si>
  <si>
    <t>VAAK</t>
  </si>
  <si>
    <t>Akola Airport</t>
  </si>
  <si>
    <t>AKE</t>
  </si>
  <si>
    <t>FOGA</t>
  </si>
  <si>
    <t>Akieni Airport</t>
  </si>
  <si>
    <t>AKF</t>
  </si>
  <si>
    <t>HLKF</t>
  </si>
  <si>
    <t>Kufra Airport</t>
  </si>
  <si>
    <t>AKH</t>
  </si>
  <si>
    <t>OEPS</t>
  </si>
  <si>
    <t>Prince Sultan Air Base</t>
  </si>
  <si>
    <t>AKI</t>
  </si>
  <si>
    <t>PFAK</t>
  </si>
  <si>
    <t>Akiak Airport</t>
  </si>
  <si>
    <t>AKJ</t>
  </si>
  <si>
    <t>RJEC</t>
  </si>
  <si>
    <t>Asahikawa Airport</t>
  </si>
  <si>
    <t>AKK</t>
  </si>
  <si>
    <t>PAKH</t>
  </si>
  <si>
    <t>Akhiok Airport</t>
  </si>
  <si>
    <t>AKL</t>
  </si>
  <si>
    <t>NZAA</t>
  </si>
  <si>
    <t>Auckland Airport</t>
  </si>
  <si>
    <t>AKN</t>
  </si>
  <si>
    <t>PAKN</t>
  </si>
  <si>
    <t>King Salmon Airport</t>
  </si>
  <si>
    <t>AKO</t>
  </si>
  <si>
    <t>KAKO</t>
  </si>
  <si>
    <t>Colorado Plains Regional Airport</t>
  </si>
  <si>
    <t>AKP</t>
  </si>
  <si>
    <t>PAKP</t>
  </si>
  <si>
    <t>Anaktuvuk Pass Airport</t>
  </si>
  <si>
    <t>AKQ</t>
  </si>
  <si>
    <t>WIAG</t>
  </si>
  <si>
    <t>Gunung Batin Airport</t>
  </si>
  <si>
    <t>AKR</t>
  </si>
  <si>
    <t>DNAK</t>
  </si>
  <si>
    <t>Akure Airport</t>
  </si>
  <si>
    <t>AKS</t>
  </si>
  <si>
    <t>AGGA</t>
  </si>
  <si>
    <t>Gwaunaru'u Airport</t>
  </si>
  <si>
    <t>AKT</t>
  </si>
  <si>
    <t>LCRA</t>
  </si>
  <si>
    <t>RAF Akrotiri</t>
  </si>
  <si>
    <t>AKU</t>
  </si>
  <si>
    <t>ZWAK</t>
  </si>
  <si>
    <t>Aksu Airport</t>
  </si>
  <si>
    <t>AKV</t>
  </si>
  <si>
    <t>CYKO</t>
  </si>
  <si>
    <t>Akulivik Airport</t>
  </si>
  <si>
    <t>AKW</t>
  </si>
  <si>
    <t>PAKW</t>
  </si>
  <si>
    <t>Klawock Airport</t>
  </si>
  <si>
    <t>AKX</t>
  </si>
  <si>
    <t>UATT</t>
  </si>
  <si>
    <t>Aqtobe Airport</t>
  </si>
  <si>
    <t>AKY</t>
  </si>
  <si>
    <t>VYSW</t>
  </si>
  <si>
    <t>Sittwe Airport</t>
  </si>
  <si>
    <t>ALA</t>
  </si>
  <si>
    <t>UAAA</t>
  </si>
  <si>
    <t>Almaty International Airport</t>
  </si>
  <si>
    <t>ALB</t>
  </si>
  <si>
    <t>KALB</t>
  </si>
  <si>
    <t>Albany International Airport</t>
  </si>
  <si>
    <t>ALC</t>
  </si>
  <si>
    <t>LEAL</t>
  </si>
  <si>
    <t>El Altet Airport</t>
  </si>
  <si>
    <t>ALD</t>
  </si>
  <si>
    <t>SPAR</t>
  </si>
  <si>
    <t>Alerta Airport</t>
  </si>
  <si>
    <t>ALE</t>
  </si>
  <si>
    <t>KE38</t>
  </si>
  <si>
    <t>Alpine Casparis Municipal Airport</t>
  </si>
  <si>
    <t>ALF</t>
  </si>
  <si>
    <t>ENAT</t>
  </si>
  <si>
    <t>Alta Airport</t>
  </si>
  <si>
    <t>ALG</t>
  </si>
  <si>
    <t>DAAG</t>
  </si>
  <si>
    <t>Houari Boumedienne Airport</t>
  </si>
  <si>
    <t>ALH</t>
  </si>
  <si>
    <t>YABA</t>
  </si>
  <si>
    <t>Albany Airport</t>
  </si>
  <si>
    <t>ALI</t>
  </si>
  <si>
    <t>KALI</t>
  </si>
  <si>
    <t>Alice International Airport</t>
  </si>
  <si>
    <t>ALJ</t>
  </si>
  <si>
    <t>FAAB</t>
  </si>
  <si>
    <t>Kortdoorn Airport</t>
  </si>
  <si>
    <t>ALL</t>
  </si>
  <si>
    <t>LIMG</t>
  </si>
  <si>
    <t>Albenga Airport</t>
  </si>
  <si>
    <t>ALM</t>
  </si>
  <si>
    <t>KALM</t>
  </si>
  <si>
    <t>Alamogordo-White Sands Regional Airport</t>
  </si>
  <si>
    <t>ALN</t>
  </si>
  <si>
    <t>KALN</t>
  </si>
  <si>
    <t>St. Louis Regional Airport</t>
  </si>
  <si>
    <t>ALO</t>
  </si>
  <si>
    <t>KALO</t>
  </si>
  <si>
    <t>Waterloo Regional Airport</t>
  </si>
  <si>
    <t>ALP</t>
  </si>
  <si>
    <t>OSAP</t>
  </si>
  <si>
    <t>Aleppo International Airport (Nejrab Airport)</t>
  </si>
  <si>
    <t>ALQ</t>
  </si>
  <si>
    <t>SSLT</t>
  </si>
  <si>
    <t>Alegrete Federal Airport</t>
  </si>
  <si>
    <t>ALR</t>
  </si>
  <si>
    <t>NZLX</t>
  </si>
  <si>
    <t>Alexandra Airport</t>
  </si>
  <si>
    <t>ALS</t>
  </si>
  <si>
    <t>KALS</t>
  </si>
  <si>
    <t>San Luis Valley Regional Airport</t>
  </si>
  <si>
    <t>ALU</t>
  </si>
  <si>
    <t>HCMA</t>
  </si>
  <si>
    <t>Alula Airport</t>
  </si>
  <si>
    <t>ALW</t>
  </si>
  <si>
    <t>KALW</t>
  </si>
  <si>
    <t>Walla Walla Regional Airport</t>
  </si>
  <si>
    <t>ALX</t>
  </si>
  <si>
    <t>ADDE</t>
  </si>
  <si>
    <t>Thomas C Russell Field</t>
  </si>
  <si>
    <t>KALX</t>
  </si>
  <si>
    <t>Thomas C. Russell Field</t>
  </si>
  <si>
    <t>ALY</t>
  </si>
  <si>
    <t>HEAX</t>
  </si>
  <si>
    <t>El Nouzha Airport (Alexandria International Airport)</t>
  </si>
  <si>
    <t>AMA</t>
  </si>
  <si>
    <t>KAMA</t>
  </si>
  <si>
    <t>Rick Husband Amarillo International Airport</t>
  </si>
  <si>
    <t>AMB</t>
  </si>
  <si>
    <t>FMNE</t>
  </si>
  <si>
    <t>Ambilobe Airport</t>
  </si>
  <si>
    <t>AMC</t>
  </si>
  <si>
    <t>FTTN</t>
  </si>
  <si>
    <t>Am Timan Airport</t>
  </si>
  <si>
    <t>AMD</t>
  </si>
  <si>
    <t>VAAH</t>
  </si>
  <si>
    <t>Sardar Vallabhbhai Patel International Airport</t>
  </si>
  <si>
    <t>AMH</t>
  </si>
  <si>
    <t>HAAM</t>
  </si>
  <si>
    <t>Arba Minch Airport</t>
  </si>
  <si>
    <t>AMI</t>
  </si>
  <si>
    <t>WADA</t>
  </si>
  <si>
    <t>Selaparang Airport</t>
  </si>
  <si>
    <t>AMJ</t>
  </si>
  <si>
    <t>SNAR</t>
  </si>
  <si>
    <t>Almenara Airport</t>
  </si>
  <si>
    <t>AMK</t>
  </si>
  <si>
    <t>K00C</t>
  </si>
  <si>
    <t>Animas Air Park</t>
  </si>
  <si>
    <t>AMM</t>
  </si>
  <si>
    <t>OJAI</t>
  </si>
  <si>
    <t>Queen Alia International Airport</t>
  </si>
  <si>
    <t>AMN</t>
  </si>
  <si>
    <t>KAMN</t>
  </si>
  <si>
    <t>Gratiot Community Airport</t>
  </si>
  <si>
    <t>AMO</t>
  </si>
  <si>
    <t>FTTU</t>
  </si>
  <si>
    <t>Mao Airport</t>
  </si>
  <si>
    <t>AMP</t>
  </si>
  <si>
    <t>FMSY</t>
  </si>
  <si>
    <t>Ampanihy Airport</t>
  </si>
  <si>
    <t>AMQ</t>
  </si>
  <si>
    <t>WAPP</t>
  </si>
  <si>
    <t>Pattimura Airport</t>
  </si>
  <si>
    <t>AMS</t>
  </si>
  <si>
    <t>EHAM</t>
  </si>
  <si>
    <t>Amsterdam Airport Schiphol</t>
  </si>
  <si>
    <t>AMT</t>
  </si>
  <si>
    <t>YAMT</t>
  </si>
  <si>
    <t>Amata Airport</t>
  </si>
  <si>
    <t>AMV</t>
  </si>
  <si>
    <t>ULDD</t>
  </si>
  <si>
    <t>Amderma Airport</t>
  </si>
  <si>
    <t>AMW</t>
  </si>
  <si>
    <t>KAMW</t>
  </si>
  <si>
    <t>Ames Municipal Airport</t>
  </si>
  <si>
    <t>AMX</t>
  </si>
  <si>
    <t>YAMM</t>
  </si>
  <si>
    <t>Ammaroo Airport</t>
  </si>
  <si>
    <t>AMZ</t>
  </si>
  <si>
    <t>NZAR</t>
  </si>
  <si>
    <t>Ardmore Airport</t>
  </si>
  <si>
    <t>ANB</t>
  </si>
  <si>
    <t>KANB</t>
  </si>
  <si>
    <t>Anniston Metropolitan Airport</t>
  </si>
  <si>
    <t>ANC</t>
  </si>
  <si>
    <t>PANC</t>
  </si>
  <si>
    <t>Ted Stevens Anchorage International Airport</t>
  </si>
  <si>
    <t>AND</t>
  </si>
  <si>
    <t>KAND</t>
  </si>
  <si>
    <t>Anderson Regional Airport</t>
  </si>
  <si>
    <t>ANE</t>
  </si>
  <si>
    <t>LFJR</t>
  </si>
  <si>
    <t>Angers-Loire Airport</t>
  </si>
  <si>
    <t>LFRA</t>
  </si>
  <si>
    <t>Angers - Avrillé Aerodrome (Angers-Marcé Airport)</t>
  </si>
  <si>
    <t>ANF</t>
  </si>
  <si>
    <t>SCFA</t>
  </si>
  <si>
    <t>Cerro Moreno International Airport</t>
  </si>
  <si>
    <t>ANG</t>
  </si>
  <si>
    <t>LFBU</t>
  </si>
  <si>
    <t>Angoulême - Brie - Champniers Airport</t>
  </si>
  <si>
    <t>ANI</t>
  </si>
  <si>
    <t>PANI</t>
  </si>
  <si>
    <t>Aniak Airport</t>
  </si>
  <si>
    <t>ANJ</t>
  </si>
  <si>
    <t>FCBZ</t>
  </si>
  <si>
    <t>Zanaga Airport</t>
  </si>
  <si>
    <t>ANK</t>
  </si>
  <si>
    <t>LTAD</t>
  </si>
  <si>
    <t>Etismegut Airport</t>
  </si>
  <si>
    <t>ANM</t>
  </si>
  <si>
    <t>FMNH</t>
  </si>
  <si>
    <t>Antsirabato Airport</t>
  </si>
  <si>
    <t>ANN</t>
  </si>
  <si>
    <t>PANT</t>
  </si>
  <si>
    <t>Annette Island Airport</t>
  </si>
  <si>
    <t>ANO</t>
  </si>
  <si>
    <t>FQAG</t>
  </si>
  <si>
    <t>Angoche Airport</t>
  </si>
  <si>
    <t>ANP</t>
  </si>
  <si>
    <t>KANP</t>
  </si>
  <si>
    <t>Lee Airport</t>
  </si>
  <si>
    <t>ANQ</t>
  </si>
  <si>
    <t>KANQ</t>
  </si>
  <si>
    <t>Tri-State Steuben County Airport</t>
  </si>
  <si>
    <t>ANR</t>
  </si>
  <si>
    <t>EBAW</t>
  </si>
  <si>
    <t>Antwerp International Airport</t>
  </si>
  <si>
    <t>ANS</t>
  </si>
  <si>
    <t>SPHY</t>
  </si>
  <si>
    <t>Andahuaylas Airport</t>
  </si>
  <si>
    <t>ANU</t>
  </si>
  <si>
    <t>TAPA</t>
  </si>
  <si>
    <t>V.C. Bird International Airport</t>
  </si>
  <si>
    <t>ANV</t>
  </si>
  <si>
    <t>PANV</t>
  </si>
  <si>
    <t>Anvik Airport</t>
  </si>
  <si>
    <t>ANW</t>
  </si>
  <si>
    <t>KANW</t>
  </si>
  <si>
    <t>Ainsworth Municipal Airport</t>
  </si>
  <si>
    <t>ANX</t>
  </si>
  <si>
    <t>ENAN</t>
  </si>
  <si>
    <t>Andøya Airport, Andenes</t>
  </si>
  <si>
    <t>ANY</t>
  </si>
  <si>
    <t>KANY</t>
  </si>
  <si>
    <t>Anthony Municipal Airport</t>
  </si>
  <si>
    <t>AOC</t>
  </si>
  <si>
    <t>EDAC</t>
  </si>
  <si>
    <t>Leipzig-Altenburg Airport</t>
  </si>
  <si>
    <t>AOE</t>
  </si>
  <si>
    <t>LTBY</t>
  </si>
  <si>
    <t>Anadolu Airport</t>
  </si>
  <si>
    <t>ZYAS</t>
  </si>
  <si>
    <t>Anshan Airport</t>
  </si>
  <si>
    <t>AOH</t>
  </si>
  <si>
    <t>KAOH</t>
  </si>
  <si>
    <t>Lima Allen County Airport</t>
  </si>
  <si>
    <t>AOI</t>
  </si>
  <si>
    <t>LIPY</t>
  </si>
  <si>
    <t>Falconara Airport</t>
  </si>
  <si>
    <t>AOJ</t>
  </si>
  <si>
    <t>RJSA</t>
  </si>
  <si>
    <t>Aomori Airport</t>
  </si>
  <si>
    <t>AOK</t>
  </si>
  <si>
    <t>LGKP</t>
  </si>
  <si>
    <t>Karpathos Airport</t>
  </si>
  <si>
    <t>AOL</t>
  </si>
  <si>
    <t>SARL</t>
  </si>
  <si>
    <t>Paso de los Libres Airport</t>
  </si>
  <si>
    <t>AOO</t>
  </si>
  <si>
    <t>KAOO</t>
  </si>
  <si>
    <t>Altoona-Blair County Airport</t>
  </si>
  <si>
    <t>AOR</t>
  </si>
  <si>
    <t>WMKA</t>
  </si>
  <si>
    <t>Sultan Abdul Halim Airport</t>
  </si>
  <si>
    <t>AOT</t>
  </si>
  <si>
    <t>LIMW</t>
  </si>
  <si>
    <t>Corrado Gex Airport</t>
  </si>
  <si>
    <t>AOU</t>
  </si>
  <si>
    <t>VLAP</t>
  </si>
  <si>
    <t>Attopeu Airport</t>
  </si>
  <si>
    <t>AOY</t>
  </si>
  <si>
    <t>OIBI</t>
  </si>
  <si>
    <t>Asaloyeh Airport</t>
  </si>
  <si>
    <t>APA</t>
  </si>
  <si>
    <t>KAPA</t>
  </si>
  <si>
    <t>Centennial Airport</t>
  </si>
  <si>
    <t>APB</t>
  </si>
  <si>
    <t>SLAP</t>
  </si>
  <si>
    <t>Apolo Airport</t>
  </si>
  <si>
    <t>APC</t>
  </si>
  <si>
    <t>KAPC</t>
  </si>
  <si>
    <t>Napa County Airport</t>
  </si>
  <si>
    <t>APE</t>
  </si>
  <si>
    <t>SPAO</t>
  </si>
  <si>
    <t>San Juan Aposento Airport</t>
  </si>
  <si>
    <t>APF</t>
  </si>
  <si>
    <t>KAPF</t>
  </si>
  <si>
    <t>Naples Municipal Airport</t>
  </si>
  <si>
    <t>APG</t>
  </si>
  <si>
    <t>KAPG</t>
  </si>
  <si>
    <t>Phillips Army Airfield</t>
  </si>
  <si>
    <t>APH</t>
  </si>
  <si>
    <t>KAPH</t>
  </si>
  <si>
    <t>A.P. Hill Army Airfield</t>
  </si>
  <si>
    <t>API</t>
  </si>
  <si>
    <t>SKAP</t>
  </si>
  <si>
    <t>Gomez Nino-Apiay Airport</t>
  </si>
  <si>
    <t>APK</t>
  </si>
  <si>
    <t>NTGD</t>
  </si>
  <si>
    <t>Apataki Airport</t>
  </si>
  <si>
    <t>APL</t>
  </si>
  <si>
    <t>FQNP</t>
  </si>
  <si>
    <t>Nampula Airport</t>
  </si>
  <si>
    <t>APN</t>
  </si>
  <si>
    <t>KAPN</t>
  </si>
  <si>
    <t>Alpena County Regional Airport</t>
  </si>
  <si>
    <t>APO</t>
  </si>
  <si>
    <t>SKLC</t>
  </si>
  <si>
    <t>Antonio Roldán Betancourt Airport</t>
  </si>
  <si>
    <t>APQ</t>
  </si>
  <si>
    <t>SNAL</t>
  </si>
  <si>
    <t>Arapiraca Airport</t>
  </si>
  <si>
    <t>APS</t>
  </si>
  <si>
    <t>SBAN</t>
  </si>
  <si>
    <t>Base Aérea Airport</t>
  </si>
  <si>
    <t>SWNS</t>
  </si>
  <si>
    <t>Anápolis Airport</t>
  </si>
  <si>
    <t>APT</t>
  </si>
  <si>
    <t>KAPT</t>
  </si>
  <si>
    <t>Marion County Airport (Brown Field)</t>
  </si>
  <si>
    <t>APU</t>
  </si>
  <si>
    <t>SSAP</t>
  </si>
  <si>
    <t>Apucarana Airport</t>
  </si>
  <si>
    <t>APV</t>
  </si>
  <si>
    <t>KAPV</t>
  </si>
  <si>
    <t>Apple Valley Airport</t>
  </si>
  <si>
    <t>APW</t>
  </si>
  <si>
    <t>NSFA</t>
  </si>
  <si>
    <t>Faleolo International Airport</t>
  </si>
  <si>
    <t>APX</t>
  </si>
  <si>
    <t>SSOG</t>
  </si>
  <si>
    <t>Arapongas Airport</t>
  </si>
  <si>
    <t>APY</t>
  </si>
  <si>
    <t>SNAI</t>
  </si>
  <si>
    <t>Parnaíba-Prefeito Dr. João Silva Filho International Airport</t>
  </si>
  <si>
    <t>Gomez Nino Apiay Air Base</t>
  </si>
  <si>
    <t>APZ</t>
  </si>
  <si>
    <t>SAHZ</t>
  </si>
  <si>
    <t>Zapala Airport</t>
  </si>
  <si>
    <t>AQA</t>
  </si>
  <si>
    <t>SBAQ</t>
  </si>
  <si>
    <t>Araraquara Airport</t>
  </si>
  <si>
    <t>AQB</t>
  </si>
  <si>
    <t>MGQC</t>
  </si>
  <si>
    <t>Quiché Airport</t>
  </si>
  <si>
    <t>AQG</t>
  </si>
  <si>
    <t>ZSAQ</t>
  </si>
  <si>
    <t>Anqing Airport</t>
  </si>
  <si>
    <t>AQI</t>
  </si>
  <si>
    <t>OEPA</t>
  </si>
  <si>
    <t>Qaisumah Domestic Airport</t>
  </si>
  <si>
    <t>AQJ</t>
  </si>
  <si>
    <t>OJAQ</t>
  </si>
  <si>
    <t>King Hussein International Airport</t>
  </si>
  <si>
    <t>AQM</t>
  </si>
  <si>
    <t>SWNI</t>
  </si>
  <si>
    <t>Nova Vida Airport</t>
  </si>
  <si>
    <t>AQP</t>
  </si>
  <si>
    <t>SPQU</t>
  </si>
  <si>
    <t>Rodriguez Ballon International Airport</t>
  </si>
  <si>
    <t>AQT</t>
  </si>
  <si>
    <t>PAQT</t>
  </si>
  <si>
    <t>Nuiqsut Airport</t>
  </si>
  <si>
    <t>AQY</t>
  </si>
  <si>
    <t>Girdwood Airport</t>
  </si>
  <si>
    <t>ARA</t>
  </si>
  <si>
    <t>KARA</t>
  </si>
  <si>
    <t>Acadiana Regional Airport</t>
  </si>
  <si>
    <t>ARB</t>
  </si>
  <si>
    <t>KARB</t>
  </si>
  <si>
    <t>Ann Arbor Municipal Airport</t>
  </si>
  <si>
    <t>ARC</t>
  </si>
  <si>
    <t>PARC</t>
  </si>
  <si>
    <t>Arctic Village Airport</t>
  </si>
  <si>
    <t>ARD</t>
  </si>
  <si>
    <t>WATM</t>
  </si>
  <si>
    <t>Alor Island Airport</t>
  </si>
  <si>
    <t>ARE</t>
  </si>
  <si>
    <t>TJAB</t>
  </si>
  <si>
    <t>Antonio (Nery) Juarbe Pol Airport</t>
  </si>
  <si>
    <t>ARG</t>
  </si>
  <si>
    <t>KARG</t>
  </si>
  <si>
    <t>Walnut Ridge Regional Airport</t>
  </si>
  <si>
    <t>ARH</t>
  </si>
  <si>
    <t>ULAA</t>
  </si>
  <si>
    <t>Talagi Airport</t>
  </si>
  <si>
    <t>ARI</t>
  </si>
  <si>
    <t>SCAR</t>
  </si>
  <si>
    <t>Chacalluta International Airport</t>
  </si>
  <si>
    <t>ARJ</t>
  </si>
  <si>
    <t>WAJA</t>
  </si>
  <si>
    <t>Arso Airport</t>
  </si>
  <si>
    <t>ARK</t>
  </si>
  <si>
    <t>HTAR</t>
  </si>
  <si>
    <t>Arusha Airport</t>
  </si>
  <si>
    <t>ARL</t>
  </si>
  <si>
    <t>DFER</t>
  </si>
  <si>
    <t>Arly Airport</t>
  </si>
  <si>
    <t>ARM</t>
  </si>
  <si>
    <t>YARM</t>
  </si>
  <si>
    <t>Armidale Airport</t>
  </si>
  <si>
    <t>ARN</t>
  </si>
  <si>
    <t>ESSA</t>
  </si>
  <si>
    <t>Stockholm-Arlanda Airport</t>
  </si>
  <si>
    <t>ARR</t>
  </si>
  <si>
    <t>SAVR</t>
  </si>
  <si>
    <t>Alto Río Senguer Airport</t>
  </si>
  <si>
    <t>ARS</t>
  </si>
  <si>
    <t>SJXC</t>
  </si>
  <si>
    <t>Usina Santa Cruz Airport</t>
  </si>
  <si>
    <t>SWEC</t>
  </si>
  <si>
    <t>Aragarças Airport</t>
  </si>
  <si>
    <t>ART</t>
  </si>
  <si>
    <t>KART</t>
  </si>
  <si>
    <t>Watertown International Airport</t>
  </si>
  <si>
    <t>ARU</t>
  </si>
  <si>
    <t>SBAU</t>
  </si>
  <si>
    <t>Araçatuba Airport</t>
  </si>
  <si>
    <t>ARV</t>
  </si>
  <si>
    <t>KARV</t>
  </si>
  <si>
    <t>Lakeland Airport (Noble F. Lee Memorial Field)</t>
  </si>
  <si>
    <t>ARW</t>
  </si>
  <si>
    <t>LRAR</t>
  </si>
  <si>
    <t>Arad International Airport</t>
  </si>
  <si>
    <t>ARY</t>
  </si>
  <si>
    <t>YARA</t>
  </si>
  <si>
    <t>Ararat Airport</t>
  </si>
  <si>
    <t>ARZ</t>
  </si>
  <si>
    <t>FNZE</t>
  </si>
  <si>
    <t>N'Zeto Airport</t>
  </si>
  <si>
    <t>ASA</t>
  </si>
  <si>
    <t>HHSB</t>
  </si>
  <si>
    <t>Assab International Airport</t>
  </si>
  <si>
    <t>ASB</t>
  </si>
  <si>
    <t>UTAA</t>
  </si>
  <si>
    <t>Ashgabat Airport</t>
  </si>
  <si>
    <t>ASC</t>
  </si>
  <si>
    <t>SLAS</t>
  </si>
  <si>
    <t>Ascención de Guarayos Airport</t>
  </si>
  <si>
    <t>ASD</t>
  </si>
  <si>
    <t>MYAF</t>
  </si>
  <si>
    <t>Andros Town International Airport</t>
  </si>
  <si>
    <t>ASE</t>
  </si>
  <si>
    <t>KASE</t>
  </si>
  <si>
    <t>Aspen/Pitkin County Airport</t>
  </si>
  <si>
    <t>ASF</t>
  </si>
  <si>
    <t>URWA</t>
  </si>
  <si>
    <t>Narimanovo Airport</t>
  </si>
  <si>
    <t>ASG</t>
  </si>
  <si>
    <t>NZAS</t>
  </si>
  <si>
    <t>Ashburton Airport</t>
  </si>
  <si>
    <t>ASH</t>
  </si>
  <si>
    <t>KASH</t>
  </si>
  <si>
    <t>Boire Field</t>
  </si>
  <si>
    <t>ASI</t>
  </si>
  <si>
    <t>FHAW</t>
  </si>
  <si>
    <t>Wideawake Field</t>
  </si>
  <si>
    <t>ASJ</t>
  </si>
  <si>
    <t>RJKA</t>
  </si>
  <si>
    <t>Amami-Oshima Airport</t>
  </si>
  <si>
    <t>ASK</t>
  </si>
  <si>
    <t>DIYO</t>
  </si>
  <si>
    <t>Yamoussoukro Airport</t>
  </si>
  <si>
    <t>ASL</t>
  </si>
  <si>
    <t>KASL</t>
  </si>
  <si>
    <t>Harrison County Airport</t>
  </si>
  <si>
    <t>ASM</t>
  </si>
  <si>
    <t>HHAS</t>
  </si>
  <si>
    <t>Asmara International Airport</t>
  </si>
  <si>
    <t>ASN</t>
  </si>
  <si>
    <t>KASN</t>
  </si>
  <si>
    <t>Talladega Municipal Airport</t>
  </si>
  <si>
    <t>ASO</t>
  </si>
  <si>
    <t>HASO</t>
  </si>
  <si>
    <t>Asosa Airport</t>
  </si>
  <si>
    <t>ASP</t>
  </si>
  <si>
    <t>YBAS</t>
  </si>
  <si>
    <t>Alice Springs Airport</t>
  </si>
  <si>
    <t>ASR</t>
  </si>
  <si>
    <t>LTAU</t>
  </si>
  <si>
    <t>Erkilet International Airport</t>
  </si>
  <si>
    <t>AST</t>
  </si>
  <si>
    <t>KAST</t>
  </si>
  <si>
    <t>Astoria Regional Airport</t>
  </si>
  <si>
    <t>ASU</t>
  </si>
  <si>
    <t>SGAS</t>
  </si>
  <si>
    <t>Silvio Pettirossi International Airport</t>
  </si>
  <si>
    <t>ASV</t>
  </si>
  <si>
    <t>HKAM</t>
  </si>
  <si>
    <t>Amboseli Airport</t>
  </si>
  <si>
    <t>ASW</t>
  </si>
  <si>
    <t>HESN</t>
  </si>
  <si>
    <t>Aswan International Airport</t>
  </si>
  <si>
    <t>ASX</t>
  </si>
  <si>
    <t>KASX</t>
  </si>
  <si>
    <t>John F. Kennedy Memorial Airport</t>
  </si>
  <si>
    <t>ASY</t>
  </si>
  <si>
    <t>KASY</t>
  </si>
  <si>
    <t>Ashley Municipal Airport</t>
  </si>
  <si>
    <t>ATA</t>
  </si>
  <si>
    <t>SPHZ</t>
  </si>
  <si>
    <t>Comandante FAP German Arias Grazziani Airport</t>
  </si>
  <si>
    <t>ATB</t>
  </si>
  <si>
    <t>HSAT</t>
  </si>
  <si>
    <t>Atbara Airport</t>
  </si>
  <si>
    <t>ATC</t>
  </si>
  <si>
    <t>MYCA</t>
  </si>
  <si>
    <t>Arthur's Town Airport</t>
  </si>
  <si>
    <t>ATD</t>
  </si>
  <si>
    <t>AGAT</t>
  </si>
  <si>
    <t>Atoifi Airport</t>
  </si>
  <si>
    <t>ATF</t>
  </si>
  <si>
    <t>SEAM</t>
  </si>
  <si>
    <t>Chachoan Airport</t>
  </si>
  <si>
    <t>ATG</t>
  </si>
  <si>
    <t>SPAY</t>
  </si>
  <si>
    <t>Teniente General Gerardo Pérez Pinedo Airport</t>
  </si>
  <si>
    <t>ATH</t>
  </si>
  <si>
    <t>LGAV</t>
  </si>
  <si>
    <t>Athens International Airport</t>
  </si>
  <si>
    <t>ATI</t>
  </si>
  <si>
    <t>SUAG</t>
  </si>
  <si>
    <t>Artigas International Airport</t>
  </si>
  <si>
    <t>ATJ</t>
  </si>
  <si>
    <t>FMME</t>
  </si>
  <si>
    <t>Antsirabe Airport</t>
  </si>
  <si>
    <t>ATK</t>
  </si>
  <si>
    <t>PATQ</t>
  </si>
  <si>
    <t>Atqasuk Edward Burnell Sr. Memorial Airport</t>
  </si>
  <si>
    <t>ATL</t>
  </si>
  <si>
    <t>KATL</t>
  </si>
  <si>
    <t>Hartsfield-Jackson Atlanta International Airport</t>
  </si>
  <si>
    <t>ATM</t>
  </si>
  <si>
    <t>SBHT</t>
  </si>
  <si>
    <t>Altamira Airport</t>
  </si>
  <si>
    <t>ATQ</t>
  </si>
  <si>
    <t>VIAR</t>
  </si>
  <si>
    <t>Raja Sansi International Airport</t>
  </si>
  <si>
    <t>ATR</t>
  </si>
  <si>
    <t>GQPA</t>
  </si>
  <si>
    <t>Atar International Airport</t>
  </si>
  <si>
    <t>ATS</t>
  </si>
  <si>
    <t>KATS</t>
  </si>
  <si>
    <t>Artesia Municipal Airport</t>
  </si>
  <si>
    <t>ATU</t>
  </si>
  <si>
    <t>PATU</t>
  </si>
  <si>
    <t>Casco Cove Coast Guard Station</t>
  </si>
  <si>
    <t>ATV</t>
  </si>
  <si>
    <t>FTTI</t>
  </si>
  <si>
    <t>Ati Airport</t>
  </si>
  <si>
    <t>ATW</t>
  </si>
  <si>
    <t>KATW</t>
  </si>
  <si>
    <t>Outagamie County Regional Airport</t>
  </si>
  <si>
    <t>ATY</t>
  </si>
  <si>
    <t>KATY</t>
  </si>
  <si>
    <t>Watertown Regional Airport</t>
  </si>
  <si>
    <t>ATZ</t>
  </si>
  <si>
    <t>HEAT</t>
  </si>
  <si>
    <t>Assiut Airport</t>
  </si>
  <si>
    <t>AUA</t>
  </si>
  <si>
    <t>TNCA</t>
  </si>
  <si>
    <t>Queen Beatrix International Airport</t>
  </si>
  <si>
    <t>AUC</t>
  </si>
  <si>
    <t>SKUC</t>
  </si>
  <si>
    <t>Santiago Pérez Airport</t>
  </si>
  <si>
    <t>AUD</t>
  </si>
  <si>
    <t>YAGD</t>
  </si>
  <si>
    <t>Augustus Downs Airport</t>
  </si>
  <si>
    <t>AUF</t>
  </si>
  <si>
    <t>LFLA</t>
  </si>
  <si>
    <t>Auxerre - Branches Airport</t>
  </si>
  <si>
    <t>AUG</t>
  </si>
  <si>
    <t>KAUG</t>
  </si>
  <si>
    <t>Augusta State Airport</t>
  </si>
  <si>
    <t>AUH</t>
  </si>
  <si>
    <t>OMAA</t>
  </si>
  <si>
    <t>Abu Dhabi International Airport</t>
  </si>
  <si>
    <t>AUM</t>
  </si>
  <si>
    <t>KAUM</t>
  </si>
  <si>
    <t>Austin Municipal Airport</t>
  </si>
  <si>
    <t>AUN</t>
  </si>
  <si>
    <t>KAUN</t>
  </si>
  <si>
    <t>Auburn Municipal Airport</t>
  </si>
  <si>
    <t>AUO</t>
  </si>
  <si>
    <t>KAUO</t>
  </si>
  <si>
    <t>Auburn-Opelika Robert G. Pitts Airport</t>
  </si>
  <si>
    <t>AUQ</t>
  </si>
  <si>
    <t>NTMN</t>
  </si>
  <si>
    <t>Hiva Oa-Atuona Airport</t>
  </si>
  <si>
    <t>AUR</t>
  </si>
  <si>
    <t>LFLW</t>
  </si>
  <si>
    <t>Aurillac Airport</t>
  </si>
  <si>
    <t>AUS</t>
  </si>
  <si>
    <t>KAUS</t>
  </si>
  <si>
    <t>Austin-Bergstrom International Airport</t>
  </si>
  <si>
    <t>AUT</t>
  </si>
  <si>
    <t>WPAT</t>
  </si>
  <si>
    <t>Atauro Airport</t>
  </si>
  <si>
    <t>AUU</t>
  </si>
  <si>
    <t>YAUR</t>
  </si>
  <si>
    <t>Aurukun Airport</t>
  </si>
  <si>
    <t>AUW</t>
  </si>
  <si>
    <t>KAUW</t>
  </si>
  <si>
    <t>Wausau Downtown Airport</t>
  </si>
  <si>
    <t>AUX</t>
  </si>
  <si>
    <t>SWGN</t>
  </si>
  <si>
    <t>Araguaína Airport</t>
  </si>
  <si>
    <t>AUY</t>
  </si>
  <si>
    <t>NVVA</t>
  </si>
  <si>
    <t>Aneityum Airport</t>
  </si>
  <si>
    <t>AUZ</t>
  </si>
  <si>
    <t>KARR</t>
  </si>
  <si>
    <t>Aurora Municipal Airport</t>
  </si>
  <si>
    <t>AVA</t>
  </si>
  <si>
    <t>ZUAS</t>
  </si>
  <si>
    <t>Anshun Huangguoshu Airport</t>
  </si>
  <si>
    <t>AVB</t>
  </si>
  <si>
    <t>LIPA</t>
  </si>
  <si>
    <t>Aviano Air Base</t>
  </si>
  <si>
    <t>AVG</t>
  </si>
  <si>
    <t>YAUV</t>
  </si>
  <si>
    <t>Auvergne Airport</t>
  </si>
  <si>
    <t>MUCA</t>
  </si>
  <si>
    <t>Máximo Gómez Airport</t>
  </si>
  <si>
    <t>AVK</t>
  </si>
  <si>
    <t>ZMAH</t>
  </si>
  <si>
    <t>Arvaikheer Airport</t>
  </si>
  <si>
    <t>AVL</t>
  </si>
  <si>
    <t>KAVL</t>
  </si>
  <si>
    <t>Asheville Regional Airport</t>
  </si>
  <si>
    <t>AVN</t>
  </si>
  <si>
    <t>LFMV</t>
  </si>
  <si>
    <t>Avignon - Caumont Airport</t>
  </si>
  <si>
    <t>AVO</t>
  </si>
  <si>
    <t>KAVO</t>
  </si>
  <si>
    <t>Avon Park Executive Airport</t>
  </si>
  <si>
    <t>AVP</t>
  </si>
  <si>
    <t>KAVP</t>
  </si>
  <si>
    <t>Wilkes-Barre/Scranton International Airport</t>
  </si>
  <si>
    <t>AVU</t>
  </si>
  <si>
    <t>AGGJ</t>
  </si>
  <si>
    <t>Avu Avu Airport</t>
  </si>
  <si>
    <t>AVV</t>
  </si>
  <si>
    <t>YMAV</t>
  </si>
  <si>
    <t>Avalon Airport</t>
  </si>
  <si>
    <t>AVW</t>
  </si>
  <si>
    <t>KAVQ</t>
  </si>
  <si>
    <t>Marana Regional Airport</t>
  </si>
  <si>
    <t>AWA</t>
  </si>
  <si>
    <t>HALA</t>
  </si>
  <si>
    <t>Awasa Airport</t>
  </si>
  <si>
    <t>AWD</t>
  </si>
  <si>
    <t>NVVB</t>
  </si>
  <si>
    <t>Aniwa Airport</t>
  </si>
  <si>
    <t>AWK</t>
  </si>
  <si>
    <t>PWAK</t>
  </si>
  <si>
    <t>Wake Island Airfield</t>
  </si>
  <si>
    <t>AWM</t>
  </si>
  <si>
    <t>KAWM</t>
  </si>
  <si>
    <t>West Memphis Municipal Airport</t>
  </si>
  <si>
    <t>AWN</t>
  </si>
  <si>
    <t>YADS</t>
  </si>
  <si>
    <t>Alton Downs Airport</t>
  </si>
  <si>
    <t>AWP</t>
  </si>
  <si>
    <t>YAUS</t>
  </si>
  <si>
    <t>Austral Downs Airport</t>
  </si>
  <si>
    <t>AWZ</t>
  </si>
  <si>
    <t>OIAW</t>
  </si>
  <si>
    <t>Ahwaz Airport</t>
  </si>
  <si>
    <t>AXA</t>
  </si>
  <si>
    <t>TQPF</t>
  </si>
  <si>
    <t>Wallblake Airport</t>
  </si>
  <si>
    <t>AXC</t>
  </si>
  <si>
    <t>YAMC</t>
  </si>
  <si>
    <t>Aramac Airport</t>
  </si>
  <si>
    <t>AXD</t>
  </si>
  <si>
    <t>LGAL</t>
  </si>
  <si>
    <t>Dimokritos Airport</t>
  </si>
  <si>
    <t>AXE</t>
  </si>
  <si>
    <t>SSXX</t>
  </si>
  <si>
    <t>Xanxerê Airport</t>
  </si>
  <si>
    <t>AXG</t>
  </si>
  <si>
    <t>KAXA</t>
  </si>
  <si>
    <t>Algona Municipal Airport</t>
  </si>
  <si>
    <t>AXJ</t>
  </si>
  <si>
    <t>RJDA</t>
  </si>
  <si>
    <t>Amakusa Airport</t>
  </si>
  <si>
    <t>AXK</t>
  </si>
  <si>
    <t>OYAT</t>
  </si>
  <si>
    <t>Ataq Airport</t>
  </si>
  <si>
    <t>AXL</t>
  </si>
  <si>
    <t>YALX</t>
  </si>
  <si>
    <t>Alexandria Homestead Airport</t>
  </si>
  <si>
    <t>AXM</t>
  </si>
  <si>
    <t>SKAR</t>
  </si>
  <si>
    <t>El Edén Airport</t>
  </si>
  <si>
    <t>AXN</t>
  </si>
  <si>
    <t>KAXN</t>
  </si>
  <si>
    <t>Chandler Field</t>
  </si>
  <si>
    <t>AXP</t>
  </si>
  <si>
    <t>MYAP</t>
  </si>
  <si>
    <t>Spring Point Airport</t>
  </si>
  <si>
    <t>AXR</t>
  </si>
  <si>
    <t>NTGU</t>
  </si>
  <si>
    <t>Arutua Airport</t>
  </si>
  <si>
    <t>AXS</t>
  </si>
  <si>
    <t>KAXS</t>
  </si>
  <si>
    <t>Altus/Quartz Mountain Regional Airport</t>
  </si>
  <si>
    <t>AXT</t>
  </si>
  <si>
    <t>RJSK</t>
  </si>
  <si>
    <t>Akita Airport</t>
  </si>
  <si>
    <t>AXU</t>
  </si>
  <si>
    <t>HAAX</t>
  </si>
  <si>
    <t>Axum Airport</t>
  </si>
  <si>
    <t>AXV</t>
  </si>
  <si>
    <t>KAXV</t>
  </si>
  <si>
    <t>Neil Armstrong Airport</t>
  </si>
  <si>
    <t>AXX</t>
  </si>
  <si>
    <t>KAXX</t>
  </si>
  <si>
    <t>Angel Fire Airport</t>
  </si>
  <si>
    <t>AYG</t>
  </si>
  <si>
    <t>SKYA</t>
  </si>
  <si>
    <t>Yaguara Airport</t>
  </si>
  <si>
    <t>AYH</t>
  </si>
  <si>
    <t>EGWZ</t>
  </si>
  <si>
    <t>RAF Alconbury</t>
  </si>
  <si>
    <t>AYK</t>
  </si>
  <si>
    <t>UAUR</t>
  </si>
  <si>
    <t>Arkalyk Airport</t>
  </si>
  <si>
    <t>AYL</t>
  </si>
  <si>
    <t>YANL</t>
  </si>
  <si>
    <t>Anthony Lagoon Airport</t>
  </si>
  <si>
    <t>AYN</t>
  </si>
  <si>
    <t>ZHAY</t>
  </si>
  <si>
    <t>Anyang Airport</t>
  </si>
  <si>
    <t>AYO</t>
  </si>
  <si>
    <t>SGAY</t>
  </si>
  <si>
    <t>Juan De Ayolas Airport</t>
  </si>
  <si>
    <t>AYP</t>
  </si>
  <si>
    <t>SPHO</t>
  </si>
  <si>
    <t>Coronel FAP Alfredo Mendivil Duarte Airport</t>
  </si>
  <si>
    <t>AYQ</t>
  </si>
  <si>
    <t>YAYE</t>
  </si>
  <si>
    <t>Ayers Rock Airport</t>
  </si>
  <si>
    <t>AYR</t>
  </si>
  <si>
    <t>YAYR</t>
  </si>
  <si>
    <t>Ayr Airport</t>
  </si>
  <si>
    <t>AYS</t>
  </si>
  <si>
    <t>KAYS</t>
  </si>
  <si>
    <t>Waycross-Ware County Airport</t>
  </si>
  <si>
    <t>AYT</t>
  </si>
  <si>
    <t>LTAI</t>
  </si>
  <si>
    <t>Antalya Airport</t>
  </si>
  <si>
    <t>AZA</t>
  </si>
  <si>
    <t>KIWA</t>
  </si>
  <si>
    <t>Phoenix-Mesa Gateway Airport</t>
  </si>
  <si>
    <t>AZD</t>
  </si>
  <si>
    <t>OIYY</t>
  </si>
  <si>
    <t>Yazd Shahid Sadooghi Airport</t>
  </si>
  <si>
    <t>AZI</t>
  </si>
  <si>
    <t>OMAD</t>
  </si>
  <si>
    <t>Bateen Airport</t>
  </si>
  <si>
    <t>AZL</t>
  </si>
  <si>
    <t>SWTU</t>
  </si>
  <si>
    <t>Fazenda Tucunaré Airport</t>
  </si>
  <si>
    <t>AZN</t>
  </si>
  <si>
    <t>UTKA</t>
  </si>
  <si>
    <t>Andizhan Airport</t>
  </si>
  <si>
    <t>AZO</t>
  </si>
  <si>
    <t>KAZO</t>
  </si>
  <si>
    <t>Kalamazoo/Battle Creek International Airport</t>
  </si>
  <si>
    <t>AZR</t>
  </si>
  <si>
    <t>DAUA</t>
  </si>
  <si>
    <t>Touat Cheikh Sidi Mohamed Belkebir Airport</t>
  </si>
  <si>
    <t>AZS</t>
  </si>
  <si>
    <t>MDCY</t>
  </si>
  <si>
    <t>Samaná El Catey International Airport</t>
  </si>
  <si>
    <t>AZZ</t>
  </si>
  <si>
    <t>FNAM</t>
  </si>
  <si>
    <t>Ambriz Airport</t>
  </si>
  <si>
    <t>BAB</t>
  </si>
  <si>
    <t>KBAB</t>
  </si>
  <si>
    <t>Beale Air Force Base</t>
  </si>
  <si>
    <t>BAD</t>
  </si>
  <si>
    <t>KBAD</t>
  </si>
  <si>
    <t>Barksdale Air Force Base</t>
  </si>
  <si>
    <t>BAE</t>
  </si>
  <si>
    <t>LFMR</t>
  </si>
  <si>
    <t>Barcelonnette - Saint-Pons Airport</t>
  </si>
  <si>
    <t>BAF</t>
  </si>
  <si>
    <t>KBAF</t>
  </si>
  <si>
    <t>Barnes Municipal Airport</t>
  </si>
  <si>
    <t>BAG</t>
  </si>
  <si>
    <t>RPUB</t>
  </si>
  <si>
    <t>Baguio Airport</t>
  </si>
  <si>
    <t>BAH</t>
  </si>
  <si>
    <t>OBBI</t>
  </si>
  <si>
    <t>Bahrain International Airport</t>
  </si>
  <si>
    <t>BAI</t>
  </si>
  <si>
    <t>MRBA</t>
  </si>
  <si>
    <t>Buenos Aires Airport</t>
  </si>
  <si>
    <t>BAL</t>
  </si>
  <si>
    <t>LTCJ</t>
  </si>
  <si>
    <t>Batman Airport</t>
  </si>
  <si>
    <t>BAM</t>
  </si>
  <si>
    <t>KBAM</t>
  </si>
  <si>
    <t>Battle Mountain Airport (Lander County Airport)</t>
  </si>
  <si>
    <t>BAN</t>
  </si>
  <si>
    <t>FZVR</t>
  </si>
  <si>
    <t>Basongo Airport</t>
  </si>
  <si>
    <t>BAO</t>
  </si>
  <si>
    <t>VTED</t>
  </si>
  <si>
    <t>Udon Air Base</t>
  </si>
  <si>
    <t>BAQ</t>
  </si>
  <si>
    <t>SKBQ</t>
  </si>
  <si>
    <t>Ernesto Cortissoz International Airport</t>
  </si>
  <si>
    <t>BAS</t>
  </si>
  <si>
    <t>AGGE</t>
  </si>
  <si>
    <t>Ballalae Airport</t>
  </si>
  <si>
    <t>BAT</t>
  </si>
  <si>
    <t>SBBT</t>
  </si>
  <si>
    <t>Chafei Amsei Airport</t>
  </si>
  <si>
    <t>BAU</t>
  </si>
  <si>
    <t>SBBU</t>
  </si>
  <si>
    <t>Bauru Airport</t>
  </si>
  <si>
    <t>BAV</t>
  </si>
  <si>
    <t>ZBOW</t>
  </si>
  <si>
    <t>Baotou Airport</t>
  </si>
  <si>
    <t>BAX</t>
  </si>
  <si>
    <t>UNBB</t>
  </si>
  <si>
    <t>Barnaul Airport</t>
  </si>
  <si>
    <t>BAY</t>
  </si>
  <si>
    <t>LRBM</t>
  </si>
  <si>
    <t>Baia Mare Airport</t>
  </si>
  <si>
    <t>BAZ</t>
  </si>
  <si>
    <t>SWBC</t>
  </si>
  <si>
    <t>Barcelos Airport</t>
  </si>
  <si>
    <t>BBA</t>
  </si>
  <si>
    <t>SCBA</t>
  </si>
  <si>
    <t>Balmaceda Airport (Teniente Vidal Airport)</t>
  </si>
  <si>
    <t>BBB</t>
  </si>
  <si>
    <t>KBBB</t>
  </si>
  <si>
    <t>Benson Municipal Airport</t>
  </si>
  <si>
    <t>BBC</t>
  </si>
  <si>
    <t>KBYY</t>
  </si>
  <si>
    <t>Bay City Municipal Airport</t>
  </si>
  <si>
    <t>BBD</t>
  </si>
  <si>
    <t>KBBD</t>
  </si>
  <si>
    <t>Curtis Field</t>
  </si>
  <si>
    <t>BBE</t>
  </si>
  <si>
    <t>YBBE</t>
  </si>
  <si>
    <t>Big Bell Airport</t>
  </si>
  <si>
    <t>BBG</t>
  </si>
  <si>
    <t>NGTU</t>
  </si>
  <si>
    <t>Butaritari Airport</t>
  </si>
  <si>
    <t>BBH</t>
  </si>
  <si>
    <t>EDBH</t>
  </si>
  <si>
    <t>Barth Airport</t>
  </si>
  <si>
    <t>BBI</t>
  </si>
  <si>
    <t>VEBS</t>
  </si>
  <si>
    <t>Biju Patnaik Airport</t>
  </si>
  <si>
    <t>BBJ</t>
  </si>
  <si>
    <t>EDRB</t>
  </si>
  <si>
    <t>Bitburg Airport (former Bitburg Air Base)</t>
  </si>
  <si>
    <t>BBK</t>
  </si>
  <si>
    <t>FBKE</t>
  </si>
  <si>
    <t>Kasane Airport</t>
  </si>
  <si>
    <t>BBL</t>
  </si>
  <si>
    <t>OINB</t>
  </si>
  <si>
    <t>Babolsar Airport</t>
  </si>
  <si>
    <t>BBM</t>
  </si>
  <si>
    <t>VDBG</t>
  </si>
  <si>
    <t>Battambang Airport</t>
  </si>
  <si>
    <t>BBN</t>
  </si>
  <si>
    <t>WBGZ</t>
  </si>
  <si>
    <t>Bario Airport</t>
  </si>
  <si>
    <t>BBO</t>
  </si>
  <si>
    <t>HCMI</t>
  </si>
  <si>
    <t>Berbera Airport</t>
  </si>
  <si>
    <t>BBP</t>
  </si>
  <si>
    <t>EGHJ</t>
  </si>
  <si>
    <t>Bembridge Airport</t>
  </si>
  <si>
    <t>BBQ</t>
  </si>
  <si>
    <t>TAPH</t>
  </si>
  <si>
    <t>Codrington Airport</t>
  </si>
  <si>
    <t>BBR</t>
  </si>
  <si>
    <t>TFFB</t>
  </si>
  <si>
    <t>Baillif Airport</t>
  </si>
  <si>
    <t>BBS</t>
  </si>
  <si>
    <t>EGLK</t>
  </si>
  <si>
    <t>Blackbushe Airport</t>
  </si>
  <si>
    <t>BBT</t>
  </si>
  <si>
    <t>FEFT</t>
  </si>
  <si>
    <t>Berbérati Airport</t>
  </si>
  <si>
    <t>BBU</t>
  </si>
  <si>
    <t>LRBS</t>
  </si>
  <si>
    <t>Bucharest "Aurel Vlaicu" Airport</t>
  </si>
  <si>
    <t>BBV</t>
  </si>
  <si>
    <t>DIGN</t>
  </si>
  <si>
    <t>Bereby Airport</t>
  </si>
  <si>
    <t>BBW</t>
  </si>
  <si>
    <t>KBBW</t>
  </si>
  <si>
    <t>Broken Bow Municipal Airport</t>
  </si>
  <si>
    <t>BBY</t>
  </si>
  <si>
    <t>FEFM</t>
  </si>
  <si>
    <t>Bambari Airport</t>
  </si>
  <si>
    <t>BBZ</t>
  </si>
  <si>
    <t>FLZB</t>
  </si>
  <si>
    <t>Zambezi Airport</t>
  </si>
  <si>
    <t>BCA</t>
  </si>
  <si>
    <t>MUBA</t>
  </si>
  <si>
    <t>Gustavo Rizo Airport</t>
  </si>
  <si>
    <t>BCB</t>
  </si>
  <si>
    <t>KBCB</t>
  </si>
  <si>
    <t>Virginia Tech Montgomery Executive Airport</t>
  </si>
  <si>
    <t>BCD</t>
  </si>
  <si>
    <t>RPVB</t>
  </si>
  <si>
    <t>Bacolod City Domestic Airport</t>
  </si>
  <si>
    <t>BCE</t>
  </si>
  <si>
    <t>KBCE</t>
  </si>
  <si>
    <t>Bryce Canyon Airport</t>
  </si>
  <si>
    <t>BCF</t>
  </si>
  <si>
    <t>FEGU</t>
  </si>
  <si>
    <t>Bouca Airport</t>
  </si>
  <si>
    <t>BCH</t>
  </si>
  <si>
    <t>WPEC</t>
  </si>
  <si>
    <t>Cakung Airport</t>
  </si>
  <si>
    <t>BCI</t>
  </si>
  <si>
    <t>YBAR</t>
  </si>
  <si>
    <t>Barcaldine Airport</t>
  </si>
  <si>
    <t>BCL</t>
  </si>
  <si>
    <t>MRBC</t>
  </si>
  <si>
    <t>Barra del Colorado Airport</t>
  </si>
  <si>
    <t>BCM</t>
  </si>
  <si>
    <t>LRBC</t>
  </si>
  <si>
    <t>George Enescu International Airport</t>
  </si>
  <si>
    <t>BCN</t>
  </si>
  <si>
    <t>LEBL</t>
  </si>
  <si>
    <t>BCO</t>
  </si>
  <si>
    <t>HABC</t>
  </si>
  <si>
    <t>Baco Airport (Jinka Airport)</t>
  </si>
  <si>
    <t>BCR</t>
  </si>
  <si>
    <t>SWNK</t>
  </si>
  <si>
    <t>Novo Campo Airport</t>
  </si>
  <si>
    <t>BCT</t>
  </si>
  <si>
    <t>KBCT</t>
  </si>
  <si>
    <t>Boca Raton Airport</t>
  </si>
  <si>
    <t>BCV</t>
  </si>
  <si>
    <t>PABV</t>
  </si>
  <si>
    <t>Birchwood Airport</t>
  </si>
  <si>
    <t>BCX</t>
  </si>
  <si>
    <t>UWUB</t>
  </si>
  <si>
    <t>Beloretsk Airport</t>
  </si>
  <si>
    <t>BCY</t>
  </si>
  <si>
    <t>HABU</t>
  </si>
  <si>
    <t>Bulchi Airport</t>
  </si>
  <si>
    <t>BDA</t>
  </si>
  <si>
    <t>TXKF</t>
  </si>
  <si>
    <t>Bermuda International Airport (L.F. Wade Int'l Airport)</t>
  </si>
  <si>
    <t>BDB</t>
  </si>
  <si>
    <t>YBUD</t>
  </si>
  <si>
    <t>Bundaberg Airport</t>
  </si>
  <si>
    <t>BDC</t>
  </si>
  <si>
    <t>SNBC</t>
  </si>
  <si>
    <t>Barra do Corda Airport</t>
  </si>
  <si>
    <t>BDD</t>
  </si>
  <si>
    <t>YBAU</t>
  </si>
  <si>
    <t>Badu Island Airport</t>
  </si>
  <si>
    <t>BDE</t>
  </si>
  <si>
    <t>KBDE</t>
  </si>
  <si>
    <t>Baudette International Airport</t>
  </si>
  <si>
    <t>BDG</t>
  </si>
  <si>
    <t>KBDG</t>
  </si>
  <si>
    <t>Blanding Municipal Airport</t>
  </si>
  <si>
    <t>BDH</t>
  </si>
  <si>
    <t>OIBL</t>
  </si>
  <si>
    <t>Bandar Lengeh Airport</t>
  </si>
  <si>
    <t>BDI</t>
  </si>
  <si>
    <t>FSSB</t>
  </si>
  <si>
    <t>Bird Island Airport</t>
  </si>
  <si>
    <t>BDJ</t>
  </si>
  <si>
    <t>WAOO</t>
  </si>
  <si>
    <t>Syamsudin Noor Airport</t>
  </si>
  <si>
    <t>WRBB</t>
  </si>
  <si>
    <t>BDK</t>
  </si>
  <si>
    <t>DIBU</t>
  </si>
  <si>
    <t>Soko Airport</t>
  </si>
  <si>
    <t>BDL</t>
  </si>
  <si>
    <t>KBDL</t>
  </si>
  <si>
    <t>Bradley International Airport</t>
  </si>
  <si>
    <t>BDM</t>
  </si>
  <si>
    <t>LTBG</t>
  </si>
  <si>
    <t>Band?rma Airport</t>
  </si>
  <si>
    <t>BDN</t>
  </si>
  <si>
    <t>OPTH</t>
  </si>
  <si>
    <t>Talhar Airport</t>
  </si>
  <si>
    <t>BDO</t>
  </si>
  <si>
    <t>WICC</t>
  </si>
  <si>
    <t>Hussein Sastranegara Airport</t>
  </si>
  <si>
    <t>BDP</t>
  </si>
  <si>
    <t>VNCG</t>
  </si>
  <si>
    <t>Bhadrapur Airport</t>
  </si>
  <si>
    <t>BDQ</t>
  </si>
  <si>
    <t>VABO</t>
  </si>
  <si>
    <t>Vadodara Airport</t>
  </si>
  <si>
    <t>BDR</t>
  </si>
  <si>
    <t>KBDR</t>
  </si>
  <si>
    <t>Igor I. Sikorsky Memorial Airport</t>
  </si>
  <si>
    <t>BDS</t>
  </si>
  <si>
    <t>LIBR</t>
  </si>
  <si>
    <t>Casale Airport</t>
  </si>
  <si>
    <t>BDT</t>
  </si>
  <si>
    <t>FZFD</t>
  </si>
  <si>
    <t>Gbadolite Airport</t>
  </si>
  <si>
    <t>BDU</t>
  </si>
  <si>
    <t>ENDU</t>
  </si>
  <si>
    <t>Bardufoss Airport</t>
  </si>
  <si>
    <t>BDV</t>
  </si>
  <si>
    <t>FZRB</t>
  </si>
  <si>
    <t>Moba Airport</t>
  </si>
  <si>
    <t>BEB</t>
  </si>
  <si>
    <t>EGPL</t>
  </si>
  <si>
    <t>Benbecula Airport</t>
  </si>
  <si>
    <t>BEC</t>
  </si>
  <si>
    <t>KBEC</t>
  </si>
  <si>
    <t>Beech Factory Airport</t>
  </si>
  <si>
    <t>BED</t>
  </si>
  <si>
    <t>KBED</t>
  </si>
  <si>
    <t>Laurence G. Hanscom Field</t>
  </si>
  <si>
    <t>BEF</t>
  </si>
  <si>
    <t>MNBL</t>
  </si>
  <si>
    <t>Bluefields Airport</t>
  </si>
  <si>
    <t>BEG</t>
  </si>
  <si>
    <t>LYBE</t>
  </si>
  <si>
    <t>Belgrade Nikola Tesla Airport</t>
  </si>
  <si>
    <t>BEH</t>
  </si>
  <si>
    <t>KBEH</t>
  </si>
  <si>
    <t>Southwest Michigan Regional Airport</t>
  </si>
  <si>
    <t>BEI</t>
  </si>
  <si>
    <t>HABE</t>
  </si>
  <si>
    <t>Beica Airport</t>
  </si>
  <si>
    <t>BEJ</t>
  </si>
  <si>
    <t>WALK</t>
  </si>
  <si>
    <t>Berau Airport (Kalimaru Airport)</t>
  </si>
  <si>
    <t>BEK</t>
  </si>
  <si>
    <t>VIBY</t>
  </si>
  <si>
    <t>Bareli Airport</t>
  </si>
  <si>
    <t>BEL</t>
  </si>
  <si>
    <t>SBBE</t>
  </si>
  <si>
    <t>Val de Cães International Airport</t>
  </si>
  <si>
    <t>BEM</t>
  </si>
  <si>
    <t>FEFL</t>
  </si>
  <si>
    <t>Bossembélé Airport</t>
  </si>
  <si>
    <t>BEN</t>
  </si>
  <si>
    <t>HLLB</t>
  </si>
  <si>
    <t>Benina International Airport</t>
  </si>
  <si>
    <t>BEO</t>
  </si>
  <si>
    <t>YPEC</t>
  </si>
  <si>
    <t>Newcastle - Belmont Airport</t>
  </si>
  <si>
    <t>BEP</t>
  </si>
  <si>
    <t>VOBI</t>
  </si>
  <si>
    <t>Bellary Airport</t>
  </si>
  <si>
    <t>BEQ</t>
  </si>
  <si>
    <t>EGXH</t>
  </si>
  <si>
    <t>RAF Honington</t>
  </si>
  <si>
    <t>BES</t>
  </si>
  <si>
    <t>LFRB</t>
  </si>
  <si>
    <t>Brest Bretagne Airport</t>
  </si>
  <si>
    <t>BET</t>
  </si>
  <si>
    <t>PABE</t>
  </si>
  <si>
    <t>Bethel Airport</t>
  </si>
  <si>
    <t>BEU</t>
  </si>
  <si>
    <t>YBIE</t>
  </si>
  <si>
    <t>Bedourie Airport</t>
  </si>
  <si>
    <t>BEV</t>
  </si>
  <si>
    <t>LLBS</t>
  </si>
  <si>
    <t>Be'er Sheva Airport</t>
  </si>
  <si>
    <t>BEW</t>
  </si>
  <si>
    <t>FQBR</t>
  </si>
  <si>
    <t>Beira Airport</t>
  </si>
  <si>
    <t>BEX</t>
  </si>
  <si>
    <t>EGUB</t>
  </si>
  <si>
    <t>RAF Benson</t>
  </si>
  <si>
    <t>BEY</t>
  </si>
  <si>
    <t>OLBA</t>
  </si>
  <si>
    <t>Rafic Hariri International Airport</t>
  </si>
  <si>
    <t>BEZ</t>
  </si>
  <si>
    <t>NGBR</t>
  </si>
  <si>
    <t>Beru Airport</t>
  </si>
  <si>
    <t>BFD</t>
  </si>
  <si>
    <t>KBFD</t>
  </si>
  <si>
    <t>Bradford Regional Airport</t>
  </si>
  <si>
    <t>BFE</t>
  </si>
  <si>
    <t>EDLI</t>
  </si>
  <si>
    <t>Bielefeld Airport</t>
  </si>
  <si>
    <t>BFF</t>
  </si>
  <si>
    <t>KBFF</t>
  </si>
  <si>
    <t>Western Nebraska Regional Airport (William B. Heilig Field)</t>
  </si>
  <si>
    <t>BFH</t>
  </si>
  <si>
    <t>SBBI</t>
  </si>
  <si>
    <t>Bacacheri Airport</t>
  </si>
  <si>
    <t>BFI</t>
  </si>
  <si>
    <t>KBFI</t>
  </si>
  <si>
    <t>Boeing Field/King County International Airport</t>
  </si>
  <si>
    <t>BFJ</t>
  </si>
  <si>
    <t>NFFA</t>
  </si>
  <si>
    <t>Ba Airport</t>
  </si>
  <si>
    <t>BFL</t>
  </si>
  <si>
    <t>KBFL</t>
  </si>
  <si>
    <t>Meadows Field</t>
  </si>
  <si>
    <t>BFM</t>
  </si>
  <si>
    <t>KBFM</t>
  </si>
  <si>
    <t>Mobile Downtown Airport</t>
  </si>
  <si>
    <t>BFN</t>
  </si>
  <si>
    <t>FABL</t>
  </si>
  <si>
    <t>Bloemfontein Airport</t>
  </si>
  <si>
    <t>BFO</t>
  </si>
  <si>
    <t>FVCZ</t>
  </si>
  <si>
    <t>Buffalo Range Airport</t>
  </si>
  <si>
    <t>BFP</t>
  </si>
  <si>
    <t>KBVI</t>
  </si>
  <si>
    <t>Beaver County Airport</t>
  </si>
  <si>
    <t>BFR</t>
  </si>
  <si>
    <t>KBFR</t>
  </si>
  <si>
    <t>Virgil I. Grissom Municipal Airport</t>
  </si>
  <si>
    <t>BFS</t>
  </si>
  <si>
    <t>EGAA</t>
  </si>
  <si>
    <t>Belfast International Airport</t>
  </si>
  <si>
    <t>BFU</t>
  </si>
  <si>
    <t>ZSBB</t>
  </si>
  <si>
    <t>Bengbu Airport</t>
  </si>
  <si>
    <t>BFV</t>
  </si>
  <si>
    <t>VTUO</t>
  </si>
  <si>
    <t>Buriram Airport</t>
  </si>
  <si>
    <t>BFX</t>
  </si>
  <si>
    <t>FKKU</t>
  </si>
  <si>
    <t>Bafoussem Airport</t>
  </si>
  <si>
    <t>BGA</t>
  </si>
  <si>
    <t>SKBG</t>
  </si>
  <si>
    <t>Palonegro Airport</t>
  </si>
  <si>
    <t>BGB</t>
  </si>
  <si>
    <t>FOGB</t>
  </si>
  <si>
    <t>Booue Airport</t>
  </si>
  <si>
    <t>BGC</t>
  </si>
  <si>
    <t>LPBG</t>
  </si>
  <si>
    <t>Bragança Airport</t>
  </si>
  <si>
    <t>BGD</t>
  </si>
  <si>
    <t>KBGD</t>
  </si>
  <si>
    <t>Hutchinson County Airport</t>
  </si>
  <si>
    <t>BGE</t>
  </si>
  <si>
    <t>KBGE</t>
  </si>
  <si>
    <t>Decatur County Industrial Airpark</t>
  </si>
  <si>
    <t>BGF</t>
  </si>
  <si>
    <t>FEFF</t>
  </si>
  <si>
    <t>Bangui M'Poko International Airport</t>
  </si>
  <si>
    <t>BGH</t>
  </si>
  <si>
    <t>GQNE</t>
  </si>
  <si>
    <t>Abbaye Airport</t>
  </si>
  <si>
    <t>BGI</t>
  </si>
  <si>
    <t>TBPB</t>
  </si>
  <si>
    <t>Grantley Adams International Airport</t>
  </si>
  <si>
    <t>BGJ</t>
  </si>
  <si>
    <t>BIBF</t>
  </si>
  <si>
    <t>Borgarfjörður Airport</t>
  </si>
  <si>
    <t>BGL</t>
  </si>
  <si>
    <t>VNBL</t>
  </si>
  <si>
    <t>Baglung Airport</t>
  </si>
  <si>
    <t>BGM</t>
  </si>
  <si>
    <t>KBGM</t>
  </si>
  <si>
    <t>Greater Binghamton Airport (Edwin A. Link Field)</t>
  </si>
  <si>
    <t>BGN</t>
  </si>
  <si>
    <t>ETUR</t>
  </si>
  <si>
    <t>RAF Brüggen</t>
  </si>
  <si>
    <t>BGO</t>
  </si>
  <si>
    <t>ENBR</t>
  </si>
  <si>
    <t>Bergen Flesland Airport</t>
  </si>
  <si>
    <t>BGQ</t>
  </si>
  <si>
    <t>PBGQ</t>
  </si>
  <si>
    <t>Big Lake Airport</t>
  </si>
  <si>
    <t>BGR</t>
  </si>
  <si>
    <t>KBGR</t>
  </si>
  <si>
    <t>Bangor International Airport</t>
  </si>
  <si>
    <t>BGT</t>
  </si>
  <si>
    <t>KE51</t>
  </si>
  <si>
    <t>Bagdad Airport</t>
  </si>
  <si>
    <t>BGU</t>
  </si>
  <si>
    <t>FEFG</t>
  </si>
  <si>
    <t>Bangassou Airport</t>
  </si>
  <si>
    <t>BGX</t>
  </si>
  <si>
    <t>SBBG</t>
  </si>
  <si>
    <t>Comandante Gustavo Kraemer Airport</t>
  </si>
  <si>
    <t>BGY</t>
  </si>
  <si>
    <t>LIME</t>
  </si>
  <si>
    <t>Orio al Serio International Airport</t>
  </si>
  <si>
    <t>BGZ</t>
  </si>
  <si>
    <t>LPBR</t>
  </si>
  <si>
    <t>Braga Airport</t>
  </si>
  <si>
    <t>BHA</t>
  </si>
  <si>
    <t>SESV</t>
  </si>
  <si>
    <t>Los Perales</t>
  </si>
  <si>
    <t>BHB</t>
  </si>
  <si>
    <t>KBHB</t>
  </si>
  <si>
    <t>Hancock County-Bar Harbor Airport</t>
  </si>
  <si>
    <t>BHD</t>
  </si>
  <si>
    <t>EGAC</t>
  </si>
  <si>
    <t>George Best Belfast City Airport</t>
  </si>
  <si>
    <t>BHE</t>
  </si>
  <si>
    <t>NZWB</t>
  </si>
  <si>
    <t>Woodbourne Airport</t>
  </si>
  <si>
    <t>BHF</t>
  </si>
  <si>
    <t>SKCP</t>
  </si>
  <si>
    <t>Bahía Cupica Airport</t>
  </si>
  <si>
    <t>BHG</t>
  </si>
  <si>
    <t>MHBL</t>
  </si>
  <si>
    <t>Brus Laguna Airport</t>
  </si>
  <si>
    <t>BHH</t>
  </si>
  <si>
    <t>OEBH</t>
  </si>
  <si>
    <t>Bisha Airport</t>
  </si>
  <si>
    <t>BHI</t>
  </si>
  <si>
    <t>SAZB</t>
  </si>
  <si>
    <t>Comandante Espora Airport</t>
  </si>
  <si>
    <t>BHJ</t>
  </si>
  <si>
    <t>VABJ</t>
  </si>
  <si>
    <t>Bhuj Airport / Bhuj Rudra Mata Air Force Base</t>
  </si>
  <si>
    <t>BHK</t>
  </si>
  <si>
    <t>UTSB</t>
  </si>
  <si>
    <t>Bukhara Airport</t>
  </si>
  <si>
    <t>BHM</t>
  </si>
  <si>
    <t>KBHM</t>
  </si>
  <si>
    <t>Birmingham International Airport</t>
  </si>
  <si>
    <t>BHN</t>
  </si>
  <si>
    <t>OYBN</t>
  </si>
  <si>
    <t>Beihan Airport</t>
  </si>
  <si>
    <t>BHO</t>
  </si>
  <si>
    <t>VABP</t>
  </si>
  <si>
    <t>Bhopal Airport</t>
  </si>
  <si>
    <t>BHP</t>
  </si>
  <si>
    <t>VNBJ</t>
  </si>
  <si>
    <t>Bhojpur Airport</t>
  </si>
  <si>
    <t>BHQ</t>
  </si>
  <si>
    <t>YBHI</t>
  </si>
  <si>
    <t>Broken Hill Airport</t>
  </si>
  <si>
    <t>BHR</t>
  </si>
  <si>
    <t>VNBP</t>
  </si>
  <si>
    <t>Bharatpur Airport</t>
  </si>
  <si>
    <t>BHS</t>
  </si>
  <si>
    <t>YBTH</t>
  </si>
  <si>
    <t>Bathurst Airport</t>
  </si>
  <si>
    <t>BHU</t>
  </si>
  <si>
    <t>VABV</t>
  </si>
  <si>
    <t>Bhavnagar Airport</t>
  </si>
  <si>
    <t>BHV</t>
  </si>
  <si>
    <t>OPBW</t>
  </si>
  <si>
    <t>Bahawalpur Airport</t>
  </si>
  <si>
    <t>BHX</t>
  </si>
  <si>
    <t>EGBB</t>
  </si>
  <si>
    <t>Birmingham Airport</t>
  </si>
  <si>
    <t>BHY</t>
  </si>
  <si>
    <t>ZGBH</t>
  </si>
  <si>
    <t>Beihai Airport</t>
  </si>
  <si>
    <t>BIA</t>
  </si>
  <si>
    <t>LFKB</t>
  </si>
  <si>
    <t>Bastia - Poretta Airport</t>
  </si>
  <si>
    <t>BIB</t>
  </si>
  <si>
    <t>HCMB</t>
  </si>
  <si>
    <t>Baidoa Airport</t>
  </si>
  <si>
    <t>BID</t>
  </si>
  <si>
    <t>KBID</t>
  </si>
  <si>
    <t>Block Island State Airport</t>
  </si>
  <si>
    <t>BIE</t>
  </si>
  <si>
    <t>KBIE</t>
  </si>
  <si>
    <t>Beatrice Municipal Airport</t>
  </si>
  <si>
    <t>BIF</t>
  </si>
  <si>
    <t>KBIF</t>
  </si>
  <si>
    <t>Biggs Army Airfield</t>
  </si>
  <si>
    <t>PABI</t>
  </si>
  <si>
    <t>Allen Army Airfield (formerly Big Delta Army Airfield)</t>
  </si>
  <si>
    <t>BIH</t>
  </si>
  <si>
    <t>KBIH</t>
  </si>
  <si>
    <t>Eastern Sierra Regional Airport</t>
  </si>
  <si>
    <t>BIK</t>
  </si>
  <si>
    <t>WABB</t>
  </si>
  <si>
    <t>Frans Kaisiepo Airport</t>
  </si>
  <si>
    <t>BIL</t>
  </si>
  <si>
    <t>WADL</t>
  </si>
  <si>
    <t>Bandara International Lombok Airport</t>
  </si>
  <si>
    <t>KBIL</t>
  </si>
  <si>
    <t>Billings Logan International Airport</t>
  </si>
  <si>
    <t>BIM</t>
  </si>
  <si>
    <t>MYBS</t>
  </si>
  <si>
    <t>South Bimini Airport</t>
  </si>
  <si>
    <t>BIN</t>
  </si>
  <si>
    <t>OABN</t>
  </si>
  <si>
    <t>Bamyan Airport</t>
  </si>
  <si>
    <t>BIO</t>
  </si>
  <si>
    <t>LEBB</t>
  </si>
  <si>
    <t>Bilbao Airport</t>
  </si>
  <si>
    <t>BIQ</t>
  </si>
  <si>
    <t>LFBZ</t>
  </si>
  <si>
    <t>Biarritz - Anglet - Bayonne Airport</t>
  </si>
  <si>
    <t>BIR</t>
  </si>
  <si>
    <t>VNVT</t>
  </si>
  <si>
    <t>Biratnagar Airport</t>
  </si>
  <si>
    <t>BIS</t>
  </si>
  <si>
    <t>KBIS</t>
  </si>
  <si>
    <t>Bismarck Municipal Airport</t>
  </si>
  <si>
    <t>BIT</t>
  </si>
  <si>
    <t>VNBT</t>
  </si>
  <si>
    <t>Baitadi Airport</t>
  </si>
  <si>
    <t>BIU</t>
  </si>
  <si>
    <t>BIBD</t>
  </si>
  <si>
    <t>Bíldudalur Airport</t>
  </si>
  <si>
    <t>BIV</t>
  </si>
  <si>
    <t>FEFR</t>
  </si>
  <si>
    <t>Bria Airport</t>
  </si>
  <si>
    <t>BIX</t>
  </si>
  <si>
    <t>KBIX</t>
  </si>
  <si>
    <t>Keesler Air Force Base</t>
  </si>
  <si>
    <t>BIY</t>
  </si>
  <si>
    <t>FABE</t>
  </si>
  <si>
    <t>Bisho Airport</t>
  </si>
  <si>
    <t>BJA</t>
  </si>
  <si>
    <t>DAAE</t>
  </si>
  <si>
    <t>Soummam Airport</t>
  </si>
  <si>
    <t>BJB</t>
  </si>
  <si>
    <t>OIMN</t>
  </si>
  <si>
    <t>Bojnord Airport</t>
  </si>
  <si>
    <t>BJC</t>
  </si>
  <si>
    <t>KBJC</t>
  </si>
  <si>
    <t>Rocky Mountain Metropolitan Airport</t>
  </si>
  <si>
    <t>BJD</t>
  </si>
  <si>
    <t>BIBK</t>
  </si>
  <si>
    <t>Bakkafjörður Airport</t>
  </si>
  <si>
    <t>BJF</t>
  </si>
  <si>
    <t>ENBS</t>
  </si>
  <si>
    <t>Båtsfjord Airport</t>
  </si>
  <si>
    <t>BJH</t>
  </si>
  <si>
    <t>VNBG</t>
  </si>
  <si>
    <t>Bajhang Airport</t>
  </si>
  <si>
    <t>BJI</t>
  </si>
  <si>
    <t>KBJI</t>
  </si>
  <si>
    <t>Bemidji Regional Airport</t>
  </si>
  <si>
    <t>BJJ</t>
  </si>
  <si>
    <t>KBJJ</t>
  </si>
  <si>
    <t>Wayne County Airport</t>
  </si>
  <si>
    <t>BJK</t>
  </si>
  <si>
    <t>WAPK</t>
  </si>
  <si>
    <t>Nangasuri Airport</t>
  </si>
  <si>
    <t>BJL</t>
  </si>
  <si>
    <t>GBYD</t>
  </si>
  <si>
    <t>Banjul International Airport</t>
  </si>
  <si>
    <t>BJM</t>
  </si>
  <si>
    <t>HBBA</t>
  </si>
  <si>
    <t>Bujumbura International Airport</t>
  </si>
  <si>
    <t>BJO</t>
  </si>
  <si>
    <t>SLBJ</t>
  </si>
  <si>
    <t>Bermejo Airport</t>
  </si>
  <si>
    <t>BJR</t>
  </si>
  <si>
    <t>HABD</t>
  </si>
  <si>
    <t>Bahar Dar Airport</t>
  </si>
  <si>
    <t>BJU</t>
  </si>
  <si>
    <t>VNBR</t>
  </si>
  <si>
    <t>Bajura Airport</t>
  </si>
  <si>
    <t>BJV</t>
  </si>
  <si>
    <t>LTFE</t>
  </si>
  <si>
    <t>Milas-Bodrum Airport</t>
  </si>
  <si>
    <t>BJW</t>
  </si>
  <si>
    <t>WATB</t>
  </si>
  <si>
    <t>Bajawa Padhameleda Airport</t>
  </si>
  <si>
    <t>WRKB</t>
  </si>
  <si>
    <t>Bajawa Airport</t>
  </si>
  <si>
    <t>BJX</t>
  </si>
  <si>
    <t>MMLO</t>
  </si>
  <si>
    <t>Del Bajío International Airport (Guanajuato Int'l Airport)</t>
  </si>
  <si>
    <t>BJY</t>
  </si>
  <si>
    <t>LYBT</t>
  </si>
  <si>
    <t>Batajnia Air Base</t>
  </si>
  <si>
    <t>BJZ</t>
  </si>
  <si>
    <t>LEBZ</t>
  </si>
  <si>
    <t>Talavera la Real Airport</t>
  </si>
  <si>
    <t>BKA</t>
  </si>
  <si>
    <t>UUBB</t>
  </si>
  <si>
    <t>Bykovo Airport</t>
  </si>
  <si>
    <t>BKB</t>
  </si>
  <si>
    <t>VIBK</t>
  </si>
  <si>
    <t>Nal Airport</t>
  </si>
  <si>
    <t>BKC</t>
  </si>
  <si>
    <t>PABL</t>
  </si>
  <si>
    <t>Buckland Airport</t>
  </si>
  <si>
    <t>BKD</t>
  </si>
  <si>
    <t>KBKD</t>
  </si>
  <si>
    <t>Stephens County Airport</t>
  </si>
  <si>
    <t>BKE</t>
  </si>
  <si>
    <t>KBKE</t>
  </si>
  <si>
    <t>Baker City Municipal Airport</t>
  </si>
  <si>
    <t>BKF</t>
  </si>
  <si>
    <t>KBKF</t>
  </si>
  <si>
    <t>Buckley Air Force Base</t>
  </si>
  <si>
    <t>BKH</t>
  </si>
  <si>
    <t>PHBK</t>
  </si>
  <si>
    <t>Barking Sands PMRF</t>
  </si>
  <si>
    <t>BKI</t>
  </si>
  <si>
    <t>WBKK</t>
  </si>
  <si>
    <t>Kota Kinabalu International Airport</t>
  </si>
  <si>
    <t>BKJ</t>
  </si>
  <si>
    <t>GUOK</t>
  </si>
  <si>
    <t>Boké Airport</t>
  </si>
  <si>
    <t>BKK</t>
  </si>
  <si>
    <t>VTBS</t>
  </si>
  <si>
    <t>Suvarnabhumi Airport</t>
  </si>
  <si>
    <t>BKL</t>
  </si>
  <si>
    <t>KBKL</t>
  </si>
  <si>
    <t>Burke Lakefront Airport</t>
  </si>
  <si>
    <t>BKM</t>
  </si>
  <si>
    <t>WBGQ</t>
  </si>
  <si>
    <t>Bakalalan Airport</t>
  </si>
  <si>
    <t>BKN</t>
  </si>
  <si>
    <t>DRRB</t>
  </si>
  <si>
    <t>Birni Nkoni Airport</t>
  </si>
  <si>
    <t>BKO</t>
  </si>
  <si>
    <t>GABS</t>
  </si>
  <si>
    <t>Senou International Airport</t>
  </si>
  <si>
    <t>BKQ</t>
  </si>
  <si>
    <t>YBCK</t>
  </si>
  <si>
    <t>Blackall Airport</t>
  </si>
  <si>
    <t>BKR</t>
  </si>
  <si>
    <t>FTTK</t>
  </si>
  <si>
    <t>Bokoro Airport</t>
  </si>
  <si>
    <t>BKS</t>
  </si>
  <si>
    <t>WIPL</t>
  </si>
  <si>
    <t>Padang Kemiling Airport (Fatmawati Soekarno Airport)</t>
  </si>
  <si>
    <t>BKT</t>
  </si>
  <si>
    <t>KBKT</t>
  </si>
  <si>
    <t>Allen C. Perkinson Airport / Blackstone Army Airfield</t>
  </si>
  <si>
    <t>BKU</t>
  </si>
  <si>
    <t>FMSV</t>
  </si>
  <si>
    <t>Betioky Airport</t>
  </si>
  <si>
    <t>BKW</t>
  </si>
  <si>
    <t>KBKW</t>
  </si>
  <si>
    <t>Raleigh County Memorial Airport</t>
  </si>
  <si>
    <t>BKX</t>
  </si>
  <si>
    <t>KBKX</t>
  </si>
  <si>
    <t>Brookings Regional Airport</t>
  </si>
  <si>
    <t>BKY</t>
  </si>
  <si>
    <t>FZMA</t>
  </si>
  <si>
    <t>Kuvumu Airport</t>
  </si>
  <si>
    <t>BKZ</t>
  </si>
  <si>
    <t>HTBU</t>
  </si>
  <si>
    <t>Bukoba Airport</t>
  </si>
  <si>
    <t>BLA</t>
  </si>
  <si>
    <t>SVBC</t>
  </si>
  <si>
    <t>Generál José Antonio Anzoátegui International Airport</t>
  </si>
  <si>
    <t>BLB</t>
  </si>
  <si>
    <t>MPHO</t>
  </si>
  <si>
    <t>Howard Airport (private, former Howard AFB)</t>
  </si>
  <si>
    <t>BLC</t>
  </si>
  <si>
    <t>FKKG</t>
  </si>
  <si>
    <t>Bali Airport</t>
  </si>
  <si>
    <t>BLE</t>
  </si>
  <si>
    <t>ESSD</t>
  </si>
  <si>
    <t>Borlänge Airport (Dala Airport)</t>
  </si>
  <si>
    <t>BLF</t>
  </si>
  <si>
    <t>KBLF</t>
  </si>
  <si>
    <t>Mercer County Airport</t>
  </si>
  <si>
    <t>BLG</t>
  </si>
  <si>
    <t>WBGC</t>
  </si>
  <si>
    <t>Belaga Airport</t>
  </si>
  <si>
    <t>BLH</t>
  </si>
  <si>
    <t>KBLH</t>
  </si>
  <si>
    <t>Blythe Airport</t>
  </si>
  <si>
    <t>BLI</t>
  </si>
  <si>
    <t>KBLI</t>
  </si>
  <si>
    <t>Bellingham International Airport</t>
  </si>
  <si>
    <t>BLJ</t>
  </si>
  <si>
    <t>DABT</t>
  </si>
  <si>
    <t>Batna Airport</t>
  </si>
  <si>
    <t>BLK</t>
  </si>
  <si>
    <t>EGNH</t>
  </si>
  <si>
    <t>Blackpool International Airport</t>
  </si>
  <si>
    <t>BLL</t>
  </si>
  <si>
    <t>EKBI</t>
  </si>
  <si>
    <t>Billund Airport</t>
  </si>
  <si>
    <t>BLM</t>
  </si>
  <si>
    <t>KBLM</t>
  </si>
  <si>
    <t>Monmouth Executive Airport</t>
  </si>
  <si>
    <t>BLN</t>
  </si>
  <si>
    <t>YBLA</t>
  </si>
  <si>
    <t>Benalla Airport</t>
  </si>
  <si>
    <t>BLO</t>
  </si>
  <si>
    <t>BIBL</t>
  </si>
  <si>
    <t>Hjaltabakki Airport</t>
  </si>
  <si>
    <t>BLP</t>
  </si>
  <si>
    <t>SPBL</t>
  </si>
  <si>
    <t>Huallaga Airport</t>
  </si>
  <si>
    <t>BLQ</t>
  </si>
  <si>
    <t>LIPE</t>
  </si>
  <si>
    <t>Bologna-Borgo Panigale "Guglielmo Marconi" Airport</t>
  </si>
  <si>
    <t>BLR</t>
  </si>
  <si>
    <t>VOBL</t>
  </si>
  <si>
    <t>Kempegowda International Airport</t>
  </si>
  <si>
    <t>BLS</t>
  </si>
  <si>
    <t>YBLL</t>
  </si>
  <si>
    <t>Bollon Airport</t>
  </si>
  <si>
    <t>BLT</t>
  </si>
  <si>
    <t>YBTR</t>
  </si>
  <si>
    <t>Blackwater Airport</t>
  </si>
  <si>
    <t>BLU</t>
  </si>
  <si>
    <t>KBLU</t>
  </si>
  <si>
    <t>Blue Canyon - Nyack Airport</t>
  </si>
  <si>
    <t>BLV</t>
  </si>
  <si>
    <t>KBLV</t>
  </si>
  <si>
    <t>MidAmerica St. Louis Airport / Scott Air Force Base</t>
  </si>
  <si>
    <t>BLX</t>
  </si>
  <si>
    <t>LIDB</t>
  </si>
  <si>
    <t>Arturo dell'Oro</t>
  </si>
  <si>
    <t>BLY</t>
  </si>
  <si>
    <t>EIBT</t>
  </si>
  <si>
    <t>Belmullet Airport</t>
  </si>
  <si>
    <t>BLZ</t>
  </si>
  <si>
    <t>FWCL</t>
  </si>
  <si>
    <t>Chileka International Airport</t>
  </si>
  <si>
    <t>BMA</t>
  </si>
  <si>
    <t>ESSB</t>
  </si>
  <si>
    <t>Stockholm-Bromma Airport</t>
  </si>
  <si>
    <t>BMB</t>
  </si>
  <si>
    <t>FZFU</t>
  </si>
  <si>
    <t>Bumbar Airport</t>
  </si>
  <si>
    <t>BMC</t>
  </si>
  <si>
    <t>KBMC</t>
  </si>
  <si>
    <t>Brigham City Airport</t>
  </si>
  <si>
    <t>BMD</t>
  </si>
  <si>
    <t>FMML</t>
  </si>
  <si>
    <t>Belo sur Tsiribihina Airport</t>
  </si>
  <si>
    <t>BME</t>
  </si>
  <si>
    <t>YBRM</t>
  </si>
  <si>
    <t>Broome International Airport</t>
  </si>
  <si>
    <t>BMF</t>
  </si>
  <si>
    <t>FEGM</t>
  </si>
  <si>
    <t>Bakouma Airport</t>
  </si>
  <si>
    <t>BMG</t>
  </si>
  <si>
    <t>KBMG</t>
  </si>
  <si>
    <t>Monroe County Airport</t>
  </si>
  <si>
    <t>BMI</t>
  </si>
  <si>
    <t>KBMI</t>
  </si>
  <si>
    <t>Central Illinois Regional Airport</t>
  </si>
  <si>
    <t>BMJ</t>
  </si>
  <si>
    <t>SYBR</t>
  </si>
  <si>
    <t>Baramita Airport</t>
  </si>
  <si>
    <t>BMK</t>
  </si>
  <si>
    <t>EDWR</t>
  </si>
  <si>
    <t>Borkum Airport</t>
  </si>
  <si>
    <t>BML</t>
  </si>
  <si>
    <t>KBML</t>
  </si>
  <si>
    <t>Berlin Municipal Airport</t>
  </si>
  <si>
    <t>BMM</t>
  </si>
  <si>
    <t>FOOB</t>
  </si>
  <si>
    <t>Bitam Airport</t>
  </si>
  <si>
    <t>BMN</t>
  </si>
  <si>
    <t>ORBB</t>
  </si>
  <si>
    <t>Bamarni Airport</t>
  </si>
  <si>
    <t>BMO</t>
  </si>
  <si>
    <t>VYBM</t>
  </si>
  <si>
    <t>Bhamo Airport</t>
  </si>
  <si>
    <t>BMP</t>
  </si>
  <si>
    <t>YBPI</t>
  </si>
  <si>
    <t>Brampton Island Airport</t>
  </si>
  <si>
    <t>BMR</t>
  </si>
  <si>
    <t>EDWZ</t>
  </si>
  <si>
    <t>Baltrum Airport</t>
  </si>
  <si>
    <t>BMS</t>
  </si>
  <si>
    <t>SNBU</t>
  </si>
  <si>
    <t>Socrates Mariani Bittencourt Airport</t>
  </si>
  <si>
    <t>BMT</t>
  </si>
  <si>
    <t>KBMT</t>
  </si>
  <si>
    <t>Beaumont Municipal Airport</t>
  </si>
  <si>
    <t>BMU</t>
  </si>
  <si>
    <t>WADB</t>
  </si>
  <si>
    <t>Bima Airport</t>
  </si>
  <si>
    <t>BMV</t>
  </si>
  <si>
    <t>VVBM</t>
  </si>
  <si>
    <t>Phung-Duc Airport</t>
  </si>
  <si>
    <t>BMW</t>
  </si>
  <si>
    <t>DATM</t>
  </si>
  <si>
    <t>Bordj Badji Mokhtar Airport</t>
  </si>
  <si>
    <t>BMX</t>
  </si>
  <si>
    <t>PABM</t>
  </si>
  <si>
    <t>Big Mountain Airport</t>
  </si>
  <si>
    <t>BMY</t>
  </si>
  <si>
    <t>NWWC</t>
  </si>
  <si>
    <t>Île Art - Waala Airport (Belep Islands Airport)</t>
  </si>
  <si>
    <t>BNA</t>
  </si>
  <si>
    <t>KBNA</t>
  </si>
  <si>
    <t>Nashville International Airport</t>
  </si>
  <si>
    <t>BNB</t>
  </si>
  <si>
    <t>FZGN</t>
  </si>
  <si>
    <t>Boende Airport</t>
  </si>
  <si>
    <t>BNC</t>
  </si>
  <si>
    <t>FZNP</t>
  </si>
  <si>
    <t>Beni Airport</t>
  </si>
  <si>
    <t>BND</t>
  </si>
  <si>
    <t>OIKB</t>
  </si>
  <si>
    <t>Bandar Abbas International Airport</t>
  </si>
  <si>
    <t>BNE</t>
  </si>
  <si>
    <t>YBBN</t>
  </si>
  <si>
    <t>Brisbane Airport</t>
  </si>
  <si>
    <t>BNG</t>
  </si>
  <si>
    <t>KBNG</t>
  </si>
  <si>
    <t>Banning Municipal Airport</t>
  </si>
  <si>
    <t>BNI</t>
  </si>
  <si>
    <t>DNBE</t>
  </si>
  <si>
    <t>Benin City Airport</t>
  </si>
  <si>
    <t>BNK</t>
  </si>
  <si>
    <t>YBNA</t>
  </si>
  <si>
    <t>Ballina Airport</t>
  </si>
  <si>
    <t>BNL</t>
  </si>
  <si>
    <t>KBNL</t>
  </si>
  <si>
    <t>Barnwell Regional Airport</t>
  </si>
  <si>
    <t>BNN</t>
  </si>
  <si>
    <t>ENBN</t>
  </si>
  <si>
    <t>Brønnøysund Airport, Brønnøy</t>
  </si>
  <si>
    <t>BNO</t>
  </si>
  <si>
    <t>KBNO</t>
  </si>
  <si>
    <t>Burns Municipal Airport</t>
  </si>
  <si>
    <t>BNP</t>
  </si>
  <si>
    <t>OPBN</t>
  </si>
  <si>
    <t>Bannu Airport</t>
  </si>
  <si>
    <t>BNR</t>
  </si>
  <si>
    <t>DFOB</t>
  </si>
  <si>
    <t>Banfora Airport</t>
  </si>
  <si>
    <t>BNS</t>
  </si>
  <si>
    <t>SVBI</t>
  </si>
  <si>
    <t>Barinas Airport</t>
  </si>
  <si>
    <t>BNU</t>
  </si>
  <si>
    <t>SSBL</t>
  </si>
  <si>
    <t>Blumenau Airport</t>
  </si>
  <si>
    <t>BNW</t>
  </si>
  <si>
    <t>KBNW</t>
  </si>
  <si>
    <t>Boone Municipal Airport</t>
  </si>
  <si>
    <t>BNX</t>
  </si>
  <si>
    <t>LQBK</t>
  </si>
  <si>
    <t>Banja Luka International Airport</t>
  </si>
  <si>
    <t>BNY</t>
  </si>
  <si>
    <t>AGGB</t>
  </si>
  <si>
    <t>Bellona/Anua Airport</t>
  </si>
  <si>
    <t>BOA</t>
  </si>
  <si>
    <t>FZAJ</t>
  </si>
  <si>
    <t>Boma Airport</t>
  </si>
  <si>
    <t>BOB</t>
  </si>
  <si>
    <t>NTTB</t>
  </si>
  <si>
    <t>Bora Bora Airport (Motu Mute Airport)</t>
  </si>
  <si>
    <t>BOC</t>
  </si>
  <si>
    <t>MPBO</t>
  </si>
  <si>
    <t>Bocas del Toro "Isla Colon" International Airport</t>
  </si>
  <si>
    <t>BOD</t>
  </si>
  <si>
    <t>LFBD</t>
  </si>
  <si>
    <t>Bordeaux - Mérignac Airport</t>
  </si>
  <si>
    <t>BOE</t>
  </si>
  <si>
    <t>FCOB</t>
  </si>
  <si>
    <t>Boundji Airport</t>
  </si>
  <si>
    <t>BOF</t>
  </si>
  <si>
    <t>KBOF</t>
  </si>
  <si>
    <t>Bolling Air Force Base</t>
  </si>
  <si>
    <t>BOG</t>
  </si>
  <si>
    <t>SKBO</t>
  </si>
  <si>
    <t>El Dorado International Airport</t>
  </si>
  <si>
    <t>BOH</t>
  </si>
  <si>
    <t>EGHH</t>
  </si>
  <si>
    <t>Bournemouth Airport</t>
  </si>
  <si>
    <t>BOI</t>
  </si>
  <si>
    <t>KBOI</t>
  </si>
  <si>
    <t>Boise Air Terminal (Gowen Field)</t>
  </si>
  <si>
    <t>BOJ</t>
  </si>
  <si>
    <t>LBBG</t>
  </si>
  <si>
    <t>Burgas Airport</t>
  </si>
  <si>
    <t>BOK</t>
  </si>
  <si>
    <t>KBOK</t>
  </si>
  <si>
    <t>Brookings Airport</t>
  </si>
  <si>
    <t>BOL</t>
  </si>
  <si>
    <t>EGQB</t>
  </si>
  <si>
    <t>Bally Kelly Airport</t>
  </si>
  <si>
    <t>BOM</t>
  </si>
  <si>
    <t>VABB</t>
  </si>
  <si>
    <t>Chhatrapati Shivaji Maharaj International Airport</t>
  </si>
  <si>
    <t>BON</t>
  </si>
  <si>
    <t>TNCB</t>
  </si>
  <si>
    <t>Flamingo International Airport</t>
  </si>
  <si>
    <t>BOO</t>
  </si>
  <si>
    <t>ENBO</t>
  </si>
  <si>
    <t>Bodø Airport</t>
  </si>
  <si>
    <t>BOP</t>
  </si>
  <si>
    <t>FEFO</t>
  </si>
  <si>
    <t>Bouar Airport</t>
  </si>
  <si>
    <t>BOR</t>
  </si>
  <si>
    <t>LFSQ</t>
  </si>
  <si>
    <t>Belfort - Fontaine Airport</t>
  </si>
  <si>
    <t>BOS</t>
  </si>
  <si>
    <t>KBOS</t>
  </si>
  <si>
    <t>Logan International Airport</t>
  </si>
  <si>
    <t>BOU</t>
  </si>
  <si>
    <t>LFLD</t>
  </si>
  <si>
    <t>Bourges Airport</t>
  </si>
  <si>
    <t>BOW</t>
  </si>
  <si>
    <t>KBOW</t>
  </si>
  <si>
    <t>Bartow Municipal Airport</t>
  </si>
  <si>
    <t>BOX</t>
  </si>
  <si>
    <t>YBRL</t>
  </si>
  <si>
    <t>Borroloola Airport</t>
  </si>
  <si>
    <t>BOY</t>
  </si>
  <si>
    <t>DFOO</t>
  </si>
  <si>
    <t>Bobo-Dioulasso Airport</t>
  </si>
  <si>
    <t>BOZ</t>
  </si>
  <si>
    <t>FEGZ</t>
  </si>
  <si>
    <t>Bozoum Airport</t>
  </si>
  <si>
    <t>BPC</t>
  </si>
  <si>
    <t>FKKV</t>
  </si>
  <si>
    <t>Bamenda Airport</t>
  </si>
  <si>
    <t>BPE</t>
  </si>
  <si>
    <t>VYBG</t>
  </si>
  <si>
    <t>Bagan Airport</t>
  </si>
  <si>
    <t>BPF</t>
  </si>
  <si>
    <t>AGBT</t>
  </si>
  <si>
    <t>Batuna Airport</t>
  </si>
  <si>
    <t>BPG</t>
  </si>
  <si>
    <t>SBBW</t>
  </si>
  <si>
    <t>Barra do Garças Airport</t>
  </si>
  <si>
    <t>BPH</t>
  </si>
  <si>
    <t>RPMF</t>
  </si>
  <si>
    <t>Bislig Airport</t>
  </si>
  <si>
    <t>BPI</t>
  </si>
  <si>
    <t>KBPI</t>
  </si>
  <si>
    <t>Big Piney-Marbleton Airport</t>
  </si>
  <si>
    <t>BPL</t>
  </si>
  <si>
    <t>ZWBL</t>
  </si>
  <si>
    <t>Alashankou Bole (Bortala) airport</t>
  </si>
  <si>
    <t>BPN</t>
  </si>
  <si>
    <t>WALL</t>
  </si>
  <si>
    <t>Sepinggan International Airport</t>
  </si>
  <si>
    <t>BPR</t>
  </si>
  <si>
    <t>RPVW</t>
  </si>
  <si>
    <t>Borongan Airport</t>
  </si>
  <si>
    <t>BPS</t>
  </si>
  <si>
    <t>SBPS</t>
  </si>
  <si>
    <t>Porto Seguro Airport</t>
  </si>
  <si>
    <t>BPT</t>
  </si>
  <si>
    <t>KBPT</t>
  </si>
  <si>
    <t>Southeast Texas Regional Airport</t>
  </si>
  <si>
    <t>BPX</t>
  </si>
  <si>
    <t>ZUBD</t>
  </si>
  <si>
    <t>Qamdo Bangda Airport</t>
  </si>
  <si>
    <t>BPY</t>
  </si>
  <si>
    <t>FMNQ</t>
  </si>
  <si>
    <t>Besalampy Airport</t>
  </si>
  <si>
    <t>BQA</t>
  </si>
  <si>
    <t>RPUR</t>
  </si>
  <si>
    <t>Baler Airport</t>
  </si>
  <si>
    <t>BQB</t>
  </si>
  <si>
    <t>YBLN</t>
  </si>
  <si>
    <t>Busselton Regional Airport</t>
  </si>
  <si>
    <t>BQD</t>
  </si>
  <si>
    <t>BIBR</t>
  </si>
  <si>
    <t>Búðardalur Airport</t>
  </si>
  <si>
    <t>BQE</t>
  </si>
  <si>
    <t>GGBU</t>
  </si>
  <si>
    <t>Bubaque Airport</t>
  </si>
  <si>
    <t>BQG</t>
  </si>
  <si>
    <t>UHNB</t>
  </si>
  <si>
    <t>Bogorodskoye Airport</t>
  </si>
  <si>
    <t>BQH</t>
  </si>
  <si>
    <t>EGKB</t>
  </si>
  <si>
    <t>London Biggin Hill Airport</t>
  </si>
  <si>
    <t>BQK</t>
  </si>
  <si>
    <t>KBQK</t>
  </si>
  <si>
    <t>Brunswick Golden Isles Airport</t>
  </si>
  <si>
    <t>BQL</t>
  </si>
  <si>
    <t>YBOU</t>
  </si>
  <si>
    <t>Boulia Airport</t>
  </si>
  <si>
    <t>BQN</t>
  </si>
  <si>
    <t>TJBQ</t>
  </si>
  <si>
    <t>Rafael Hernández Airport</t>
  </si>
  <si>
    <t>BQO</t>
  </si>
  <si>
    <t>DIBN</t>
  </si>
  <si>
    <t>Bouna Airport</t>
  </si>
  <si>
    <t>BQQ</t>
  </si>
  <si>
    <t>SNBX</t>
  </si>
  <si>
    <t>Barra Airport</t>
  </si>
  <si>
    <t>BQS</t>
  </si>
  <si>
    <t>UHBB</t>
  </si>
  <si>
    <t>Ignatyevo Airport</t>
  </si>
  <si>
    <t>BQT</t>
  </si>
  <si>
    <t>UMBB</t>
  </si>
  <si>
    <t>Brest Airport</t>
  </si>
  <si>
    <t>BQU</t>
  </si>
  <si>
    <t>TVSB</t>
  </si>
  <si>
    <t>J.F. Mitchell Airport</t>
  </si>
  <si>
    <t>BQW</t>
  </si>
  <si>
    <t>YBGO</t>
  </si>
  <si>
    <t>Balgo Hill Airport</t>
  </si>
  <si>
    <t>BRA</t>
  </si>
  <si>
    <t>SNBR</t>
  </si>
  <si>
    <t>Barreiras Airport</t>
  </si>
  <si>
    <t>BRB</t>
  </si>
  <si>
    <t>SBRR</t>
  </si>
  <si>
    <t>Barreirinhas Airport</t>
  </si>
  <si>
    <t>BRC</t>
  </si>
  <si>
    <t>SAZS</t>
  </si>
  <si>
    <t>San Carlos de Bariloche International Airport</t>
  </si>
  <si>
    <t>BRD</t>
  </si>
  <si>
    <t>KBRD</t>
  </si>
  <si>
    <t>Brainerd Lakes Regional Airport</t>
  </si>
  <si>
    <t>BRE</t>
  </si>
  <si>
    <t>EDDW</t>
  </si>
  <si>
    <t>Bremen Airport</t>
  </si>
  <si>
    <t>BRI</t>
  </si>
  <si>
    <t>LIBD</t>
  </si>
  <si>
    <t>Palese Macchie Airport</t>
  </si>
  <si>
    <t>BRK</t>
  </si>
  <si>
    <t>YBKE</t>
  </si>
  <si>
    <t>Bourke Airport</t>
  </si>
  <si>
    <t>BRL</t>
  </si>
  <si>
    <t>KBRL</t>
  </si>
  <si>
    <t>Southeast Iowa Regional Airport</t>
  </si>
  <si>
    <t>BRM</t>
  </si>
  <si>
    <t>SVBM</t>
  </si>
  <si>
    <t>Jacinto Lara International Airport</t>
  </si>
  <si>
    <t>BRN</t>
  </si>
  <si>
    <t>LSZB</t>
  </si>
  <si>
    <t>Bern Airport</t>
  </si>
  <si>
    <t>BRO</t>
  </si>
  <si>
    <t>KBRO</t>
  </si>
  <si>
    <t>Brownsville/South Padre Island International Airport</t>
  </si>
  <si>
    <t>BRQ</t>
  </si>
  <si>
    <t>LKTB</t>
  </si>
  <si>
    <t>Brno-Tu?any Airport</t>
  </si>
  <si>
    <t>BRR</t>
  </si>
  <si>
    <t>EGPR</t>
  </si>
  <si>
    <t>Barra Airport (Northbay Airport)</t>
  </si>
  <si>
    <t>BRS</t>
  </si>
  <si>
    <t>EGGD</t>
  </si>
  <si>
    <t>Bristol Airport</t>
  </si>
  <si>
    <t>BRT</t>
  </si>
  <si>
    <t>YBTI</t>
  </si>
  <si>
    <t>Bathurst Island Airport</t>
  </si>
  <si>
    <t>BRU</t>
  </si>
  <si>
    <t>EBBR</t>
  </si>
  <si>
    <t>Brussels Airport</t>
  </si>
  <si>
    <t>BRV</t>
  </si>
  <si>
    <t>EDWB</t>
  </si>
  <si>
    <t>Bremerhaven Airport</t>
  </si>
  <si>
    <t>BRW</t>
  </si>
  <si>
    <t>PABR</t>
  </si>
  <si>
    <t>Wiley Post-Will Rogers Memorial Airport</t>
  </si>
  <si>
    <t>BRX</t>
  </si>
  <si>
    <t>MDBH</t>
  </si>
  <si>
    <t>Maria Montez International Airport</t>
  </si>
  <si>
    <t>BRY</t>
  </si>
  <si>
    <t>KBRY</t>
  </si>
  <si>
    <t>Samuels Field</t>
  </si>
  <si>
    <t>BSA</t>
  </si>
  <si>
    <t>HCMF</t>
  </si>
  <si>
    <t>Bender Qassim International Airport</t>
  </si>
  <si>
    <t>BSB</t>
  </si>
  <si>
    <t>SBBR</t>
  </si>
  <si>
    <t>Presidente Juscelino Kubitschek International Airport</t>
  </si>
  <si>
    <t>BSC</t>
  </si>
  <si>
    <t>SKBS</t>
  </si>
  <si>
    <t>José Celestino Mutis Airport</t>
  </si>
  <si>
    <t>BSD</t>
  </si>
  <si>
    <t>ZPBS</t>
  </si>
  <si>
    <t>Baoshan Airport</t>
  </si>
  <si>
    <t>BSE</t>
  </si>
  <si>
    <t>WBGN</t>
  </si>
  <si>
    <t>Sematan Airport</t>
  </si>
  <si>
    <t>BSF</t>
  </si>
  <si>
    <t>PHSF</t>
  </si>
  <si>
    <t>Bradshaw Army Airfield</t>
  </si>
  <si>
    <t>BSG</t>
  </si>
  <si>
    <t>FGBT</t>
  </si>
  <si>
    <t>Bata Airport</t>
  </si>
  <si>
    <t>BSJ</t>
  </si>
  <si>
    <t>YBNS</t>
  </si>
  <si>
    <t>Bairnsdale Airport</t>
  </si>
  <si>
    <t>BSK</t>
  </si>
  <si>
    <t>DAUB</t>
  </si>
  <si>
    <t>Biskra Airport</t>
  </si>
  <si>
    <t>BSL</t>
  </si>
  <si>
    <t>LFSB</t>
  </si>
  <si>
    <t>EuroAirport Basel Mulhouse Freiburg</t>
  </si>
  <si>
    <t>BSM</t>
  </si>
  <si>
    <t>OINJ</t>
  </si>
  <si>
    <t>Bishe Kola Air Base</t>
  </si>
  <si>
    <t>BSN</t>
  </si>
  <si>
    <t>FEFS</t>
  </si>
  <si>
    <t>Bossangoa Airport</t>
  </si>
  <si>
    <t>BSO</t>
  </si>
  <si>
    <t>RPUO</t>
  </si>
  <si>
    <t>Basco Airport</t>
  </si>
  <si>
    <t>BSR</t>
  </si>
  <si>
    <t>ORMM</t>
  </si>
  <si>
    <t>Basrah International Airport</t>
  </si>
  <si>
    <t>BSS</t>
  </si>
  <si>
    <t>SNBS</t>
  </si>
  <si>
    <t>Balsas Airport</t>
  </si>
  <si>
    <t>BST</t>
  </si>
  <si>
    <t>OABT</t>
  </si>
  <si>
    <t>Bost Airport</t>
  </si>
  <si>
    <t>BSU</t>
  </si>
  <si>
    <t>FZEN</t>
  </si>
  <si>
    <t>Basankusu Airport</t>
  </si>
  <si>
    <t>BSX</t>
  </si>
  <si>
    <t>VYPN</t>
  </si>
  <si>
    <t>Bassein Airport</t>
  </si>
  <si>
    <t>BSY</t>
  </si>
  <si>
    <t>HCMD</t>
  </si>
  <si>
    <t>Bardera Airport</t>
  </si>
  <si>
    <t>BTA</t>
  </si>
  <si>
    <t>FKKO</t>
  </si>
  <si>
    <t>Bertoua Airport</t>
  </si>
  <si>
    <t>BTB</t>
  </si>
  <si>
    <t>FCOT</t>
  </si>
  <si>
    <t>Betou Airport</t>
  </si>
  <si>
    <t>BTC</t>
  </si>
  <si>
    <t>VCCB</t>
  </si>
  <si>
    <t>Batticaloa Airport</t>
  </si>
  <si>
    <t>BTE</t>
  </si>
  <si>
    <t>GFBN</t>
  </si>
  <si>
    <t>Bonthe Airport</t>
  </si>
  <si>
    <t>BTF</t>
  </si>
  <si>
    <t>KBTF</t>
  </si>
  <si>
    <t>Skypark Airport</t>
  </si>
  <si>
    <t>BTG</t>
  </si>
  <si>
    <t>FEGF</t>
  </si>
  <si>
    <t>Batangafo Airport</t>
  </si>
  <si>
    <t>BTH</t>
  </si>
  <si>
    <t>WIDD</t>
  </si>
  <si>
    <t>Hang Nadim Airport</t>
  </si>
  <si>
    <t>BTI</t>
  </si>
  <si>
    <t>PABA</t>
  </si>
  <si>
    <t>Barter Island LRRS</t>
  </si>
  <si>
    <t>BTJ</t>
  </si>
  <si>
    <t>WITT</t>
  </si>
  <si>
    <t>Sultan Iskandarmuda Airport</t>
  </si>
  <si>
    <t>BTK</t>
  </si>
  <si>
    <t>UIBB</t>
  </si>
  <si>
    <t>Bratsk Airport</t>
  </si>
  <si>
    <t>BTL</t>
  </si>
  <si>
    <t>KBTL</t>
  </si>
  <si>
    <t>W. K. Kellogg Airport</t>
  </si>
  <si>
    <t>BTM</t>
  </si>
  <si>
    <t>KBTM</t>
  </si>
  <si>
    <t>Bert Mooney Airport</t>
  </si>
  <si>
    <t>BTN</t>
  </si>
  <si>
    <t>KBBP</t>
  </si>
  <si>
    <t>Marlboro County Jetport</t>
  </si>
  <si>
    <t>BTP</t>
  </si>
  <si>
    <t>KBTP</t>
  </si>
  <si>
    <t>Butler County Airport (K.W. Scholter Field)</t>
  </si>
  <si>
    <t>BTQ</t>
  </si>
  <si>
    <t>HRYI</t>
  </si>
  <si>
    <t>Butare Airport</t>
  </si>
  <si>
    <t>BTR</t>
  </si>
  <si>
    <t>KBTR</t>
  </si>
  <si>
    <t>Baton Rouge Metropolitan Airport (Ryan Field)</t>
  </si>
  <si>
    <t>BTS</t>
  </si>
  <si>
    <t>LZIB</t>
  </si>
  <si>
    <t>Bratislava Airport</t>
  </si>
  <si>
    <t>BTT</t>
  </si>
  <si>
    <t>PABT</t>
  </si>
  <si>
    <t>Bettles Airport</t>
  </si>
  <si>
    <t>BTU</t>
  </si>
  <si>
    <t>WBGB</t>
  </si>
  <si>
    <t>Bintulu Airport</t>
  </si>
  <si>
    <t>BTV</t>
  </si>
  <si>
    <t>KBTV</t>
  </si>
  <si>
    <t>Burlington International Airport</t>
  </si>
  <si>
    <t>BTW</t>
  </si>
  <si>
    <t>WAOC</t>
  </si>
  <si>
    <t>Batu Licin Airport</t>
  </si>
  <si>
    <t>BTX</t>
  </si>
  <si>
    <t>YBEO</t>
  </si>
  <si>
    <t>Betoota Airport</t>
  </si>
  <si>
    <t>BTY</t>
  </si>
  <si>
    <t>KBTY</t>
  </si>
  <si>
    <t>Beatty Airport</t>
  </si>
  <si>
    <t>BTZ</t>
  </si>
  <si>
    <t>LTBE</t>
  </si>
  <si>
    <t>Bursa Airport</t>
  </si>
  <si>
    <t>BUA</t>
  </si>
  <si>
    <t>AYBK</t>
  </si>
  <si>
    <t>Buka Island Airport</t>
  </si>
  <si>
    <t>BUB</t>
  </si>
  <si>
    <t>KBUB</t>
  </si>
  <si>
    <t>Cram Field</t>
  </si>
  <si>
    <t>BUC</t>
  </si>
  <si>
    <t>YBKT</t>
  </si>
  <si>
    <t>Burketown Airport</t>
  </si>
  <si>
    <t>BUD</t>
  </si>
  <si>
    <t>LHBP</t>
  </si>
  <si>
    <t>Budapest Ferenc Liszt International Airport</t>
  </si>
  <si>
    <t>BUF</t>
  </si>
  <si>
    <t>KBUF</t>
  </si>
  <si>
    <t>Buffalo Niagara International Airport</t>
  </si>
  <si>
    <t>BUG</t>
  </si>
  <si>
    <t>FNBG</t>
  </si>
  <si>
    <t>Benguela Airport (Gen. V. Deslandes Airport)</t>
  </si>
  <si>
    <t>BUI</t>
  </si>
  <si>
    <t>WAJB</t>
  </si>
  <si>
    <t>Bokondini Airport</t>
  </si>
  <si>
    <t>BUJ</t>
  </si>
  <si>
    <t>DAAD</t>
  </si>
  <si>
    <t>Ain Eddis Airport</t>
  </si>
  <si>
    <t>BUM</t>
  </si>
  <si>
    <t>KBUM</t>
  </si>
  <si>
    <t>Butler Memorial Airport</t>
  </si>
  <si>
    <t>BUN</t>
  </si>
  <si>
    <t>SKBU</t>
  </si>
  <si>
    <t>Gerardo Tobar López Airport</t>
  </si>
  <si>
    <t>BUO</t>
  </si>
  <si>
    <t>HCMV</t>
  </si>
  <si>
    <t>Burao Airport</t>
  </si>
  <si>
    <t>VIBT</t>
  </si>
  <si>
    <t>Bhisiana Air Force Base</t>
  </si>
  <si>
    <t>BUQ</t>
  </si>
  <si>
    <t>FVBU</t>
  </si>
  <si>
    <t>Joshua Mqabuko Nkomo International Airport</t>
  </si>
  <si>
    <t>BUR</t>
  </si>
  <si>
    <t>KBUR</t>
  </si>
  <si>
    <t>Bob Hope Airport</t>
  </si>
  <si>
    <t>BUS</t>
  </si>
  <si>
    <t>UGSB</t>
  </si>
  <si>
    <t>Batumi Airport (Chorokh Airport)</t>
  </si>
  <si>
    <t>BUT</t>
  </si>
  <si>
    <t>VQBT</t>
  </si>
  <si>
    <t>Bathpalathang Airport</t>
  </si>
  <si>
    <t>BUV</t>
  </si>
  <si>
    <t>SUBU</t>
  </si>
  <si>
    <t>Bella Unión Airport</t>
  </si>
  <si>
    <t>BUW</t>
  </si>
  <si>
    <t>WAWB</t>
  </si>
  <si>
    <t>Baubau Airport (Betoambari Airport)</t>
  </si>
  <si>
    <t>BUX</t>
  </si>
  <si>
    <t>FZKA</t>
  </si>
  <si>
    <t>Bunia Airport</t>
  </si>
  <si>
    <t>BUY</t>
  </si>
  <si>
    <t>YBUN</t>
  </si>
  <si>
    <t>Bunbury Airport</t>
  </si>
  <si>
    <t>BUZ</t>
  </si>
  <si>
    <t>OIBB</t>
  </si>
  <si>
    <t>Bushehr Airport</t>
  </si>
  <si>
    <t>BVA</t>
  </si>
  <si>
    <t>LFOB</t>
  </si>
  <si>
    <t>Paris Beauvais Tillé Airport</t>
  </si>
  <si>
    <t>BVB</t>
  </si>
  <si>
    <t>SBBV</t>
  </si>
  <si>
    <t>Boa Vista International Airport</t>
  </si>
  <si>
    <t>BVC</t>
  </si>
  <si>
    <t>GVBA</t>
  </si>
  <si>
    <t>Rabil Airport</t>
  </si>
  <si>
    <t>BVE</t>
  </si>
  <si>
    <t>LFBV</t>
  </si>
  <si>
    <t>Brive - La Roche Airport</t>
  </si>
  <si>
    <t>BVF</t>
  </si>
  <si>
    <t>NFNU</t>
  </si>
  <si>
    <t>Dama Airport</t>
  </si>
  <si>
    <t>BVG</t>
  </si>
  <si>
    <t>ENBV</t>
  </si>
  <si>
    <t>Berlevåg Airport</t>
  </si>
  <si>
    <t>BVH</t>
  </si>
  <si>
    <t>SBVH</t>
  </si>
  <si>
    <t>Vilhena Airport</t>
  </si>
  <si>
    <t>BVI</t>
  </si>
  <si>
    <t>YBDV</t>
  </si>
  <si>
    <t>Birdsville Airport</t>
  </si>
  <si>
    <t>BVK</t>
  </si>
  <si>
    <t>SLHJ</t>
  </si>
  <si>
    <t>Huacaraje Airport</t>
  </si>
  <si>
    <t>BVL</t>
  </si>
  <si>
    <t>SLBA</t>
  </si>
  <si>
    <t>Baures Airport</t>
  </si>
  <si>
    <t>SLBU</t>
  </si>
  <si>
    <t>BVM</t>
  </si>
  <si>
    <t>SNBL</t>
  </si>
  <si>
    <t>Belmonte Airport</t>
  </si>
  <si>
    <t>BVO</t>
  </si>
  <si>
    <t>KBVO</t>
  </si>
  <si>
    <t>Bartlesville Municipal Airport</t>
  </si>
  <si>
    <t>BVR</t>
  </si>
  <si>
    <t>GVBR</t>
  </si>
  <si>
    <t>Esparadinha Airport</t>
  </si>
  <si>
    <t>BVS</t>
  </si>
  <si>
    <t>SNVS</t>
  </si>
  <si>
    <t>Breves Airport</t>
  </si>
  <si>
    <t>BVU</t>
  </si>
  <si>
    <t>PABG</t>
  </si>
  <si>
    <t>Beluga Airport</t>
  </si>
  <si>
    <t>BVX</t>
  </si>
  <si>
    <t>KBVX</t>
  </si>
  <si>
    <t>Batesville Regional Airport</t>
  </si>
  <si>
    <t>BVY</t>
  </si>
  <si>
    <t>KBVY</t>
  </si>
  <si>
    <t>Beverly Municipal Airport</t>
  </si>
  <si>
    <t>BVZ</t>
  </si>
  <si>
    <t>YBYS</t>
  </si>
  <si>
    <t>Beverley Springs Airport</t>
  </si>
  <si>
    <t>BWA</t>
  </si>
  <si>
    <t>VNBW</t>
  </si>
  <si>
    <t>Gautam Buddha Airport</t>
  </si>
  <si>
    <t>BWB</t>
  </si>
  <si>
    <t>YBWX</t>
  </si>
  <si>
    <t>Barrow Island Airport</t>
  </si>
  <si>
    <t>BWC</t>
  </si>
  <si>
    <t>KBWC</t>
  </si>
  <si>
    <t>Brawley Municipal Airport</t>
  </si>
  <si>
    <t>BWD</t>
  </si>
  <si>
    <t>KBWD</t>
  </si>
  <si>
    <t>Brownwood Regional Airport</t>
  </si>
  <si>
    <t>BWE</t>
  </si>
  <si>
    <t>EDVE</t>
  </si>
  <si>
    <t>Braunschweig-Wolfsburg Regional Airport</t>
  </si>
  <si>
    <t>BWF</t>
  </si>
  <si>
    <t>EGNL</t>
  </si>
  <si>
    <t>Barrow/Walney Island Airfield</t>
  </si>
  <si>
    <t>BWG</t>
  </si>
  <si>
    <t>KBWG</t>
  </si>
  <si>
    <t>Bowling Green-Warren County Regional Airport</t>
  </si>
  <si>
    <t>BWH</t>
  </si>
  <si>
    <t>WMKB</t>
  </si>
  <si>
    <t>RMAF Butterworth</t>
  </si>
  <si>
    <t>BWI</t>
  </si>
  <si>
    <t>KBWI</t>
  </si>
  <si>
    <t>Baltimore-Washington International Thurgood Marshall Airport</t>
  </si>
  <si>
    <t>BWK</t>
  </si>
  <si>
    <t>LDSB</t>
  </si>
  <si>
    <t>Bol Airport</t>
  </si>
  <si>
    <t>BWM</t>
  </si>
  <si>
    <t>KBPP</t>
  </si>
  <si>
    <t>Bowman Municipal Airport</t>
  </si>
  <si>
    <t>BWN</t>
  </si>
  <si>
    <t>WBSB</t>
  </si>
  <si>
    <t>Brunei International Airport</t>
  </si>
  <si>
    <t>BWO</t>
  </si>
  <si>
    <t>UWSB</t>
  </si>
  <si>
    <t>Balakovo Airport</t>
  </si>
  <si>
    <t>BWQ</t>
  </si>
  <si>
    <t>YBRW</t>
  </si>
  <si>
    <t>Brewarrina Airport</t>
  </si>
  <si>
    <t>BWT</t>
  </si>
  <si>
    <t>YWYY</t>
  </si>
  <si>
    <t>Wynyard Airport</t>
  </si>
  <si>
    <t>BWU</t>
  </si>
  <si>
    <t>YSBK</t>
  </si>
  <si>
    <t>Bankstown Airport</t>
  </si>
  <si>
    <t>BWW</t>
  </si>
  <si>
    <t>MUBR</t>
  </si>
  <si>
    <t>Las Brujas Airport</t>
  </si>
  <si>
    <t>BXA</t>
  </si>
  <si>
    <t>KBXA</t>
  </si>
  <si>
    <t>George R. Carr Memorial Air Field</t>
  </si>
  <si>
    <t>BXB</t>
  </si>
  <si>
    <t>WASO</t>
  </si>
  <si>
    <t>Babo Airport</t>
  </si>
  <si>
    <t>BXD</t>
  </si>
  <si>
    <t>WAKE</t>
  </si>
  <si>
    <t>Bade Airport</t>
  </si>
  <si>
    <t>BXE</t>
  </si>
  <si>
    <t>GOTB</t>
  </si>
  <si>
    <t>Bakel Airport</t>
  </si>
  <si>
    <t>BXG</t>
  </si>
  <si>
    <t>YBDG</t>
  </si>
  <si>
    <t>Bendigo Airport</t>
  </si>
  <si>
    <t>BXH</t>
  </si>
  <si>
    <t>UAAH</t>
  </si>
  <si>
    <t>Balkhash Airport</t>
  </si>
  <si>
    <t>BXI</t>
  </si>
  <si>
    <t>DIBI</t>
  </si>
  <si>
    <t>Boundiali Airport</t>
  </si>
  <si>
    <t>BXJ</t>
  </si>
  <si>
    <t>UAAR</t>
  </si>
  <si>
    <t>Boralday Airport</t>
  </si>
  <si>
    <t>BXK</t>
  </si>
  <si>
    <t>KBXK</t>
  </si>
  <si>
    <t>Buckeye Municipal Airport</t>
  </si>
  <si>
    <t>BXN</t>
  </si>
  <si>
    <t>LTBV</t>
  </si>
  <si>
    <t>Bodrum-Imsik Airport</t>
  </si>
  <si>
    <t>BXO</t>
  </si>
  <si>
    <t>LSZC</t>
  </si>
  <si>
    <t>Buochs Airport</t>
  </si>
  <si>
    <t>BXR</t>
  </si>
  <si>
    <t>OIKM</t>
  </si>
  <si>
    <t>Bam Airport</t>
  </si>
  <si>
    <t>BXT</t>
  </si>
  <si>
    <t>WRLC</t>
  </si>
  <si>
    <t>Bontang Airport</t>
  </si>
  <si>
    <t>BXU</t>
  </si>
  <si>
    <t>RPME</t>
  </si>
  <si>
    <t>Butuan Airport</t>
  </si>
  <si>
    <t>BXV</t>
  </si>
  <si>
    <t>BIBV</t>
  </si>
  <si>
    <t>Breiðdalsvík Airport</t>
  </si>
  <si>
    <t>BYC</t>
  </si>
  <si>
    <t>SLYA</t>
  </si>
  <si>
    <t>Yacuiba Airport</t>
  </si>
  <si>
    <t>BYF</t>
  </si>
  <si>
    <t>LFAQ</t>
  </si>
  <si>
    <t>Albert-Bray Airport</t>
  </si>
  <si>
    <t>BYG</t>
  </si>
  <si>
    <t>KBYG</t>
  </si>
  <si>
    <t>Johnson County Airport</t>
  </si>
  <si>
    <t>BYH</t>
  </si>
  <si>
    <t>KBYH</t>
  </si>
  <si>
    <t>Arkansas International Airport</t>
  </si>
  <si>
    <t>BYI</t>
  </si>
  <si>
    <t>KBYI</t>
  </si>
  <si>
    <t>Burley Municipal Airport</t>
  </si>
  <si>
    <t>BYJ</t>
  </si>
  <si>
    <t>LPBJ</t>
  </si>
  <si>
    <t>Beja International Airport</t>
  </si>
  <si>
    <t>BYK</t>
  </si>
  <si>
    <t>DIBK</t>
  </si>
  <si>
    <t>Bouaké Airport</t>
  </si>
  <si>
    <t>BYM</t>
  </si>
  <si>
    <t>MUBY</t>
  </si>
  <si>
    <t>Carlos Manuel de Céspedes Airport</t>
  </si>
  <si>
    <t>BYN</t>
  </si>
  <si>
    <t>ZMBH</t>
  </si>
  <si>
    <t>Bayankhongor Airport</t>
  </si>
  <si>
    <t>BYQ</t>
  </si>
  <si>
    <t>WALV</t>
  </si>
  <si>
    <t>Bunyu Airport</t>
  </si>
  <si>
    <t>BYR</t>
  </si>
  <si>
    <t>EKLS</t>
  </si>
  <si>
    <t>Læsø Airport</t>
  </si>
  <si>
    <t>BYS</t>
  </si>
  <si>
    <t>KBYS</t>
  </si>
  <si>
    <t>Bicycle Lake Army Airfield (Fort Irwin)</t>
  </si>
  <si>
    <t>BYT</t>
  </si>
  <si>
    <t>EIBN</t>
  </si>
  <si>
    <t>Bantry Airport</t>
  </si>
  <si>
    <t>BYU</t>
  </si>
  <si>
    <t>EDQD</t>
  </si>
  <si>
    <t>Bindlacher Berg Airport</t>
  </si>
  <si>
    <t>BZA</t>
  </si>
  <si>
    <t>MNBZ</t>
  </si>
  <si>
    <t>Bonanza Airport</t>
  </si>
  <si>
    <t>BZC</t>
  </si>
  <si>
    <t>SBBZ</t>
  </si>
  <si>
    <t>Umberto Modiano Airport</t>
  </si>
  <si>
    <t>BZD</t>
  </si>
  <si>
    <t>YBRN</t>
  </si>
  <si>
    <t>Balranald Airport</t>
  </si>
  <si>
    <t>BZE</t>
  </si>
  <si>
    <t>MZBZ</t>
  </si>
  <si>
    <t>Philip S. W. Goldson International Airport</t>
  </si>
  <si>
    <t>BZF</t>
  </si>
  <si>
    <t>O85</t>
  </si>
  <si>
    <t>Benton Field</t>
  </si>
  <si>
    <t>BZG</t>
  </si>
  <si>
    <t>EPBY</t>
  </si>
  <si>
    <t>Bydgoszcz Ignacy Jan Paderewski Airport</t>
  </si>
  <si>
    <t>BZI</t>
  </si>
  <si>
    <t>LTBF</t>
  </si>
  <si>
    <t>Balıkesir Merkez Airport</t>
  </si>
  <si>
    <t>BZK</t>
  </si>
  <si>
    <t>UUBP</t>
  </si>
  <si>
    <t>Briansk Airport</t>
  </si>
  <si>
    <t>BZL</t>
  </si>
  <si>
    <t>VGBR</t>
  </si>
  <si>
    <t>Barisal Airport</t>
  </si>
  <si>
    <t>BZM</t>
  </si>
  <si>
    <t>EHWO</t>
  </si>
  <si>
    <t>Woensdrecht Air Base</t>
  </si>
  <si>
    <t>BZN</t>
  </si>
  <si>
    <t>KBZN</t>
  </si>
  <si>
    <t>Gallatin Field Airport</t>
  </si>
  <si>
    <t>BZO</t>
  </si>
  <si>
    <t>LIPB</t>
  </si>
  <si>
    <t>Bolzano Airport</t>
  </si>
  <si>
    <t>BZR</t>
  </si>
  <si>
    <t>LFMU</t>
  </si>
  <si>
    <t>Béziers Vias Airport</t>
  </si>
  <si>
    <t>BZU</t>
  </si>
  <si>
    <t>FZKJ</t>
  </si>
  <si>
    <t>Buta Zega Airport</t>
  </si>
  <si>
    <t>BZV</t>
  </si>
  <si>
    <t>FCBB</t>
  </si>
  <si>
    <t>Maya Maya Airport</t>
  </si>
  <si>
    <t>BZY</t>
  </si>
  <si>
    <t>LUBL</t>
  </si>
  <si>
    <t>Bălți International Airport</t>
  </si>
  <si>
    <t>BZZ</t>
  </si>
  <si>
    <t>EGVN</t>
  </si>
  <si>
    <t>RAF Brize Norton</t>
  </si>
  <si>
    <t>CAA</t>
  </si>
  <si>
    <t>MHCA</t>
  </si>
  <si>
    <t>Catacamas Airport</t>
  </si>
  <si>
    <t>CAB</t>
  </si>
  <si>
    <t>FNCA</t>
  </si>
  <si>
    <t>Cabinda Airport</t>
  </si>
  <si>
    <t>CAC</t>
  </si>
  <si>
    <t>SBCA</t>
  </si>
  <si>
    <t>Cascavel Airport</t>
  </si>
  <si>
    <t>CAD</t>
  </si>
  <si>
    <t>KCAD</t>
  </si>
  <si>
    <t>Wexford County Airport</t>
  </si>
  <si>
    <t>CAE</t>
  </si>
  <si>
    <t>KCAE</t>
  </si>
  <si>
    <t>Columbia Metropolitan Airport</t>
  </si>
  <si>
    <t>CAF</t>
  </si>
  <si>
    <t>SWCA</t>
  </si>
  <si>
    <t>Carauari Airport</t>
  </si>
  <si>
    <t>CAG</t>
  </si>
  <si>
    <t>LIEE</t>
  </si>
  <si>
    <t>Cagliari Airport</t>
  </si>
  <si>
    <t>CAH</t>
  </si>
  <si>
    <t>VVCM</t>
  </si>
  <si>
    <t>Ca Mau Airport</t>
  </si>
  <si>
    <t>CAI</t>
  </si>
  <si>
    <t>HECA</t>
  </si>
  <si>
    <t>Cairo International Airport</t>
  </si>
  <si>
    <t>CAJ</t>
  </si>
  <si>
    <t>SVCN</t>
  </si>
  <si>
    <t>Canaima Airport</t>
  </si>
  <si>
    <t>CAK</t>
  </si>
  <si>
    <t>KCAK</t>
  </si>
  <si>
    <t>Akron-Canton Regional Airport</t>
  </si>
  <si>
    <t>CAL</t>
  </si>
  <si>
    <t>EGEC</t>
  </si>
  <si>
    <t>Campbeltown Airport (RAF Machrihanish)</t>
  </si>
  <si>
    <t>CAM</t>
  </si>
  <si>
    <t>SLCA</t>
  </si>
  <si>
    <t>Camiri Airport</t>
  </si>
  <si>
    <t>CAN</t>
  </si>
  <si>
    <t>ZGGG</t>
  </si>
  <si>
    <t>Guangzhou Baiyun International Airport</t>
  </si>
  <si>
    <t>KCAO</t>
  </si>
  <si>
    <t>Clayton Municipal Airpark</t>
  </si>
  <si>
    <t>CAP</t>
  </si>
  <si>
    <t>MTCH</t>
  </si>
  <si>
    <t>Cap-Haïtien International Airport</t>
  </si>
  <si>
    <t>CAQ</t>
  </si>
  <si>
    <t>SKCU</t>
  </si>
  <si>
    <t>Caucasia Airport</t>
  </si>
  <si>
    <t>CAR</t>
  </si>
  <si>
    <t>KCAR</t>
  </si>
  <si>
    <t>Caribou Municipal Airport</t>
  </si>
  <si>
    <t>SUCM</t>
  </si>
  <si>
    <t>Carmelo International Airport</t>
  </si>
  <si>
    <t>CAS</t>
  </si>
  <si>
    <t>GMMC</t>
  </si>
  <si>
    <t>Anfa Airport</t>
  </si>
  <si>
    <t>MYCB</t>
  </si>
  <si>
    <t>New Bight Airport</t>
  </si>
  <si>
    <t>CAU</t>
  </si>
  <si>
    <t>SNRU</t>
  </si>
  <si>
    <t>Oscar Laranjeias Airport</t>
  </si>
  <si>
    <t>CAV</t>
  </si>
  <si>
    <t>FNCZ</t>
  </si>
  <si>
    <t>Cazombo Airport</t>
  </si>
  <si>
    <t>CAW</t>
  </si>
  <si>
    <t>SBCP</t>
  </si>
  <si>
    <t>Bartolomeu Lisandro Airport</t>
  </si>
  <si>
    <t>CAX</t>
  </si>
  <si>
    <t>EGNC</t>
  </si>
  <si>
    <t>Carlisle Airport</t>
  </si>
  <si>
    <t>CAY</t>
  </si>
  <si>
    <t>SOCA</t>
  </si>
  <si>
    <t>Cayenne-Rochambeau Airport</t>
  </si>
  <si>
    <t>CAZ</t>
  </si>
  <si>
    <t>YCBA</t>
  </si>
  <si>
    <t>Cobar Airport</t>
  </si>
  <si>
    <t>CBB</t>
  </si>
  <si>
    <t>SLCB</t>
  </si>
  <si>
    <t>Jorge Wilstermann International Airport</t>
  </si>
  <si>
    <t>CBD</t>
  </si>
  <si>
    <t>VOCX</t>
  </si>
  <si>
    <t>Car Nicobar Air Force Base</t>
  </si>
  <si>
    <t>CBE</t>
  </si>
  <si>
    <t>KCBE</t>
  </si>
  <si>
    <t>Greater Cumberland Regional Airport</t>
  </si>
  <si>
    <t>CBF</t>
  </si>
  <si>
    <t>KCBF</t>
  </si>
  <si>
    <t>Council Bluffs Municipal Airport</t>
  </si>
  <si>
    <t>CBG</t>
  </si>
  <si>
    <t>EGSC</t>
  </si>
  <si>
    <t>Cambridge Airport</t>
  </si>
  <si>
    <t>CBH</t>
  </si>
  <si>
    <t>DAOR</t>
  </si>
  <si>
    <t>Boudghene Ben Ali Lotfi Airport</t>
  </si>
  <si>
    <t>CBI</t>
  </si>
  <si>
    <t>YCBN</t>
  </si>
  <si>
    <t>Cape Barren Island Airport</t>
  </si>
  <si>
    <t>CBJ</t>
  </si>
  <si>
    <t>MDCR</t>
  </si>
  <si>
    <t>Cabo Rojo Airport</t>
  </si>
  <si>
    <t>CBK</t>
  </si>
  <si>
    <t>KCBK</t>
  </si>
  <si>
    <t>Colby Municipal Airport (Shalz Field)</t>
  </si>
  <si>
    <t>CBL</t>
  </si>
  <si>
    <t>SVCB</t>
  </si>
  <si>
    <t>Tomás de Heres Airport</t>
  </si>
  <si>
    <t>CBM</t>
  </si>
  <si>
    <t>KCBM</t>
  </si>
  <si>
    <t>Columbus Air Force Base</t>
  </si>
  <si>
    <t>CBN</t>
  </si>
  <si>
    <t>WICD</t>
  </si>
  <si>
    <t>Penggung Airport</t>
  </si>
  <si>
    <t>CBO</t>
  </si>
  <si>
    <t>RPMC</t>
  </si>
  <si>
    <t>Awang Airport</t>
  </si>
  <si>
    <t>CBP</t>
  </si>
  <si>
    <t>LPCO</t>
  </si>
  <si>
    <t>Coimbra Airport</t>
  </si>
  <si>
    <t>CBQ</t>
  </si>
  <si>
    <t>DNCA</t>
  </si>
  <si>
    <t>Calabar Airport</t>
  </si>
  <si>
    <t>CBR</t>
  </si>
  <si>
    <t>YSCB</t>
  </si>
  <si>
    <t>Canberra International Airport</t>
  </si>
  <si>
    <t>CBS</t>
  </si>
  <si>
    <t>SVON</t>
  </si>
  <si>
    <t>Oro Negro Airport</t>
  </si>
  <si>
    <t>CBT</t>
  </si>
  <si>
    <t>FNCT</t>
  </si>
  <si>
    <t>Catumbela Airport</t>
  </si>
  <si>
    <t>CBU</t>
  </si>
  <si>
    <t>EDCD</t>
  </si>
  <si>
    <t>Drewitz Airport</t>
  </si>
  <si>
    <t>CBV</t>
  </si>
  <si>
    <t>MGCB</t>
  </si>
  <si>
    <t>Cobán Airport</t>
  </si>
  <si>
    <t>CBW</t>
  </si>
  <si>
    <t>SSKM</t>
  </si>
  <si>
    <t>Campo Mourão Airport</t>
  </si>
  <si>
    <t>CBX</t>
  </si>
  <si>
    <t>YCDO</t>
  </si>
  <si>
    <t>Condobolin Airport</t>
  </si>
  <si>
    <t>CBY</t>
  </si>
  <si>
    <t>YCBE</t>
  </si>
  <si>
    <t>Canobie Airport</t>
  </si>
  <si>
    <t>CCB</t>
  </si>
  <si>
    <t>KCCB</t>
  </si>
  <si>
    <t>Cable Airport</t>
  </si>
  <si>
    <t>CCC</t>
  </si>
  <si>
    <t>MUCC</t>
  </si>
  <si>
    <t>Jardines Del Rey Airport</t>
  </si>
  <si>
    <t>MUOC</t>
  </si>
  <si>
    <t>CCE</t>
  </si>
  <si>
    <t>TFFG</t>
  </si>
  <si>
    <t>L'Espérance Airport (Grand Case Airport)</t>
  </si>
  <si>
    <t>CCF</t>
  </si>
  <si>
    <t>LFMK</t>
  </si>
  <si>
    <t>Carcassonne Salvaza Airport</t>
  </si>
  <si>
    <t>CCH</t>
  </si>
  <si>
    <t>SCCC</t>
  </si>
  <si>
    <t>Chile Chico Airport</t>
  </si>
  <si>
    <t>CCI</t>
  </si>
  <si>
    <t>SSCK</t>
  </si>
  <si>
    <t>Concordia Airport</t>
  </si>
  <si>
    <t>CCJ</t>
  </si>
  <si>
    <t>VOCL</t>
  </si>
  <si>
    <t>Calicut International Airport</t>
  </si>
  <si>
    <t>CCK</t>
  </si>
  <si>
    <t>YPCC</t>
  </si>
  <si>
    <t>Cocos (Keeling) Islands Airport</t>
  </si>
  <si>
    <t>CCL</t>
  </si>
  <si>
    <t>YCCA</t>
  </si>
  <si>
    <t>Chinchilla Airport</t>
  </si>
  <si>
    <t>CCM</t>
  </si>
  <si>
    <t>SBCM</t>
  </si>
  <si>
    <t>Forquilhinha Airport</t>
  </si>
  <si>
    <t>CCN</t>
  </si>
  <si>
    <t>OACC</t>
  </si>
  <si>
    <t>Chaghcharan Airport</t>
  </si>
  <si>
    <t>CCO</t>
  </si>
  <si>
    <t>SKCI</t>
  </si>
  <si>
    <t>Carimagua Airport</t>
  </si>
  <si>
    <t>CCP</t>
  </si>
  <si>
    <t>SCIE</t>
  </si>
  <si>
    <t>Carriel Sur International Airport</t>
  </si>
  <si>
    <t>CCR</t>
  </si>
  <si>
    <t>KCCR</t>
  </si>
  <si>
    <t>Buchanan Field</t>
  </si>
  <si>
    <t>CCS</t>
  </si>
  <si>
    <t>SVMI</t>
  </si>
  <si>
    <t>Simon Bolivar International Airport</t>
  </si>
  <si>
    <t>CCT</t>
  </si>
  <si>
    <t>SA30</t>
  </si>
  <si>
    <t>Colonia Catriel Airport</t>
  </si>
  <si>
    <t>CCU</t>
  </si>
  <si>
    <t>VECC</t>
  </si>
  <si>
    <t>Netaji Subhash Chandra Bose International Airport</t>
  </si>
  <si>
    <t>CCV</t>
  </si>
  <si>
    <t>NVSF</t>
  </si>
  <si>
    <t>Craig Cove Airport</t>
  </si>
  <si>
    <t>CCW</t>
  </si>
  <si>
    <t>YCWL</t>
  </si>
  <si>
    <t>Cowell Airport</t>
  </si>
  <si>
    <t>CCX</t>
  </si>
  <si>
    <t>SWKC</t>
  </si>
  <si>
    <t>Cáceres Airport</t>
  </si>
  <si>
    <t>LEGU</t>
  </si>
  <si>
    <t>Guadalupe Airport</t>
  </si>
  <si>
    <t>CCY</t>
  </si>
  <si>
    <t>KCCY</t>
  </si>
  <si>
    <t>Northeast Iowa Regional Airport</t>
  </si>
  <si>
    <t>CCZ</t>
  </si>
  <si>
    <t>MYBC</t>
  </si>
  <si>
    <t>Chub Cay International Airport</t>
  </si>
  <si>
    <t>CDA</t>
  </si>
  <si>
    <t>YCOO</t>
  </si>
  <si>
    <t>Cooinda Airport</t>
  </si>
  <si>
    <t>CDB</t>
  </si>
  <si>
    <t>PACD</t>
  </si>
  <si>
    <t>Cold Bay Airport</t>
  </si>
  <si>
    <t>CDC</t>
  </si>
  <si>
    <t>KCDC</t>
  </si>
  <si>
    <t>Cedar City Regional Airport</t>
  </si>
  <si>
    <t>CDD</t>
  </si>
  <si>
    <t>MHCU</t>
  </si>
  <si>
    <t>Cauquira Airport</t>
  </si>
  <si>
    <t>CDE</t>
  </si>
  <si>
    <t>PACE</t>
  </si>
  <si>
    <t>Cape Decision Coast Guard Heliport</t>
  </si>
  <si>
    <t>CDG</t>
  </si>
  <si>
    <t>LFPG</t>
  </si>
  <si>
    <t>Charles de Gaulle International Airport</t>
  </si>
  <si>
    <t>CDH</t>
  </si>
  <si>
    <t>KCDH</t>
  </si>
  <si>
    <t>Harrell Field</t>
  </si>
  <si>
    <t>CDJ</t>
  </si>
  <si>
    <t>SBAA</t>
  </si>
  <si>
    <t>Conceição do Araguaia Airport</t>
  </si>
  <si>
    <t>CDK</t>
  </si>
  <si>
    <t>KCDK</t>
  </si>
  <si>
    <t>George T. Lewis Airport</t>
  </si>
  <si>
    <t>CDN</t>
  </si>
  <si>
    <t>KCDN</t>
  </si>
  <si>
    <t>Woodward Field</t>
  </si>
  <si>
    <t>CDO</t>
  </si>
  <si>
    <t>FACD</t>
  </si>
  <si>
    <t>Cradock Airport</t>
  </si>
  <si>
    <t>CDP</t>
  </si>
  <si>
    <t>VOCP</t>
  </si>
  <si>
    <t>Cuddapah Airport</t>
  </si>
  <si>
    <t>CDQ</t>
  </si>
  <si>
    <t>YCRY</t>
  </si>
  <si>
    <t>Croydon Airport</t>
  </si>
  <si>
    <t>CDR</t>
  </si>
  <si>
    <t>KCDR</t>
  </si>
  <si>
    <t>Chadron Municipal Airport</t>
  </si>
  <si>
    <t>CDS</t>
  </si>
  <si>
    <t>KCDS</t>
  </si>
  <si>
    <t>Childress Municipal Airport</t>
  </si>
  <si>
    <t>CDT</t>
  </si>
  <si>
    <t>LECN</t>
  </si>
  <si>
    <t>Castellon De La Plana Airport</t>
  </si>
  <si>
    <t>CDU</t>
  </si>
  <si>
    <t>YSCN</t>
  </si>
  <si>
    <t>Camden Airport</t>
  </si>
  <si>
    <t>CDV</t>
  </si>
  <si>
    <t>PACV</t>
  </si>
  <si>
    <t>Merle K. (Mudhole) Smith Airport</t>
  </si>
  <si>
    <t>CDW</t>
  </si>
  <si>
    <t>KCDW</t>
  </si>
  <si>
    <t>Essex County Airport</t>
  </si>
  <si>
    <t>CDY</t>
  </si>
  <si>
    <t>RPMU</t>
  </si>
  <si>
    <t>Cagayan de Sulu Airport</t>
  </si>
  <si>
    <t>CEA</t>
  </si>
  <si>
    <t>KCEA</t>
  </si>
  <si>
    <t>Cessna Aircraft Field</t>
  </si>
  <si>
    <t>CEB</t>
  </si>
  <si>
    <t>RPVM</t>
  </si>
  <si>
    <t>Mactan-Cebu International Airport</t>
  </si>
  <si>
    <t>CEC</t>
  </si>
  <si>
    <t>KCEC</t>
  </si>
  <si>
    <t>Jack McNamara Field</t>
  </si>
  <si>
    <t>CED</t>
  </si>
  <si>
    <t>YCDU</t>
  </si>
  <si>
    <t>Ceduna Airport</t>
  </si>
  <si>
    <t>CEE</t>
  </si>
  <si>
    <t>ULBC</t>
  </si>
  <si>
    <t>Cherepovets Airport</t>
  </si>
  <si>
    <t>ULWC</t>
  </si>
  <si>
    <t>CEF</t>
  </si>
  <si>
    <t>KCEF</t>
  </si>
  <si>
    <t>Westover ARB/Westover Metropolitan Airport</t>
  </si>
  <si>
    <t>CEG</t>
  </si>
  <si>
    <t>EGNR</t>
  </si>
  <si>
    <t>Hawarden Airport (Chester Airport)</t>
  </si>
  <si>
    <t>CEH</t>
  </si>
  <si>
    <t>FWCD</t>
  </si>
  <si>
    <t>Chelinda Airport</t>
  </si>
  <si>
    <t>CEI</t>
  </si>
  <si>
    <t>VTCT</t>
  </si>
  <si>
    <t>Chiang Rai International Airport</t>
  </si>
  <si>
    <t>CEJ</t>
  </si>
  <si>
    <t>UKKL</t>
  </si>
  <si>
    <t>Chernihiv Shestovitsa Airport</t>
  </si>
  <si>
    <t>CEK</t>
  </si>
  <si>
    <t>USCC</t>
  </si>
  <si>
    <t>Chelyabinsk Balandino Airport</t>
  </si>
  <si>
    <t>CEL</t>
  </si>
  <si>
    <t>MYEC</t>
  </si>
  <si>
    <t>Cape Eleuthera Airport</t>
  </si>
  <si>
    <t>CEM</t>
  </si>
  <si>
    <t>PARL</t>
  </si>
  <si>
    <t>Central Airport</t>
  </si>
  <si>
    <t>CEN</t>
  </si>
  <si>
    <t>MMCN</t>
  </si>
  <si>
    <t>Ciudad Obregón International Airport</t>
  </si>
  <si>
    <t>CEO</t>
  </si>
  <si>
    <t>FNWK</t>
  </si>
  <si>
    <t>Waco Kungo Airport</t>
  </si>
  <si>
    <t>CEP</t>
  </si>
  <si>
    <t>SLCP</t>
  </si>
  <si>
    <t>Concepción Airport</t>
  </si>
  <si>
    <t>CEQ</t>
  </si>
  <si>
    <t>LFMD</t>
  </si>
  <si>
    <t>Cannes - Mandelieu Airport</t>
  </si>
  <si>
    <t>CER</t>
  </si>
  <si>
    <t>LFRC</t>
  </si>
  <si>
    <t>Cherbourg - Maupertus Airport</t>
  </si>
  <si>
    <t>CES</t>
  </si>
  <si>
    <t>YCNK</t>
  </si>
  <si>
    <t>Cessnock Airport</t>
  </si>
  <si>
    <t>CET</t>
  </si>
  <si>
    <t>LFOU</t>
  </si>
  <si>
    <t>Le Pontreau Airport</t>
  </si>
  <si>
    <t>CEU</t>
  </si>
  <si>
    <t>KCEU</t>
  </si>
  <si>
    <t>Oconee County Regional Airport</t>
  </si>
  <si>
    <t>CEV</t>
  </si>
  <si>
    <t>KCEV</t>
  </si>
  <si>
    <t>Mettel Field</t>
  </si>
  <si>
    <t>CEW</t>
  </si>
  <si>
    <t>KCEW</t>
  </si>
  <si>
    <t>Bob Sikes Airport</t>
  </si>
  <si>
    <t>CEY</t>
  </si>
  <si>
    <t>KCEY</t>
  </si>
  <si>
    <t>Kyle-Oakley Field</t>
  </si>
  <si>
    <t>CEZ</t>
  </si>
  <si>
    <t>KCEZ</t>
  </si>
  <si>
    <t>Cortez Municipal Airport</t>
  </si>
  <si>
    <t>CFB</t>
  </si>
  <si>
    <t>SBCB</t>
  </si>
  <si>
    <t>Cabo Frio International Airport</t>
  </si>
  <si>
    <t>CFD</t>
  </si>
  <si>
    <t>KCFD</t>
  </si>
  <si>
    <t>Coulter Field</t>
  </si>
  <si>
    <t>CFE</t>
  </si>
  <si>
    <t>LFLC</t>
  </si>
  <si>
    <t>CFF</t>
  </si>
  <si>
    <t>FNCF</t>
  </si>
  <si>
    <t>Cafunfo Airport</t>
  </si>
  <si>
    <t>CFG</t>
  </si>
  <si>
    <t>MUCF</t>
  </si>
  <si>
    <t>Jaime González Airport</t>
  </si>
  <si>
    <t>CFI</t>
  </si>
  <si>
    <t>YCFD</t>
  </si>
  <si>
    <t>Camfield Airport</t>
  </si>
  <si>
    <t>CFN</t>
  </si>
  <si>
    <t>EIDL</t>
  </si>
  <si>
    <t>Donegal Airport</t>
  </si>
  <si>
    <t>CFO</t>
  </si>
  <si>
    <t>SJHG</t>
  </si>
  <si>
    <t>Confresa Airport</t>
  </si>
  <si>
    <t>CFR</t>
  </si>
  <si>
    <t>LFRK</t>
  </si>
  <si>
    <t>Caen - Carpiquet_Airport</t>
  </si>
  <si>
    <t>CFS</t>
  </si>
  <si>
    <t>YCFS</t>
  </si>
  <si>
    <t>Coffs Harbour Airport</t>
  </si>
  <si>
    <t>YSCH</t>
  </si>
  <si>
    <t>CFT</t>
  </si>
  <si>
    <t>KCFT</t>
  </si>
  <si>
    <t>Greenlee County Airport</t>
  </si>
  <si>
    <t>CFU</t>
  </si>
  <si>
    <t>LGKR</t>
  </si>
  <si>
    <t>Ioannis Kapodistrias International Airport (Corfu Internatio</t>
  </si>
  <si>
    <t>CFV</t>
  </si>
  <si>
    <t>KCFV</t>
  </si>
  <si>
    <t>Coffeyville Municipal Airport</t>
  </si>
  <si>
    <t>CGB</t>
  </si>
  <si>
    <t>SBCY</t>
  </si>
  <si>
    <t>Marechal Rondon Airport</t>
  </si>
  <si>
    <t>CGD</t>
  </si>
  <si>
    <t>ZGCD</t>
  </si>
  <si>
    <t>Changde Airport</t>
  </si>
  <si>
    <t>CGE</t>
  </si>
  <si>
    <t>KCGE</t>
  </si>
  <si>
    <t>Cambridge-Dorchester Airport</t>
  </si>
  <si>
    <t>CGF</t>
  </si>
  <si>
    <t>KCGF</t>
  </si>
  <si>
    <t>Cuyahoga County Airport</t>
  </si>
  <si>
    <t>CGH</t>
  </si>
  <si>
    <t>SBSP</t>
  </si>
  <si>
    <t>São Paulo/Congonhas Airport</t>
  </si>
  <si>
    <t>CGI</t>
  </si>
  <si>
    <t>KCGI</t>
  </si>
  <si>
    <t>Cape Girardeau Regional Airport</t>
  </si>
  <si>
    <t>CGK</t>
  </si>
  <si>
    <t>WIII</t>
  </si>
  <si>
    <t>Soekarno-Hatta International Airport</t>
  </si>
  <si>
    <t>CGM</t>
  </si>
  <si>
    <t>RPMH</t>
  </si>
  <si>
    <t>Camiguin Airport</t>
  </si>
  <si>
    <t>CGN</t>
  </si>
  <si>
    <t>EDDK</t>
  </si>
  <si>
    <t>Cologne Bonn Airport (KÃ¶ln/Bonn - Konrad Adenauer)</t>
  </si>
  <si>
    <t>CGO</t>
  </si>
  <si>
    <t>ZHCC</t>
  </si>
  <si>
    <t>Zhengzhou Xinzheng International Airport</t>
  </si>
  <si>
    <t>CGP</t>
  </si>
  <si>
    <t>VGEG</t>
  </si>
  <si>
    <t>Shah Amanat International Airport</t>
  </si>
  <si>
    <t>CGQ</t>
  </si>
  <si>
    <t>ZYCC</t>
  </si>
  <si>
    <t>Changchun Longjia International Airport</t>
  </si>
  <si>
    <t>CGR</t>
  </si>
  <si>
    <t>SBCG</t>
  </si>
  <si>
    <t>Campo Grande International Airport</t>
  </si>
  <si>
    <t>CGS</t>
  </si>
  <si>
    <t>KCGS</t>
  </si>
  <si>
    <t>College Park Airport</t>
  </si>
  <si>
    <t>CGV</t>
  </si>
  <si>
    <t>YCAG</t>
  </si>
  <si>
    <t>Caiguna Airport</t>
  </si>
  <si>
    <t>CGY</t>
  </si>
  <si>
    <t>RPML</t>
  </si>
  <si>
    <t>Lumbia Airport</t>
  </si>
  <si>
    <t>CGZ</t>
  </si>
  <si>
    <t>KCGZ</t>
  </si>
  <si>
    <t>Casa Grande Municipal Airport</t>
  </si>
  <si>
    <t>CHA</t>
  </si>
  <si>
    <t>KCHA</t>
  </si>
  <si>
    <t>Chattanooga Metropolitan Airport (Lovell Field)</t>
  </si>
  <si>
    <t>CHB</t>
  </si>
  <si>
    <t>OPCL</t>
  </si>
  <si>
    <t>Chilas Airport</t>
  </si>
  <si>
    <t>CHC</t>
  </si>
  <si>
    <t>NZCH</t>
  </si>
  <si>
    <t>Christchurch International Airport</t>
  </si>
  <si>
    <t>CHF</t>
  </si>
  <si>
    <t>RKPE</t>
  </si>
  <si>
    <t>Chinhae Airport</t>
  </si>
  <si>
    <t>CHG</t>
  </si>
  <si>
    <t>ZYCY</t>
  </si>
  <si>
    <t>Chaoyang Airport</t>
  </si>
  <si>
    <t>CHH</t>
  </si>
  <si>
    <t>SPPY</t>
  </si>
  <si>
    <t>Chachapoyas Airport</t>
  </si>
  <si>
    <t>CHJ</t>
  </si>
  <si>
    <t>FVCH</t>
  </si>
  <si>
    <t>Chipinge Airport</t>
  </si>
  <si>
    <t>CHK</t>
  </si>
  <si>
    <t>KCHK</t>
  </si>
  <si>
    <t>Chickasha Municipal Airport</t>
  </si>
  <si>
    <t>CHL</t>
  </si>
  <si>
    <t>KLLJ</t>
  </si>
  <si>
    <t>Challis Airport</t>
  </si>
  <si>
    <t>CHM</t>
  </si>
  <si>
    <t>SPEO</t>
  </si>
  <si>
    <t>Tnte. FAP Jaime Montreuil Morales Airport</t>
  </si>
  <si>
    <t>SPMF</t>
  </si>
  <si>
    <t>Manuel Prado Ugarteche Airport</t>
  </si>
  <si>
    <t>CHN</t>
  </si>
  <si>
    <t>RKJU</t>
  </si>
  <si>
    <t>Chonju Airport</t>
  </si>
  <si>
    <t>CHO</t>
  </si>
  <si>
    <t>KCHO</t>
  </si>
  <si>
    <t>Charlottesville-Albemarle Airport</t>
  </si>
  <si>
    <t>CHQ</t>
  </si>
  <si>
    <t>LGSA</t>
  </si>
  <si>
    <t>Chania International Airport ("Ioannis Daskalogiannis")</t>
  </si>
  <si>
    <t>CHR</t>
  </si>
  <si>
    <t>LFLX</t>
  </si>
  <si>
    <t>Châteauroux-Déols "Marcel Dassault" Airport</t>
  </si>
  <si>
    <t>CHS</t>
  </si>
  <si>
    <t>KCHS</t>
  </si>
  <si>
    <t>Charleston International Airport / Charleston AFB</t>
  </si>
  <si>
    <t>CHT</t>
  </si>
  <si>
    <t>NZCI</t>
  </si>
  <si>
    <t>Chatham Islands / Tuuta Airport</t>
  </si>
  <si>
    <t>KCHT</t>
  </si>
  <si>
    <t>Chillicothe Municipal Airport</t>
  </si>
  <si>
    <t>CHV</t>
  </si>
  <si>
    <t>LPCH</t>
  </si>
  <si>
    <t>Chaves Airport</t>
  </si>
  <si>
    <t>CHW</t>
  </si>
  <si>
    <t>ZLJQ</t>
  </si>
  <si>
    <t>Jiuquan Airport</t>
  </si>
  <si>
    <t>CHX</t>
  </si>
  <si>
    <t>MPCH</t>
  </si>
  <si>
    <t>Captain Manuel Niño International Airport</t>
  </si>
  <si>
    <t>CHY</t>
  </si>
  <si>
    <t>AGGC</t>
  </si>
  <si>
    <t>Choiseul Bay Airport</t>
  </si>
  <si>
    <t>CIA</t>
  </si>
  <si>
    <t>LIRA</t>
  </si>
  <si>
    <t>Rome Ciampino Airport</t>
  </si>
  <si>
    <t>CIB</t>
  </si>
  <si>
    <t>KAVX</t>
  </si>
  <si>
    <t>Catalina Airport</t>
  </si>
  <si>
    <t>CIC</t>
  </si>
  <si>
    <t>KCIC</t>
  </si>
  <si>
    <t>Chico Municipal Airport</t>
  </si>
  <si>
    <t>CID</t>
  </si>
  <si>
    <t>KCID</t>
  </si>
  <si>
    <t>The Eastern Iowa Airport</t>
  </si>
  <si>
    <t>CIF</t>
  </si>
  <si>
    <t>ZBCF</t>
  </si>
  <si>
    <t>Chifeng Airport</t>
  </si>
  <si>
    <t>CIG</t>
  </si>
  <si>
    <t>KCAG</t>
  </si>
  <si>
    <t>Craig-Moffat Airport</t>
  </si>
  <si>
    <t>CIH</t>
  </si>
  <si>
    <t>ZBCZ</t>
  </si>
  <si>
    <t>Changzhi Airport</t>
  </si>
  <si>
    <t>CIJ</t>
  </si>
  <si>
    <t>SLCO</t>
  </si>
  <si>
    <t>Capitan Anibal Arab Airport</t>
  </si>
  <si>
    <t>CIM</t>
  </si>
  <si>
    <t>SKCM</t>
  </si>
  <si>
    <t>Cimitarra Airport</t>
  </si>
  <si>
    <t>CIN</t>
  </si>
  <si>
    <t>KCIN</t>
  </si>
  <si>
    <t>Arthur N. Neu Airport</t>
  </si>
  <si>
    <t>CIO</t>
  </si>
  <si>
    <t>SGCO</t>
  </si>
  <si>
    <t>Teniente Coronel Carmelo Peralta Airport</t>
  </si>
  <si>
    <t>CIP</t>
  </si>
  <si>
    <t>FLCP</t>
  </si>
  <si>
    <t>Chipata Airport</t>
  </si>
  <si>
    <t>CIR</t>
  </si>
  <si>
    <t>KCIR</t>
  </si>
  <si>
    <t>Cairo Regional Airport</t>
  </si>
  <si>
    <t>CIS</t>
  </si>
  <si>
    <t>PCIS</t>
  </si>
  <si>
    <t>Canton Island Airport</t>
  </si>
  <si>
    <t>CIT</t>
  </si>
  <si>
    <t>UAII</t>
  </si>
  <si>
    <t>Shymkent Airport</t>
  </si>
  <si>
    <t>CIU</t>
  </si>
  <si>
    <t>KCIU</t>
  </si>
  <si>
    <t>Chippewa County International Airport</t>
  </si>
  <si>
    <t>CIW</t>
  </si>
  <si>
    <t>TVSC</t>
  </si>
  <si>
    <t>Canouan Island Airport</t>
  </si>
  <si>
    <t>CIX</t>
  </si>
  <si>
    <t>SPHI</t>
  </si>
  <si>
    <t>Capitán FAP José A. Quiñones Gonzales International Airport</t>
  </si>
  <si>
    <t>CIY</t>
  </si>
  <si>
    <t>LICB</t>
  </si>
  <si>
    <t>Comiso "Pio La Torre" Airport</t>
  </si>
  <si>
    <t>CIZ</t>
  </si>
  <si>
    <t>SWKO</t>
  </si>
  <si>
    <t>Coari Airport</t>
  </si>
  <si>
    <t>CJA</t>
  </si>
  <si>
    <t>SPJR</t>
  </si>
  <si>
    <t>Major General FAP Armando Revoredo Iglesias Airport</t>
  </si>
  <si>
    <t>CJB</t>
  </si>
  <si>
    <t>VOCB</t>
  </si>
  <si>
    <t>Coimbatore Airport (Peelamedu Airport)</t>
  </si>
  <si>
    <t>CJC</t>
  </si>
  <si>
    <t>SCCF</t>
  </si>
  <si>
    <t>El Loa Airport</t>
  </si>
  <si>
    <t>CJI</t>
  </si>
  <si>
    <t>LEDQ</t>
  </si>
  <si>
    <t>Ciudad Real Central Airport</t>
  </si>
  <si>
    <t>CJJ</t>
  </si>
  <si>
    <t>RKTU</t>
  </si>
  <si>
    <t>Cheong Ju International Airport</t>
  </si>
  <si>
    <t>CJL</t>
  </si>
  <si>
    <t>OPCH</t>
  </si>
  <si>
    <t>Chitral Airport</t>
  </si>
  <si>
    <t>CJM</t>
  </si>
  <si>
    <t>VTSE</t>
  </si>
  <si>
    <t>Chumphon Airport</t>
  </si>
  <si>
    <t>CJS</t>
  </si>
  <si>
    <t>MMCS</t>
  </si>
  <si>
    <t>Abraham González International Airport</t>
  </si>
  <si>
    <t>CJT</t>
  </si>
  <si>
    <t>MMCO</t>
  </si>
  <si>
    <t>Copalar Airport</t>
  </si>
  <si>
    <t>CJU</t>
  </si>
  <si>
    <t>RKPC</t>
  </si>
  <si>
    <t>Jeju International Airport</t>
  </si>
  <si>
    <t>CKA</t>
  </si>
  <si>
    <t>KCKA</t>
  </si>
  <si>
    <t>Kegelman Air Force Auxiliary Field</t>
  </si>
  <si>
    <t>CKB</t>
  </si>
  <si>
    <t>KCKB</t>
  </si>
  <si>
    <t>North Central West Virginia Airport</t>
  </si>
  <si>
    <t>CKC</t>
  </si>
  <si>
    <t>UKKE</t>
  </si>
  <si>
    <t>Cherkassy Airport</t>
  </si>
  <si>
    <t>CKF</t>
  </si>
  <si>
    <t>KCKF</t>
  </si>
  <si>
    <t>Crisp County-Cordele Airport</t>
  </si>
  <si>
    <t>CKG</t>
  </si>
  <si>
    <t>ZUCK</t>
  </si>
  <si>
    <t>Chongqing Jiangbei International Airport</t>
  </si>
  <si>
    <t>CKH</t>
  </si>
  <si>
    <t>UESO</t>
  </si>
  <si>
    <t>Chokurdah Airport</t>
  </si>
  <si>
    <t>CKI</t>
  </si>
  <si>
    <t>YCKI</t>
  </si>
  <si>
    <t>Croker Island Airport</t>
  </si>
  <si>
    <t>CKM</t>
  </si>
  <si>
    <t>KCKM</t>
  </si>
  <si>
    <t>Fletcher Field</t>
  </si>
  <si>
    <t>CKN</t>
  </si>
  <si>
    <t>KCKN</t>
  </si>
  <si>
    <t>Crookston Municipal Kirkwood Field</t>
  </si>
  <si>
    <t>CKO</t>
  </si>
  <si>
    <t>SSCP</t>
  </si>
  <si>
    <t>Cornelio Procopio Airport</t>
  </si>
  <si>
    <t>CKS</t>
  </si>
  <si>
    <t>SBCJ</t>
  </si>
  <si>
    <t>Carajas Airport</t>
  </si>
  <si>
    <t>CKT</t>
  </si>
  <si>
    <t>OIMC</t>
  </si>
  <si>
    <t>Sarakhs Airport</t>
  </si>
  <si>
    <t>CKV</t>
  </si>
  <si>
    <t>KCKV</t>
  </si>
  <si>
    <t>Outlaw Field</t>
  </si>
  <si>
    <t>CKY</t>
  </si>
  <si>
    <t>GUCY</t>
  </si>
  <si>
    <t>Gbessia Airport</t>
  </si>
  <si>
    <t>CKZ</t>
  </si>
  <si>
    <t>LTBH</t>
  </si>
  <si>
    <t>Canakkale Airport</t>
  </si>
  <si>
    <t>CLA</t>
  </si>
  <si>
    <t>VGCM</t>
  </si>
  <si>
    <t>Comilla Airport</t>
  </si>
  <si>
    <t>CLB</t>
  </si>
  <si>
    <t>EICB</t>
  </si>
  <si>
    <t>Castlebar Airport</t>
  </si>
  <si>
    <t>CLD</t>
  </si>
  <si>
    <t>KCRQ</t>
  </si>
  <si>
    <t>McClellan-Palomar Airport</t>
  </si>
  <si>
    <t>CLE</t>
  </si>
  <si>
    <t>KCLE</t>
  </si>
  <si>
    <t>Cleveland Hopkins International Airport</t>
  </si>
  <si>
    <t>CLF</t>
  </si>
  <si>
    <t>PACL</t>
  </si>
  <si>
    <t>Clear Sky Lodge Airport</t>
  </si>
  <si>
    <t>CLH</t>
  </si>
  <si>
    <t>YCAH</t>
  </si>
  <si>
    <t>Coolah Airport</t>
  </si>
  <si>
    <t>CLI</t>
  </si>
  <si>
    <t>KCLI</t>
  </si>
  <si>
    <t>Clintonville Municipal Airport</t>
  </si>
  <si>
    <t>CLJ</t>
  </si>
  <si>
    <t>LRCL</t>
  </si>
  <si>
    <t>Cluj-Napoca International Airport</t>
  </si>
  <si>
    <t>CLK</t>
  </si>
  <si>
    <t>KCLK</t>
  </si>
  <si>
    <t>Clinton Regional Airport</t>
  </si>
  <si>
    <t>CLL</t>
  </si>
  <si>
    <t>KCLL</t>
  </si>
  <si>
    <t>Easterwood Airport (Easterwood Field)</t>
  </si>
  <si>
    <t>CLM</t>
  </si>
  <si>
    <t>KCLM</t>
  </si>
  <si>
    <t>William R. Fairchild International Airport</t>
  </si>
  <si>
    <t>CLN</t>
  </si>
  <si>
    <t>SBCI</t>
  </si>
  <si>
    <t>Carolina Airport</t>
  </si>
  <si>
    <t>CLO</t>
  </si>
  <si>
    <t>SKCL</t>
  </si>
  <si>
    <t>Alfonso Bonilla Aragón International Airport</t>
  </si>
  <si>
    <t>CLQ</t>
  </si>
  <si>
    <t>MMIA</t>
  </si>
  <si>
    <t>Licenciado Miguel de la Madrid Airport</t>
  </si>
  <si>
    <t>CLR</t>
  </si>
  <si>
    <t>KCLR</t>
  </si>
  <si>
    <t>Cliff Hatfield Memorial Airport</t>
  </si>
  <si>
    <t>CLS</t>
  </si>
  <si>
    <t>KCLS</t>
  </si>
  <si>
    <t>Chehalis-Centralia Airport</t>
  </si>
  <si>
    <t>CLT</t>
  </si>
  <si>
    <t>KCLT</t>
  </si>
  <si>
    <t>Charlotte/Douglas International Airport</t>
  </si>
  <si>
    <t>CLU</t>
  </si>
  <si>
    <t>KBAK</t>
  </si>
  <si>
    <t>Columbus Municipal Airport</t>
  </si>
  <si>
    <t>CLV</t>
  </si>
  <si>
    <t>SBCN</t>
  </si>
  <si>
    <t>Caldas Novas Airport</t>
  </si>
  <si>
    <t>SWKN</t>
  </si>
  <si>
    <t>CLW</t>
  </si>
  <si>
    <t>KCLW</t>
  </si>
  <si>
    <t>Clearwater Air Park</t>
  </si>
  <si>
    <t>CLX</t>
  </si>
  <si>
    <t>SATC</t>
  </si>
  <si>
    <t>Clorinda Airport</t>
  </si>
  <si>
    <t>CLY</t>
  </si>
  <si>
    <t>LFKC</t>
  </si>
  <si>
    <t>Calvi Sainte-Catherine Airport</t>
  </si>
  <si>
    <t>CLZ</t>
  </si>
  <si>
    <t>SVCL</t>
  </si>
  <si>
    <t>Calabozo Airport</t>
  </si>
  <si>
    <t>CMA</t>
  </si>
  <si>
    <t>YCMU</t>
  </si>
  <si>
    <t>Cunnamulla Airport</t>
  </si>
  <si>
    <t>CMB</t>
  </si>
  <si>
    <t>VCBI</t>
  </si>
  <si>
    <t>Bandaranaike International Airport</t>
  </si>
  <si>
    <t>CMC</t>
  </si>
  <si>
    <t>SNWC</t>
  </si>
  <si>
    <t>Camocim Airport</t>
  </si>
  <si>
    <t>CMD</t>
  </si>
  <si>
    <t>YCTM</t>
  </si>
  <si>
    <t>Cootamundra Airport</t>
  </si>
  <si>
    <t>CME</t>
  </si>
  <si>
    <t>MMCE</t>
  </si>
  <si>
    <t>Ciudad del Carmen International Airport</t>
  </si>
  <si>
    <t>CMF</t>
  </si>
  <si>
    <t>LFLB</t>
  </si>
  <si>
    <t>Chambéry Airport</t>
  </si>
  <si>
    <t>CMG</t>
  </si>
  <si>
    <t>SBCR</t>
  </si>
  <si>
    <t>Corumbá International Airport</t>
  </si>
  <si>
    <t>CMH</t>
  </si>
  <si>
    <t>KCMH</t>
  </si>
  <si>
    <t>Port Columbus International Airport</t>
  </si>
  <si>
    <t>CMI</t>
  </si>
  <si>
    <t>KCMI</t>
  </si>
  <si>
    <t>University of Illinois Willard Airport</t>
  </si>
  <si>
    <t>CMJ</t>
  </si>
  <si>
    <t>RCCM</t>
  </si>
  <si>
    <t>Qimei Airport</t>
  </si>
  <si>
    <t>CMK</t>
  </si>
  <si>
    <t>FWCM</t>
  </si>
  <si>
    <t>Club Makokola Airport</t>
  </si>
  <si>
    <t>CML</t>
  </si>
  <si>
    <t>YCMW</t>
  </si>
  <si>
    <t>Camooweal Airport</t>
  </si>
  <si>
    <t>CMM</t>
  </si>
  <si>
    <t>MGCR</t>
  </si>
  <si>
    <t>Carmelita Airport</t>
  </si>
  <si>
    <t>CMN</t>
  </si>
  <si>
    <t>GMMN</t>
  </si>
  <si>
    <t>Mohammed V International Airport</t>
  </si>
  <si>
    <t>CMO</t>
  </si>
  <si>
    <t>HCMO</t>
  </si>
  <si>
    <t>Obbia Airport</t>
  </si>
  <si>
    <t>CMP</t>
  </si>
  <si>
    <t>SNKE</t>
  </si>
  <si>
    <t>Santana do Araguaia Airport</t>
  </si>
  <si>
    <t>CMQ</t>
  </si>
  <si>
    <t>YCMT</t>
  </si>
  <si>
    <t>Clermont Airport</t>
  </si>
  <si>
    <t>CMR</t>
  </si>
  <si>
    <t>LFGA</t>
  </si>
  <si>
    <t>Colmar-Houssen Airport</t>
  </si>
  <si>
    <t>KCMR</t>
  </si>
  <si>
    <t>H.A. Clark Memorial Field</t>
  </si>
  <si>
    <t>CMS</t>
  </si>
  <si>
    <t>HCMS</t>
  </si>
  <si>
    <t>Scusciuban Airport</t>
  </si>
  <si>
    <t>CMU</t>
  </si>
  <si>
    <t>AYCH</t>
  </si>
  <si>
    <t>Chimbu Airport</t>
  </si>
  <si>
    <t>CMV</t>
  </si>
  <si>
    <t>NZCX</t>
  </si>
  <si>
    <t>Coromandel Aerodrome</t>
  </si>
  <si>
    <t>CMW</t>
  </si>
  <si>
    <t>MUCM</t>
  </si>
  <si>
    <t>Ignacio Agramonte International Airport</t>
  </si>
  <si>
    <t>CMX</t>
  </si>
  <si>
    <t>KCMX</t>
  </si>
  <si>
    <t>Houghton County Memorial Airport</t>
  </si>
  <si>
    <t>CMY</t>
  </si>
  <si>
    <t>KCMY</t>
  </si>
  <si>
    <t>Sparta/Fort McCoy Airport</t>
  </si>
  <si>
    <t>CNA</t>
  </si>
  <si>
    <t>MMCA</t>
  </si>
  <si>
    <t>Cananea Airport</t>
  </si>
  <si>
    <t>CNB</t>
  </si>
  <si>
    <t>YCNM</t>
  </si>
  <si>
    <t>Coonamble Airport</t>
  </si>
  <si>
    <t>CNC</t>
  </si>
  <si>
    <t>YCCT</t>
  </si>
  <si>
    <t>Coconut Island Airport</t>
  </si>
  <si>
    <t>KCNC</t>
  </si>
  <si>
    <t>Chariton Municipal Airport</t>
  </si>
  <si>
    <t>CND</t>
  </si>
  <si>
    <t>LRCK</t>
  </si>
  <si>
    <t>Mihail Kog?lniceanu International Airport</t>
  </si>
  <si>
    <t>CNF</t>
  </si>
  <si>
    <t>SBCF</t>
  </si>
  <si>
    <t>Tancredo Neves International Airport</t>
  </si>
  <si>
    <t>CNG</t>
  </si>
  <si>
    <t>LFBG</t>
  </si>
  <si>
    <t>Cognac-Châteaubernard (BA 709) Air Base</t>
  </si>
  <si>
    <t>CNH</t>
  </si>
  <si>
    <t>KCNH</t>
  </si>
  <si>
    <t>Claremont Municipal Airport</t>
  </si>
  <si>
    <t>CNI</t>
  </si>
  <si>
    <t>ZYCH</t>
  </si>
  <si>
    <t>Changhai Airport</t>
  </si>
  <si>
    <t>CNJ</t>
  </si>
  <si>
    <t>YCCY</t>
  </si>
  <si>
    <t>Cloncurry Airport</t>
  </si>
  <si>
    <t>CNK</t>
  </si>
  <si>
    <t>KCNK</t>
  </si>
  <si>
    <t>Blosser Municipal Airport</t>
  </si>
  <si>
    <t>CNL</t>
  </si>
  <si>
    <t>EKSN</t>
  </si>
  <si>
    <t>Sindal Airport</t>
  </si>
  <si>
    <t>CNM</t>
  </si>
  <si>
    <t>KCNM</t>
  </si>
  <si>
    <t>Cavern City Air Trml Airport</t>
  </si>
  <si>
    <t>CNN</t>
  </si>
  <si>
    <t>VOKN</t>
  </si>
  <si>
    <t>Kannur International Airport</t>
  </si>
  <si>
    <t>CNO</t>
  </si>
  <si>
    <t>KCNO</t>
  </si>
  <si>
    <t>Chino Airport</t>
  </si>
  <si>
    <t>CNP</t>
  </si>
  <si>
    <t>BGCO</t>
  </si>
  <si>
    <t>Neerlerit Inaat Airport</t>
  </si>
  <si>
    <t>KCNP</t>
  </si>
  <si>
    <t>Billy G. Ray Field</t>
  </si>
  <si>
    <t>CNQ</t>
  </si>
  <si>
    <t>SARC</t>
  </si>
  <si>
    <t>Doctor Fernando Piragine Niveyro International Airport</t>
  </si>
  <si>
    <t>CNR</t>
  </si>
  <si>
    <t>SCRA</t>
  </si>
  <si>
    <t>Chañaral Airport</t>
  </si>
  <si>
    <t>CNS</t>
  </si>
  <si>
    <t>YBCS</t>
  </si>
  <si>
    <t>Cairns International Airport</t>
  </si>
  <si>
    <t>CNU</t>
  </si>
  <si>
    <t>KCNU</t>
  </si>
  <si>
    <t>Chanute Martin Johnson Airport</t>
  </si>
  <si>
    <t>CNV</t>
  </si>
  <si>
    <t>SNED</t>
  </si>
  <si>
    <t>Canavieiras Airport</t>
  </si>
  <si>
    <t>CNW</t>
  </si>
  <si>
    <t>KCNW</t>
  </si>
  <si>
    <t>TSTC Waco Airport</t>
  </si>
  <si>
    <t>CNX</t>
  </si>
  <si>
    <t>VTCC</t>
  </si>
  <si>
    <t>Chiang Mai International Airport</t>
  </si>
  <si>
    <t>CNY</t>
  </si>
  <si>
    <t>KCNY</t>
  </si>
  <si>
    <t>Canyonlands Field</t>
  </si>
  <si>
    <t>COC</t>
  </si>
  <si>
    <t>SAAC</t>
  </si>
  <si>
    <t>Concordia Pierrestegui Airport</t>
  </si>
  <si>
    <t>COD</t>
  </si>
  <si>
    <t>KCOD</t>
  </si>
  <si>
    <t>Yellowstone Regional Airport</t>
  </si>
  <si>
    <t>COE</t>
  </si>
  <si>
    <t>KCOE</t>
  </si>
  <si>
    <t>Coeur d'Alene Air Terminal</t>
  </si>
  <si>
    <t>COF</t>
  </si>
  <si>
    <t>KCOF</t>
  </si>
  <si>
    <t>Patrick Air Force Base</t>
  </si>
  <si>
    <t>COG</t>
  </si>
  <si>
    <t>SKCD</t>
  </si>
  <si>
    <t>Mandinga Airport</t>
  </si>
  <si>
    <t>COH</t>
  </si>
  <si>
    <t>VECO</t>
  </si>
  <si>
    <t>Cooch Behar Airport</t>
  </si>
  <si>
    <t>COI</t>
  </si>
  <si>
    <t>KCOI</t>
  </si>
  <si>
    <t>Merritt Island Airport</t>
  </si>
  <si>
    <t>COJ</t>
  </si>
  <si>
    <t>YCBB</t>
  </si>
  <si>
    <t>Coonabarabran Airport</t>
  </si>
  <si>
    <t>COK</t>
  </si>
  <si>
    <t>VOCI</t>
  </si>
  <si>
    <t>Cochin International Airport</t>
  </si>
  <si>
    <t>EGEL</t>
  </si>
  <si>
    <t>Coll Airport</t>
  </si>
  <si>
    <t>KCOM</t>
  </si>
  <si>
    <t>Coleman Municipal Airport</t>
  </si>
  <si>
    <t>CON</t>
  </si>
  <si>
    <t>KCON</t>
  </si>
  <si>
    <t>Concord Municipal Airport</t>
  </si>
  <si>
    <t>COO</t>
  </si>
  <si>
    <t>DBBB</t>
  </si>
  <si>
    <t>Cadjehoun Airport</t>
  </si>
  <si>
    <t>COQ</t>
  </si>
  <si>
    <t>ZMCD</t>
  </si>
  <si>
    <t>Choibalsan Airport</t>
  </si>
  <si>
    <t>KCOQ</t>
  </si>
  <si>
    <t>Cloquet Carlton County Airport</t>
  </si>
  <si>
    <t>COR</t>
  </si>
  <si>
    <t>SACO</t>
  </si>
  <si>
    <t>Ingeniero Ambrosio L.V. Taravella International Airport</t>
  </si>
  <si>
    <t>COS</t>
  </si>
  <si>
    <t>KCOS</t>
  </si>
  <si>
    <t>Colorado Springs Airport</t>
  </si>
  <si>
    <t>COT</t>
  </si>
  <si>
    <t>KCOT</t>
  </si>
  <si>
    <t>Cotulla-La Salle County Airport</t>
  </si>
  <si>
    <t>COU</t>
  </si>
  <si>
    <t>KCOU</t>
  </si>
  <si>
    <t>Columbia Regional Airport</t>
  </si>
  <si>
    <t>COV</t>
  </si>
  <si>
    <t>LPCV</t>
  </si>
  <si>
    <t>Covilha Airport</t>
  </si>
  <si>
    <t>COX</t>
  </si>
  <si>
    <t>MYAK</t>
  </si>
  <si>
    <t>Congo Town Airport</t>
  </si>
  <si>
    <t>COZ</t>
  </si>
  <si>
    <t>MDCZ</t>
  </si>
  <si>
    <t>Constanza Airport</t>
  </si>
  <si>
    <t>CPA</t>
  </si>
  <si>
    <t>GLCP</t>
  </si>
  <si>
    <t>Cape Palmas Airport</t>
  </si>
  <si>
    <t>CPB</t>
  </si>
  <si>
    <t>SKCA</t>
  </si>
  <si>
    <t>Capurganá Airport</t>
  </si>
  <si>
    <t>CPC</t>
  </si>
  <si>
    <t>SAMI</t>
  </si>
  <si>
    <t>Aviador Carlos Campos Airport</t>
  </si>
  <si>
    <t>SAZY</t>
  </si>
  <si>
    <t>Aviador C. Campos Airport</t>
  </si>
  <si>
    <t>CPD</t>
  </si>
  <si>
    <t>YCBP</t>
  </si>
  <si>
    <t>Coober Pedy Airport</t>
  </si>
  <si>
    <t>CPE</t>
  </si>
  <si>
    <t>MMCP</t>
  </si>
  <si>
    <t>Ing. Alberto Acuña Ongay International Airport</t>
  </si>
  <si>
    <t>CPF</t>
  </si>
  <si>
    <t>WARC</t>
  </si>
  <si>
    <t>Cepu Airport</t>
  </si>
  <si>
    <t>CPH</t>
  </si>
  <si>
    <t>EKCH</t>
  </si>
  <si>
    <t>Copenhagen Airport</t>
  </si>
  <si>
    <t>CPK</t>
  </si>
  <si>
    <t>KCPK</t>
  </si>
  <si>
    <t>Chesapeake Regional Airport</t>
  </si>
  <si>
    <t>CPL</t>
  </si>
  <si>
    <t>SKHA</t>
  </si>
  <si>
    <t>Chaparral Airport</t>
  </si>
  <si>
    <t>CPM</t>
  </si>
  <si>
    <t>KCPM</t>
  </si>
  <si>
    <t>Compton/Woodley Airport</t>
  </si>
  <si>
    <t>CPO</t>
  </si>
  <si>
    <t>SCHA</t>
  </si>
  <si>
    <t>Chamonate Airport</t>
  </si>
  <si>
    <t>CPQ</t>
  </si>
  <si>
    <t>SDAM</t>
  </si>
  <si>
    <t>Amarais Airport</t>
  </si>
  <si>
    <t>CPR</t>
  </si>
  <si>
    <t>KCPR</t>
  </si>
  <si>
    <t>Natrona County International Airport</t>
  </si>
  <si>
    <t>CPS</t>
  </si>
  <si>
    <t>KCPS</t>
  </si>
  <si>
    <t>St. Louis Downtown Airport</t>
  </si>
  <si>
    <t>CPT</t>
  </si>
  <si>
    <t>FACT</t>
  </si>
  <si>
    <t>Cape Town International Airport</t>
  </si>
  <si>
    <t>CPU</t>
  </si>
  <si>
    <t>SNCU</t>
  </si>
  <si>
    <t>Cururupu Airport</t>
  </si>
  <si>
    <t>KCPU</t>
  </si>
  <si>
    <t>Calaveras County-Maury Rasmussen Field</t>
  </si>
  <si>
    <t>CPV</t>
  </si>
  <si>
    <t>SBKG</t>
  </si>
  <si>
    <t>Presidente Vargas Airport</t>
  </si>
  <si>
    <t>CPX</t>
  </si>
  <si>
    <t>TJCP</t>
  </si>
  <si>
    <t>Benjamin Rivera Noriega Airport</t>
  </si>
  <si>
    <t>CQA</t>
  </si>
  <si>
    <t>SWEK</t>
  </si>
  <si>
    <t>Canarana Airport</t>
  </si>
  <si>
    <t>CQD</t>
  </si>
  <si>
    <t>OIFS</t>
  </si>
  <si>
    <t>Shahre-Kord Airport</t>
  </si>
  <si>
    <t>CQF</t>
  </si>
  <si>
    <t>LFAC</t>
  </si>
  <si>
    <t>Calais - Dunkerque Airport</t>
  </si>
  <si>
    <t>CQM</t>
  </si>
  <si>
    <t>LERL</t>
  </si>
  <si>
    <t>CQS</t>
  </si>
  <si>
    <t>SWCQ</t>
  </si>
  <si>
    <t>Costa Marques Airport</t>
  </si>
  <si>
    <t>CRA</t>
  </si>
  <si>
    <t>LRCV</t>
  </si>
  <si>
    <t>Craiova Airport</t>
  </si>
  <si>
    <t>CRB</t>
  </si>
  <si>
    <t>YCBR</t>
  </si>
  <si>
    <t>Collarenebri Airport</t>
  </si>
  <si>
    <t>CRC</t>
  </si>
  <si>
    <t>SKGO</t>
  </si>
  <si>
    <t>Santa Ana Airport</t>
  </si>
  <si>
    <t>CRD</t>
  </si>
  <si>
    <t>SAVC</t>
  </si>
  <si>
    <t>General Enrique Mosconi International Airport</t>
  </si>
  <si>
    <t>CRE</t>
  </si>
  <si>
    <t>KCRE</t>
  </si>
  <si>
    <t>Grand Strand Airport</t>
  </si>
  <si>
    <t>CRF</t>
  </si>
  <si>
    <t>FEFC</t>
  </si>
  <si>
    <t>Carnot Airport</t>
  </si>
  <si>
    <t>CRG</t>
  </si>
  <si>
    <t>KCRG</t>
  </si>
  <si>
    <t>Craig Municipal Airport</t>
  </si>
  <si>
    <t>CRI</t>
  </si>
  <si>
    <t>MYCI</t>
  </si>
  <si>
    <t>Colonel Hill Airport</t>
  </si>
  <si>
    <t>CRK</t>
  </si>
  <si>
    <t>RPLC</t>
  </si>
  <si>
    <t>Diosdado Macapagal International Airport</t>
  </si>
  <si>
    <t>CRL</t>
  </si>
  <si>
    <t>EBCI</t>
  </si>
  <si>
    <t>Brussels South Charleroi Airport</t>
  </si>
  <si>
    <t>CRM</t>
  </si>
  <si>
    <t>RPVF</t>
  </si>
  <si>
    <t>Catarman National Airport</t>
  </si>
  <si>
    <t>CRO</t>
  </si>
  <si>
    <t>KCRO</t>
  </si>
  <si>
    <t>Corcoran Airport</t>
  </si>
  <si>
    <t>CRP</t>
  </si>
  <si>
    <t>KCRP</t>
  </si>
  <si>
    <t>Corpus Christi International Airport</t>
  </si>
  <si>
    <t>CRQ</t>
  </si>
  <si>
    <t>SBCV</t>
  </si>
  <si>
    <t>Caravelas Airport</t>
  </si>
  <si>
    <t>CRR</t>
  </si>
  <si>
    <t>SANW</t>
  </si>
  <si>
    <t>Ceres Airport</t>
  </si>
  <si>
    <t>CRS</t>
  </si>
  <si>
    <t>KCRS</t>
  </si>
  <si>
    <t>Corsicana Municipal Airport (C. David Campbell Field)</t>
  </si>
  <si>
    <t>KCRT</t>
  </si>
  <si>
    <t>Z.M. Jack Stell Field</t>
  </si>
  <si>
    <t>CRU</t>
  </si>
  <si>
    <t>TGPZ</t>
  </si>
  <si>
    <t>Lauriston Airport</t>
  </si>
  <si>
    <t>CRV</t>
  </si>
  <si>
    <t>LIBC</t>
  </si>
  <si>
    <t>Crotone Airport</t>
  </si>
  <si>
    <t>CRW</t>
  </si>
  <si>
    <t>KCRW</t>
  </si>
  <si>
    <t>Yeager Airport</t>
  </si>
  <si>
    <t>CRX</t>
  </si>
  <si>
    <t>KCRX</t>
  </si>
  <si>
    <t>Roscoe Turner Airport</t>
  </si>
  <si>
    <t>CRZ</t>
  </si>
  <si>
    <t>UTAV</t>
  </si>
  <si>
    <t>Turkmenabat Airport</t>
  </si>
  <si>
    <t>CSA</t>
  </si>
  <si>
    <t>EGEY</t>
  </si>
  <si>
    <t>Colonsay Airstrip</t>
  </si>
  <si>
    <t>CSB</t>
  </si>
  <si>
    <t>LRCS</t>
  </si>
  <si>
    <t>Caransebe? Airport</t>
  </si>
  <si>
    <t>CSC</t>
  </si>
  <si>
    <t>MRCA</t>
  </si>
  <si>
    <t>Codela Airport</t>
  </si>
  <si>
    <t>CSF</t>
  </si>
  <si>
    <t>LFPC</t>
  </si>
  <si>
    <t>Creil Air Base</t>
  </si>
  <si>
    <t>CSG</t>
  </si>
  <si>
    <t>KCSG</t>
  </si>
  <si>
    <t>Columbus Metropolitan Airport</t>
  </si>
  <si>
    <t>CSH</t>
  </si>
  <si>
    <t>ULAS</t>
  </si>
  <si>
    <t>Solovki Airport</t>
  </si>
  <si>
    <t>CSI</t>
  </si>
  <si>
    <t>YCAS</t>
  </si>
  <si>
    <t>Casino Airport</t>
  </si>
  <si>
    <t>CSK</t>
  </si>
  <si>
    <t>GOGS</t>
  </si>
  <si>
    <t>Cap Skirring Airport</t>
  </si>
  <si>
    <t>CSL</t>
  </si>
  <si>
    <t>MMSL</t>
  </si>
  <si>
    <t>Cabo San Lucas International Airport</t>
  </si>
  <si>
    <t>CSM</t>
  </si>
  <si>
    <t>KCSM</t>
  </si>
  <si>
    <t>Clinton-Sherman Airport</t>
  </si>
  <si>
    <t>CSP</t>
  </si>
  <si>
    <t>PACA</t>
  </si>
  <si>
    <t>Cape Spencer Coast Guard Heliport</t>
  </si>
  <si>
    <t>CSQ</t>
  </si>
  <si>
    <t>KCSQ</t>
  </si>
  <si>
    <t>Creston Municipal Airport</t>
  </si>
  <si>
    <t>CSU</t>
  </si>
  <si>
    <t>SSSC</t>
  </si>
  <si>
    <t>Santa Cruz do Sul Airport</t>
  </si>
  <si>
    <t>CSV</t>
  </si>
  <si>
    <t>KCSV</t>
  </si>
  <si>
    <t>Crossville Memorial-Whitson Field</t>
  </si>
  <si>
    <t>CSX</t>
  </si>
  <si>
    <t>ZGHA</t>
  </si>
  <si>
    <t>Changsha Huanghua International Airport</t>
  </si>
  <si>
    <t>CSY</t>
  </si>
  <si>
    <t>UWKS</t>
  </si>
  <si>
    <t>Cheboksary Airport</t>
  </si>
  <si>
    <t>CSZ</t>
  </si>
  <si>
    <t>SAZC</t>
  </si>
  <si>
    <t>Brigadier D.H.E. Ruiz Airport</t>
  </si>
  <si>
    <t>CTA</t>
  </si>
  <si>
    <t>LICC</t>
  </si>
  <si>
    <t>Catania-Fontanarossa Airport</t>
  </si>
  <si>
    <t>CTB</t>
  </si>
  <si>
    <t>KCTB</t>
  </si>
  <si>
    <t>Cut Bank Municipal Airport</t>
  </si>
  <si>
    <t>CTC</t>
  </si>
  <si>
    <t>SANC</t>
  </si>
  <si>
    <t>Catamarca Airport</t>
  </si>
  <si>
    <t>CTD</t>
  </si>
  <si>
    <t>MPCE</t>
  </si>
  <si>
    <t>Alonso Valderrama Airport</t>
  </si>
  <si>
    <t>CTF</t>
  </si>
  <si>
    <t>MGCT</t>
  </si>
  <si>
    <t>Coatepeque Airport</t>
  </si>
  <si>
    <t>SPCM</t>
  </si>
  <si>
    <t>Contamana Airport</t>
  </si>
  <si>
    <t>CTG</t>
  </si>
  <si>
    <t>SKCG</t>
  </si>
  <si>
    <t>Rafael Núñez International Airport</t>
  </si>
  <si>
    <t>CTI</t>
  </si>
  <si>
    <t>FNCV</t>
  </si>
  <si>
    <t>Cuito Cuanavale Airport</t>
  </si>
  <si>
    <t>CTK</t>
  </si>
  <si>
    <t>KCTK</t>
  </si>
  <si>
    <t>Ingersoll Airport</t>
  </si>
  <si>
    <t>CTL</t>
  </si>
  <si>
    <t>YBCV</t>
  </si>
  <si>
    <t>Charleville Airport</t>
  </si>
  <si>
    <t>CTM</t>
  </si>
  <si>
    <t>MMCM</t>
  </si>
  <si>
    <t>Chetumal International Airport</t>
  </si>
  <si>
    <t>CTN</t>
  </si>
  <si>
    <t>YCKN</t>
  </si>
  <si>
    <t>Cooktown Airport</t>
  </si>
  <si>
    <t>CTP</t>
  </si>
  <si>
    <t>SNCP</t>
  </si>
  <si>
    <t>Carutapera Airport</t>
  </si>
  <si>
    <t>CTQ</t>
  </si>
  <si>
    <t>SSVP</t>
  </si>
  <si>
    <t>Santa Vitória do Palmar Airport</t>
  </si>
  <si>
    <t>CTS</t>
  </si>
  <si>
    <t>RJCC</t>
  </si>
  <si>
    <t>New Chitose Airport</t>
  </si>
  <si>
    <t>CTT</t>
  </si>
  <si>
    <t>LFMQ</t>
  </si>
  <si>
    <t>Le Castellet Airport</t>
  </si>
  <si>
    <t>CTU</t>
  </si>
  <si>
    <t>ZUUU</t>
  </si>
  <si>
    <t>Chengdu Shuangliu International Airport</t>
  </si>
  <si>
    <t>CTY</t>
  </si>
  <si>
    <t>KCTY</t>
  </si>
  <si>
    <t>Cross City Airport</t>
  </si>
  <si>
    <t>CTZ</t>
  </si>
  <si>
    <t>KCTZ</t>
  </si>
  <si>
    <t>Sampson County Airport</t>
  </si>
  <si>
    <t>CUA</t>
  </si>
  <si>
    <t>MMDA</t>
  </si>
  <si>
    <t>Ciudad Constitución Airport</t>
  </si>
  <si>
    <t>CUB</t>
  </si>
  <si>
    <t>KCUB</t>
  </si>
  <si>
    <t>Columbia Owens Downtown Airport</t>
  </si>
  <si>
    <t>CUC</t>
  </si>
  <si>
    <t>SKCC</t>
  </si>
  <si>
    <t>Camilo Daza International Airport</t>
  </si>
  <si>
    <t>CUD</t>
  </si>
  <si>
    <t>YCDR</t>
  </si>
  <si>
    <t>Caloundra Airport</t>
  </si>
  <si>
    <t>CUE</t>
  </si>
  <si>
    <t>SECU</t>
  </si>
  <si>
    <t>Mariscal Lamar Airport</t>
  </si>
  <si>
    <t>CUF</t>
  </si>
  <si>
    <t>LIMZ</t>
  </si>
  <si>
    <t>Cuneo / Levaldigi Airport</t>
  </si>
  <si>
    <t>CUG</t>
  </si>
  <si>
    <t>YCUA</t>
  </si>
  <si>
    <t>Cudal Airport</t>
  </si>
  <si>
    <t>CUH</t>
  </si>
  <si>
    <t>KCUH</t>
  </si>
  <si>
    <t>Cushing Municipal Airport</t>
  </si>
  <si>
    <t>CUK</t>
  </si>
  <si>
    <t>KCUL</t>
  </si>
  <si>
    <t>Caye Caulker Airport</t>
  </si>
  <si>
    <t>CUL</t>
  </si>
  <si>
    <t>MMCL</t>
  </si>
  <si>
    <t>Federal de Bachigualato International Airport</t>
  </si>
  <si>
    <t>CUM</t>
  </si>
  <si>
    <t>SVCU</t>
  </si>
  <si>
    <t>Antonio José de Sucre Airport</t>
  </si>
  <si>
    <t>CUN</t>
  </si>
  <si>
    <t>MMUN</t>
  </si>
  <si>
    <t>Cancún International Airport</t>
  </si>
  <si>
    <t>CUO</t>
  </si>
  <si>
    <t>SKCR</t>
  </si>
  <si>
    <t>Carurú Airport</t>
  </si>
  <si>
    <t>CUP</t>
  </si>
  <si>
    <t>SVCP</t>
  </si>
  <si>
    <t>General José Francisco Bermúdez Airport</t>
  </si>
  <si>
    <t>CUQ</t>
  </si>
  <si>
    <t>YCOE</t>
  </si>
  <si>
    <t>Coen Airport</t>
  </si>
  <si>
    <t>CUR</t>
  </si>
  <si>
    <t>TNCC</t>
  </si>
  <si>
    <t>Hato International Airport</t>
  </si>
  <si>
    <t>CUT</t>
  </si>
  <si>
    <t>SAZW</t>
  </si>
  <si>
    <t>Cutral-Co Airport</t>
  </si>
  <si>
    <t>KCUT</t>
  </si>
  <si>
    <t>Custer County Airport</t>
  </si>
  <si>
    <t>CUU</t>
  </si>
  <si>
    <t>MMCU</t>
  </si>
  <si>
    <t>General Roberto Fierro Villalobos International Airport</t>
  </si>
  <si>
    <t>CUV</t>
  </si>
  <si>
    <t>SVCG</t>
  </si>
  <si>
    <t>Casigua El Cubo Airport</t>
  </si>
  <si>
    <t>CUY</t>
  </si>
  <si>
    <t>YCUE</t>
  </si>
  <si>
    <t>Cue Airport</t>
  </si>
  <si>
    <t>CUZ</t>
  </si>
  <si>
    <t>SPZO</t>
  </si>
  <si>
    <t>Alejandro Velasco Astete International Airport</t>
  </si>
  <si>
    <t>CVC</t>
  </si>
  <si>
    <t>YCEE</t>
  </si>
  <si>
    <t>Cleve Airport</t>
  </si>
  <si>
    <t>CVE</t>
  </si>
  <si>
    <t>SKCV</t>
  </si>
  <si>
    <t>Coveñas Airport</t>
  </si>
  <si>
    <t>CVF</t>
  </si>
  <si>
    <t>LFLJ</t>
  </si>
  <si>
    <t>Courchevel Airport</t>
  </si>
  <si>
    <t>CVG</t>
  </si>
  <si>
    <t>KCVG</t>
  </si>
  <si>
    <t>Cincinnati/Northern Kentucky International Airport</t>
  </si>
  <si>
    <t>CVH</t>
  </si>
  <si>
    <t>SAHE</t>
  </si>
  <si>
    <t>Caviahue Airport</t>
  </si>
  <si>
    <t>CVJ</t>
  </si>
  <si>
    <t>MMCB</t>
  </si>
  <si>
    <t>General Mariano Matamoros Airport</t>
  </si>
  <si>
    <t>CVM</t>
  </si>
  <si>
    <t>MMCV</t>
  </si>
  <si>
    <t>General Pedro J. Méndez National Airport</t>
  </si>
  <si>
    <t>CVN</t>
  </si>
  <si>
    <t>KCVN</t>
  </si>
  <si>
    <t>Clovis Municipal Airport</t>
  </si>
  <si>
    <t>CVO</t>
  </si>
  <si>
    <t>KCVO</t>
  </si>
  <si>
    <t>Corvallis Municipal Airport</t>
  </si>
  <si>
    <t>CVQ</t>
  </si>
  <si>
    <t>YCAR</t>
  </si>
  <si>
    <t>Carnarvon Airport</t>
  </si>
  <si>
    <t>CVS</t>
  </si>
  <si>
    <t>KCVS</t>
  </si>
  <si>
    <t>Cannon Air Force Base</t>
  </si>
  <si>
    <t>CVT</t>
  </si>
  <si>
    <t>EGBE</t>
  </si>
  <si>
    <t>Coventry Airport</t>
  </si>
  <si>
    <t>CVU</t>
  </si>
  <si>
    <t>LPCR</t>
  </si>
  <si>
    <t>Corvo Airport</t>
  </si>
  <si>
    <t>CWA</t>
  </si>
  <si>
    <t>KCWA</t>
  </si>
  <si>
    <t>Central Wisconsin Airport</t>
  </si>
  <si>
    <t>CWB</t>
  </si>
  <si>
    <t>SBCT</t>
  </si>
  <si>
    <t>Afonso Pena International Airport</t>
  </si>
  <si>
    <t>CWC</t>
  </si>
  <si>
    <t>UKLN</t>
  </si>
  <si>
    <t>Chernivtsi International Airport</t>
  </si>
  <si>
    <t>CWE</t>
  </si>
  <si>
    <t>HECW</t>
  </si>
  <si>
    <t>Cairo West Airport</t>
  </si>
  <si>
    <t>CWF</t>
  </si>
  <si>
    <t>KCWF</t>
  </si>
  <si>
    <t>Chennault International Airport</t>
  </si>
  <si>
    <t>CWI</t>
  </si>
  <si>
    <t>KCWI</t>
  </si>
  <si>
    <t>Clinton Municipal Airport</t>
  </si>
  <si>
    <t>CWL</t>
  </si>
  <si>
    <t>EGFF</t>
  </si>
  <si>
    <t>Cardiff Airport</t>
  </si>
  <si>
    <t>CWR</t>
  </si>
  <si>
    <t>YCWI</t>
  </si>
  <si>
    <t>Cowarie Airport</t>
  </si>
  <si>
    <t>CWS</t>
  </si>
  <si>
    <t>KCWS</t>
  </si>
  <si>
    <t>Dennis F. Cantrell Field</t>
  </si>
  <si>
    <t>CWT</t>
  </si>
  <si>
    <t>YCWR</t>
  </si>
  <si>
    <t>Cowra Airport</t>
  </si>
  <si>
    <t>CWW</t>
  </si>
  <si>
    <t>YCOR</t>
  </si>
  <si>
    <t>Corowa Airport</t>
  </si>
  <si>
    <t>CWX</t>
  </si>
  <si>
    <t>KP33</t>
  </si>
  <si>
    <t>Cochise County Airport</t>
  </si>
  <si>
    <t>CXA</t>
  </si>
  <si>
    <t>SVCD</t>
  </si>
  <si>
    <t>Caicara del Orinoco Airport</t>
  </si>
  <si>
    <t>CXB</t>
  </si>
  <si>
    <t>VGCB</t>
  </si>
  <si>
    <t>Cox's Bazar Airport</t>
  </si>
  <si>
    <t>CXH</t>
  </si>
  <si>
    <t>CYHC</t>
  </si>
  <si>
    <t>Vancouver Harbour Water Aerodrome</t>
  </si>
  <si>
    <t>CXI</t>
  </si>
  <si>
    <t>PLCH</t>
  </si>
  <si>
    <t>Cassidy International Airport</t>
  </si>
  <si>
    <t>CXJ</t>
  </si>
  <si>
    <t>SBCX</t>
  </si>
  <si>
    <t>Aeroporto Hugo Cantergiani</t>
  </si>
  <si>
    <t>CXL</t>
  </si>
  <si>
    <t>KCXL</t>
  </si>
  <si>
    <t>Calexico International Airport</t>
  </si>
  <si>
    <t>CXM</t>
  </si>
  <si>
    <t>FNCX</t>
  </si>
  <si>
    <t>Camaxilo Airport</t>
  </si>
  <si>
    <t>CXN</t>
  </si>
  <si>
    <t>HCMC</t>
  </si>
  <si>
    <t>Candala Airport</t>
  </si>
  <si>
    <t>CXO</t>
  </si>
  <si>
    <t>KCXO</t>
  </si>
  <si>
    <t>Lone Star Executive Airport</t>
  </si>
  <si>
    <t>CXP</t>
  </si>
  <si>
    <t>WIHL</t>
  </si>
  <si>
    <t>Tunggul Wulung Airport</t>
  </si>
  <si>
    <t>KCXP</t>
  </si>
  <si>
    <t>Carson Airport</t>
  </si>
  <si>
    <t>CXR</t>
  </si>
  <si>
    <t>VVCR</t>
  </si>
  <si>
    <t>Cam Ranh International Airport</t>
  </si>
  <si>
    <t>CXT</t>
  </si>
  <si>
    <t>YCHT</t>
  </si>
  <si>
    <t>Charters Towers Airport</t>
  </si>
  <si>
    <t>CXY</t>
  </si>
  <si>
    <t>MYCC</t>
  </si>
  <si>
    <t>Cat Cay Airport</t>
  </si>
  <si>
    <t>CYA</t>
  </si>
  <si>
    <t>MTCA</t>
  </si>
  <si>
    <t>Les Cayes Airport</t>
  </si>
  <si>
    <t>CYB</t>
  </si>
  <si>
    <t>MWCB</t>
  </si>
  <si>
    <t>Gerrard Smith International Airport</t>
  </si>
  <si>
    <t>CYG</t>
  </si>
  <si>
    <t>YCRG</t>
  </si>
  <si>
    <t>Corryong Airport</t>
  </si>
  <si>
    <t>CYI</t>
  </si>
  <si>
    <t>RCKU</t>
  </si>
  <si>
    <t>Chiayi Airport</t>
  </si>
  <si>
    <t>CYO</t>
  </si>
  <si>
    <t>MUCL</t>
  </si>
  <si>
    <t>Vilo Acuna International Airport</t>
  </si>
  <si>
    <t>KCYO</t>
  </si>
  <si>
    <t>Pickaway County Memorial Airport</t>
  </si>
  <si>
    <t>CYP</t>
  </si>
  <si>
    <t>RPVC</t>
  </si>
  <si>
    <t>Calbayog Airport</t>
  </si>
  <si>
    <t>CYR</t>
  </si>
  <si>
    <t>SUCA</t>
  </si>
  <si>
    <t>Laguna de Los Patos International Airport</t>
  </si>
  <si>
    <t>CYS</t>
  </si>
  <si>
    <t>KCYS</t>
  </si>
  <si>
    <t>Cheyenne Regional Airport (Jerry Olson Field)</t>
  </si>
  <si>
    <t>CYT</t>
  </si>
  <si>
    <t>PACY</t>
  </si>
  <si>
    <t>Yakataga Airport</t>
  </si>
  <si>
    <t>CYU</t>
  </si>
  <si>
    <t>RPLO</t>
  </si>
  <si>
    <t>Cuyo Airport</t>
  </si>
  <si>
    <t>CYW</t>
  </si>
  <si>
    <t>MMCY</t>
  </si>
  <si>
    <t>Captain Rogelio Castillo National Airport</t>
  </si>
  <si>
    <t>CYX</t>
  </si>
  <si>
    <t>UESS</t>
  </si>
  <si>
    <t>Cherskiy Airport</t>
  </si>
  <si>
    <t>CYZ</t>
  </si>
  <si>
    <t>RPUY</t>
  </si>
  <si>
    <t>Cauayan Airport</t>
  </si>
  <si>
    <t>CZA</t>
  </si>
  <si>
    <t>MMCT</t>
  </si>
  <si>
    <t>Chichen Itza International Airport</t>
  </si>
  <si>
    <t>CZE</t>
  </si>
  <si>
    <t>SVCR</t>
  </si>
  <si>
    <t>José Leonardo Chirinos Airport</t>
  </si>
  <si>
    <t>CZF</t>
  </si>
  <si>
    <t>PACZ</t>
  </si>
  <si>
    <t>Cape Romanzof Long Range Radar Station</t>
  </si>
  <si>
    <t>CZK</t>
  </si>
  <si>
    <t>KCZK</t>
  </si>
  <si>
    <t>Cascade Locks State Airport</t>
  </si>
  <si>
    <t>CZL</t>
  </si>
  <si>
    <t>DABC</t>
  </si>
  <si>
    <t>Mohamed Boudiaf International Airport</t>
  </si>
  <si>
    <t>CZM</t>
  </si>
  <si>
    <t>MMCZ</t>
  </si>
  <si>
    <t>Cozumel International Airport</t>
  </si>
  <si>
    <t>CZS</t>
  </si>
  <si>
    <t>SBCZ</t>
  </si>
  <si>
    <t>Cruzeiro do Sul International Airport</t>
  </si>
  <si>
    <t>CZT</t>
  </si>
  <si>
    <t>KCZT</t>
  </si>
  <si>
    <t>Dimmit County Airport</t>
  </si>
  <si>
    <t>CZU</t>
  </si>
  <si>
    <t>SKCZ</t>
  </si>
  <si>
    <t>CZW</t>
  </si>
  <si>
    <t>EPCH</t>
  </si>
  <si>
    <t>Częstochowa-Rudniki</t>
  </si>
  <si>
    <t>CZX</t>
  </si>
  <si>
    <t>ZSCG</t>
  </si>
  <si>
    <t>Changzhou Benniu Airport</t>
  </si>
  <si>
    <t>CZY</t>
  </si>
  <si>
    <t>YUNY</t>
  </si>
  <si>
    <t>Cluny Airport</t>
  </si>
  <si>
    <t>DAA</t>
  </si>
  <si>
    <t>KDAA</t>
  </si>
  <si>
    <t>Davison Army Airfield</t>
  </si>
  <si>
    <t>DAB</t>
  </si>
  <si>
    <t>KDAB</t>
  </si>
  <si>
    <t>Daytona Beach International Airport</t>
  </si>
  <si>
    <t>DAC</t>
  </si>
  <si>
    <t>VGHS</t>
  </si>
  <si>
    <t>Hazrat Shahjalal International Airport</t>
  </si>
  <si>
    <t>VGZR</t>
  </si>
  <si>
    <t>Zia International Airport</t>
  </si>
  <si>
    <t>DAD</t>
  </si>
  <si>
    <t>VVDN</t>
  </si>
  <si>
    <t>Da Nang International Airport</t>
  </si>
  <si>
    <t>DAE</t>
  </si>
  <si>
    <t>VEDZ</t>
  </si>
  <si>
    <t>Daporijo Airport</t>
  </si>
  <si>
    <t>DAG</t>
  </si>
  <si>
    <t>KDAG</t>
  </si>
  <si>
    <t>Barstow-Daggett Airport</t>
  </si>
  <si>
    <t>DAK</t>
  </si>
  <si>
    <t>HEDK</t>
  </si>
  <si>
    <t>Dakhla Oasis Airport</t>
  </si>
  <si>
    <t>DAL</t>
  </si>
  <si>
    <t>KDAL</t>
  </si>
  <si>
    <t>Dallas Love Field</t>
  </si>
  <si>
    <t>DAM</t>
  </si>
  <si>
    <t>OSDI</t>
  </si>
  <si>
    <t>Damascus International Airport</t>
  </si>
  <si>
    <t>DAN</t>
  </si>
  <si>
    <t>KDAN</t>
  </si>
  <si>
    <t>Danville Regional Airport</t>
  </si>
  <si>
    <t>DAP</t>
  </si>
  <si>
    <t>VNDL</t>
  </si>
  <si>
    <t>Darchula Airport</t>
  </si>
  <si>
    <t>DAR</t>
  </si>
  <si>
    <t>HTDA</t>
  </si>
  <si>
    <t>Dar Es Salaam Airport</t>
  </si>
  <si>
    <t>DAT</t>
  </si>
  <si>
    <t>SCAT</t>
  </si>
  <si>
    <t>Desierto de Atacama Airport</t>
  </si>
  <si>
    <t>ZBDT</t>
  </si>
  <si>
    <t>Datong Airport</t>
  </si>
  <si>
    <t>DAU</t>
  </si>
  <si>
    <t>AYDU</t>
  </si>
  <si>
    <t>Daru Airport</t>
  </si>
  <si>
    <t>DAV</t>
  </si>
  <si>
    <t>MPDA</t>
  </si>
  <si>
    <t>Enrique Malek International Airport</t>
  </si>
  <si>
    <t>DAX</t>
  </si>
  <si>
    <t>ZUDX</t>
  </si>
  <si>
    <t>Dachuan Airport</t>
  </si>
  <si>
    <t>DAY</t>
  </si>
  <si>
    <t>KDAY</t>
  </si>
  <si>
    <t>James M. Cox International Airport</t>
  </si>
  <si>
    <t>DAZ</t>
  </si>
  <si>
    <t>OADZ</t>
  </si>
  <si>
    <t>Darwaz Airport</t>
  </si>
  <si>
    <t>DBA</t>
  </si>
  <si>
    <t>OPDB</t>
  </si>
  <si>
    <t>Dalbandin Airport</t>
  </si>
  <si>
    <t>DBB</t>
  </si>
  <si>
    <t>HEAL</t>
  </si>
  <si>
    <t>El Alamein International Airport</t>
  </si>
  <si>
    <t>DBD</t>
  </si>
  <si>
    <t>VEDB</t>
  </si>
  <si>
    <t>Dhanbad Airport</t>
  </si>
  <si>
    <t>DBM</t>
  </si>
  <si>
    <t>HADM</t>
  </si>
  <si>
    <t>Debre Marcos Airport</t>
  </si>
  <si>
    <t>DBN</t>
  </si>
  <si>
    <t>KDBN</t>
  </si>
  <si>
    <t>W. H. 'Bud' Barron Airport</t>
  </si>
  <si>
    <t>DBO</t>
  </si>
  <si>
    <t>YSDU</t>
  </si>
  <si>
    <t>Dubbo Airport</t>
  </si>
  <si>
    <t>DBQ</t>
  </si>
  <si>
    <t>KDBQ</t>
  </si>
  <si>
    <t>Dubuque Regional Airport</t>
  </si>
  <si>
    <t>DBT</t>
  </si>
  <si>
    <t>HADT</t>
  </si>
  <si>
    <t>Debre Tabor Airport</t>
  </si>
  <si>
    <t>DBV</t>
  </si>
  <si>
    <t>LDDU</t>
  </si>
  <si>
    <t>Dubrovnik Airport</t>
  </si>
  <si>
    <t>DBY</t>
  </si>
  <si>
    <t>YDAY</t>
  </si>
  <si>
    <t>Dalby Airport</t>
  </si>
  <si>
    <t>DCA</t>
  </si>
  <si>
    <t>KDCA</t>
  </si>
  <si>
    <t>Ronald Reagan Washington National Airport</t>
  </si>
  <si>
    <t>DCF</t>
  </si>
  <si>
    <t>TDCF</t>
  </si>
  <si>
    <t>Canefield Airport</t>
  </si>
  <si>
    <t>DCI</t>
  </si>
  <si>
    <t>LIED</t>
  </si>
  <si>
    <t>Rafsu Decimomannu Airport</t>
  </si>
  <si>
    <t>DCM</t>
  </si>
  <si>
    <t>LFCK</t>
  </si>
  <si>
    <t>Castres-Mazamet Airport</t>
  </si>
  <si>
    <t>DCR</t>
  </si>
  <si>
    <t>KDCR</t>
  </si>
  <si>
    <t>Decatur Hi-Way Airport</t>
  </si>
  <si>
    <t>DCT</t>
  </si>
  <si>
    <t>MYRD</t>
  </si>
  <si>
    <t>Duncan Town Airport</t>
  </si>
  <si>
    <t>DCU</t>
  </si>
  <si>
    <t>KDCU</t>
  </si>
  <si>
    <t>Pryor Field Regional Airport</t>
  </si>
  <si>
    <t>DDC</t>
  </si>
  <si>
    <t>KDDC</t>
  </si>
  <si>
    <t>Dodge City Regional Airport</t>
  </si>
  <si>
    <t>DDG</t>
  </si>
  <si>
    <t>ZYDD</t>
  </si>
  <si>
    <t>Dandong Airport</t>
  </si>
  <si>
    <t>DDN</t>
  </si>
  <si>
    <t>YDLT</t>
  </si>
  <si>
    <t>Delta Downs Airport</t>
  </si>
  <si>
    <t>DDU</t>
  </si>
  <si>
    <t>OP17</t>
  </si>
  <si>
    <t>Dadu West Airport</t>
  </si>
  <si>
    <t>OPDD</t>
  </si>
  <si>
    <t>Dadu Airport</t>
  </si>
  <si>
    <t>DEA</t>
  </si>
  <si>
    <t>OPDG</t>
  </si>
  <si>
    <t>Dera Ghazi Khan Airport</t>
  </si>
  <si>
    <t>DEB</t>
  </si>
  <si>
    <t>LHDC</t>
  </si>
  <si>
    <t>Debrecen Airport</t>
  </si>
  <si>
    <t>DEC</t>
  </si>
  <si>
    <t>KDEC</t>
  </si>
  <si>
    <t>Decatur Airport</t>
  </si>
  <si>
    <t>DED</t>
  </si>
  <si>
    <t>VIDN</t>
  </si>
  <si>
    <t>Dehradun Airport</t>
  </si>
  <si>
    <t>DEE</t>
  </si>
  <si>
    <t>UHSM</t>
  </si>
  <si>
    <t>Mendeleyevo Airport</t>
  </si>
  <si>
    <t>DEH</t>
  </si>
  <si>
    <t>KDEH</t>
  </si>
  <si>
    <t>Decorah Municipal Airport</t>
  </si>
  <si>
    <t>DEI</t>
  </si>
  <si>
    <t>FSSD</t>
  </si>
  <si>
    <t>Denis Island Airport</t>
  </si>
  <si>
    <t>DEL</t>
  </si>
  <si>
    <t>VIDP</t>
  </si>
  <si>
    <t>Indira Gandhi International Airport</t>
  </si>
  <si>
    <t>DEM</t>
  </si>
  <si>
    <t>HADD</t>
  </si>
  <si>
    <t>Dembidolo Airport</t>
  </si>
  <si>
    <t>DEN</t>
  </si>
  <si>
    <t>KDEN</t>
  </si>
  <si>
    <t>Denver International Airport</t>
  </si>
  <si>
    <t>DES</t>
  </si>
  <si>
    <t>FSDR</t>
  </si>
  <si>
    <t>Desroches Airport</t>
  </si>
  <si>
    <t>DET</t>
  </si>
  <si>
    <t>KDET</t>
  </si>
  <si>
    <t>Coleman A. Young International Airport</t>
  </si>
  <si>
    <t>DEZ</t>
  </si>
  <si>
    <t>OSDZ</t>
  </si>
  <si>
    <t>Deir ez-Zor Airport</t>
  </si>
  <si>
    <t>DFI</t>
  </si>
  <si>
    <t>KDFI</t>
  </si>
  <si>
    <t>Defiance Memorial Airport</t>
  </si>
  <si>
    <t>DFP</t>
  </si>
  <si>
    <t>YDDF</t>
  </si>
  <si>
    <t>Drumduff Airport</t>
  </si>
  <si>
    <t>DFW</t>
  </si>
  <si>
    <t>KDFW</t>
  </si>
  <si>
    <t>Dallas-Fort Worth International Airport</t>
  </si>
  <si>
    <t>DGE</t>
  </si>
  <si>
    <t>YMDG</t>
  </si>
  <si>
    <t>Mudgee Airport</t>
  </si>
  <si>
    <t>DGL</t>
  </si>
  <si>
    <t>KDGL</t>
  </si>
  <si>
    <t>Douglas Municipal Airport</t>
  </si>
  <si>
    <t>DGO</t>
  </si>
  <si>
    <t>MMDO</t>
  </si>
  <si>
    <t>General Guadalupe Victoria International Airport</t>
  </si>
  <si>
    <t>DGP</t>
  </si>
  <si>
    <t>EVDA</t>
  </si>
  <si>
    <t>Daugavpils Airport</t>
  </si>
  <si>
    <t>DGR</t>
  </si>
  <si>
    <t>NZDA</t>
  </si>
  <si>
    <t>Dargaville Airport</t>
  </si>
  <si>
    <t>DGT</t>
  </si>
  <si>
    <t>RPVD</t>
  </si>
  <si>
    <t>Dumaguete Airport</t>
  </si>
  <si>
    <t>DGU</t>
  </si>
  <si>
    <t>DFOD</t>
  </si>
  <si>
    <t>Dedougou Airport</t>
  </si>
  <si>
    <t>DGW</t>
  </si>
  <si>
    <t>KDGW</t>
  </si>
  <si>
    <t>Converse County Airport</t>
  </si>
  <si>
    <t>DGX</t>
  </si>
  <si>
    <t>EGDX</t>
  </si>
  <si>
    <t>RAF St Athan</t>
  </si>
  <si>
    <t>DHA</t>
  </si>
  <si>
    <t>OEDR</t>
  </si>
  <si>
    <t>Dhahran International Airport</t>
  </si>
  <si>
    <t>DHD</t>
  </si>
  <si>
    <t>YDRH</t>
  </si>
  <si>
    <t>Durham Downs Airport</t>
  </si>
  <si>
    <t>DHF</t>
  </si>
  <si>
    <t>OMAM</t>
  </si>
  <si>
    <t>Al Dhafra Airport</t>
  </si>
  <si>
    <t>DHI</t>
  </si>
  <si>
    <t>VNDH</t>
  </si>
  <si>
    <t>Dhangarhi Airport</t>
  </si>
  <si>
    <t>DHM</t>
  </si>
  <si>
    <t>VIGG</t>
  </si>
  <si>
    <t>Gaggal Airport</t>
  </si>
  <si>
    <t>DHN</t>
  </si>
  <si>
    <t>KDHN</t>
  </si>
  <si>
    <t>Dothan Regional Airport</t>
  </si>
  <si>
    <t>DHR</t>
  </si>
  <si>
    <t>EHKD</t>
  </si>
  <si>
    <t>De Kooy Airport</t>
  </si>
  <si>
    <t>DHT</t>
  </si>
  <si>
    <t>KDHT</t>
  </si>
  <si>
    <t>Dalhart Municipal Airport</t>
  </si>
  <si>
    <t>DIA</t>
  </si>
  <si>
    <t>OTBD</t>
  </si>
  <si>
    <t>Doha International Airport</t>
  </si>
  <si>
    <t>DIB</t>
  </si>
  <si>
    <t>VEMN</t>
  </si>
  <si>
    <t>Dibrugarh Airport</t>
  </si>
  <si>
    <t>DIE</t>
  </si>
  <si>
    <t>FMNA</t>
  </si>
  <si>
    <t>Arrachart Airport</t>
  </si>
  <si>
    <t>DIG</t>
  </si>
  <si>
    <t>ZPDQ</t>
  </si>
  <si>
    <t>Diqing Airport</t>
  </si>
  <si>
    <t>DIJ</t>
  </si>
  <si>
    <t>LFSD</t>
  </si>
  <si>
    <t>Dijon-Longvic Airbase (Bourgogne Aéroport)</t>
  </si>
  <si>
    <t>DIK</t>
  </si>
  <si>
    <t>KDIK</t>
  </si>
  <si>
    <t>Theodore Roosevelt Regional Airport</t>
  </si>
  <si>
    <t>DIL</t>
  </si>
  <si>
    <t>WPDL</t>
  </si>
  <si>
    <t>Presidente Nicolau Lobato International Airport</t>
  </si>
  <si>
    <t>DIM</t>
  </si>
  <si>
    <t>DIDK</t>
  </si>
  <si>
    <t>Dimbokro Airport</t>
  </si>
  <si>
    <t>DIN</t>
  </si>
  <si>
    <t>VVDB</t>
  </si>
  <si>
    <t>Dien Bien Phu Airport</t>
  </si>
  <si>
    <t>DFED</t>
  </si>
  <si>
    <t>Diapaga Airport</t>
  </si>
  <si>
    <t>DIQ</t>
  </si>
  <si>
    <t>SNDV</t>
  </si>
  <si>
    <t>Divinópolis Airport</t>
  </si>
  <si>
    <t>DIR</t>
  </si>
  <si>
    <t>HADR</t>
  </si>
  <si>
    <t>Dire Dawa International Airport</t>
  </si>
  <si>
    <t>DIS</t>
  </si>
  <si>
    <t>FCPL</t>
  </si>
  <si>
    <t>Loubomo Airport</t>
  </si>
  <si>
    <t>DIU</t>
  </si>
  <si>
    <t>VA1P</t>
  </si>
  <si>
    <t>Diu Airport</t>
  </si>
  <si>
    <t>DIY</t>
  </si>
  <si>
    <t>LTCC</t>
  </si>
  <si>
    <t>Diyarbak?r Airport</t>
  </si>
  <si>
    <t>DJB</t>
  </si>
  <si>
    <t>WIPA</t>
  </si>
  <si>
    <t>Sultan Thaha Airport</t>
  </si>
  <si>
    <t>DJE</t>
  </si>
  <si>
    <t>DTTJ</t>
  </si>
  <si>
    <t>Zarzis Airport</t>
  </si>
  <si>
    <t>DJG</t>
  </si>
  <si>
    <t>DAAJ</t>
  </si>
  <si>
    <t>Tiska Airport</t>
  </si>
  <si>
    <t>DJJ</t>
  </si>
  <si>
    <t>WAJJ</t>
  </si>
  <si>
    <t>Sentani Airport</t>
  </si>
  <si>
    <t>DJM</t>
  </si>
  <si>
    <t>FCBD</t>
  </si>
  <si>
    <t>Djambala Airport</t>
  </si>
  <si>
    <t>DJO</t>
  </si>
  <si>
    <t>DIDL</t>
  </si>
  <si>
    <t>Daloa Airport</t>
  </si>
  <si>
    <t>DJR</t>
  </si>
  <si>
    <t>YDAJ</t>
  </si>
  <si>
    <t>Dajarra Airport</t>
  </si>
  <si>
    <t>DJU</t>
  </si>
  <si>
    <t>BIDV</t>
  </si>
  <si>
    <t>Djúpivogur Airport</t>
  </si>
  <si>
    <t>DKI</t>
  </si>
  <si>
    <t>YDKI</t>
  </si>
  <si>
    <t>Dunk Island Airport</t>
  </si>
  <si>
    <t>DKK</t>
  </si>
  <si>
    <t>KDKK</t>
  </si>
  <si>
    <t>Chautauqua County/Dunkirk Airport</t>
  </si>
  <si>
    <t>DKR</t>
  </si>
  <si>
    <t>GOOY</t>
  </si>
  <si>
    <t>Dakar-Yoff-Léopold Sédar Senghor International Airport</t>
  </si>
  <si>
    <t>DKS</t>
  </si>
  <si>
    <t>UODD</t>
  </si>
  <si>
    <t>Dikson Airport</t>
  </si>
  <si>
    <t>DKV</t>
  </si>
  <si>
    <t>YDVR</t>
  </si>
  <si>
    <t>Docker River Airport</t>
  </si>
  <si>
    <t>DLA</t>
  </si>
  <si>
    <t>FKKD</t>
  </si>
  <si>
    <t>Douala Airport</t>
  </si>
  <si>
    <t>DLC</t>
  </si>
  <si>
    <t>ZYTL</t>
  </si>
  <si>
    <t>Dalian Zhoushuizi International Airport</t>
  </si>
  <si>
    <t>DLD</t>
  </si>
  <si>
    <t>ENDI</t>
  </si>
  <si>
    <t>Dagali Airport</t>
  </si>
  <si>
    <t>DLE</t>
  </si>
  <si>
    <t>LFGJ</t>
  </si>
  <si>
    <t>Dole/Tavaux Airport</t>
  </si>
  <si>
    <t>DLF</t>
  </si>
  <si>
    <t>KDLF</t>
  </si>
  <si>
    <t>Laughlin Air Force Base</t>
  </si>
  <si>
    <t>DLG</t>
  </si>
  <si>
    <t>PADL</t>
  </si>
  <si>
    <t>Dillingham Airport</t>
  </si>
  <si>
    <t>DLH</t>
  </si>
  <si>
    <t>KDLH</t>
  </si>
  <si>
    <t>Duluth International Airport</t>
  </si>
  <si>
    <t>DLI</t>
  </si>
  <si>
    <t>VVDL</t>
  </si>
  <si>
    <t>Lien Khuong Airport</t>
  </si>
  <si>
    <t>DLK</t>
  </si>
  <si>
    <t>YDLK</t>
  </si>
  <si>
    <t>Dulkaninna Airport</t>
  </si>
  <si>
    <t>DLL</t>
  </si>
  <si>
    <t>KDLC</t>
  </si>
  <si>
    <t>Dillon County Airport</t>
  </si>
  <si>
    <t>DLM</t>
  </si>
  <si>
    <t>LTBS</t>
  </si>
  <si>
    <t>Dalaman Airport</t>
  </si>
  <si>
    <t>DLN</t>
  </si>
  <si>
    <t>KDLN</t>
  </si>
  <si>
    <t>Dillon Airport</t>
  </si>
  <si>
    <t>DLO</t>
  </si>
  <si>
    <t>KDLO</t>
  </si>
  <si>
    <t>Delano Municipal Airport</t>
  </si>
  <si>
    <t>DLS</t>
  </si>
  <si>
    <t>KDLS</t>
  </si>
  <si>
    <t>Columbia Gorge Regional Airport (The Dalles Municipal Airpor</t>
  </si>
  <si>
    <t>DLU</t>
  </si>
  <si>
    <t>ZPDL</t>
  </si>
  <si>
    <t>Dali Airport</t>
  </si>
  <si>
    <t>DLV</t>
  </si>
  <si>
    <t>YDLV</t>
  </si>
  <si>
    <t>Delissaville Airport</t>
  </si>
  <si>
    <t>DLX</t>
  </si>
  <si>
    <t>UASS</t>
  </si>
  <si>
    <t>Semipalatinsk Airport</t>
  </si>
  <si>
    <t>DLY</t>
  </si>
  <si>
    <t>NVVD</t>
  </si>
  <si>
    <t>Dillon's Bay Airport</t>
  </si>
  <si>
    <t>DLZ</t>
  </si>
  <si>
    <t>ZMDZ</t>
  </si>
  <si>
    <t>Dalanzadgad Airport</t>
  </si>
  <si>
    <t>KDLZ</t>
  </si>
  <si>
    <t>Delaware Municipal Airport</t>
  </si>
  <si>
    <t>DMA</t>
  </si>
  <si>
    <t>KDMA</t>
  </si>
  <si>
    <t>Davis Monthan AFB</t>
  </si>
  <si>
    <t>DMB</t>
  </si>
  <si>
    <t>UADD</t>
  </si>
  <si>
    <t>Taraz Airport</t>
  </si>
  <si>
    <t>DMD</t>
  </si>
  <si>
    <t>YDMG</t>
  </si>
  <si>
    <t>Doomadgee Airport</t>
  </si>
  <si>
    <t>DME</t>
  </si>
  <si>
    <t>UUDD</t>
  </si>
  <si>
    <t>Moscow Domodedovo Airport</t>
  </si>
  <si>
    <t>DMK</t>
  </si>
  <si>
    <t>VTBD</t>
  </si>
  <si>
    <t>Don Mueang International Airport</t>
  </si>
  <si>
    <t>DMM</t>
  </si>
  <si>
    <t>OEDF</t>
  </si>
  <si>
    <t>King Fahd Dhahran Air Terminal</t>
  </si>
  <si>
    <t>DMN</t>
  </si>
  <si>
    <t>KDMN</t>
  </si>
  <si>
    <t>Deming Municipal Airport</t>
  </si>
  <si>
    <t>DMO</t>
  </si>
  <si>
    <t>KDMO</t>
  </si>
  <si>
    <t>Sedalia Memorial Airport</t>
  </si>
  <si>
    <t>DMT</t>
  </si>
  <si>
    <t>SWDM</t>
  </si>
  <si>
    <t>Diamantino Airport</t>
  </si>
  <si>
    <t>DMU</t>
  </si>
  <si>
    <t>VEMR</t>
  </si>
  <si>
    <t>Dimapur Airport</t>
  </si>
  <si>
    <t>DNA</t>
  </si>
  <si>
    <t>RODN</t>
  </si>
  <si>
    <t>Kadena Air Base</t>
  </si>
  <si>
    <t>DNB</t>
  </si>
  <si>
    <t>YDBR</t>
  </si>
  <si>
    <t>Dunbar Airport</t>
  </si>
  <si>
    <t>DND</t>
  </si>
  <si>
    <t>EGPN</t>
  </si>
  <si>
    <t>Dundee Airport</t>
  </si>
  <si>
    <t>DNH</t>
  </si>
  <si>
    <t>ZLDH</t>
  </si>
  <si>
    <t>Dunhuang Airport</t>
  </si>
  <si>
    <t>DNK</t>
  </si>
  <si>
    <t>UKDD</t>
  </si>
  <si>
    <t>Dnipropetrovsk International Airport</t>
  </si>
  <si>
    <t>DNL</t>
  </si>
  <si>
    <t>KDNL</t>
  </si>
  <si>
    <t>Daniel Field</t>
  </si>
  <si>
    <t>DNM</t>
  </si>
  <si>
    <t>YSHK</t>
  </si>
  <si>
    <t>Shark Bay Airport</t>
  </si>
  <si>
    <t>DNN</t>
  </si>
  <si>
    <t>KDNN</t>
  </si>
  <si>
    <t>Dalton Municipal Airport</t>
  </si>
  <si>
    <t>DNO</t>
  </si>
  <si>
    <t>SWDN</t>
  </si>
  <si>
    <t>Dianópolis Airport</t>
  </si>
  <si>
    <t>DNP</t>
  </si>
  <si>
    <t>VNDG</t>
  </si>
  <si>
    <t>Dang Airport</t>
  </si>
  <si>
    <t>DNR</t>
  </si>
  <si>
    <t>LFRD</t>
  </si>
  <si>
    <t>Dinard/Plertuit/St. Malo Airport</t>
  </si>
  <si>
    <t>DNS</t>
  </si>
  <si>
    <t>KDNS</t>
  </si>
  <si>
    <t>Denison Municipal Airport</t>
  </si>
  <si>
    <t>DNV</t>
  </si>
  <si>
    <t>KDNV</t>
  </si>
  <si>
    <t>Vermilion County Airport</t>
  </si>
  <si>
    <t>DNX</t>
  </si>
  <si>
    <t>HSGG</t>
  </si>
  <si>
    <t>Galegu Airport</t>
  </si>
  <si>
    <t>DNZ</t>
  </si>
  <si>
    <t>LTAY</t>
  </si>
  <si>
    <t>Çardak Airport</t>
  </si>
  <si>
    <t>DOB</t>
  </si>
  <si>
    <t>WAPD</t>
  </si>
  <si>
    <t>Dobo Airport</t>
  </si>
  <si>
    <t>DOD</t>
  </si>
  <si>
    <t>HTDO</t>
  </si>
  <si>
    <t>Dodoma Airport</t>
  </si>
  <si>
    <t>DOG</t>
  </si>
  <si>
    <t>HSDN</t>
  </si>
  <si>
    <t>Dongola Airport</t>
  </si>
  <si>
    <t>DOH</t>
  </si>
  <si>
    <t>OTHH</t>
  </si>
  <si>
    <t>Hamad International Airport</t>
  </si>
  <si>
    <t>DOK</t>
  </si>
  <si>
    <t>UKCC</t>
  </si>
  <si>
    <t>Donetsk Airport</t>
  </si>
  <si>
    <t>DOL</t>
  </si>
  <si>
    <t>LFRG</t>
  </si>
  <si>
    <t>Deauville/Saint Gatien Airport</t>
  </si>
  <si>
    <t>DOM</t>
  </si>
  <si>
    <t>TDPD</t>
  </si>
  <si>
    <t>Melville Hall Airport</t>
  </si>
  <si>
    <t>DOP</t>
  </si>
  <si>
    <t>VNDP</t>
  </si>
  <si>
    <t>Dolpa Airport</t>
  </si>
  <si>
    <t>DOR</t>
  </si>
  <si>
    <t>DFEE</t>
  </si>
  <si>
    <t>Dori Airport</t>
  </si>
  <si>
    <t>DOT</t>
  </si>
  <si>
    <t>SADD</t>
  </si>
  <si>
    <t>Don Torcuato International Airport</t>
  </si>
  <si>
    <t>DOU</t>
  </si>
  <si>
    <t>SSDO</t>
  </si>
  <si>
    <t>Dourados Airport</t>
  </si>
  <si>
    <t>DOV</t>
  </si>
  <si>
    <t>KDOV</t>
  </si>
  <si>
    <t>Dover Air Force Base</t>
  </si>
  <si>
    <t>DPA</t>
  </si>
  <si>
    <t>KDPA</t>
  </si>
  <si>
    <t>Dupage Airport</t>
  </si>
  <si>
    <t>DPE</t>
  </si>
  <si>
    <t>LFAB</t>
  </si>
  <si>
    <t>St Aubin Airport</t>
  </si>
  <si>
    <t>DPG</t>
  </si>
  <si>
    <t>KDPG</t>
  </si>
  <si>
    <t>Michael Army Airfield</t>
  </si>
  <si>
    <t>DPL</t>
  </si>
  <si>
    <t>RPMG</t>
  </si>
  <si>
    <t>Dipolog Airport</t>
  </si>
  <si>
    <t>DPO</t>
  </si>
  <si>
    <t>YDPO</t>
  </si>
  <si>
    <t>Devonport Airport</t>
  </si>
  <si>
    <t>DPS</t>
  </si>
  <si>
    <t>WADD</t>
  </si>
  <si>
    <t>Ngurah Rai International Airport</t>
  </si>
  <si>
    <t>DQA</t>
  </si>
  <si>
    <t>ZYDQ</t>
  </si>
  <si>
    <t>Saertu Airport</t>
  </si>
  <si>
    <t>DRA</t>
  </si>
  <si>
    <t>KDRA</t>
  </si>
  <si>
    <t>Desert Rock Airport</t>
  </si>
  <si>
    <t>DRB</t>
  </si>
  <si>
    <t>YDBY</t>
  </si>
  <si>
    <t>Derby Airport</t>
  </si>
  <si>
    <t>DRD</t>
  </si>
  <si>
    <t>YDOR</t>
  </si>
  <si>
    <t>Dorunda Airport</t>
  </si>
  <si>
    <t>DRE</t>
  </si>
  <si>
    <t>KDRM</t>
  </si>
  <si>
    <t>Drummond Island Airport</t>
  </si>
  <si>
    <t>DRG</t>
  </si>
  <si>
    <t>PADE</t>
  </si>
  <si>
    <t>Deering Airport</t>
  </si>
  <si>
    <t>DRI</t>
  </si>
  <si>
    <t>KDRI</t>
  </si>
  <si>
    <t>Beauregard Regional Airport</t>
  </si>
  <si>
    <t>DRJ</t>
  </si>
  <si>
    <t>SMDA</t>
  </si>
  <si>
    <t>Drietabbetje Airport</t>
  </si>
  <si>
    <t>DRK</t>
  </si>
  <si>
    <t>MRDK</t>
  </si>
  <si>
    <t>Drake Bay Airport</t>
  </si>
  <si>
    <t>DRN</t>
  </si>
  <si>
    <t>YDBI</t>
  </si>
  <si>
    <t>Dirranbandi Airport</t>
  </si>
  <si>
    <t>DRO</t>
  </si>
  <si>
    <t>KDRO</t>
  </si>
  <si>
    <t>Durango-La Plata County Airport</t>
  </si>
  <si>
    <t>DRR</t>
  </si>
  <si>
    <t>YDRI</t>
  </si>
  <si>
    <t>Durrie Airport</t>
  </si>
  <si>
    <t>DRS</t>
  </si>
  <si>
    <t>EDDC</t>
  </si>
  <si>
    <t>Dresden Klotzsche Airport (Flughafen Dresden)</t>
  </si>
  <si>
    <t>DRT</t>
  </si>
  <si>
    <t>KDRT</t>
  </si>
  <si>
    <t>Del Rio International Airport</t>
  </si>
  <si>
    <t>DRW</t>
  </si>
  <si>
    <t>YPDN</t>
  </si>
  <si>
    <t>Darwin International Airport</t>
  </si>
  <si>
    <t>DSA</t>
  </si>
  <si>
    <t>EGCN</t>
  </si>
  <si>
    <t>Doncaster Sheffield Airport</t>
  </si>
  <si>
    <t>DSC</t>
  </si>
  <si>
    <t>FKKS</t>
  </si>
  <si>
    <t>Dschang Airport</t>
  </si>
  <si>
    <t>DSD</t>
  </si>
  <si>
    <t>TFFA</t>
  </si>
  <si>
    <t>La Désirade Airport</t>
  </si>
  <si>
    <t>DSE</t>
  </si>
  <si>
    <t>HADC</t>
  </si>
  <si>
    <t>Combolcha Airport</t>
  </si>
  <si>
    <t>DSI</t>
  </si>
  <si>
    <t>KDTS</t>
  </si>
  <si>
    <t>Destin-Fort Walton Beach Airport</t>
  </si>
  <si>
    <t>DSK</t>
  </si>
  <si>
    <t>OPDI</t>
  </si>
  <si>
    <t>Dera Ismael Khan Airport</t>
  </si>
  <si>
    <t>DSM</t>
  </si>
  <si>
    <t>KDSM</t>
  </si>
  <si>
    <t>Des Moines International Airport</t>
  </si>
  <si>
    <t>DSN</t>
  </si>
  <si>
    <t>ZBDS</t>
  </si>
  <si>
    <t>Ordos Ejin Horo Airport</t>
  </si>
  <si>
    <t>DSV</t>
  </si>
  <si>
    <t>KDSV</t>
  </si>
  <si>
    <t>Dansville Municipal Airport</t>
  </si>
  <si>
    <t>DTA</t>
  </si>
  <si>
    <t>KDTA</t>
  </si>
  <si>
    <t>Andrew Municipal Airport</t>
  </si>
  <si>
    <t>DTD</t>
  </si>
  <si>
    <t>WALJ</t>
  </si>
  <si>
    <t>Datadawai Airport</t>
  </si>
  <si>
    <t>DTE</t>
  </si>
  <si>
    <t>RPUD</t>
  </si>
  <si>
    <t>Bagasbas Airport</t>
  </si>
  <si>
    <t>DTL</t>
  </si>
  <si>
    <t>KDTL</t>
  </si>
  <si>
    <t>Detroit Lakes Airport (Wething Field)</t>
  </si>
  <si>
    <t>DTM</t>
  </si>
  <si>
    <t>EDLW</t>
  </si>
  <si>
    <t>Dortmund Airport (Flughafen Dortmund)</t>
  </si>
  <si>
    <t>DTN</t>
  </si>
  <si>
    <t>KDTN</t>
  </si>
  <si>
    <t>Shreveport Downtown Airport</t>
  </si>
  <si>
    <t>DTW</t>
  </si>
  <si>
    <t>KDTW</t>
  </si>
  <si>
    <t>Detroit Metropolitan Wayne County Airport</t>
  </si>
  <si>
    <t>DUA</t>
  </si>
  <si>
    <t>KDUA</t>
  </si>
  <si>
    <t>Eaker Field</t>
  </si>
  <si>
    <t>DUB</t>
  </si>
  <si>
    <t>EIDW</t>
  </si>
  <si>
    <t>Dublin Airport</t>
  </si>
  <si>
    <t>DUC</t>
  </si>
  <si>
    <t>KDUC</t>
  </si>
  <si>
    <t>Halliburton Field</t>
  </si>
  <si>
    <t>DUD</t>
  </si>
  <si>
    <t>NZDN</t>
  </si>
  <si>
    <t>Dunedin Airport</t>
  </si>
  <si>
    <t>DUE</t>
  </si>
  <si>
    <t>FNDU</t>
  </si>
  <si>
    <t>Dundo Airport</t>
  </si>
  <si>
    <t>DUG</t>
  </si>
  <si>
    <t>KDUG</t>
  </si>
  <si>
    <t>Bisbee-Douglas International Airport</t>
  </si>
  <si>
    <t>DUJ</t>
  </si>
  <si>
    <t>KDUJ</t>
  </si>
  <si>
    <t>DuBois Regional Airport (formerly DuBois-Jefferson County Ai</t>
  </si>
  <si>
    <t>DUK</t>
  </si>
  <si>
    <t>FADK</t>
  </si>
  <si>
    <t>Mubatuba Airport</t>
  </si>
  <si>
    <t>DUM</t>
  </si>
  <si>
    <t>WIBD</t>
  </si>
  <si>
    <t>Pinang Kampai Airport</t>
  </si>
  <si>
    <t>DUR</t>
  </si>
  <si>
    <t>FADN</t>
  </si>
  <si>
    <t>Durban International Airport (formerly Louis Botha Airport)</t>
  </si>
  <si>
    <t>FALE</t>
  </si>
  <si>
    <t>King Shaka International Airport</t>
  </si>
  <si>
    <t>DUS</t>
  </si>
  <si>
    <t>EDDL</t>
  </si>
  <si>
    <t>Düsseldorf International Airport</t>
  </si>
  <si>
    <t>DUT</t>
  </si>
  <si>
    <t>PADU</t>
  </si>
  <si>
    <t>Unalaska Airport</t>
  </si>
  <si>
    <t>DVA</t>
  </si>
  <si>
    <t>LRDV</t>
  </si>
  <si>
    <t>Deva Airport</t>
  </si>
  <si>
    <t>DVL</t>
  </si>
  <si>
    <t>KDVL</t>
  </si>
  <si>
    <t>Devils Lake Municipal Airport</t>
  </si>
  <si>
    <t>DVN</t>
  </si>
  <si>
    <t>KDVN</t>
  </si>
  <si>
    <t>Davenport Municipal Airport</t>
  </si>
  <si>
    <t>DVO</t>
  </si>
  <si>
    <t>RPMD</t>
  </si>
  <si>
    <t>Francisco Bangoy International Airport</t>
  </si>
  <si>
    <t>RPWD</t>
  </si>
  <si>
    <t>Davao International Airport</t>
  </si>
  <si>
    <t>DVP</t>
  </si>
  <si>
    <t>YDPD</t>
  </si>
  <si>
    <t>Davenport Downs Airport</t>
  </si>
  <si>
    <t>KDVP</t>
  </si>
  <si>
    <t>Slayton Municipal Airport</t>
  </si>
  <si>
    <t>DVR</t>
  </si>
  <si>
    <t>YDMN</t>
  </si>
  <si>
    <t>Daly River Airport</t>
  </si>
  <si>
    <t>DVT</t>
  </si>
  <si>
    <t>KDVT</t>
  </si>
  <si>
    <t>Phoenix Deer Valley Airport</t>
  </si>
  <si>
    <t>DWA</t>
  </si>
  <si>
    <t>FWDW</t>
  </si>
  <si>
    <t>Dwangwa Airport</t>
  </si>
  <si>
    <t>DWB</t>
  </si>
  <si>
    <t>FMNO</t>
  </si>
  <si>
    <t>Soalala Airport</t>
  </si>
  <si>
    <t>DWC</t>
  </si>
  <si>
    <t>OMDW</t>
  </si>
  <si>
    <t>Al Maktoum International Airport</t>
  </si>
  <si>
    <t>DWD</t>
  </si>
  <si>
    <t>OEDW</t>
  </si>
  <si>
    <t>Dawadmi Domestic Airport</t>
  </si>
  <si>
    <t>DWH</t>
  </si>
  <si>
    <t>KDWH</t>
  </si>
  <si>
    <t>David Wayne Hooks Memorial Airport</t>
  </si>
  <si>
    <t>DXB</t>
  </si>
  <si>
    <t>OMDB</t>
  </si>
  <si>
    <t>Dubai International Airport</t>
  </si>
  <si>
    <t>DXR</t>
  </si>
  <si>
    <t>KDXR</t>
  </si>
  <si>
    <t>Danbury Municipal Airport</t>
  </si>
  <si>
    <t>DYA</t>
  </si>
  <si>
    <t>YDYS</t>
  </si>
  <si>
    <t>Dysart Airport</t>
  </si>
  <si>
    <t>DYG</t>
  </si>
  <si>
    <t>ZGDY</t>
  </si>
  <si>
    <t>Dayong Airport</t>
  </si>
  <si>
    <t>DYL</t>
  </si>
  <si>
    <t>KDYL</t>
  </si>
  <si>
    <t>Doylestown Airport</t>
  </si>
  <si>
    <t>DYR</t>
  </si>
  <si>
    <t>UHMA</t>
  </si>
  <si>
    <t>Anadyr Ugolny Airport</t>
  </si>
  <si>
    <t>DYS</t>
  </si>
  <si>
    <t>KDYS</t>
  </si>
  <si>
    <t>Dyess Air Force Base</t>
  </si>
  <si>
    <t>DYU</t>
  </si>
  <si>
    <t>UTDD</t>
  </si>
  <si>
    <t>Dushanbe Airport</t>
  </si>
  <si>
    <t>DZA</t>
  </si>
  <si>
    <t>FMCZ</t>
  </si>
  <si>
    <t>Dzaoudzi Pamandzi International Airport</t>
  </si>
  <si>
    <t>DZN</t>
  </si>
  <si>
    <t>UAKD</t>
  </si>
  <si>
    <t>Zhezkazgan Airport</t>
  </si>
  <si>
    <t>DZO</t>
  </si>
  <si>
    <t>SUDU</t>
  </si>
  <si>
    <t>Santa Bernardina International Airport</t>
  </si>
  <si>
    <t>EAA</t>
  </si>
  <si>
    <t>PAEG</t>
  </si>
  <si>
    <t>Eagle Airport</t>
  </si>
  <si>
    <t>EAB</t>
  </si>
  <si>
    <t>ODAS</t>
  </si>
  <si>
    <t>Abbse Airport</t>
  </si>
  <si>
    <t>OYAB</t>
  </si>
  <si>
    <t>EAE</t>
  </si>
  <si>
    <t>NVSE</t>
  </si>
  <si>
    <t>Emae Airport</t>
  </si>
  <si>
    <t>EAM</t>
  </si>
  <si>
    <t>OENG</t>
  </si>
  <si>
    <t>Najran Domestic Airport</t>
  </si>
  <si>
    <t>EAN</t>
  </si>
  <si>
    <t>KEAN</t>
  </si>
  <si>
    <t>Phifer Airfield</t>
  </si>
  <si>
    <t>EAR</t>
  </si>
  <si>
    <t>KEAR</t>
  </si>
  <si>
    <t>Kearney Regional Airport</t>
  </si>
  <si>
    <t>EAS</t>
  </si>
  <si>
    <t>LESO</t>
  </si>
  <si>
    <t>San Sebastián Airport (or Fuenterrabia Airport)</t>
  </si>
  <si>
    <t>KEAT</t>
  </si>
  <si>
    <t>Pangborn Memorial Airport</t>
  </si>
  <si>
    <t>EAU</t>
  </si>
  <si>
    <t>KEAU</t>
  </si>
  <si>
    <t>Chippewa Valley Regional Airport</t>
  </si>
  <si>
    <t>EBA</t>
  </si>
  <si>
    <t>LIRJ</t>
  </si>
  <si>
    <t>Marina di Campo Airport</t>
  </si>
  <si>
    <t>EBB</t>
  </si>
  <si>
    <t>HUEN</t>
  </si>
  <si>
    <t>Entebbe International Airport</t>
  </si>
  <si>
    <t>EBD</t>
  </si>
  <si>
    <t>HSOB</t>
  </si>
  <si>
    <t>El Obeid Airport</t>
  </si>
  <si>
    <t>EBG</t>
  </si>
  <si>
    <t>SKEB</t>
  </si>
  <si>
    <t>El Bagre Airport</t>
  </si>
  <si>
    <t>EBH</t>
  </si>
  <si>
    <t>DAOY</t>
  </si>
  <si>
    <t>El Bayadh Airport</t>
  </si>
  <si>
    <t>EBJ</t>
  </si>
  <si>
    <t>EKEB</t>
  </si>
  <si>
    <t>Esbjerg Airport</t>
  </si>
  <si>
    <t>EBL</t>
  </si>
  <si>
    <t>ORER</t>
  </si>
  <si>
    <t>Erbil International Airport</t>
  </si>
  <si>
    <t>EBM</t>
  </si>
  <si>
    <t>DTTR</t>
  </si>
  <si>
    <t>El Borma Airport</t>
  </si>
  <si>
    <t>EBS</t>
  </si>
  <si>
    <t>KEBS</t>
  </si>
  <si>
    <t>Webster City Municipal Airport</t>
  </si>
  <si>
    <t>EBU</t>
  </si>
  <si>
    <t>LFMH</t>
  </si>
  <si>
    <t>Saint-Étienne - Bouthéon Airport</t>
  </si>
  <si>
    <t>EBW</t>
  </si>
  <si>
    <t>FKKW</t>
  </si>
  <si>
    <t>Ebolowa Airport</t>
  </si>
  <si>
    <t>ECG</t>
  </si>
  <si>
    <t>KECG</t>
  </si>
  <si>
    <t>Elizabeth City Regional Airport / Elizabeth City CGAS</t>
  </si>
  <si>
    <t>ECH</t>
  </si>
  <si>
    <t>YECH</t>
  </si>
  <si>
    <t>Echuca Airport</t>
  </si>
  <si>
    <t>ECN</t>
  </si>
  <si>
    <t>LCEN</t>
  </si>
  <si>
    <t>Ercan International Airport</t>
  </si>
  <si>
    <t>ECP</t>
  </si>
  <si>
    <t>KECP</t>
  </si>
  <si>
    <t>Northwest Florida Beaches International Airport</t>
  </si>
  <si>
    <t>ECS</t>
  </si>
  <si>
    <t>KECS</t>
  </si>
  <si>
    <t>Mondell Field</t>
  </si>
  <si>
    <t>EDB</t>
  </si>
  <si>
    <t>HSDB</t>
  </si>
  <si>
    <t>El Debba Airport</t>
  </si>
  <si>
    <t>EDE</t>
  </si>
  <si>
    <t>KEDE</t>
  </si>
  <si>
    <t>Northeastern Regional Airport</t>
  </si>
  <si>
    <t>EDF</t>
  </si>
  <si>
    <t>PAED</t>
  </si>
  <si>
    <t>Elmendorf Air Force Base</t>
  </si>
  <si>
    <t>EDG</t>
  </si>
  <si>
    <t>KEDG</t>
  </si>
  <si>
    <t>Weide AHP</t>
  </si>
  <si>
    <t>EDI</t>
  </si>
  <si>
    <t>EGPH</t>
  </si>
  <si>
    <t>Edinburgh Airport</t>
  </si>
  <si>
    <t>EDK</t>
  </si>
  <si>
    <t>KEQA</t>
  </si>
  <si>
    <t>Captain Jack Thomas/El Dorado Airport</t>
  </si>
  <si>
    <t>EDL</t>
  </si>
  <si>
    <t>HKEL</t>
  </si>
  <si>
    <t>Eldoret International Airport</t>
  </si>
  <si>
    <t>EDM</t>
  </si>
  <si>
    <t>LFRI</t>
  </si>
  <si>
    <t>La Roche-sur-Yon Aerodrome</t>
  </si>
  <si>
    <t>EDO</t>
  </si>
  <si>
    <t>LTFD</t>
  </si>
  <si>
    <t>Edremit Korfez Airport</t>
  </si>
  <si>
    <t>EDR</t>
  </si>
  <si>
    <t>YPMP</t>
  </si>
  <si>
    <t>Edward River Airport</t>
  </si>
  <si>
    <t>EDW</t>
  </si>
  <si>
    <t>KEDW</t>
  </si>
  <si>
    <t>Edwards Air Force Base</t>
  </si>
  <si>
    <t>EED</t>
  </si>
  <si>
    <t>KEED</t>
  </si>
  <si>
    <t>Needles Airport</t>
  </si>
  <si>
    <t>EEK</t>
  </si>
  <si>
    <t>PAEE</t>
  </si>
  <si>
    <t>Eek Airport</t>
  </si>
  <si>
    <t>EEN</t>
  </si>
  <si>
    <t>KEEN</t>
  </si>
  <si>
    <t>Dillant-Hopkins Airport</t>
  </si>
  <si>
    <t>EFD</t>
  </si>
  <si>
    <t>KEFD</t>
  </si>
  <si>
    <t>Ellington Field</t>
  </si>
  <si>
    <t>EFK</t>
  </si>
  <si>
    <t>KEFK</t>
  </si>
  <si>
    <t>Newport State Airport</t>
  </si>
  <si>
    <t>EFL</t>
  </si>
  <si>
    <t>LGKF</t>
  </si>
  <si>
    <t>Kefallinia Airport</t>
  </si>
  <si>
    <t>EFW</t>
  </si>
  <si>
    <t>KEFW</t>
  </si>
  <si>
    <t>Jefferson Municipal Airport</t>
  </si>
  <si>
    <t>EGC</t>
  </si>
  <si>
    <t>LFBE</t>
  </si>
  <si>
    <t>Bergerac-Roumanière Airport</t>
  </si>
  <si>
    <t>EGE</t>
  </si>
  <si>
    <t>KEGE</t>
  </si>
  <si>
    <t>Eagle County Regional Airport</t>
  </si>
  <si>
    <t>EGH</t>
  </si>
  <si>
    <t>HEGR</t>
  </si>
  <si>
    <t>El Gora Airport</t>
  </si>
  <si>
    <t>EGI</t>
  </si>
  <si>
    <t>KEGI</t>
  </si>
  <si>
    <t>Duke Field (Eglin Auxiliary Field 3)</t>
  </si>
  <si>
    <t>EGL</t>
  </si>
  <si>
    <t>HANG</t>
  </si>
  <si>
    <t>Negele Boran, Ethiopia</t>
  </si>
  <si>
    <t>EGM</t>
  </si>
  <si>
    <t>AGGS</t>
  </si>
  <si>
    <t>Sege Airport</t>
  </si>
  <si>
    <t>EGN</t>
  </si>
  <si>
    <t>HSGN</t>
  </si>
  <si>
    <t>Geneina Airport</t>
  </si>
  <si>
    <t>EGO</t>
  </si>
  <si>
    <t>UUOB</t>
  </si>
  <si>
    <t>Belgorod, Russia</t>
  </si>
  <si>
    <t>EGS</t>
  </si>
  <si>
    <t>BIEG</t>
  </si>
  <si>
    <t>Egilsstaðir Airport</t>
  </si>
  <si>
    <t>EGV</t>
  </si>
  <si>
    <t>KEGV</t>
  </si>
  <si>
    <t>Eagle River Union Airport</t>
  </si>
  <si>
    <t>EGX</t>
  </si>
  <si>
    <t>PAII</t>
  </si>
  <si>
    <t>Egegik Airport</t>
  </si>
  <si>
    <t>EHL</t>
  </si>
  <si>
    <t>SAVB</t>
  </si>
  <si>
    <t>El Bolson Airport</t>
  </si>
  <si>
    <t>EHM</t>
  </si>
  <si>
    <t>PAEH</t>
  </si>
  <si>
    <t>Cape Newenham LRRS</t>
  </si>
  <si>
    <t>EIE</t>
  </si>
  <si>
    <t>UNII</t>
  </si>
  <si>
    <t>Yeniseysk Airport</t>
  </si>
  <si>
    <t>EIH</t>
  </si>
  <si>
    <t>YEIN</t>
  </si>
  <si>
    <t>Einasleigh Airport</t>
  </si>
  <si>
    <t>EII</t>
  </si>
  <si>
    <t>EIK</t>
  </si>
  <si>
    <t>URKE</t>
  </si>
  <si>
    <t>Yeysk Airport</t>
  </si>
  <si>
    <t>EIL</t>
  </si>
  <si>
    <t>PAEI</t>
  </si>
  <si>
    <t>Eielson Air Force Base</t>
  </si>
  <si>
    <t>EIN</t>
  </si>
  <si>
    <t>EHEH</t>
  </si>
  <si>
    <t>Eindhoven Airport</t>
  </si>
  <si>
    <t>EIS</t>
  </si>
  <si>
    <t>TUPJ</t>
  </si>
  <si>
    <t>Terrance B. Lettsome International Airport</t>
  </si>
  <si>
    <t>EIY</t>
  </si>
  <si>
    <t>LLEY</t>
  </si>
  <si>
    <t>Ein Yahav Airfield</t>
  </si>
  <si>
    <t>EJA</t>
  </si>
  <si>
    <t>SKEJ</t>
  </si>
  <si>
    <t>Yarigüies Airport</t>
  </si>
  <si>
    <t>EJH</t>
  </si>
  <si>
    <t>OEWJ</t>
  </si>
  <si>
    <t>Al Wajh Domestic Airport</t>
  </si>
  <si>
    <t>EKA</t>
  </si>
  <si>
    <t>KEKA</t>
  </si>
  <si>
    <t>Murray Field</t>
  </si>
  <si>
    <t>EKB</t>
  </si>
  <si>
    <t>UASB</t>
  </si>
  <si>
    <t>Ekibastuz Airport</t>
  </si>
  <si>
    <t>EKM</t>
  </si>
  <si>
    <t>KEKM</t>
  </si>
  <si>
    <t>Elkhart Municipal Airport</t>
  </si>
  <si>
    <t>EKN</t>
  </si>
  <si>
    <t>KEKN</t>
  </si>
  <si>
    <t>Elkins-Randolph Co.-Jennings Randolph Field</t>
  </si>
  <si>
    <t>EKO</t>
  </si>
  <si>
    <t>KEKO</t>
  </si>
  <si>
    <t>Elko Regional Airport</t>
  </si>
  <si>
    <t>EKQ</t>
  </si>
  <si>
    <t>KEKQ</t>
  </si>
  <si>
    <t>EKS</t>
  </si>
  <si>
    <t>UHSK</t>
  </si>
  <si>
    <t>Shakhtyorsk Airport</t>
  </si>
  <si>
    <t>EKT</t>
  </si>
  <si>
    <t>ESSU</t>
  </si>
  <si>
    <t>Eskilstuna Airport</t>
  </si>
  <si>
    <t>EKX</t>
  </si>
  <si>
    <t>KEKX</t>
  </si>
  <si>
    <t>Addington Field (Elizabethtown Regional Airport)</t>
  </si>
  <si>
    <t>EKY</t>
  </si>
  <si>
    <t>KEKY</t>
  </si>
  <si>
    <t>Bessemer Airport</t>
  </si>
  <si>
    <t>ELA</t>
  </si>
  <si>
    <t>KELA</t>
  </si>
  <si>
    <t>Eagle Lake Airport</t>
  </si>
  <si>
    <t>ELB</t>
  </si>
  <si>
    <t>SKBC</t>
  </si>
  <si>
    <t>Las Flores Airport</t>
  </si>
  <si>
    <t>ELC</t>
  </si>
  <si>
    <t>YELD</t>
  </si>
  <si>
    <t>Elcho Island Airport</t>
  </si>
  <si>
    <t>ELD</t>
  </si>
  <si>
    <t>KELD</t>
  </si>
  <si>
    <t>South Arkansas Regional Airport at Goodwin Field</t>
  </si>
  <si>
    <t>ELF</t>
  </si>
  <si>
    <t>HSFS</t>
  </si>
  <si>
    <t>El Fasher Airport</t>
  </si>
  <si>
    <t>ELG</t>
  </si>
  <si>
    <t>DAUE</t>
  </si>
  <si>
    <t>El Golea Airport</t>
  </si>
  <si>
    <t>ELH</t>
  </si>
  <si>
    <t>MYEH</t>
  </si>
  <si>
    <t>North Eleuthera Airport</t>
  </si>
  <si>
    <t>ELK</t>
  </si>
  <si>
    <t>KELK</t>
  </si>
  <si>
    <t>Elk City Municipal Airport</t>
  </si>
  <si>
    <t>ELL</t>
  </si>
  <si>
    <t>FAER</t>
  </si>
  <si>
    <t>Ellisras Matimba Airport</t>
  </si>
  <si>
    <t>KELM</t>
  </si>
  <si>
    <t>Elmira-Corning Regional Airport</t>
  </si>
  <si>
    <t>ELN</t>
  </si>
  <si>
    <t>KELN</t>
  </si>
  <si>
    <t>Bowers Field</t>
  </si>
  <si>
    <t>ELO</t>
  </si>
  <si>
    <t>SATD</t>
  </si>
  <si>
    <t>El Dorado Airport</t>
  </si>
  <si>
    <t>KELO</t>
  </si>
  <si>
    <t>Ely Municipal Airport</t>
  </si>
  <si>
    <t>ELP</t>
  </si>
  <si>
    <t>KELP</t>
  </si>
  <si>
    <t>El Paso International Airport</t>
  </si>
  <si>
    <t>ELQ</t>
  </si>
  <si>
    <t>OEGS</t>
  </si>
  <si>
    <t>Gassim Regional Airport</t>
  </si>
  <si>
    <t>ELR</t>
  </si>
  <si>
    <t>SVBL</t>
  </si>
  <si>
    <t>El Libertador Airbase</t>
  </si>
  <si>
    <t>ELS</t>
  </si>
  <si>
    <t>FAEL</t>
  </si>
  <si>
    <t>East London Airport</t>
  </si>
  <si>
    <t>ELT</t>
  </si>
  <si>
    <t>HETR</t>
  </si>
  <si>
    <t>El Tor Airport</t>
  </si>
  <si>
    <t>ELU</t>
  </si>
  <si>
    <t>DAUO</t>
  </si>
  <si>
    <t>Guemar Airport</t>
  </si>
  <si>
    <t>ELY</t>
  </si>
  <si>
    <t>KELY</t>
  </si>
  <si>
    <t>Ely Airport</t>
  </si>
  <si>
    <t>ELZ</t>
  </si>
  <si>
    <t>KELZ</t>
  </si>
  <si>
    <t>Wellsville Municipal Airport (Tarantine Field)</t>
  </si>
  <si>
    <t>EMA</t>
  </si>
  <si>
    <t>EGNX</t>
  </si>
  <si>
    <t>East Midlands Airport</t>
  </si>
  <si>
    <t>EMD</t>
  </si>
  <si>
    <t>YEML</t>
  </si>
  <si>
    <t>Emerald Airport</t>
  </si>
  <si>
    <t>EME</t>
  </si>
  <si>
    <t>EDWE</t>
  </si>
  <si>
    <t>Emden Airport</t>
  </si>
  <si>
    <t>EMG</t>
  </si>
  <si>
    <t>FAEM</t>
  </si>
  <si>
    <t>Empangeni Airport</t>
  </si>
  <si>
    <t>EMM</t>
  </si>
  <si>
    <t>KEMM</t>
  </si>
  <si>
    <t>Kemmerer Municipal Airport</t>
  </si>
  <si>
    <t>EMN</t>
  </si>
  <si>
    <t>GQNI</t>
  </si>
  <si>
    <t>Néma Airport</t>
  </si>
  <si>
    <t>EMP</t>
  </si>
  <si>
    <t>KEMP</t>
  </si>
  <si>
    <t>Emporia Municipal Airport</t>
  </si>
  <si>
    <t>EMT</t>
  </si>
  <si>
    <t>KEMT</t>
  </si>
  <si>
    <t>El Monte Airport</t>
  </si>
  <si>
    <t>EMV</t>
  </si>
  <si>
    <t>KEMV</t>
  </si>
  <si>
    <t>Emporia-Greensville Regional Airport</t>
  </si>
  <si>
    <t>EMX</t>
  </si>
  <si>
    <t>SAVD</t>
  </si>
  <si>
    <t>El Maitén Airport</t>
  </si>
  <si>
    <t>ENA</t>
  </si>
  <si>
    <t>PAEN</t>
  </si>
  <si>
    <t>Kenai Municipal Airport</t>
  </si>
  <si>
    <t>ENB</t>
  </si>
  <si>
    <t>YEEB</t>
  </si>
  <si>
    <t>Eneabba Airport</t>
  </si>
  <si>
    <t>ENC</t>
  </si>
  <si>
    <t>LFSN</t>
  </si>
  <si>
    <t>Nancy-Essey Airport</t>
  </si>
  <si>
    <t>END</t>
  </si>
  <si>
    <t>KEND</t>
  </si>
  <si>
    <t>Vance AFB</t>
  </si>
  <si>
    <t>ENE</t>
  </si>
  <si>
    <t>WATE</t>
  </si>
  <si>
    <t>Ende (H Hasan Aroeboesman) Airport</t>
  </si>
  <si>
    <t>ENF</t>
  </si>
  <si>
    <t>EFET</t>
  </si>
  <si>
    <t>Enontekio Airport</t>
  </si>
  <si>
    <t>ENH</t>
  </si>
  <si>
    <t>ZHES</t>
  </si>
  <si>
    <t>Enshi Airport</t>
  </si>
  <si>
    <t>ENK</t>
  </si>
  <si>
    <t>UESU</t>
  </si>
  <si>
    <t>Zyryanka Airport</t>
  </si>
  <si>
    <t>EGAB</t>
  </si>
  <si>
    <t>Enniskillen/St Angelo Airport</t>
  </si>
  <si>
    <t>ENL</t>
  </si>
  <si>
    <t>KENL</t>
  </si>
  <si>
    <t>Centralia Municipal Airport</t>
  </si>
  <si>
    <t>ENM</t>
  </si>
  <si>
    <t>PAEM</t>
  </si>
  <si>
    <t>Emmonak Airport</t>
  </si>
  <si>
    <t>ENN</t>
  </si>
  <si>
    <t>PANN</t>
  </si>
  <si>
    <t>Nenana Municipal Airport</t>
  </si>
  <si>
    <t>ENO</t>
  </si>
  <si>
    <t>SGEN</t>
  </si>
  <si>
    <t>Teniente Primero Alarcon Airport</t>
  </si>
  <si>
    <t>ENS</t>
  </si>
  <si>
    <t>EHTW</t>
  </si>
  <si>
    <t>Enschede Airport Twente</t>
  </si>
  <si>
    <t>ENT</t>
  </si>
  <si>
    <t>PKMA</t>
  </si>
  <si>
    <t>ENEWETAK AUX AF</t>
  </si>
  <si>
    <t>ENU</t>
  </si>
  <si>
    <t>DNEN</t>
  </si>
  <si>
    <t>Akanu Ibiam International Airport</t>
  </si>
  <si>
    <t>ENV</t>
  </si>
  <si>
    <t>KENV</t>
  </si>
  <si>
    <t>Wendover Airport</t>
  </si>
  <si>
    <t>ENW</t>
  </si>
  <si>
    <t>KENW</t>
  </si>
  <si>
    <t>Kenosha Regional Airport</t>
  </si>
  <si>
    <t>ENY</t>
  </si>
  <si>
    <t>ZLYA</t>
  </si>
  <si>
    <t>Yan'an Airport</t>
  </si>
  <si>
    <t>EOH</t>
  </si>
  <si>
    <t>SKMD</t>
  </si>
  <si>
    <t>Olaya Herrera Airport</t>
  </si>
  <si>
    <t>EOI</t>
  </si>
  <si>
    <t>EGED</t>
  </si>
  <si>
    <t>Eday Airport</t>
  </si>
  <si>
    <t>EOK</t>
  </si>
  <si>
    <t>KEOK</t>
  </si>
  <si>
    <t>Keokuk Municipal Airport</t>
  </si>
  <si>
    <t>EOP</t>
  </si>
  <si>
    <t>KEOP</t>
  </si>
  <si>
    <t>Pike County Airport</t>
  </si>
  <si>
    <t>EOR</t>
  </si>
  <si>
    <t>SVED</t>
  </si>
  <si>
    <t>EOS</t>
  </si>
  <si>
    <t>KEOS</t>
  </si>
  <si>
    <t>Neosho Hugh Robinson Airport</t>
  </si>
  <si>
    <t>EOZ</t>
  </si>
  <si>
    <t>SVEZ</t>
  </si>
  <si>
    <t>Elorza Airport</t>
  </si>
  <si>
    <t>EPA</t>
  </si>
  <si>
    <t>SADP</t>
  </si>
  <si>
    <t>El Palomar Airport</t>
  </si>
  <si>
    <t>EPH</t>
  </si>
  <si>
    <t>KEPH</t>
  </si>
  <si>
    <t>Ephrata Municipal Airport</t>
  </si>
  <si>
    <t>EPL</t>
  </si>
  <si>
    <t>LFSG</t>
  </si>
  <si>
    <t>Épinal - Mirecourt Airport</t>
  </si>
  <si>
    <t>EPM</t>
  </si>
  <si>
    <t>KEPM</t>
  </si>
  <si>
    <t>Eastport Municipal Airport</t>
  </si>
  <si>
    <t>EPR</t>
  </si>
  <si>
    <t>YESP</t>
  </si>
  <si>
    <t>Esperance Airport</t>
  </si>
  <si>
    <t>EPS</t>
  </si>
  <si>
    <t>MDAB</t>
  </si>
  <si>
    <t>Arroyo Barril International Airport</t>
  </si>
  <si>
    <t>EPU</t>
  </si>
  <si>
    <t>EEPU</t>
  </si>
  <si>
    <t>Pärnu Airport</t>
  </si>
  <si>
    <t>EQS</t>
  </si>
  <si>
    <t>SAVE</t>
  </si>
  <si>
    <t>Esquel Airport</t>
  </si>
  <si>
    <t>ERA</t>
  </si>
  <si>
    <t>HCMU</t>
  </si>
  <si>
    <t>Erigavo Airport</t>
  </si>
  <si>
    <t>ERB</t>
  </si>
  <si>
    <t>YERN</t>
  </si>
  <si>
    <t>Ernabella Airport</t>
  </si>
  <si>
    <t>ERC</t>
  </si>
  <si>
    <t>LTCD</t>
  </si>
  <si>
    <t>Erzincan Airport</t>
  </si>
  <si>
    <t>ERD</t>
  </si>
  <si>
    <t>UKDB</t>
  </si>
  <si>
    <t>Berdyansk Airport</t>
  </si>
  <si>
    <t>ERF</t>
  </si>
  <si>
    <t>EDDE</t>
  </si>
  <si>
    <t>Erfurt Airport</t>
  </si>
  <si>
    <t>ERG</t>
  </si>
  <si>
    <t>UIKE</t>
  </si>
  <si>
    <t>Yerbogachen Airport</t>
  </si>
  <si>
    <t>ERH</t>
  </si>
  <si>
    <t>GMFK</t>
  </si>
  <si>
    <t>Moulay Ali Cherif Airport</t>
  </si>
  <si>
    <t>ERI</t>
  </si>
  <si>
    <t>KERI</t>
  </si>
  <si>
    <t>Erie International Airport (Tom Ridge Field)</t>
  </si>
  <si>
    <t>ERL</t>
  </si>
  <si>
    <t>ZBER</t>
  </si>
  <si>
    <t>Erenhot Saiwusu International Airport</t>
  </si>
  <si>
    <t>ERM</t>
  </si>
  <si>
    <t>SSER</t>
  </si>
  <si>
    <t>Aeroporto de Erechim</t>
  </si>
  <si>
    <t>ERN</t>
  </si>
  <si>
    <t>SWEI</t>
  </si>
  <si>
    <t>Eirunepé Airport</t>
  </si>
  <si>
    <t>ERR</t>
  </si>
  <si>
    <t>KERR</t>
  </si>
  <si>
    <t>Errol Airport</t>
  </si>
  <si>
    <t>ERS</t>
  </si>
  <si>
    <t>FYWE</t>
  </si>
  <si>
    <t>Eros Airport</t>
  </si>
  <si>
    <t>ERV</t>
  </si>
  <si>
    <t>KERV</t>
  </si>
  <si>
    <t>Kerrville Municipal Airport (Louis Schreiner Field)</t>
  </si>
  <si>
    <t>ERY</t>
  </si>
  <si>
    <t>KERY</t>
  </si>
  <si>
    <t>Luce County Airport</t>
  </si>
  <si>
    <t>ERZ</t>
  </si>
  <si>
    <t>LTCE</t>
  </si>
  <si>
    <t>Erzurum Airport</t>
  </si>
  <si>
    <t>ESB</t>
  </si>
  <si>
    <t>LTAC</t>
  </si>
  <si>
    <t>Esenboga International Airport</t>
  </si>
  <si>
    <t>ESC</t>
  </si>
  <si>
    <t>KESC</t>
  </si>
  <si>
    <t>Delta County Airport</t>
  </si>
  <si>
    <t>ESD</t>
  </si>
  <si>
    <t>KORS</t>
  </si>
  <si>
    <t>Orcas Island Airport</t>
  </si>
  <si>
    <t>ESE</t>
  </si>
  <si>
    <t>MMES</t>
  </si>
  <si>
    <t>Ensenada Airport</t>
  </si>
  <si>
    <t>ESF</t>
  </si>
  <si>
    <t>KESF</t>
  </si>
  <si>
    <t>Esler Regional Airport</t>
  </si>
  <si>
    <t>ESG</t>
  </si>
  <si>
    <t>SGME</t>
  </si>
  <si>
    <t>Dr Luis Maria Argaña Airport</t>
  </si>
  <si>
    <t>ESH</t>
  </si>
  <si>
    <t>EGKA</t>
  </si>
  <si>
    <t>Shoreham Airport</t>
  </si>
  <si>
    <t>ESK</t>
  </si>
  <si>
    <t>LTBI</t>
  </si>
  <si>
    <t>Eski?ehir Airport</t>
  </si>
  <si>
    <t>ESL</t>
  </si>
  <si>
    <t>URWI</t>
  </si>
  <si>
    <t>Elista Airport</t>
  </si>
  <si>
    <t>ESM</t>
  </si>
  <si>
    <t>SETN</t>
  </si>
  <si>
    <t>General Rivadeneira Airport</t>
  </si>
  <si>
    <t>ESN</t>
  </si>
  <si>
    <t>KESN</t>
  </si>
  <si>
    <t>Easton/Newnam Field</t>
  </si>
  <si>
    <t>ESR</t>
  </si>
  <si>
    <t>SCES</t>
  </si>
  <si>
    <t>El Salvador Bajo Airport</t>
  </si>
  <si>
    <t>ESS</t>
  </si>
  <si>
    <t>EDLE</t>
  </si>
  <si>
    <t>Essen/Mülheim Airport</t>
  </si>
  <si>
    <t>EST</t>
  </si>
  <si>
    <t>KEST</t>
  </si>
  <si>
    <t>Estherville Municipal Airport</t>
  </si>
  <si>
    <t>ESU</t>
  </si>
  <si>
    <t>GMMI</t>
  </si>
  <si>
    <t>Mogador Airport</t>
  </si>
  <si>
    <t>ESW</t>
  </si>
  <si>
    <t>KESW</t>
  </si>
  <si>
    <t>Easton State Airport</t>
  </si>
  <si>
    <t>ETB</t>
  </si>
  <si>
    <t>KETB</t>
  </si>
  <si>
    <t>West Bend Municipal Airport</t>
  </si>
  <si>
    <t>ETC</t>
  </si>
  <si>
    <t>KETC</t>
  </si>
  <si>
    <t>Tarboro-Edgecombe Airport</t>
  </si>
  <si>
    <t>ETD</t>
  </si>
  <si>
    <t>YEDA</t>
  </si>
  <si>
    <t>Etadunna Airport</t>
  </si>
  <si>
    <t>ETH</t>
  </si>
  <si>
    <t>LLET</t>
  </si>
  <si>
    <t>J. Hozman Airport</t>
  </si>
  <si>
    <t>ETN</t>
  </si>
  <si>
    <t>KETN</t>
  </si>
  <si>
    <t>Eastland Municipal Airport</t>
  </si>
  <si>
    <t>ETR</t>
  </si>
  <si>
    <t>SERO</t>
  </si>
  <si>
    <t>Coronel Artilleria Victor Larrea Airport</t>
  </si>
  <si>
    <t>ETS</t>
  </si>
  <si>
    <t>KEDN</t>
  </si>
  <si>
    <t>Enterprise Municipal Airport</t>
  </si>
  <si>
    <t>ETZ</t>
  </si>
  <si>
    <t>LFJL</t>
  </si>
  <si>
    <t>Metz-Nancy-Lorraine Airport</t>
  </si>
  <si>
    <t>EUA</t>
  </si>
  <si>
    <t>NFTE</t>
  </si>
  <si>
    <t>Kaufana Airport</t>
  </si>
  <si>
    <t>EUC</t>
  </si>
  <si>
    <t>YECL</t>
  </si>
  <si>
    <t>Eucla Airport</t>
  </si>
  <si>
    <t>EUE</t>
  </si>
  <si>
    <t>KEUE</t>
  </si>
  <si>
    <t>Eureka Airport</t>
  </si>
  <si>
    <t>EUF</t>
  </si>
  <si>
    <t>KEUF</t>
  </si>
  <si>
    <t>Weedon Field</t>
  </si>
  <si>
    <t>EUG</t>
  </si>
  <si>
    <t>KEUG</t>
  </si>
  <si>
    <t>Eugene Airport / Mahlon Sweet Field</t>
  </si>
  <si>
    <t>EUL</t>
  </si>
  <si>
    <t>KEUL</t>
  </si>
  <si>
    <t>Caldwell Industrial Airport</t>
  </si>
  <si>
    <t>EUM</t>
  </si>
  <si>
    <t>EDHN</t>
  </si>
  <si>
    <t>Neumünster Airport</t>
  </si>
  <si>
    <t>EUN</t>
  </si>
  <si>
    <t>GMML</t>
  </si>
  <si>
    <t>Hassan I Airport</t>
  </si>
  <si>
    <t>EUQ</t>
  </si>
  <si>
    <t>RPVS</t>
  </si>
  <si>
    <t>Evelio Javier Airport</t>
  </si>
  <si>
    <t>EUX</t>
  </si>
  <si>
    <t>TNCE</t>
  </si>
  <si>
    <t>Franklin Delano Roosevelt Airport</t>
  </si>
  <si>
    <t>EVD</t>
  </si>
  <si>
    <t>YEVA</t>
  </si>
  <si>
    <t>Eva Downs Airport</t>
  </si>
  <si>
    <t>YEVH</t>
  </si>
  <si>
    <t>Evans Head Memorial Aerodrome</t>
  </si>
  <si>
    <t>EVE</t>
  </si>
  <si>
    <t>ENEV</t>
  </si>
  <si>
    <t>Harstad/Narvik Airport, Evenes</t>
  </si>
  <si>
    <t>EVG</t>
  </si>
  <si>
    <t>ESND</t>
  </si>
  <si>
    <t>Sveg Airport</t>
  </si>
  <si>
    <t>EVH</t>
  </si>
  <si>
    <t>YEVD</t>
  </si>
  <si>
    <t>Evans Head Aerodrome</t>
  </si>
  <si>
    <t>EVM</t>
  </si>
  <si>
    <t>KEVM</t>
  </si>
  <si>
    <t>Eveleth-Virginia Municipal Airport</t>
  </si>
  <si>
    <t>EVN</t>
  </si>
  <si>
    <t>UDYZ</t>
  </si>
  <si>
    <t>Zvartnots International Airport</t>
  </si>
  <si>
    <t>EVU</t>
  </si>
  <si>
    <t>KEVU</t>
  </si>
  <si>
    <t>Northwest Missouri Regional Airport</t>
  </si>
  <si>
    <t>EVV</t>
  </si>
  <si>
    <t>KEVV</t>
  </si>
  <si>
    <t>Evansville Regional Airport</t>
  </si>
  <si>
    <t>EVW</t>
  </si>
  <si>
    <t>KEVW</t>
  </si>
  <si>
    <t>Evanston-Uinta County Burns Field</t>
  </si>
  <si>
    <t>EVX</t>
  </si>
  <si>
    <t>LFOE</t>
  </si>
  <si>
    <t>Évreux-Fauville Air Base</t>
  </si>
  <si>
    <t>EVY</t>
  </si>
  <si>
    <t>KEVY</t>
  </si>
  <si>
    <t>Summit Airport</t>
  </si>
  <si>
    <t>EWB</t>
  </si>
  <si>
    <t>KEWB</t>
  </si>
  <si>
    <t>New Bedford Regional Airport</t>
  </si>
  <si>
    <t>EWD</t>
  </si>
  <si>
    <t>OEWD</t>
  </si>
  <si>
    <t>Wadi Al Dawasir Airport</t>
  </si>
  <si>
    <t>EWI</t>
  </si>
  <si>
    <t>WABT</t>
  </si>
  <si>
    <t>Enarotali Airport</t>
  </si>
  <si>
    <t>EWK</t>
  </si>
  <si>
    <t>KEWK</t>
  </si>
  <si>
    <t>Newton City/County Airport</t>
  </si>
  <si>
    <t>EWN</t>
  </si>
  <si>
    <t>KEWN</t>
  </si>
  <si>
    <t>Craven County Regional Airport</t>
  </si>
  <si>
    <t>EWO</t>
  </si>
  <si>
    <t>FCOE</t>
  </si>
  <si>
    <t>Ewo Airport</t>
  </si>
  <si>
    <t>EWR</t>
  </si>
  <si>
    <t>KEWR</t>
  </si>
  <si>
    <t>Newark Liberty International Airport</t>
  </si>
  <si>
    <t>EXM</t>
  </si>
  <si>
    <t>YEXM</t>
  </si>
  <si>
    <t>Exmouth Airport</t>
  </si>
  <si>
    <t>EXT</t>
  </si>
  <si>
    <t>EGTE</t>
  </si>
  <si>
    <t>Exeter Airport</t>
  </si>
  <si>
    <t>EXX</t>
  </si>
  <si>
    <t>KEXX</t>
  </si>
  <si>
    <t>Davidson County Airport</t>
  </si>
  <si>
    <t>EYE</t>
  </si>
  <si>
    <t>KEYE</t>
  </si>
  <si>
    <t>Eagle Creek Airpark</t>
  </si>
  <si>
    <t>EYF</t>
  </si>
  <si>
    <t>KEYF</t>
  </si>
  <si>
    <t>Curtis L. Brown Jr. Field</t>
  </si>
  <si>
    <t>EYL</t>
  </si>
  <si>
    <t>GAYE</t>
  </si>
  <si>
    <t>Yélimané Airport</t>
  </si>
  <si>
    <t>EYP</t>
  </si>
  <si>
    <t>SKYP</t>
  </si>
  <si>
    <t>El Alcaraván Airport</t>
  </si>
  <si>
    <t>EYQ</t>
  </si>
  <si>
    <t>KEYQ</t>
  </si>
  <si>
    <t>Weiser Air Park</t>
  </si>
  <si>
    <t>EYS</t>
  </si>
  <si>
    <t>HKES</t>
  </si>
  <si>
    <t>Eliye Springs Airport</t>
  </si>
  <si>
    <t>EYW</t>
  </si>
  <si>
    <t>KEYW</t>
  </si>
  <si>
    <t>Key West International Airport</t>
  </si>
  <si>
    <t>EZE</t>
  </si>
  <si>
    <t>SAEZ</t>
  </si>
  <si>
    <t>Ministro Pistarini International Airport</t>
  </si>
  <si>
    <t>EZF</t>
  </si>
  <si>
    <t>KEZF</t>
  </si>
  <si>
    <t>Shannon Airport</t>
  </si>
  <si>
    <t>EZI</t>
  </si>
  <si>
    <t>KEZI</t>
  </si>
  <si>
    <t>Kewanee Municipal Airport</t>
  </si>
  <si>
    <t>EZM</t>
  </si>
  <si>
    <t>KEZM</t>
  </si>
  <si>
    <t>Heart of Georgia Regional Airport</t>
  </si>
  <si>
    <t>EZS</t>
  </si>
  <si>
    <t>LTCA</t>
  </si>
  <si>
    <t>Elazığ Airport</t>
  </si>
  <si>
    <t>EZV</t>
  </si>
  <si>
    <t>USHB</t>
  </si>
  <si>
    <t>Berezovo Airport</t>
  </si>
  <si>
    <t>EZZ</t>
  </si>
  <si>
    <t>KEZZ</t>
  </si>
  <si>
    <t>Cameron Memorial Airport</t>
  </si>
  <si>
    <t>FAA</t>
  </si>
  <si>
    <t>GUFH</t>
  </si>
  <si>
    <t>Faranah Airport</t>
  </si>
  <si>
    <t>FAB</t>
  </si>
  <si>
    <t>EGLF</t>
  </si>
  <si>
    <t>Farnborough Airport</t>
  </si>
  <si>
    <t>FAC</t>
  </si>
  <si>
    <t>NTKF</t>
  </si>
  <si>
    <t>Faaite Airport</t>
  </si>
  <si>
    <t>FAE</t>
  </si>
  <si>
    <t>EKVG</t>
  </si>
  <si>
    <t>Vágar Airport</t>
  </si>
  <si>
    <t>FAF</t>
  </si>
  <si>
    <t>KFAF</t>
  </si>
  <si>
    <t>Felker AAF</t>
  </si>
  <si>
    <t>FAG</t>
  </si>
  <si>
    <t>BIFM</t>
  </si>
  <si>
    <t>Fagurhólsmýri Airport</t>
  </si>
  <si>
    <t>FAH</t>
  </si>
  <si>
    <t>OAFR</t>
  </si>
  <si>
    <t>Farah Airport</t>
  </si>
  <si>
    <t>FAI</t>
  </si>
  <si>
    <t>PAFA</t>
  </si>
  <si>
    <t>Fairbanks International Airport</t>
  </si>
  <si>
    <t>FAJ</t>
  </si>
  <si>
    <t>TJFA</t>
  </si>
  <si>
    <t>Diego Jimenez Torres Airport</t>
  </si>
  <si>
    <t>FAM</t>
  </si>
  <si>
    <t>KFAM</t>
  </si>
  <si>
    <t>Farmington Regional Airport</t>
  </si>
  <si>
    <t>FAN</t>
  </si>
  <si>
    <t>ENLI</t>
  </si>
  <si>
    <t>Lista Airport</t>
  </si>
  <si>
    <t>FAO</t>
  </si>
  <si>
    <t>LPFR</t>
  </si>
  <si>
    <t>Faro Airport (Portugal)</t>
  </si>
  <si>
    <t>FAQ</t>
  </si>
  <si>
    <t>NSFQ</t>
  </si>
  <si>
    <t>Fitiuta Airport</t>
  </si>
  <si>
    <t>FAR</t>
  </si>
  <si>
    <t>KFAR</t>
  </si>
  <si>
    <t>Hector International Airport</t>
  </si>
  <si>
    <t>FAS</t>
  </si>
  <si>
    <t>BIFF</t>
  </si>
  <si>
    <t>Fáskrúðsfjörður Airport</t>
  </si>
  <si>
    <t>FAT</t>
  </si>
  <si>
    <t>KFAT</t>
  </si>
  <si>
    <t>Fresno Yosemite International Airport</t>
  </si>
  <si>
    <t>FAV</t>
  </si>
  <si>
    <t>NTGF</t>
  </si>
  <si>
    <t>Fakarava Airport</t>
  </si>
  <si>
    <t>FAY</t>
  </si>
  <si>
    <t>KFAY</t>
  </si>
  <si>
    <t>Fayetteville Regional Airport (Grannis Field)</t>
  </si>
  <si>
    <t>FAZ</t>
  </si>
  <si>
    <t>OISF</t>
  </si>
  <si>
    <t>Fasa Airport</t>
  </si>
  <si>
    <t>FBD</t>
  </si>
  <si>
    <t>OAFZ</t>
  </si>
  <si>
    <t>Fayzabad Airport</t>
  </si>
  <si>
    <t>FBE</t>
  </si>
  <si>
    <t>SSFB</t>
  </si>
  <si>
    <t>Francisco Beltrão Airport</t>
  </si>
  <si>
    <t>FBG</t>
  </si>
  <si>
    <t>KFBG</t>
  </si>
  <si>
    <t>Simmons AAF</t>
  </si>
  <si>
    <t>FBK</t>
  </si>
  <si>
    <t>PAFB</t>
  </si>
  <si>
    <t>Wainwright AAF</t>
  </si>
  <si>
    <t>FBL</t>
  </si>
  <si>
    <t>KFBL</t>
  </si>
  <si>
    <t>Faribault Municipal Airport</t>
  </si>
  <si>
    <t>FBM</t>
  </si>
  <si>
    <t>FZQA</t>
  </si>
  <si>
    <t>Lubumbashi International Airport</t>
  </si>
  <si>
    <t>FBR</t>
  </si>
  <si>
    <t>KFBR</t>
  </si>
  <si>
    <t>Fort Bridger Airport</t>
  </si>
  <si>
    <t>FBY</t>
  </si>
  <si>
    <t>KFBY</t>
  </si>
  <si>
    <t>Fairbury Municipal Airport</t>
  </si>
  <si>
    <t>FCA</t>
  </si>
  <si>
    <t>KGPI</t>
  </si>
  <si>
    <t>Glacier Park International Airport</t>
  </si>
  <si>
    <t>FCB</t>
  </si>
  <si>
    <t>FAFB</t>
  </si>
  <si>
    <t>Ficksburg Sentraoes Airport</t>
  </si>
  <si>
    <t>FCH</t>
  </si>
  <si>
    <t>KFCH</t>
  </si>
  <si>
    <t>Fresno Chandler Executive Airport</t>
  </si>
  <si>
    <t>FCI</t>
  </si>
  <si>
    <t>KFCI</t>
  </si>
  <si>
    <t>Chesterfield County Airport</t>
  </si>
  <si>
    <t>FCM</t>
  </si>
  <si>
    <t>KFCM</t>
  </si>
  <si>
    <t>Flying Cloud Airport</t>
  </si>
  <si>
    <t>FCO</t>
  </si>
  <si>
    <t>LIRF</t>
  </si>
  <si>
    <t>Leonardo Da Vinci International Airport</t>
  </si>
  <si>
    <t>FCS</t>
  </si>
  <si>
    <t>KFCS</t>
  </si>
  <si>
    <t>Butts AAF (Fort Carson)</t>
  </si>
  <si>
    <t>FCT</t>
  </si>
  <si>
    <t>KFCT</t>
  </si>
  <si>
    <t>Vagabond AAF</t>
  </si>
  <si>
    <t>FCY</t>
  </si>
  <si>
    <t>KFCY</t>
  </si>
  <si>
    <t>Forrest City Municipal Airport</t>
  </si>
  <si>
    <t>FDA</t>
  </si>
  <si>
    <t>SKFU</t>
  </si>
  <si>
    <t>Fundación Airport</t>
  </si>
  <si>
    <t>FDE</t>
  </si>
  <si>
    <t>ENBL</t>
  </si>
  <si>
    <t>Førde Airport, Bringeland</t>
  </si>
  <si>
    <t>FDF</t>
  </si>
  <si>
    <t>TFFF</t>
  </si>
  <si>
    <t>Lamentin International Airport</t>
  </si>
  <si>
    <t>FDH</t>
  </si>
  <si>
    <t>EDNY</t>
  </si>
  <si>
    <t>Friedrichshafen International Airport</t>
  </si>
  <si>
    <t>FDK</t>
  </si>
  <si>
    <t>KFDK</t>
  </si>
  <si>
    <t>Frederick Municipal Airport (Maryland)</t>
  </si>
  <si>
    <t>FDO</t>
  </si>
  <si>
    <t>SADF</t>
  </si>
  <si>
    <t>San Fernando Airport</t>
  </si>
  <si>
    <t>FDR</t>
  </si>
  <si>
    <t>KFDR</t>
  </si>
  <si>
    <t>Frederick Municipal Airport (Oklahoma)</t>
  </si>
  <si>
    <t>FDU</t>
  </si>
  <si>
    <t>FZBO</t>
  </si>
  <si>
    <t>Bandundu Airport</t>
  </si>
  <si>
    <t>FDW</t>
  </si>
  <si>
    <t>KFDW</t>
  </si>
  <si>
    <t>Fairfield County Airport</t>
  </si>
  <si>
    <t>FDY</t>
  </si>
  <si>
    <t>KFDY</t>
  </si>
  <si>
    <t>Findlay Airport</t>
  </si>
  <si>
    <t>FEB</t>
  </si>
  <si>
    <t>VNSR</t>
  </si>
  <si>
    <t>Sanfebagar Airport</t>
  </si>
  <si>
    <t>FEC</t>
  </si>
  <si>
    <t>SNJD</t>
  </si>
  <si>
    <t>João Durval Carneiro Airport</t>
  </si>
  <si>
    <t>FEG</t>
  </si>
  <si>
    <t>UTKF</t>
  </si>
  <si>
    <t>Fergana Airport</t>
  </si>
  <si>
    <t>FEJ</t>
  </si>
  <si>
    <t>SWFJ</t>
  </si>
  <si>
    <t>Feijó Airport</t>
  </si>
  <si>
    <t>FEK</t>
  </si>
  <si>
    <t>DIFK</t>
  </si>
  <si>
    <t>Ferkessedougou Airport</t>
  </si>
  <si>
    <t>FEL</t>
  </si>
  <si>
    <t>ETSF</t>
  </si>
  <si>
    <t>Fürstenfeldbruck Airport</t>
  </si>
  <si>
    <t>FEN</t>
  </si>
  <si>
    <t>SBFN</t>
  </si>
  <si>
    <t>Fernando de Noronha Airport</t>
  </si>
  <si>
    <t>FEP</t>
  </si>
  <si>
    <t>KFEP</t>
  </si>
  <si>
    <t>Albertus Airport</t>
  </si>
  <si>
    <t>FES</t>
  </si>
  <si>
    <t>KFES</t>
  </si>
  <si>
    <t>Festus Memorial Airport</t>
  </si>
  <si>
    <t>FET</t>
  </si>
  <si>
    <t>KFET</t>
  </si>
  <si>
    <t>Fremont Municipal Airport</t>
  </si>
  <si>
    <t>FEZ</t>
  </si>
  <si>
    <t>GMFF</t>
  </si>
  <si>
    <t>Saïss Airport</t>
  </si>
  <si>
    <t>FFA</t>
  </si>
  <si>
    <t>KFFA</t>
  </si>
  <si>
    <t>First Flight Airport</t>
  </si>
  <si>
    <t>FFC</t>
  </si>
  <si>
    <t>KFFC</t>
  </si>
  <si>
    <t>Falcon Field</t>
  </si>
  <si>
    <t>FFD</t>
  </si>
  <si>
    <t>EGVA</t>
  </si>
  <si>
    <t>RAF Fairford</t>
  </si>
  <si>
    <t>FFL</t>
  </si>
  <si>
    <t>KFFL</t>
  </si>
  <si>
    <t>Fairfield Municipal Airport</t>
  </si>
  <si>
    <t>FFM</t>
  </si>
  <si>
    <t>KFFM</t>
  </si>
  <si>
    <t>Fergus Falls Municipal Airport (Einar Mickelson Field)</t>
  </si>
  <si>
    <t>FFO</t>
  </si>
  <si>
    <t>KFFO</t>
  </si>
  <si>
    <t>Wright-Patterson AFB</t>
  </si>
  <si>
    <t>FFT</t>
  </si>
  <si>
    <t>KFFT</t>
  </si>
  <si>
    <t>Capital City Airport</t>
  </si>
  <si>
    <t>FFU</t>
  </si>
  <si>
    <t>SCFT</t>
  </si>
  <si>
    <t>Futaleufú Airport</t>
  </si>
  <si>
    <t>FFZ</t>
  </si>
  <si>
    <t>KFFZ</t>
  </si>
  <si>
    <t>FGD</t>
  </si>
  <si>
    <t>GQPF</t>
  </si>
  <si>
    <t>Fderik Airport</t>
  </si>
  <si>
    <t>FGI</t>
  </si>
  <si>
    <t>NSFI</t>
  </si>
  <si>
    <t>Fagali'i Airport</t>
  </si>
  <si>
    <t>FGU</t>
  </si>
  <si>
    <t>NTGB</t>
  </si>
  <si>
    <t>Fangatau Airport</t>
  </si>
  <si>
    <t>FGX</t>
  </si>
  <si>
    <t>KFGX</t>
  </si>
  <si>
    <t>Fleming-Mason Airport</t>
  </si>
  <si>
    <t>FHB</t>
  </si>
  <si>
    <t>KFHB</t>
  </si>
  <si>
    <t>Fernandina Beach Municipal Airport</t>
  </si>
  <si>
    <t>FHR</t>
  </si>
  <si>
    <t>KFHR</t>
  </si>
  <si>
    <t>Friday Harbor Airport</t>
  </si>
  <si>
    <t>FHU</t>
  </si>
  <si>
    <t>KFHU</t>
  </si>
  <si>
    <t>Sierra Vista Municipal Airport / Libby Army Airfield</t>
  </si>
  <si>
    <t>FHZ</t>
  </si>
  <si>
    <t>NTKH</t>
  </si>
  <si>
    <t>Fakahina Airport</t>
  </si>
  <si>
    <t>FID</t>
  </si>
  <si>
    <t>K0B8</t>
  </si>
  <si>
    <t>Elizabeth Field</t>
  </si>
  <si>
    <t>FIE</t>
  </si>
  <si>
    <t>EGEF</t>
  </si>
  <si>
    <t>Fair Isle Airport</t>
  </si>
  <si>
    <t>FIG</t>
  </si>
  <si>
    <t>GUFA</t>
  </si>
  <si>
    <t>Fria Airport</t>
  </si>
  <si>
    <t>KFIG</t>
  </si>
  <si>
    <t>Clearfield-Lawrence Airport</t>
  </si>
  <si>
    <t>FIH</t>
  </si>
  <si>
    <t>FZAA</t>
  </si>
  <si>
    <t>Kinshasa International Airport (N'Djili International Airpor</t>
  </si>
  <si>
    <t>FIK</t>
  </si>
  <si>
    <t>YFNE</t>
  </si>
  <si>
    <t>Finke Airport</t>
  </si>
  <si>
    <t>KFOM</t>
  </si>
  <si>
    <t>Fillmore Municipal Airport</t>
  </si>
  <si>
    <t>FIZ</t>
  </si>
  <si>
    <t>YFTZ</t>
  </si>
  <si>
    <t>Fitzroy Crossing Airport</t>
  </si>
  <si>
    <t>FJR</t>
  </si>
  <si>
    <t>OMFJ</t>
  </si>
  <si>
    <t>Fujairah International Airport</t>
  </si>
  <si>
    <t>FKA</t>
  </si>
  <si>
    <t>KFKA</t>
  </si>
  <si>
    <t>Fillmore County Airport</t>
  </si>
  <si>
    <t>FKB</t>
  </si>
  <si>
    <t>EDSB</t>
  </si>
  <si>
    <t>Baden Airpark</t>
  </si>
  <si>
    <t>FKI</t>
  </si>
  <si>
    <t>FZIC</t>
  </si>
  <si>
    <t>Bangoka International Airport</t>
  </si>
  <si>
    <t>FKJ</t>
  </si>
  <si>
    <t>RJNF</t>
  </si>
  <si>
    <t>Fukui Airport</t>
  </si>
  <si>
    <t>FKL</t>
  </si>
  <si>
    <t>KFKL</t>
  </si>
  <si>
    <t>Venango Regional Airport</t>
  </si>
  <si>
    <t>FKN</t>
  </si>
  <si>
    <t>KFKN</t>
  </si>
  <si>
    <t>Franklin Municipal Airport (John Beverly Rose Field)</t>
  </si>
  <si>
    <t>FKQ</t>
  </si>
  <si>
    <t>WASF</t>
  </si>
  <si>
    <t>Fakfak Airport</t>
  </si>
  <si>
    <t>FKR</t>
  </si>
  <si>
    <t>KFKR</t>
  </si>
  <si>
    <t>Frankfort Municipal Airport</t>
  </si>
  <si>
    <t>FKS</t>
  </si>
  <si>
    <t>RJSF</t>
  </si>
  <si>
    <t>Fukushima Airport</t>
  </si>
  <si>
    <t>KFKS</t>
  </si>
  <si>
    <t>Frankfort Dow Memorial Field</t>
  </si>
  <si>
    <t>FLA</t>
  </si>
  <si>
    <t>SKFL</t>
  </si>
  <si>
    <t>Gustavo Artunduaga Paredes Airport</t>
  </si>
  <si>
    <t>FLB</t>
  </si>
  <si>
    <t>SNQG</t>
  </si>
  <si>
    <t>Cangapara Airport</t>
  </si>
  <si>
    <t>FLD</t>
  </si>
  <si>
    <t>KFLD</t>
  </si>
  <si>
    <t>Fond du Lac County Airport</t>
  </si>
  <si>
    <t>FLF</t>
  </si>
  <si>
    <t>EDXF</t>
  </si>
  <si>
    <t>Flensburg-Schäferhaus Airport</t>
  </si>
  <si>
    <t>FLG</t>
  </si>
  <si>
    <t>KFLG</t>
  </si>
  <si>
    <t>Flagstaff Pulliam Airport</t>
  </si>
  <si>
    <t>FLI</t>
  </si>
  <si>
    <t>BIHT</t>
  </si>
  <si>
    <t>Holt Airport</t>
  </si>
  <si>
    <t>FLL</t>
  </si>
  <si>
    <t>KFLL</t>
  </si>
  <si>
    <t>Fort Lauderdale-Hollywood International Airport</t>
  </si>
  <si>
    <t>FLM</t>
  </si>
  <si>
    <t>SGFI</t>
  </si>
  <si>
    <t>Fernheim Airport</t>
  </si>
  <si>
    <t>FLN</t>
  </si>
  <si>
    <t>SBFL</t>
  </si>
  <si>
    <t>Hercílio Luz International Airport</t>
  </si>
  <si>
    <t>FLO</t>
  </si>
  <si>
    <t>KFLO</t>
  </si>
  <si>
    <t>Florence Regional Airport</t>
  </si>
  <si>
    <t>FLP</t>
  </si>
  <si>
    <t>KFLP</t>
  </si>
  <si>
    <t>Marion County Regional Airport</t>
  </si>
  <si>
    <t>FLR</t>
  </si>
  <si>
    <t>LIRQ</t>
  </si>
  <si>
    <t>Peretola Airport</t>
  </si>
  <si>
    <t>FLS</t>
  </si>
  <si>
    <t>YFLI</t>
  </si>
  <si>
    <t>Flinders Island Airport</t>
  </si>
  <si>
    <t>FLU</t>
  </si>
  <si>
    <t>KFLU</t>
  </si>
  <si>
    <t>Flushing Airport</t>
  </si>
  <si>
    <t>FLV</t>
  </si>
  <si>
    <t>KFLV</t>
  </si>
  <si>
    <t>Sherman AAF</t>
  </si>
  <si>
    <t>FLW</t>
  </si>
  <si>
    <t>LPFL</t>
  </si>
  <si>
    <t>Flores Airport</t>
  </si>
  <si>
    <t>FLX</t>
  </si>
  <si>
    <t>KFLX</t>
  </si>
  <si>
    <t>Fallon Municipal Airport</t>
  </si>
  <si>
    <t>FLY</t>
  </si>
  <si>
    <t>YFIL</t>
  </si>
  <si>
    <t>Finley Airport</t>
  </si>
  <si>
    <t>FMA</t>
  </si>
  <si>
    <t>SARF</t>
  </si>
  <si>
    <t>Formosa International Airport</t>
  </si>
  <si>
    <t>FMC</t>
  </si>
  <si>
    <t>PAFV</t>
  </si>
  <si>
    <t>Five Mile Airport</t>
  </si>
  <si>
    <t>FME</t>
  </si>
  <si>
    <t>KFME</t>
  </si>
  <si>
    <t>Tipton Airport (Fort Meade)</t>
  </si>
  <si>
    <t>FMG</t>
  </si>
  <si>
    <t>MRFL</t>
  </si>
  <si>
    <t>Flamingo Airport</t>
  </si>
  <si>
    <t>FMH</t>
  </si>
  <si>
    <t>KFMH</t>
  </si>
  <si>
    <t>Otis ANGB</t>
  </si>
  <si>
    <t>FMI</t>
  </si>
  <si>
    <t>FZRF</t>
  </si>
  <si>
    <t>Kalemie Airport</t>
  </si>
  <si>
    <t>FMM</t>
  </si>
  <si>
    <t>EDJA</t>
  </si>
  <si>
    <t>Allgäu Airport</t>
  </si>
  <si>
    <t>FMN</t>
  </si>
  <si>
    <t>KFMN</t>
  </si>
  <si>
    <t>Four Corners Regional Airport</t>
  </si>
  <si>
    <t>FMO</t>
  </si>
  <si>
    <t>EDDG</t>
  </si>
  <si>
    <t>Münster Osnabrück International Airport</t>
  </si>
  <si>
    <t>FMY</t>
  </si>
  <si>
    <t>KFMY</t>
  </si>
  <si>
    <t>Page Field</t>
  </si>
  <si>
    <t>FMZ</t>
  </si>
  <si>
    <t>KFMZ</t>
  </si>
  <si>
    <t>Fairmont State Airfield</t>
  </si>
  <si>
    <t>FNA</t>
  </si>
  <si>
    <t>GFLL</t>
  </si>
  <si>
    <t>Lungi International Airport</t>
  </si>
  <si>
    <t>FNB</t>
  </si>
  <si>
    <t>ETNU</t>
  </si>
  <si>
    <t>Neubrandenburg Airport</t>
  </si>
  <si>
    <t>KFNB</t>
  </si>
  <si>
    <t>Brenner Field</t>
  </si>
  <si>
    <t>FNC</t>
  </si>
  <si>
    <t>LPMA</t>
  </si>
  <si>
    <t>Madeira Airport</t>
  </si>
  <si>
    <t>FNG</t>
  </si>
  <si>
    <t>DFEF</t>
  </si>
  <si>
    <t>Fada N'gourma Airport</t>
  </si>
  <si>
    <t>FNH</t>
  </si>
  <si>
    <t>HAFN</t>
  </si>
  <si>
    <t>Fincha Airport</t>
  </si>
  <si>
    <t>FNI</t>
  </si>
  <si>
    <t>LFTW</t>
  </si>
  <si>
    <t>Garons Airport</t>
  </si>
  <si>
    <t>FNJ</t>
  </si>
  <si>
    <t>ZKPY</t>
  </si>
  <si>
    <t>Sunan International Airport</t>
  </si>
  <si>
    <t>FNL</t>
  </si>
  <si>
    <t>KFNL</t>
  </si>
  <si>
    <t>Fort Collins-Loveland Municipal Airport</t>
  </si>
  <si>
    <t>FNT</t>
  </si>
  <si>
    <t>KFNT</t>
  </si>
  <si>
    <t>Bishop International Airport</t>
  </si>
  <si>
    <t>FOA</t>
  </si>
  <si>
    <t>KFOA</t>
  </si>
  <si>
    <t>Flora Municipal Airport</t>
  </si>
  <si>
    <t>FOB</t>
  </si>
  <si>
    <t>82CL</t>
  </si>
  <si>
    <t>Fort Bragg Airport</t>
  </si>
  <si>
    <t>FOC</t>
  </si>
  <si>
    <t>ZSFZ</t>
  </si>
  <si>
    <t>Fuzhou Changle International Airport</t>
  </si>
  <si>
    <t>FOD</t>
  </si>
  <si>
    <t>KFOD</t>
  </si>
  <si>
    <t>Fort Dodge Regional Airport</t>
  </si>
  <si>
    <t>FOE</t>
  </si>
  <si>
    <t>KFOE</t>
  </si>
  <si>
    <t>Forbes Field</t>
  </si>
  <si>
    <t>FOG</t>
  </si>
  <si>
    <t>LIBF</t>
  </si>
  <si>
    <t>Foggia / Gino Lisa Airport</t>
  </si>
  <si>
    <t>FOK</t>
  </si>
  <si>
    <t>KFOK</t>
  </si>
  <si>
    <t>Francis S. Gabreski Airport</t>
  </si>
  <si>
    <t>FOM</t>
  </si>
  <si>
    <t>FKKM</t>
  </si>
  <si>
    <t>Foumban Nkounja Airport</t>
  </si>
  <si>
    <t>FON</t>
  </si>
  <si>
    <t>MRAN</t>
  </si>
  <si>
    <t>La Fortuna Airport</t>
  </si>
  <si>
    <t>FOR</t>
  </si>
  <si>
    <t>SBFZ</t>
  </si>
  <si>
    <t>Pinto Martins International Airport</t>
  </si>
  <si>
    <t>FOS</t>
  </si>
  <si>
    <t>YFRT</t>
  </si>
  <si>
    <t>Forrest Airport</t>
  </si>
  <si>
    <t>FOT</t>
  </si>
  <si>
    <t>YFST</t>
  </si>
  <si>
    <t>Forster (Wallis Is) Airport</t>
  </si>
  <si>
    <t>KFOT</t>
  </si>
  <si>
    <t>Rohnerville Airport</t>
  </si>
  <si>
    <t>FOU</t>
  </si>
  <si>
    <t>FOGF</t>
  </si>
  <si>
    <t>Fougamou Airport</t>
  </si>
  <si>
    <t>FOZ</t>
  </si>
  <si>
    <t>KFOZ</t>
  </si>
  <si>
    <t>Bigfork Municipal Airport</t>
  </si>
  <si>
    <t>FPK</t>
  </si>
  <si>
    <t>KFPK</t>
  </si>
  <si>
    <t>Fitch H. Beach Airport</t>
  </si>
  <si>
    <t>FPO</t>
  </si>
  <si>
    <t>MYGF</t>
  </si>
  <si>
    <t>Grand Bahama International Airport</t>
  </si>
  <si>
    <t>FPR</t>
  </si>
  <si>
    <t>KFPR</t>
  </si>
  <si>
    <t>St. Lucie County International Airport</t>
  </si>
  <si>
    <t>FPY</t>
  </si>
  <si>
    <t>K40J</t>
  </si>
  <si>
    <t>Perry Foley Airport</t>
  </si>
  <si>
    <t>FQD</t>
  </si>
  <si>
    <t>KFQD</t>
  </si>
  <si>
    <t>Rutherford County Airport (Marchman Field)</t>
  </si>
  <si>
    <t>FRA</t>
  </si>
  <si>
    <t>EDDF</t>
  </si>
  <si>
    <t>Frankfurt Airport</t>
  </si>
  <si>
    <t>FRB</t>
  </si>
  <si>
    <t>YFBS</t>
  </si>
  <si>
    <t>Forbes Airport</t>
  </si>
  <si>
    <t>FRC</t>
  </si>
  <si>
    <t>SIMK</t>
  </si>
  <si>
    <t>Franca Airport</t>
  </si>
  <si>
    <t>FRE</t>
  </si>
  <si>
    <t>AGGF</t>
  </si>
  <si>
    <t>Fera/Maringe Airport</t>
  </si>
  <si>
    <t>FRF</t>
  </si>
  <si>
    <t>EDOL</t>
  </si>
  <si>
    <t>Oschersleben Airport</t>
  </si>
  <si>
    <t>FRG</t>
  </si>
  <si>
    <t>KFRG</t>
  </si>
  <si>
    <t>Republic Airport</t>
  </si>
  <si>
    <t>FRH</t>
  </si>
  <si>
    <t>KFRH</t>
  </si>
  <si>
    <t>French Lick Municipal Airport</t>
  </si>
  <si>
    <t>KFRI</t>
  </si>
  <si>
    <t>Marshall Army Airfield (Fort Riley)</t>
  </si>
  <si>
    <t>FRK</t>
  </si>
  <si>
    <t>EGTF</t>
  </si>
  <si>
    <t>Fairoaks Airport</t>
  </si>
  <si>
    <t>FRL</t>
  </si>
  <si>
    <t>LIPK</t>
  </si>
  <si>
    <t>Forlì Airport</t>
  </si>
  <si>
    <t>FRM</t>
  </si>
  <si>
    <t>KFRM</t>
  </si>
  <si>
    <t>Fairmont Municipal Airport</t>
  </si>
  <si>
    <t>FRN</t>
  </si>
  <si>
    <t>PAFR</t>
  </si>
  <si>
    <t>Bryant Army Heliport</t>
  </si>
  <si>
    <t>ENFL</t>
  </si>
  <si>
    <t>Florø Airport</t>
  </si>
  <si>
    <t>FRR</t>
  </si>
  <si>
    <t>KFRR</t>
  </si>
  <si>
    <t>Front Royal-Warren County Airport</t>
  </si>
  <si>
    <t>FRS</t>
  </si>
  <si>
    <t>MGTK</t>
  </si>
  <si>
    <t>Mundo Maya International Airport</t>
  </si>
  <si>
    <t>FRT</t>
  </si>
  <si>
    <t>SCEV</t>
  </si>
  <si>
    <t>El Avellano Airport</t>
  </si>
  <si>
    <t>FRU</t>
  </si>
  <si>
    <t>UAFM</t>
  </si>
  <si>
    <t>Manas International Airport</t>
  </si>
  <si>
    <t>FRW</t>
  </si>
  <si>
    <t>FBFT</t>
  </si>
  <si>
    <t>Francistown Airport</t>
  </si>
  <si>
    <t>FRZ</t>
  </si>
  <si>
    <t>ETHF</t>
  </si>
  <si>
    <t>Fritzlar Airport</t>
  </si>
  <si>
    <t>FSC</t>
  </si>
  <si>
    <t>LFKF</t>
  </si>
  <si>
    <t>Sud Corse Airport</t>
  </si>
  <si>
    <t>FSD</t>
  </si>
  <si>
    <t>KFSD</t>
  </si>
  <si>
    <t>Joe Foss Field</t>
  </si>
  <si>
    <t>FSE</t>
  </si>
  <si>
    <t>KFSE</t>
  </si>
  <si>
    <t>Fosston Municipal Airport</t>
  </si>
  <si>
    <t>FSI</t>
  </si>
  <si>
    <t>KFSI</t>
  </si>
  <si>
    <t>Henry Post AAF (Fort Sill)</t>
  </si>
  <si>
    <t>FSK</t>
  </si>
  <si>
    <t>KFSK</t>
  </si>
  <si>
    <t>Fort Scott Municipal Airport</t>
  </si>
  <si>
    <t>FSM</t>
  </si>
  <si>
    <t>KFSM</t>
  </si>
  <si>
    <t>Fort Smith Regional Airport</t>
  </si>
  <si>
    <t>FSO</t>
  </si>
  <si>
    <t>KFSO</t>
  </si>
  <si>
    <t>Franklin County State Airport</t>
  </si>
  <si>
    <t>FSP</t>
  </si>
  <si>
    <t>LFVP</t>
  </si>
  <si>
    <t>Saint Pierre Airport</t>
  </si>
  <si>
    <t>FSS</t>
  </si>
  <si>
    <t>EGQK</t>
  </si>
  <si>
    <t>RAF Kinloss</t>
  </si>
  <si>
    <t>FST</t>
  </si>
  <si>
    <t>KFST</t>
  </si>
  <si>
    <t>Fort Stockton-Pecos County Airport</t>
  </si>
  <si>
    <t>FSU</t>
  </si>
  <si>
    <t>KFSU</t>
  </si>
  <si>
    <t>Fort Sumner Municipal Airport</t>
  </si>
  <si>
    <t>FSW</t>
  </si>
  <si>
    <t>KFSW</t>
  </si>
  <si>
    <t>Fort Madison Municipal Airport</t>
  </si>
  <si>
    <t>FSZ</t>
  </si>
  <si>
    <t>RJNS</t>
  </si>
  <si>
    <t>Mt. Fuji Shizuoka Airport</t>
  </si>
  <si>
    <t>FTA</t>
  </si>
  <si>
    <t>NVVF</t>
  </si>
  <si>
    <t>Futuna Airport</t>
  </si>
  <si>
    <t>FTE</t>
  </si>
  <si>
    <t>SAWC</t>
  </si>
  <si>
    <t>El Calafate Airport</t>
  </si>
  <si>
    <t>FTG</t>
  </si>
  <si>
    <t>KFTG</t>
  </si>
  <si>
    <t>Front Range Airport</t>
  </si>
  <si>
    <t>FTK</t>
  </si>
  <si>
    <t>KFTK</t>
  </si>
  <si>
    <t>Godman Army Airfield</t>
  </si>
  <si>
    <t>FTT</t>
  </si>
  <si>
    <t>KFTT</t>
  </si>
  <si>
    <t>Elton Hensley Memorial Airport</t>
  </si>
  <si>
    <t>FTU</t>
  </si>
  <si>
    <t>FMSD</t>
  </si>
  <si>
    <t>Tôlanaro Airport</t>
  </si>
  <si>
    <t>FTW</t>
  </si>
  <si>
    <t>KFTW</t>
  </si>
  <si>
    <t>Fort Worth Meacham International Airport</t>
  </si>
  <si>
    <t>FTX</t>
  </si>
  <si>
    <t>FCOO</t>
  </si>
  <si>
    <t>Owando Airport</t>
  </si>
  <si>
    <t>FTY</t>
  </si>
  <si>
    <t>KFTY</t>
  </si>
  <si>
    <t>Fulton County Airport (Georgia) (Brown Field)</t>
  </si>
  <si>
    <t>FUE</t>
  </si>
  <si>
    <t>GCFV</t>
  </si>
  <si>
    <t>El Matorral Airport</t>
  </si>
  <si>
    <t>FUG</t>
  </si>
  <si>
    <t>ZSFY</t>
  </si>
  <si>
    <t>Fuyang Airport</t>
  </si>
  <si>
    <t>FUJ</t>
  </si>
  <si>
    <t>RJFE</t>
  </si>
  <si>
    <t>Goto-Fukue Airport</t>
  </si>
  <si>
    <t>FUK</t>
  </si>
  <si>
    <t>RJFF</t>
  </si>
  <si>
    <t>Fukuoka Airport</t>
  </si>
  <si>
    <t>FUL</t>
  </si>
  <si>
    <t>KFUL</t>
  </si>
  <si>
    <t>Fullerton Municipal Airport</t>
  </si>
  <si>
    <t>FUN</t>
  </si>
  <si>
    <t>NGFU</t>
  </si>
  <si>
    <t>Funafuti International Airport</t>
  </si>
  <si>
    <t>FUO</t>
  </si>
  <si>
    <t>ZGFS</t>
  </si>
  <si>
    <t>Foshan Shadi Airport</t>
  </si>
  <si>
    <t>FUT</t>
  </si>
  <si>
    <t>NLWF</t>
  </si>
  <si>
    <t>Pointe Vele Airport</t>
  </si>
  <si>
    <t>FVE</t>
  </si>
  <si>
    <t>KFVE</t>
  </si>
  <si>
    <t>Northern Aroostook Regional Airport</t>
  </si>
  <si>
    <t>FVL</t>
  </si>
  <si>
    <t>YFLO</t>
  </si>
  <si>
    <t>Flora Valley Airport</t>
  </si>
  <si>
    <t>FVM</t>
  </si>
  <si>
    <t>VRMF</t>
  </si>
  <si>
    <t>Fuvahmulah Airport</t>
  </si>
  <si>
    <t>FVX</t>
  </si>
  <si>
    <t>KFVX</t>
  </si>
  <si>
    <t>Farmville Regional Airport</t>
  </si>
  <si>
    <t>FWA</t>
  </si>
  <si>
    <t>KFWA</t>
  </si>
  <si>
    <t>Fort Wayne International Airport</t>
  </si>
  <si>
    <t>FWC</t>
  </si>
  <si>
    <t>KFWC</t>
  </si>
  <si>
    <t>FWL</t>
  </si>
  <si>
    <t>PAFW</t>
  </si>
  <si>
    <t>Farewell Airport</t>
  </si>
  <si>
    <t>FWQ</t>
  </si>
  <si>
    <t>KFWQ</t>
  </si>
  <si>
    <t>Rostraver Airport</t>
  </si>
  <si>
    <t>FWS</t>
  </si>
  <si>
    <t>KFWS</t>
  </si>
  <si>
    <t>Fort Worth Spinks Airport</t>
  </si>
  <si>
    <t>FXE</t>
  </si>
  <si>
    <t>KFXE</t>
  </si>
  <si>
    <t>Fort Lauderdale Executive Airport</t>
  </si>
  <si>
    <t>FXO</t>
  </si>
  <si>
    <t>FQCB</t>
  </si>
  <si>
    <t>Cuamba Airport</t>
  </si>
  <si>
    <t>FXY</t>
  </si>
  <si>
    <t>KFXY</t>
  </si>
  <si>
    <t>Forest City Municipal Airport</t>
  </si>
  <si>
    <t>FYE</t>
  </si>
  <si>
    <t>KFYE</t>
  </si>
  <si>
    <t>Fayette County Airport</t>
  </si>
  <si>
    <t>FYJ</t>
  </si>
  <si>
    <t>KFYJ</t>
  </si>
  <si>
    <t>Middle Peninsula Regional Airport</t>
  </si>
  <si>
    <t>FYM</t>
  </si>
  <si>
    <t>KFYM</t>
  </si>
  <si>
    <t>Fayetteville Municipal Airport</t>
  </si>
  <si>
    <t>FYT</t>
  </si>
  <si>
    <t>FTTY</t>
  </si>
  <si>
    <t>Faya Largeau Airport</t>
  </si>
  <si>
    <t>FYU</t>
  </si>
  <si>
    <t>PFYU</t>
  </si>
  <si>
    <t>Fort Yukon Airport</t>
  </si>
  <si>
    <t>FYV</t>
  </si>
  <si>
    <t>KFYV</t>
  </si>
  <si>
    <t>Drake Field</t>
  </si>
  <si>
    <t>FZG</t>
  </si>
  <si>
    <t>KFZG</t>
  </si>
  <si>
    <t>Fitzgerald Municipal Airport</t>
  </si>
  <si>
    <t>FZI</t>
  </si>
  <si>
    <t>KFZI</t>
  </si>
  <si>
    <t>Fostoria Metropolitan Airport</t>
  </si>
  <si>
    <t>FZO</t>
  </si>
  <si>
    <t>EGTG</t>
  </si>
  <si>
    <t>Bristol Filton Airport</t>
  </si>
  <si>
    <t>FZY</t>
  </si>
  <si>
    <t>KFZY</t>
  </si>
  <si>
    <t>Oswego County Airport</t>
  </si>
  <si>
    <t>GAB</t>
  </si>
  <si>
    <t>KGAB</t>
  </si>
  <si>
    <t>Gabbs Airport</t>
  </si>
  <si>
    <t>GAD</t>
  </si>
  <si>
    <t>KGAD</t>
  </si>
  <si>
    <t>Northeast Alabama Regional Airport</t>
  </si>
  <si>
    <t>GAE</t>
  </si>
  <si>
    <t>DTTG</t>
  </si>
  <si>
    <t>Gabès - Matmata International Airport</t>
  </si>
  <si>
    <t>GAF</t>
  </si>
  <si>
    <t>DTTF</t>
  </si>
  <si>
    <t>Gafsa Ksar International Airport</t>
  </si>
  <si>
    <t>KGAF</t>
  </si>
  <si>
    <t>Hutson Field</t>
  </si>
  <si>
    <t>GAG</t>
  </si>
  <si>
    <t>KGAG</t>
  </si>
  <si>
    <t>Gage Airport</t>
  </si>
  <si>
    <t>GAH</t>
  </si>
  <si>
    <t>YGAY</t>
  </si>
  <si>
    <t>Gayndah Airport</t>
  </si>
  <si>
    <t>GAI</t>
  </si>
  <si>
    <t>KGAI</t>
  </si>
  <si>
    <t>Montgomery County Airpark</t>
  </si>
  <si>
    <t>GAJ</t>
  </si>
  <si>
    <t>RJSC</t>
  </si>
  <si>
    <t>Yamagata Airport</t>
  </si>
  <si>
    <t>GAL</t>
  </si>
  <si>
    <t>PAGA</t>
  </si>
  <si>
    <t>Edward G. Pitka Sr. Airport</t>
  </si>
  <si>
    <t>GAM</t>
  </si>
  <si>
    <t>PAGM</t>
  </si>
  <si>
    <t>Gambell Airport</t>
  </si>
  <si>
    <t>GAN</t>
  </si>
  <si>
    <t>VRMG</t>
  </si>
  <si>
    <t>Gan Island Airport</t>
  </si>
  <si>
    <t>GAO</t>
  </si>
  <si>
    <t>MUGT</t>
  </si>
  <si>
    <t>Mariana Grajales Airport</t>
  </si>
  <si>
    <t>KGAO</t>
  </si>
  <si>
    <t>South Lafourche Airport</t>
  </si>
  <si>
    <t>GAQ</t>
  </si>
  <si>
    <t>GAGO</t>
  </si>
  <si>
    <t>Gao Airport</t>
  </si>
  <si>
    <t>GAS</t>
  </si>
  <si>
    <t>HKGA</t>
  </si>
  <si>
    <t>Garissa Airport</t>
  </si>
  <si>
    <t>KGAS</t>
  </si>
  <si>
    <t>Gallia-Meigs Regional Airport</t>
  </si>
  <si>
    <t>GAT</t>
  </si>
  <si>
    <t>LFNA</t>
  </si>
  <si>
    <t>Gap - Tallard Airport</t>
  </si>
  <si>
    <t>GAU</t>
  </si>
  <si>
    <t>VEGT</t>
  </si>
  <si>
    <t>Lokpriya Gopinath Bordoloi International Airport</t>
  </si>
  <si>
    <t>GAW</t>
  </si>
  <si>
    <t>VYGG</t>
  </si>
  <si>
    <t>Gangaw Airport</t>
  </si>
  <si>
    <t>GAY</t>
  </si>
  <si>
    <t>VEGY</t>
  </si>
  <si>
    <t>Gaya Airport</t>
  </si>
  <si>
    <t>GBB</t>
  </si>
  <si>
    <t>UBBQ</t>
  </si>
  <si>
    <t>Gabala International Airport</t>
  </si>
  <si>
    <t>GBD</t>
  </si>
  <si>
    <t>KGBD</t>
  </si>
  <si>
    <t>Great Bend Municipal Airport</t>
  </si>
  <si>
    <t>GBE</t>
  </si>
  <si>
    <t>FBSK</t>
  </si>
  <si>
    <t>Sir Seretse Khama International Airport</t>
  </si>
  <si>
    <t>GBG</t>
  </si>
  <si>
    <t>KGBG</t>
  </si>
  <si>
    <t>Galesburg Municipal Airport</t>
  </si>
  <si>
    <t>GBJ</t>
  </si>
  <si>
    <t>TFFM</t>
  </si>
  <si>
    <t>Les Bases Airport</t>
  </si>
  <si>
    <t>GBL</t>
  </si>
  <si>
    <t>YGBI</t>
  </si>
  <si>
    <t>South Goulburn Is Airport</t>
  </si>
  <si>
    <t>GBN</t>
  </si>
  <si>
    <t>KGBN</t>
  </si>
  <si>
    <t>Gila Bend AF Aux. Field</t>
  </si>
  <si>
    <t>GBR</t>
  </si>
  <si>
    <t>KGBR</t>
  </si>
  <si>
    <t>Walter J. Koladza Airport</t>
  </si>
  <si>
    <t>GBT</t>
  </si>
  <si>
    <t>OING</t>
  </si>
  <si>
    <t>Gorgan Airport</t>
  </si>
  <si>
    <t>GBU</t>
  </si>
  <si>
    <t>HSKG</t>
  </si>
  <si>
    <t>Khashm El Girba Airport</t>
  </si>
  <si>
    <t>GBV</t>
  </si>
  <si>
    <t>YGIB</t>
  </si>
  <si>
    <t>Gibb River Airport</t>
  </si>
  <si>
    <t>GBZ</t>
  </si>
  <si>
    <t>NZGB</t>
  </si>
  <si>
    <t>Claris Airfield</t>
  </si>
  <si>
    <t>GCC</t>
  </si>
  <si>
    <t>KGCC</t>
  </si>
  <si>
    <t>Gillette-Campbell County Airport</t>
  </si>
  <si>
    <t>GCD</t>
  </si>
  <si>
    <t>K3W7</t>
  </si>
  <si>
    <t>Grand Coulee Dam Airport</t>
  </si>
  <si>
    <t>GCI</t>
  </si>
  <si>
    <t>EGJB</t>
  </si>
  <si>
    <t>Guernsey Airport</t>
  </si>
  <si>
    <t>GCJ</t>
  </si>
  <si>
    <t>FAGC</t>
  </si>
  <si>
    <t>Grand Central Airport</t>
  </si>
  <si>
    <t>GCK</t>
  </si>
  <si>
    <t>KGCK</t>
  </si>
  <si>
    <t>Garden City Regional Airport</t>
  </si>
  <si>
    <t>GCM</t>
  </si>
  <si>
    <t>MWCR</t>
  </si>
  <si>
    <t>Owen Roberts International Airport</t>
  </si>
  <si>
    <t>GCN</t>
  </si>
  <si>
    <t>KGCN</t>
  </si>
  <si>
    <t>Grand Canyon National Park Airport</t>
  </si>
  <si>
    <t>GCT</t>
  </si>
  <si>
    <t>KGCT</t>
  </si>
  <si>
    <t>Guthrie County Regional Airport</t>
  </si>
  <si>
    <t>GCW</t>
  </si>
  <si>
    <t>K1G4</t>
  </si>
  <si>
    <t>Grand Canyon West Airport</t>
  </si>
  <si>
    <t>GCY</t>
  </si>
  <si>
    <t>KGCY</t>
  </si>
  <si>
    <t>Greeneville-Greene County Municipal Airport</t>
  </si>
  <si>
    <t>GDB</t>
  </si>
  <si>
    <t>KGDB</t>
  </si>
  <si>
    <t>Granite Falls Municipal Airport (Lenzen-Roe Memorial Field)</t>
  </si>
  <si>
    <t>GDD</t>
  </si>
  <si>
    <t>YGDN</t>
  </si>
  <si>
    <t>Gordon Downs Airport</t>
  </si>
  <si>
    <t>GDE</t>
  </si>
  <si>
    <t>HAGO</t>
  </si>
  <si>
    <t>Gode Airport</t>
  </si>
  <si>
    <t>GDG</t>
  </si>
  <si>
    <t>UHBI</t>
  </si>
  <si>
    <t>Magdagachi Airport</t>
  </si>
  <si>
    <t>GDI</t>
  </si>
  <si>
    <t>FEGL</t>
  </si>
  <si>
    <t>Gordil Airport</t>
  </si>
  <si>
    <t>GDJ</t>
  </si>
  <si>
    <t>FZWC</t>
  </si>
  <si>
    <t>Gandajika Airport</t>
  </si>
  <si>
    <t>KGDJ</t>
  </si>
  <si>
    <t>Granbury Municipal Airport</t>
  </si>
  <si>
    <t>GDL</t>
  </si>
  <si>
    <t>MMGL</t>
  </si>
  <si>
    <t>Don Miguel Hidalgo y Costilla International Airport</t>
  </si>
  <si>
    <t>GDM</t>
  </si>
  <si>
    <t>KGDM</t>
  </si>
  <si>
    <t>Gardner Municipal Airport</t>
  </si>
  <si>
    <t>GDN</t>
  </si>
  <si>
    <t>EPGD</t>
  </si>
  <si>
    <t>Gdansk Lech Walesa Airport</t>
  </si>
  <si>
    <t>GDO</t>
  </si>
  <si>
    <t>SVGD</t>
  </si>
  <si>
    <t>Guasdualito Airport</t>
  </si>
  <si>
    <t>GDP</t>
  </si>
  <si>
    <t>SNGD</t>
  </si>
  <si>
    <t>GDQ</t>
  </si>
  <si>
    <t>HAGN</t>
  </si>
  <si>
    <t>Gonder Airport</t>
  </si>
  <si>
    <t>GDT</t>
  </si>
  <si>
    <t>MBGT</t>
  </si>
  <si>
    <t>JAGS McCartney International Airport</t>
  </si>
  <si>
    <t>GDV</t>
  </si>
  <si>
    <t>KGDV</t>
  </si>
  <si>
    <t>Dawson Community Airport</t>
  </si>
  <si>
    <t>GDW</t>
  </si>
  <si>
    <t>KGDW</t>
  </si>
  <si>
    <t>Gladwin Zettel Memorial Airport</t>
  </si>
  <si>
    <t>GDX</t>
  </si>
  <si>
    <t>UHMM</t>
  </si>
  <si>
    <t>Sokol Airport</t>
  </si>
  <si>
    <t>GDY</t>
  </si>
  <si>
    <t>KGDY</t>
  </si>
  <si>
    <t>Grundy Municipal Airport</t>
  </si>
  <si>
    <t>GDZ</t>
  </si>
  <si>
    <t>URKG</t>
  </si>
  <si>
    <t>Gelendzhik Airport</t>
  </si>
  <si>
    <t>GEA</t>
  </si>
  <si>
    <t>NWWM</t>
  </si>
  <si>
    <t>Nouméa Magenta Airport</t>
  </si>
  <si>
    <t>GEB</t>
  </si>
  <si>
    <t>WAMJ</t>
  </si>
  <si>
    <t>Gebe Airport</t>
  </si>
  <si>
    <t>GED</t>
  </si>
  <si>
    <t>KGED</t>
  </si>
  <si>
    <t>Sussex County Airport</t>
  </si>
  <si>
    <t>GEE</t>
  </si>
  <si>
    <t>YGTO</t>
  </si>
  <si>
    <t>Georgetown (Tas) Airport</t>
  </si>
  <si>
    <t>GEF</t>
  </si>
  <si>
    <t>AGEV</t>
  </si>
  <si>
    <t>Geva Airport</t>
  </si>
  <si>
    <t>GEG</t>
  </si>
  <si>
    <t>KGEG</t>
  </si>
  <si>
    <t>Spokane International Airport</t>
  </si>
  <si>
    <t>GEL</t>
  </si>
  <si>
    <t>SBNM</t>
  </si>
  <si>
    <t>Aeroporto Sepé Tiaraju</t>
  </si>
  <si>
    <t>GEO</t>
  </si>
  <si>
    <t>SYCJ</t>
  </si>
  <si>
    <t>Cheddi Jagan International Airport</t>
  </si>
  <si>
    <t>KGEO</t>
  </si>
  <si>
    <t>Brown County Airport</t>
  </si>
  <si>
    <t>GER</t>
  </si>
  <si>
    <t>MUNG</t>
  </si>
  <si>
    <t>Rafael Cabrera Airport</t>
  </si>
  <si>
    <t>GES</t>
  </si>
  <si>
    <t>RPMB</t>
  </si>
  <si>
    <t>General Santos International Airport</t>
  </si>
  <si>
    <t>GET</t>
  </si>
  <si>
    <t>YGEL</t>
  </si>
  <si>
    <t>Geraldton Airport</t>
  </si>
  <si>
    <t>GEU</t>
  </si>
  <si>
    <t>KGEU</t>
  </si>
  <si>
    <t>Glendale Municipal Airport</t>
  </si>
  <si>
    <t>GEV</t>
  </si>
  <si>
    <t>ESNG</t>
  </si>
  <si>
    <t>Gällivare Airport</t>
  </si>
  <si>
    <t>KGEV</t>
  </si>
  <si>
    <t>Ashe County Airport</t>
  </si>
  <si>
    <t>GEX</t>
  </si>
  <si>
    <t>YGLG</t>
  </si>
  <si>
    <t>Geelong Airport</t>
  </si>
  <si>
    <t>GEY</t>
  </si>
  <si>
    <t>KGEY</t>
  </si>
  <si>
    <t>South Big Horn County Airport</t>
  </si>
  <si>
    <t>GFD</t>
  </si>
  <si>
    <t>KGFD</t>
  </si>
  <si>
    <t>Pope Field</t>
  </si>
  <si>
    <t>GFF</t>
  </si>
  <si>
    <t>YGTH</t>
  </si>
  <si>
    <t>Griffith Airport</t>
  </si>
  <si>
    <t>GFK</t>
  </si>
  <si>
    <t>KGFK</t>
  </si>
  <si>
    <t>Grand Forks International Airport</t>
  </si>
  <si>
    <t>GFL</t>
  </si>
  <si>
    <t>KGFL</t>
  </si>
  <si>
    <t>Floyd Bennett Memorial Airport</t>
  </si>
  <si>
    <t>GFN</t>
  </si>
  <si>
    <t>YGFN</t>
  </si>
  <si>
    <t>Grafton Airport</t>
  </si>
  <si>
    <t>GFO</t>
  </si>
  <si>
    <t>SYBT</t>
  </si>
  <si>
    <t>Bartica Airport</t>
  </si>
  <si>
    <t>GFR</t>
  </si>
  <si>
    <t>LFRF</t>
  </si>
  <si>
    <t>Granville Airport</t>
  </si>
  <si>
    <t>GFY</t>
  </si>
  <si>
    <t>FYGF</t>
  </si>
  <si>
    <t>Grootfontein Airport</t>
  </si>
  <si>
    <t>GFZ</t>
  </si>
  <si>
    <t>KGFZ</t>
  </si>
  <si>
    <t>Greenfield Municipal Airport</t>
  </si>
  <si>
    <t>GGD</t>
  </si>
  <si>
    <t>YGDS</t>
  </si>
  <si>
    <t>Gregory Downs Airport</t>
  </si>
  <si>
    <t>GGE</t>
  </si>
  <si>
    <t>KGGE</t>
  </si>
  <si>
    <t>Georgetown County Airport</t>
  </si>
  <si>
    <t>GGF</t>
  </si>
  <si>
    <t>KGGF</t>
  </si>
  <si>
    <t>Grant Municipal Airport</t>
  </si>
  <si>
    <t>GGG</t>
  </si>
  <si>
    <t>KGGG</t>
  </si>
  <si>
    <t>East Texas Regional Airport</t>
  </si>
  <si>
    <t>GGI</t>
  </si>
  <si>
    <t>KGGI</t>
  </si>
  <si>
    <t>Grinnell Regional Airport</t>
  </si>
  <si>
    <t>GGM</t>
  </si>
  <si>
    <t>HKKG</t>
  </si>
  <si>
    <t>Kakamega Airport</t>
  </si>
  <si>
    <t>GGN</t>
  </si>
  <si>
    <t>DIGA</t>
  </si>
  <si>
    <t>Gagnoa Airport</t>
  </si>
  <si>
    <t>GGO</t>
  </si>
  <si>
    <t>DIGL</t>
  </si>
  <si>
    <t>Guiglo Airport</t>
  </si>
  <si>
    <t>GGP</t>
  </si>
  <si>
    <t>KGGP</t>
  </si>
  <si>
    <t>Logansport/Cass County Airport</t>
  </si>
  <si>
    <t>GGS</t>
  </si>
  <si>
    <t>SAWR</t>
  </si>
  <si>
    <t>Gobernador Gregores Airport</t>
  </si>
  <si>
    <t>GGT</t>
  </si>
  <si>
    <t>MYEF</t>
  </si>
  <si>
    <t>Exuma International Airport</t>
  </si>
  <si>
    <t>MYEG</t>
  </si>
  <si>
    <t>George Town Airport</t>
  </si>
  <si>
    <t>GGW</t>
  </si>
  <si>
    <t>KGGW</t>
  </si>
  <si>
    <t>Glasgow Airport (Wokal Field)</t>
  </si>
  <si>
    <t>GHA</t>
  </si>
  <si>
    <t>DAUG</t>
  </si>
  <si>
    <t>Noumérat - Moufdi Zakaria Airport</t>
  </si>
  <si>
    <t>GHB</t>
  </si>
  <si>
    <t>MYEM</t>
  </si>
  <si>
    <t>Governor's Harbour Airport</t>
  </si>
  <si>
    <t>GHC</t>
  </si>
  <si>
    <t>MYBG</t>
  </si>
  <si>
    <t>Great Harbour Cay Airport</t>
  </si>
  <si>
    <t>GHM</t>
  </si>
  <si>
    <t>KGHM</t>
  </si>
  <si>
    <t>Centerville Municipal Airport</t>
  </si>
  <si>
    <t>GHT</t>
  </si>
  <si>
    <t>HLGT</t>
  </si>
  <si>
    <t>Ghat Airport</t>
  </si>
  <si>
    <t>GHU</t>
  </si>
  <si>
    <t>SAAG</t>
  </si>
  <si>
    <t>Gualeguaychu Airport</t>
  </si>
  <si>
    <t>GHW</t>
  </si>
  <si>
    <t>KGHW</t>
  </si>
  <si>
    <t>Glenwood Municipal Airport</t>
  </si>
  <si>
    <t>GIB</t>
  </si>
  <si>
    <t>LXGB</t>
  </si>
  <si>
    <t>Gibraltar Airport</t>
  </si>
  <si>
    <t>GIC</t>
  </si>
  <si>
    <t>YBOI</t>
  </si>
  <si>
    <t>Boigu Island Airport</t>
  </si>
  <si>
    <t>GID</t>
  </si>
  <si>
    <t>HBBE</t>
  </si>
  <si>
    <t>Gitega Airport</t>
  </si>
  <si>
    <t>GIF</t>
  </si>
  <si>
    <t>KGIF</t>
  </si>
  <si>
    <t>Winter Haven's Gilbert Airport</t>
  </si>
  <si>
    <t>GIG</t>
  </si>
  <si>
    <t>SBGL</t>
  </si>
  <si>
    <t>Galeão - Antônio Carlos Jobim International Airport (Rio de Janeiro)</t>
  </si>
  <si>
    <t>GII</t>
  </si>
  <si>
    <t>GUSI</t>
  </si>
  <si>
    <t>Siguiri Airport</t>
  </si>
  <si>
    <t>GIL</t>
  </si>
  <si>
    <t>OPGT</t>
  </si>
  <si>
    <t>Gilgit Airport</t>
  </si>
  <si>
    <t>GIR</t>
  </si>
  <si>
    <t>SKGI</t>
  </si>
  <si>
    <t>Santiago Vila Airport</t>
  </si>
  <si>
    <t>GIS</t>
  </si>
  <si>
    <t>NZGS</t>
  </si>
  <si>
    <t>Gisborne Airport</t>
  </si>
  <si>
    <t>GIU</t>
  </si>
  <si>
    <t>VCCS</t>
  </si>
  <si>
    <t>Sigiriya Air Force Base</t>
  </si>
  <si>
    <t>GIY</t>
  </si>
  <si>
    <t>FAGI</t>
  </si>
  <si>
    <t>Giyani Airport</t>
  </si>
  <si>
    <t>GIZ</t>
  </si>
  <si>
    <t>OEGN</t>
  </si>
  <si>
    <t>Jizan Regional Airport</t>
  </si>
  <si>
    <t>GJA</t>
  </si>
  <si>
    <t>MHNJ</t>
  </si>
  <si>
    <t>La Laguna Airport</t>
  </si>
  <si>
    <t>LYDK</t>
  </si>
  <si>
    <t>Äakovica Airfield</t>
  </si>
  <si>
    <t>GJL</t>
  </si>
  <si>
    <t>DAAV</t>
  </si>
  <si>
    <t>Jijel Ferhat Abbas Airport</t>
  </si>
  <si>
    <t>GJM</t>
  </si>
  <si>
    <t>SBGM</t>
  </si>
  <si>
    <t>Guajará-Mirim Airport</t>
  </si>
  <si>
    <t>GJR</t>
  </si>
  <si>
    <t>BIGJ</t>
  </si>
  <si>
    <t>Gjögur Airport</t>
  </si>
  <si>
    <t>GJT</t>
  </si>
  <si>
    <t>KGJT</t>
  </si>
  <si>
    <t>Walker Field</t>
  </si>
  <si>
    <t>GJU</t>
  </si>
  <si>
    <t>Guanaja Airport</t>
  </si>
  <si>
    <t>GKA</t>
  </si>
  <si>
    <t>AYGA</t>
  </si>
  <si>
    <t>Goroka Airport</t>
  </si>
  <si>
    <t>GKD</t>
  </si>
  <si>
    <t>LTFK</t>
  </si>
  <si>
    <t>Imroz Airport</t>
  </si>
  <si>
    <t>GKE</t>
  </si>
  <si>
    <t>ETNG</t>
  </si>
  <si>
    <t>NATO Air Base Geilenkirchen</t>
  </si>
  <si>
    <t>GKH</t>
  </si>
  <si>
    <t>VNGK</t>
  </si>
  <si>
    <t>Gorkha Airport</t>
  </si>
  <si>
    <t>GKJ</t>
  </si>
  <si>
    <t>KGKJ</t>
  </si>
  <si>
    <t>Port Meadville Airport</t>
  </si>
  <si>
    <t>GKN</t>
  </si>
  <si>
    <t>PAGK</t>
  </si>
  <si>
    <t>Gulkana Airport</t>
  </si>
  <si>
    <t>GKT</t>
  </si>
  <si>
    <t>KGKT</t>
  </si>
  <si>
    <t>Gatlinburg-Pigeon Forge Airport</t>
  </si>
  <si>
    <t>GKY</t>
  </si>
  <si>
    <t>KGKY</t>
  </si>
  <si>
    <t>Arlington Municipal Airport</t>
  </si>
  <si>
    <t>GLA</t>
  </si>
  <si>
    <t>EGPF</t>
  </si>
  <si>
    <t>Glasgow International Airport</t>
  </si>
  <si>
    <t>GLD</t>
  </si>
  <si>
    <t>KGLD</t>
  </si>
  <si>
    <t>Goodland Municipal Airport (Renner Field)</t>
  </si>
  <si>
    <t>GLE</t>
  </si>
  <si>
    <t>KGLE</t>
  </si>
  <si>
    <t>Gainesville Municipal Airport</t>
  </si>
  <si>
    <t>GLF</t>
  </si>
  <si>
    <t>MRGF</t>
  </si>
  <si>
    <t>Golfito Airport</t>
  </si>
  <si>
    <t>GLG</t>
  </si>
  <si>
    <t>YGLE</t>
  </si>
  <si>
    <t>Glengyle Airport</t>
  </si>
  <si>
    <t>GLH</t>
  </si>
  <si>
    <t>KGLH</t>
  </si>
  <si>
    <t>Mid-Delta Regional Airport</t>
  </si>
  <si>
    <t>GLI</t>
  </si>
  <si>
    <t>YGLI</t>
  </si>
  <si>
    <t>Glen Innes Airport</t>
  </si>
  <si>
    <t>GLJ</t>
  </si>
  <si>
    <t>SKGZ</t>
  </si>
  <si>
    <t>Garzón La Jagua Airport</t>
  </si>
  <si>
    <t>GLK</t>
  </si>
  <si>
    <t>HCMR</t>
  </si>
  <si>
    <t>Galcaio Airport</t>
  </si>
  <si>
    <t>GLL</t>
  </si>
  <si>
    <t>ENKL</t>
  </si>
  <si>
    <t>Gol Airport, Klanten,Norway</t>
  </si>
  <si>
    <t>GLM</t>
  </si>
  <si>
    <t>YGLO</t>
  </si>
  <si>
    <t>Glenormiston Airport</t>
  </si>
  <si>
    <t>GLO</t>
  </si>
  <si>
    <t>EGBJ</t>
  </si>
  <si>
    <t>Gloucester Airport</t>
  </si>
  <si>
    <t>GLR</t>
  </si>
  <si>
    <t>KGLR</t>
  </si>
  <si>
    <t>Gaylord Regional Airport</t>
  </si>
  <si>
    <t>GLS</t>
  </si>
  <si>
    <t>KGLS</t>
  </si>
  <si>
    <t>Scholes International Airport at Galveston</t>
  </si>
  <si>
    <t>GLT</t>
  </si>
  <si>
    <t>YGLA</t>
  </si>
  <si>
    <t>Gladstone Airport</t>
  </si>
  <si>
    <t>GLU</t>
  </si>
  <si>
    <t>VQGP</t>
  </si>
  <si>
    <t>Gelephu Airport</t>
  </si>
  <si>
    <t>GLW</t>
  </si>
  <si>
    <t>KGLW</t>
  </si>
  <si>
    <t>Glasgow Municipal Airport</t>
  </si>
  <si>
    <t>GLX</t>
  </si>
  <si>
    <t>WAMA</t>
  </si>
  <si>
    <t>Gamarmalamo Airport</t>
  </si>
  <si>
    <t>GLY</t>
  </si>
  <si>
    <t>KGLY</t>
  </si>
  <si>
    <t>Clinton Memorial Airport</t>
  </si>
  <si>
    <t>GLZ</t>
  </si>
  <si>
    <t>EHGR</t>
  </si>
  <si>
    <t>Gilze Rijen Air Base</t>
  </si>
  <si>
    <t>GMA</t>
  </si>
  <si>
    <t>FZFK</t>
  </si>
  <si>
    <t>Gemena Airport</t>
  </si>
  <si>
    <t>GMB</t>
  </si>
  <si>
    <t>HAGM</t>
  </si>
  <si>
    <t>Gambella Airport</t>
  </si>
  <si>
    <t>GMD</t>
  </si>
  <si>
    <t>GMMB</t>
  </si>
  <si>
    <t>Ben Slimane Airport</t>
  </si>
  <si>
    <t>GME</t>
  </si>
  <si>
    <t>UMGG</t>
  </si>
  <si>
    <t>Gomel Airport</t>
  </si>
  <si>
    <t>GMJ</t>
  </si>
  <si>
    <t>KGMJ</t>
  </si>
  <si>
    <t>Grove Municipal Airport</t>
  </si>
  <si>
    <t>GML</t>
  </si>
  <si>
    <t>UKKM</t>
  </si>
  <si>
    <t>Gostomel Airport</t>
  </si>
  <si>
    <t>GMM</t>
  </si>
  <si>
    <t>FCOG</t>
  </si>
  <si>
    <t>Gamboma Airport</t>
  </si>
  <si>
    <t>GMN</t>
  </si>
  <si>
    <t>NZGM</t>
  </si>
  <si>
    <t>Greymouth Airport</t>
  </si>
  <si>
    <t>GMO</t>
  </si>
  <si>
    <t>DNGO</t>
  </si>
  <si>
    <t>Gombe Lawanti International Airport</t>
  </si>
  <si>
    <t>GMP</t>
  </si>
  <si>
    <t>RKSS</t>
  </si>
  <si>
    <t>Gimpo International Airport</t>
  </si>
  <si>
    <t>GMR</t>
  </si>
  <si>
    <t>NTGJ</t>
  </si>
  <si>
    <t>Totegegie Airport</t>
  </si>
  <si>
    <t>GMS</t>
  </si>
  <si>
    <t>SNGM</t>
  </si>
  <si>
    <t>Fazenda Canadá Airport</t>
  </si>
  <si>
    <t>GMU</t>
  </si>
  <si>
    <t>KGMU</t>
  </si>
  <si>
    <t>Greenville Downtown Airport</t>
  </si>
  <si>
    <t>GMZ</t>
  </si>
  <si>
    <t>GCGM</t>
  </si>
  <si>
    <t>La Gomera Airport</t>
  </si>
  <si>
    <t>GNA</t>
  </si>
  <si>
    <t>UMMG</t>
  </si>
  <si>
    <t>Hrodna Airport</t>
  </si>
  <si>
    <t>GNB</t>
  </si>
  <si>
    <t>LFLS</t>
  </si>
  <si>
    <t>Grenoble-Isère Airport</t>
  </si>
  <si>
    <t>GNC</t>
  </si>
  <si>
    <t>KGNC</t>
  </si>
  <si>
    <t>Gaines County Airport</t>
  </si>
  <si>
    <t>GND</t>
  </si>
  <si>
    <t>TGPY</t>
  </si>
  <si>
    <t>Point Salines International Airport</t>
  </si>
  <si>
    <t>GNF</t>
  </si>
  <si>
    <t>K2O1</t>
  </si>
  <si>
    <t>Gansner Field</t>
  </si>
  <si>
    <t>KGNF</t>
  </si>
  <si>
    <t>Grenada Municipal Airport</t>
  </si>
  <si>
    <t>GNG</t>
  </si>
  <si>
    <t>KGNG</t>
  </si>
  <si>
    <t>Gooding Municipal Airport</t>
  </si>
  <si>
    <t>GNI</t>
  </si>
  <si>
    <t>RCGI</t>
  </si>
  <si>
    <t>Lyudao Airport</t>
  </si>
  <si>
    <t>GNM</t>
  </si>
  <si>
    <t>SNGI</t>
  </si>
  <si>
    <t>Guanambi Airport</t>
  </si>
  <si>
    <t>GNN</t>
  </si>
  <si>
    <t>HAGH</t>
  </si>
  <si>
    <t>Ghinnir Airport</t>
  </si>
  <si>
    <t>GNO</t>
  </si>
  <si>
    <t>Point Saline International Airport</t>
  </si>
  <si>
    <t>GNR</t>
  </si>
  <si>
    <t>SAHR</t>
  </si>
  <si>
    <t>Dr. Arturo H. Illia Airport</t>
  </si>
  <si>
    <t>GNS</t>
  </si>
  <si>
    <t>WIMB</t>
  </si>
  <si>
    <t>Binaka Airport</t>
  </si>
  <si>
    <t>GNT</t>
  </si>
  <si>
    <t>KGNT</t>
  </si>
  <si>
    <t>Grants-Milan Municipal Airport</t>
  </si>
  <si>
    <t>GNU</t>
  </si>
  <si>
    <t>Goodnews Airport</t>
  </si>
  <si>
    <t>GNV</t>
  </si>
  <si>
    <t>KGNV</t>
  </si>
  <si>
    <t>Gainesville Regional Airport</t>
  </si>
  <si>
    <t>GNY</t>
  </si>
  <si>
    <t>LTCS</t>
  </si>
  <si>
    <t>ÅžanlÄ±urfa GAP Airport</t>
  </si>
  <si>
    <t>GNZ</t>
  </si>
  <si>
    <t>FBGZ</t>
  </si>
  <si>
    <t>Ghanzi Airport</t>
  </si>
  <si>
    <t>GOA</t>
  </si>
  <si>
    <t>LIMJ</t>
  </si>
  <si>
    <t>Aeroporto Cristoforo Colombo</t>
  </si>
  <si>
    <t>GOB</t>
  </si>
  <si>
    <t>HAGB</t>
  </si>
  <si>
    <t>Robe Airport</t>
  </si>
  <si>
    <t>FYGB</t>
  </si>
  <si>
    <t>Gobabis Airport</t>
  </si>
  <si>
    <t>GOH</t>
  </si>
  <si>
    <t>BGGH</t>
  </si>
  <si>
    <t>Nuuk Airport</t>
  </si>
  <si>
    <t>GOI</t>
  </si>
  <si>
    <t>VAGO</t>
  </si>
  <si>
    <t>Dabolim Airport</t>
  </si>
  <si>
    <t>GOJ</t>
  </si>
  <si>
    <t>UWGG</t>
  </si>
  <si>
    <t>Strigino Airport</t>
  </si>
  <si>
    <t>GOK</t>
  </si>
  <si>
    <t>KGOK</t>
  </si>
  <si>
    <t>Guthrie Municipal Airport</t>
  </si>
  <si>
    <t>GOM</t>
  </si>
  <si>
    <t>FZNA</t>
  </si>
  <si>
    <t>Goma International Airport</t>
  </si>
  <si>
    <t>GON</t>
  </si>
  <si>
    <t>KGON</t>
  </si>
  <si>
    <t>Groton-New London Airport</t>
  </si>
  <si>
    <t>GOO</t>
  </si>
  <si>
    <t>YGDI</t>
  </si>
  <si>
    <t>Goondiwindi Airport</t>
  </si>
  <si>
    <t>GOP</t>
  </si>
  <si>
    <t>VEGK</t>
  </si>
  <si>
    <t>Gorakhpur Airport</t>
  </si>
  <si>
    <t>KGOP</t>
  </si>
  <si>
    <t>City-County Airport</t>
  </si>
  <si>
    <t>GOQ</t>
  </si>
  <si>
    <t>ZLGM</t>
  </si>
  <si>
    <t>Golmud Airport</t>
  </si>
  <si>
    <t>GOR</t>
  </si>
  <si>
    <t>HAGR</t>
  </si>
  <si>
    <t>Gore Airport</t>
  </si>
  <si>
    <t>GOT</t>
  </si>
  <si>
    <t>ESGG</t>
  </si>
  <si>
    <t>Gothenburg-Landvetter Airport</t>
  </si>
  <si>
    <t>GOU</t>
  </si>
  <si>
    <t>FKKR</t>
  </si>
  <si>
    <t>Garoua International Airport</t>
  </si>
  <si>
    <t>GOV</t>
  </si>
  <si>
    <t>YPGV</t>
  </si>
  <si>
    <t>Gove Airport</t>
  </si>
  <si>
    <t>KGOV</t>
  </si>
  <si>
    <t>Grayling Army Airfield</t>
  </si>
  <si>
    <t>GOY</t>
  </si>
  <si>
    <t>VCCG</t>
  </si>
  <si>
    <t>Amparai Airport</t>
  </si>
  <si>
    <t>GOZ</t>
  </si>
  <si>
    <t>LBGO</t>
  </si>
  <si>
    <t>Gorna Oriakhovitza Airport</t>
  </si>
  <si>
    <t>GPA</t>
  </si>
  <si>
    <t>LGRX</t>
  </si>
  <si>
    <t>Araxos Airport</t>
  </si>
  <si>
    <t>GPB</t>
  </si>
  <si>
    <t>SBGU</t>
  </si>
  <si>
    <t>Tancredo Thomas de Faria Airport</t>
  </si>
  <si>
    <t>GPH</t>
  </si>
  <si>
    <t>KGPH</t>
  </si>
  <si>
    <t>Clay County Regional Airport</t>
  </si>
  <si>
    <t>GPI</t>
  </si>
  <si>
    <t>SKGP</t>
  </si>
  <si>
    <t>Guapi Airport</t>
  </si>
  <si>
    <t>GPL</t>
  </si>
  <si>
    <t>MRGP</t>
  </si>
  <si>
    <t>Guápiles Airport</t>
  </si>
  <si>
    <t>GPM</t>
  </si>
  <si>
    <t>KGPM</t>
  </si>
  <si>
    <t>Grand Prairie Municipal Airport</t>
  </si>
  <si>
    <t>GPN</t>
  </si>
  <si>
    <t>YGPT</t>
  </si>
  <si>
    <t>Garden Point Airport</t>
  </si>
  <si>
    <t>GPO</t>
  </si>
  <si>
    <t>SAZG</t>
  </si>
  <si>
    <t>General Pico Airport</t>
  </si>
  <si>
    <t>GPS</t>
  </si>
  <si>
    <t>SEGS</t>
  </si>
  <si>
    <t>Seymour Airport</t>
  </si>
  <si>
    <t>GPT</t>
  </si>
  <si>
    <t>KGPT</t>
  </si>
  <si>
    <t>Gulfport-Biloxi International Airport</t>
  </si>
  <si>
    <t>GPZ</t>
  </si>
  <si>
    <t>KGPZ</t>
  </si>
  <si>
    <t>Grand Rapids/Itasca County Airport (Gordon Newstrom Field)</t>
  </si>
  <si>
    <t>GQQ</t>
  </si>
  <si>
    <t>KGQQ</t>
  </si>
  <si>
    <t>Galion Municipal Airport</t>
  </si>
  <si>
    <t>GRB</t>
  </si>
  <si>
    <t>KGRB</t>
  </si>
  <si>
    <t>Austin Straubel International Airport</t>
  </si>
  <si>
    <t>GRD</t>
  </si>
  <si>
    <t>KGRD</t>
  </si>
  <si>
    <t>Greenwood County Airport</t>
  </si>
  <si>
    <t>GRE</t>
  </si>
  <si>
    <t>KGRE</t>
  </si>
  <si>
    <t>Greenville Airport</t>
  </si>
  <si>
    <t>GRF</t>
  </si>
  <si>
    <t>KGRF</t>
  </si>
  <si>
    <t>Gray Army Airfield (Fort Lewis)</t>
  </si>
  <si>
    <t>GRI</t>
  </si>
  <si>
    <t>KGRI</t>
  </si>
  <si>
    <t>Central Nebraska Regional Airport</t>
  </si>
  <si>
    <t>GRJ</t>
  </si>
  <si>
    <t>FAGG</t>
  </si>
  <si>
    <t>George Airport</t>
  </si>
  <si>
    <t>GRK</t>
  </si>
  <si>
    <t>KGRK</t>
  </si>
  <si>
    <t>Killeen-Fort Hood Regional Airport (Fort Hood)</t>
  </si>
  <si>
    <t>GRN</t>
  </si>
  <si>
    <t>KGRN</t>
  </si>
  <si>
    <t>Gordon Municipal Airport</t>
  </si>
  <si>
    <t>GRO</t>
  </si>
  <si>
    <t>LEGE</t>
  </si>
  <si>
    <t>Girona-Costa Brava Airport</t>
  </si>
  <si>
    <t>GRP</t>
  </si>
  <si>
    <t>SWGI</t>
  </si>
  <si>
    <t>Gurupi Airport</t>
  </si>
  <si>
    <t>GRQ</t>
  </si>
  <si>
    <t>EHGG</t>
  </si>
  <si>
    <t>Groningen Airport Eelde</t>
  </si>
  <si>
    <t>GRR</t>
  </si>
  <si>
    <t>KGRR</t>
  </si>
  <si>
    <t>Gerald R. Ford International Airport</t>
  </si>
  <si>
    <t>GRS</t>
  </si>
  <si>
    <t>LIRS</t>
  </si>
  <si>
    <t>Grosseto Airport</t>
  </si>
  <si>
    <t>GRU</t>
  </si>
  <si>
    <t>SBGR</t>
  </si>
  <si>
    <t>São Paulo-Guarulhos International Airport</t>
  </si>
  <si>
    <t>GRV</t>
  </si>
  <si>
    <t>URMG</t>
  </si>
  <si>
    <t>Grozny North Airport</t>
  </si>
  <si>
    <t>GRW</t>
  </si>
  <si>
    <t>LPGR</t>
  </si>
  <si>
    <t>Graciosa Airport</t>
  </si>
  <si>
    <t>GRX</t>
  </si>
  <si>
    <t>LEGR</t>
  </si>
  <si>
    <t>Granada-Jaen Airport, Spain.</t>
  </si>
  <si>
    <t>GRY</t>
  </si>
  <si>
    <t>BIGR</t>
  </si>
  <si>
    <t>Grímsey Airport</t>
  </si>
  <si>
    <t>GRZ</t>
  </si>
  <si>
    <t>LOWG</t>
  </si>
  <si>
    <t>Graz Airport</t>
  </si>
  <si>
    <t>GSA</t>
  </si>
  <si>
    <t>WBKN</t>
  </si>
  <si>
    <t>Long Pasia Airport</t>
  </si>
  <si>
    <t>GSB</t>
  </si>
  <si>
    <t>KGSB</t>
  </si>
  <si>
    <t>Seymour Johnson AFB</t>
  </si>
  <si>
    <t>GSE</t>
  </si>
  <si>
    <t>ESGP</t>
  </si>
  <si>
    <t>Gothenburg City Airport (formerly Säve Flygplats)</t>
  </si>
  <si>
    <t>GSH</t>
  </si>
  <si>
    <t>KGSH</t>
  </si>
  <si>
    <t>Goshen Municipal Airport</t>
  </si>
  <si>
    <t>GSJ</t>
  </si>
  <si>
    <t>MGSJ</t>
  </si>
  <si>
    <t>San José Airport</t>
  </si>
  <si>
    <t>GSN</t>
  </si>
  <si>
    <t>YMGN</t>
  </si>
  <si>
    <t>Mount Gunson Airport</t>
  </si>
  <si>
    <t>GSO</t>
  </si>
  <si>
    <t>KGSO</t>
  </si>
  <si>
    <t>Piedmont Triad International Airport</t>
  </si>
  <si>
    <t>GSP</t>
  </si>
  <si>
    <t>KGSP</t>
  </si>
  <si>
    <t>Greenville-Spartanburg International Airport</t>
  </si>
  <si>
    <t>GSQ</t>
  </si>
  <si>
    <t>HEOW</t>
  </si>
  <si>
    <t>Shark El Oweinat International Airport</t>
  </si>
  <si>
    <t>GSR</t>
  </si>
  <si>
    <t>HCMG</t>
  </si>
  <si>
    <t>Gardo Airport</t>
  </si>
  <si>
    <t>GSS</t>
  </si>
  <si>
    <t>FASE</t>
  </si>
  <si>
    <t>Sabi Sabi Airport</t>
  </si>
  <si>
    <t>GST</t>
  </si>
  <si>
    <t>PAGS</t>
  </si>
  <si>
    <t>Gustavus Airport</t>
  </si>
  <si>
    <t>GSU</t>
  </si>
  <si>
    <t>HSGF</t>
  </si>
  <si>
    <t>Azaza Airport</t>
  </si>
  <si>
    <t>GTB</t>
  </si>
  <si>
    <t>KGTB</t>
  </si>
  <si>
    <t>Wheeler-Sack Army Airfield</t>
  </si>
  <si>
    <t>GTE</t>
  </si>
  <si>
    <t>YGTE</t>
  </si>
  <si>
    <t>Groote Eylandt Airport</t>
  </si>
  <si>
    <t>KGTE</t>
  </si>
  <si>
    <t>Quinn Field</t>
  </si>
  <si>
    <t>GTF</t>
  </si>
  <si>
    <t>KGTF</t>
  </si>
  <si>
    <t>Great Falls International Airport</t>
  </si>
  <si>
    <t>GTG</t>
  </si>
  <si>
    <t>KGTG</t>
  </si>
  <si>
    <t>Grantsburg Municipal Airport</t>
  </si>
  <si>
    <t>GTN</t>
  </si>
  <si>
    <t>NZGT</t>
  </si>
  <si>
    <t>Glentanner Airport</t>
  </si>
  <si>
    <t>GTO</t>
  </si>
  <si>
    <t>WAMG</t>
  </si>
  <si>
    <t>Jalaluddin Airport</t>
  </si>
  <si>
    <t>GTP</t>
  </si>
  <si>
    <t>K3S8</t>
  </si>
  <si>
    <t>Grants Pass Airport</t>
  </si>
  <si>
    <t>GTR</t>
  </si>
  <si>
    <t>KGTR</t>
  </si>
  <si>
    <t>Golden Triangle Regional Airport</t>
  </si>
  <si>
    <t>GTS</t>
  </si>
  <si>
    <t>YGDW</t>
  </si>
  <si>
    <t>Granite Downs Airport</t>
  </si>
  <si>
    <t>GTT</t>
  </si>
  <si>
    <t>YGTN</t>
  </si>
  <si>
    <t>Georgetown Airport</t>
  </si>
  <si>
    <t>GTU</t>
  </si>
  <si>
    <t>KGTU</t>
  </si>
  <si>
    <t>Georgetown Municipal Airport</t>
  </si>
  <si>
    <t>GTW</t>
  </si>
  <si>
    <t>LKHO</t>
  </si>
  <si>
    <t>HoleÅ¡ov Airport</t>
  </si>
  <si>
    <t>GUA</t>
  </si>
  <si>
    <t>MGGT</t>
  </si>
  <si>
    <t>La Aurora International Airport</t>
  </si>
  <si>
    <t>GUB</t>
  </si>
  <si>
    <t>MMGR</t>
  </si>
  <si>
    <t>Guerrero Negro Airport</t>
  </si>
  <si>
    <t>GUC</t>
  </si>
  <si>
    <t>KGUC</t>
  </si>
  <si>
    <t>Gunnison-Crested Butte Regional Airport</t>
  </si>
  <si>
    <t>GUD</t>
  </si>
  <si>
    <t>GAGM</t>
  </si>
  <si>
    <t>Goundam Airport</t>
  </si>
  <si>
    <t>GUH</t>
  </si>
  <si>
    <t>YGDH</t>
  </si>
  <si>
    <t>Gunnedah Airport</t>
  </si>
  <si>
    <t>GUI</t>
  </si>
  <si>
    <t>RPVG</t>
  </si>
  <si>
    <t>Guiuan Airport</t>
  </si>
  <si>
    <t>SVGI</t>
  </si>
  <si>
    <t>Guiria Airport</t>
  </si>
  <si>
    <t>GUJ</t>
  </si>
  <si>
    <t>SBGW</t>
  </si>
  <si>
    <t>Guaratinguetá Airport</t>
  </si>
  <si>
    <t>GUL</t>
  </si>
  <si>
    <t>YGLB</t>
  </si>
  <si>
    <t>Goulburn Airport</t>
  </si>
  <si>
    <t>GUM</t>
  </si>
  <si>
    <t>PGUM</t>
  </si>
  <si>
    <t>Antonio B. Won Pat International Airport</t>
  </si>
  <si>
    <t>GUP</t>
  </si>
  <si>
    <t>KGUP</t>
  </si>
  <si>
    <t>Gallup Municipal Airport</t>
  </si>
  <si>
    <t>GUQ</t>
  </si>
  <si>
    <t>SVGU</t>
  </si>
  <si>
    <t>Guanare Airport</t>
  </si>
  <si>
    <t>GUR</t>
  </si>
  <si>
    <t>AYGN</t>
  </si>
  <si>
    <t>Gurney Airport</t>
  </si>
  <si>
    <t>GUS</t>
  </si>
  <si>
    <t>KGUS</t>
  </si>
  <si>
    <t>Grissom ARB</t>
  </si>
  <si>
    <t>GUT</t>
  </si>
  <si>
    <t>ETUO</t>
  </si>
  <si>
    <t>Gütersloh Airport</t>
  </si>
  <si>
    <t>GUU</t>
  </si>
  <si>
    <t>BIGF</t>
  </si>
  <si>
    <t>Grundarfjörður Airport</t>
  </si>
  <si>
    <t>GUW</t>
  </si>
  <si>
    <t>UATG</t>
  </si>
  <si>
    <t>Atyrau Airport</t>
  </si>
  <si>
    <t>GUX</t>
  </si>
  <si>
    <t>VAGN</t>
  </si>
  <si>
    <t>Guna Airport</t>
  </si>
  <si>
    <t>GUY</t>
  </si>
  <si>
    <t>KGUY</t>
  </si>
  <si>
    <t>Guymon Municipal Airport</t>
  </si>
  <si>
    <t>GVA</t>
  </si>
  <si>
    <t>LSGG</t>
  </si>
  <si>
    <t>Geneva Airport</t>
  </si>
  <si>
    <t>GVE</t>
  </si>
  <si>
    <t>KGVE</t>
  </si>
  <si>
    <t>Gordonsville Municipal Airport</t>
  </si>
  <si>
    <t>GVL</t>
  </si>
  <si>
    <t>KGVL</t>
  </si>
  <si>
    <t>Lee Gilmer Memorial Airport</t>
  </si>
  <si>
    <t>GVP</t>
  </si>
  <si>
    <t>YGNV</t>
  </si>
  <si>
    <t>Greenvale Airport</t>
  </si>
  <si>
    <t>GVQ</t>
  </si>
  <si>
    <t>KGVQ</t>
  </si>
  <si>
    <t>Genesee County Airport</t>
  </si>
  <si>
    <t>GVR</t>
  </si>
  <si>
    <t>SBGV</t>
  </si>
  <si>
    <t>Governador Valadares Airport</t>
  </si>
  <si>
    <t>SNGV</t>
  </si>
  <si>
    <t>Aeroporto Coronel Altino Machado</t>
  </si>
  <si>
    <t>GVT</t>
  </si>
  <si>
    <t>KGVT</t>
  </si>
  <si>
    <t>Majors Airport (Texas)</t>
  </si>
  <si>
    <t>GVX</t>
  </si>
  <si>
    <t>ESSK</t>
  </si>
  <si>
    <t>Gävle Sandviken Airport</t>
  </si>
  <si>
    <t>GWA</t>
  </si>
  <si>
    <t>VYGW</t>
  </si>
  <si>
    <t>Gwa Airport</t>
  </si>
  <si>
    <t>GWD</t>
  </si>
  <si>
    <t>OPGD</t>
  </si>
  <si>
    <t>Gwadar International Airport</t>
  </si>
  <si>
    <t>GWE</t>
  </si>
  <si>
    <t>FVTL</t>
  </si>
  <si>
    <t>Thornhill Air Base</t>
  </si>
  <si>
    <t>GWL</t>
  </si>
  <si>
    <t>VIGR</t>
  </si>
  <si>
    <t>Gwalior Airport</t>
  </si>
  <si>
    <t>GWO</t>
  </si>
  <si>
    <t>KGWO</t>
  </si>
  <si>
    <t>Greenwood-Leflore Airport</t>
  </si>
  <si>
    <t>GWR</t>
  </si>
  <si>
    <t>KGWR</t>
  </si>
  <si>
    <t>Gwinner Airport (Roger Melroe Field)? Gwinner, North Dakota,</t>
  </si>
  <si>
    <t>GWS</t>
  </si>
  <si>
    <t>KGWS</t>
  </si>
  <si>
    <t>Glenwood Springs Municipal Airport</t>
  </si>
  <si>
    <t>GWT</t>
  </si>
  <si>
    <t>EDXW</t>
  </si>
  <si>
    <t>Sylt Airport</t>
  </si>
  <si>
    <t>GWW</t>
  </si>
  <si>
    <t>KGWW</t>
  </si>
  <si>
    <t>Goldsboro-Wayne Municipal Airport</t>
  </si>
  <si>
    <t>GWY</t>
  </si>
  <si>
    <t>EICM</t>
  </si>
  <si>
    <t>Galway Airport</t>
  </si>
  <si>
    <t>GXF</t>
  </si>
  <si>
    <t>OYSY</t>
  </si>
  <si>
    <t>Seiyun Airport</t>
  </si>
  <si>
    <t>GXG</t>
  </si>
  <si>
    <t>FNNG</t>
  </si>
  <si>
    <t>Negage Airport</t>
  </si>
  <si>
    <t>GXQ</t>
  </si>
  <si>
    <t>SCCY</t>
  </si>
  <si>
    <t>Teniente Vidal Airport</t>
  </si>
  <si>
    <t>GXX</t>
  </si>
  <si>
    <t>FKKJ</t>
  </si>
  <si>
    <t>Yagoua Airport</t>
  </si>
  <si>
    <t>GXY</t>
  </si>
  <si>
    <t>KGXY</t>
  </si>
  <si>
    <t>Greeley-Weld County Airport</t>
  </si>
  <si>
    <t>GYA</t>
  </si>
  <si>
    <t>SLGY</t>
  </si>
  <si>
    <t>Guayaramerín Airport</t>
  </si>
  <si>
    <t>GYB</t>
  </si>
  <si>
    <t>KGYB</t>
  </si>
  <si>
    <t>Giddings-Lee County Airport</t>
  </si>
  <si>
    <t>GYD</t>
  </si>
  <si>
    <t>UBBB</t>
  </si>
  <si>
    <t>Heydar Aliyev International Airport</t>
  </si>
  <si>
    <t>GYE</t>
  </si>
  <si>
    <t>SEGU</t>
  </si>
  <si>
    <t>José Joaquín de Olmedo International Airport</t>
  </si>
  <si>
    <t>GYH</t>
  </si>
  <si>
    <t>KGYH</t>
  </si>
  <si>
    <t>Donaldson Center Airport</t>
  </si>
  <si>
    <t>GYI</t>
  </si>
  <si>
    <t>KGYI</t>
  </si>
  <si>
    <t>Grayson County Airport</t>
  </si>
  <si>
    <t>GYL</t>
  </si>
  <si>
    <t>YARG</t>
  </si>
  <si>
    <t>Argyle Airport</t>
  </si>
  <si>
    <t>KGYL</t>
  </si>
  <si>
    <t>Glencoe Municipal Airport</t>
  </si>
  <si>
    <t>GYM</t>
  </si>
  <si>
    <t>MMGM</t>
  </si>
  <si>
    <t>General José María Yáñez International Airport</t>
  </si>
  <si>
    <t>GYN</t>
  </si>
  <si>
    <t>SBGO</t>
  </si>
  <si>
    <t>Santa Genoveva Airport</t>
  </si>
  <si>
    <t>GYP</t>
  </si>
  <si>
    <t>YGYM</t>
  </si>
  <si>
    <t>Gympie Airport</t>
  </si>
  <si>
    <t>GYR</t>
  </si>
  <si>
    <t>KGYR</t>
  </si>
  <si>
    <t>Phoenix Goodyear Airport</t>
  </si>
  <si>
    <t>GYS</t>
  </si>
  <si>
    <t>ZUGU</t>
  </si>
  <si>
    <t>Guangyuan Airport</t>
  </si>
  <si>
    <t>GYU</t>
  </si>
  <si>
    <t>ZLGY</t>
  </si>
  <si>
    <t>Guyuan Liupanshan Airport</t>
  </si>
  <si>
    <t>GYY</t>
  </si>
  <si>
    <t>KGYY</t>
  </si>
  <si>
    <t>Gary/Chicago International Airport</t>
  </si>
  <si>
    <t>GZH</t>
  </si>
  <si>
    <t>KGZH</t>
  </si>
  <si>
    <t>Middleton Field</t>
  </si>
  <si>
    <t>GZM</t>
  </si>
  <si>
    <t>LMMG</t>
  </si>
  <si>
    <t>Xewkija Heliport</t>
  </si>
  <si>
    <t>GZO</t>
  </si>
  <si>
    <t>AGGN</t>
  </si>
  <si>
    <t>Nusatupe Airport</t>
  </si>
  <si>
    <t>GZP</t>
  </si>
  <si>
    <t>LTFG</t>
  </si>
  <si>
    <t>GazipaÅŸa Airport</t>
  </si>
  <si>
    <t>GZS</t>
  </si>
  <si>
    <t>KGZS</t>
  </si>
  <si>
    <t>Abernathy Field</t>
  </si>
  <si>
    <t>GZT</t>
  </si>
  <si>
    <t>LTAJ</t>
  </si>
  <si>
    <t>Oğuzeli Airport</t>
  </si>
  <si>
    <t>HAA</t>
  </si>
  <si>
    <t>ENHK</t>
  </si>
  <si>
    <t>Hasvik Airport</t>
  </si>
  <si>
    <t>HAB</t>
  </si>
  <si>
    <t>KHAB</t>
  </si>
  <si>
    <t>Marion County - Rankin Fite Airport</t>
  </si>
  <si>
    <t>HAC</t>
  </si>
  <si>
    <t>RJTH</t>
  </si>
  <si>
    <t>Hachijojima Airport</t>
  </si>
  <si>
    <t>HAD</t>
  </si>
  <si>
    <t>ESMT</t>
  </si>
  <si>
    <t>Halmstad Airport</t>
  </si>
  <si>
    <t>HAF</t>
  </si>
  <si>
    <t>KHAF</t>
  </si>
  <si>
    <t>Half Moon Bay Airport</t>
  </si>
  <si>
    <t>HAH</t>
  </si>
  <si>
    <t>FMCH</t>
  </si>
  <si>
    <t>Prince Said Ibrahim International Airport</t>
  </si>
  <si>
    <t>HAI</t>
  </si>
  <si>
    <t>KHAI</t>
  </si>
  <si>
    <t>Three Rivers Municipal Airport (Dr. Haines Flying Field)</t>
  </si>
  <si>
    <t>HAJ</t>
  </si>
  <si>
    <t>EDDV</t>
  </si>
  <si>
    <t>Hanover/Langenhagen International Airport</t>
  </si>
  <si>
    <t>HAK</t>
  </si>
  <si>
    <t>ZJHK</t>
  </si>
  <si>
    <t>Haikou Meilan International Airport</t>
  </si>
  <si>
    <t>HAL</t>
  </si>
  <si>
    <t>FYHI</t>
  </si>
  <si>
    <t>Halali Airport</t>
  </si>
  <si>
    <t>HAM</t>
  </si>
  <si>
    <t>EDDH</t>
  </si>
  <si>
    <t>Hamburg Airport</t>
  </si>
  <si>
    <t>HAN</t>
  </si>
  <si>
    <t>VVNB</t>
  </si>
  <si>
    <t>Noi Bai International Airport</t>
  </si>
  <si>
    <t>HAO</t>
  </si>
  <si>
    <t>KHAO</t>
  </si>
  <si>
    <t>Butler County Regional Airport</t>
  </si>
  <si>
    <t>HAQ</t>
  </si>
  <si>
    <t>VRMH</t>
  </si>
  <si>
    <t>Hanimaadhoo Airport</t>
  </si>
  <si>
    <t>HAS</t>
  </si>
  <si>
    <t>OEHL</t>
  </si>
  <si>
    <t>Ha'il Regional Airport</t>
  </si>
  <si>
    <t>HAU</t>
  </si>
  <si>
    <t>ENHD</t>
  </si>
  <si>
    <t>Haugesund Airport, Karmøy</t>
  </si>
  <si>
    <t>HAV</t>
  </si>
  <si>
    <t>MUHA</t>
  </si>
  <si>
    <t>José Martí International Airport</t>
  </si>
  <si>
    <t>HAW</t>
  </si>
  <si>
    <t>EGFE</t>
  </si>
  <si>
    <t>Haverfordwest Aerodrome</t>
  </si>
  <si>
    <t>HAX</t>
  </si>
  <si>
    <t>KHAX</t>
  </si>
  <si>
    <t>Hatbox Field</t>
  </si>
  <si>
    <t>HBA</t>
  </si>
  <si>
    <t>YMHB</t>
  </si>
  <si>
    <t>Hobart International Airport</t>
  </si>
  <si>
    <t>HBE</t>
  </si>
  <si>
    <t>HEBA</t>
  </si>
  <si>
    <t>Borg El Arab Airport</t>
  </si>
  <si>
    <t>HBG</t>
  </si>
  <si>
    <t>KHBG</t>
  </si>
  <si>
    <t>Bobby L. Chain Municipal Airport</t>
  </si>
  <si>
    <t>HBK</t>
  </si>
  <si>
    <t>KP14</t>
  </si>
  <si>
    <t>Holbrook Municipal Airport</t>
  </si>
  <si>
    <t>HBR</t>
  </si>
  <si>
    <t>KHBR</t>
  </si>
  <si>
    <t>Hobart Municipal Airport</t>
  </si>
  <si>
    <t>HBT</t>
  </si>
  <si>
    <t>OEKK</t>
  </si>
  <si>
    <t>Hafar Al-Batin Domestic Airport</t>
  </si>
  <si>
    <t>HBU</t>
  </si>
  <si>
    <t>ZMBS</t>
  </si>
  <si>
    <t>Bulgan Sum Airport</t>
  </si>
  <si>
    <t>HBX</t>
  </si>
  <si>
    <t>VAHB</t>
  </si>
  <si>
    <t>Hubli Airport</t>
  </si>
  <si>
    <t>HCA</t>
  </si>
  <si>
    <t>PAHC</t>
  </si>
  <si>
    <t>Holy Cross Airport</t>
  </si>
  <si>
    <t>HCD</t>
  </si>
  <si>
    <t>KHCD</t>
  </si>
  <si>
    <t>Hutchinson Municipal Airport (Butler Field)</t>
  </si>
  <si>
    <t>HCM</t>
  </si>
  <si>
    <t>HCME</t>
  </si>
  <si>
    <t>Eil Airport</t>
  </si>
  <si>
    <t>HCN</t>
  </si>
  <si>
    <t>RCKW</t>
  </si>
  <si>
    <t>Hengchun Airport</t>
  </si>
  <si>
    <t>HCO</t>
  </si>
  <si>
    <t>KHCO</t>
  </si>
  <si>
    <t>Hallock Municipal Airport</t>
  </si>
  <si>
    <t>HCQ</t>
  </si>
  <si>
    <t>YHLC</t>
  </si>
  <si>
    <t>Halls Creek Airport</t>
  </si>
  <si>
    <t>HCR</t>
  </si>
  <si>
    <t>HDB</t>
  </si>
  <si>
    <t>EDIU</t>
  </si>
  <si>
    <t>Heidelberg Airport</t>
  </si>
  <si>
    <t>HDC</t>
  </si>
  <si>
    <t>KHDC</t>
  </si>
  <si>
    <t>Hammond Northshore Regional Airport</t>
  </si>
  <si>
    <t>HDD</t>
  </si>
  <si>
    <t>OPKD</t>
  </si>
  <si>
    <t>Hyderabad Airport</t>
  </si>
  <si>
    <t>HDE</t>
  </si>
  <si>
    <t>KHDE</t>
  </si>
  <si>
    <t>Brewster Field</t>
  </si>
  <si>
    <t>HDF</t>
  </si>
  <si>
    <t>EDAH</t>
  </si>
  <si>
    <t>Heringsdorf Airport</t>
  </si>
  <si>
    <t>HDG</t>
  </si>
  <si>
    <t>ZBHD</t>
  </si>
  <si>
    <t>Handan Airport</t>
  </si>
  <si>
    <t>HDH</t>
  </si>
  <si>
    <t>PHDH</t>
  </si>
  <si>
    <t>Dillingham Airfield</t>
  </si>
  <si>
    <t>HDI</t>
  </si>
  <si>
    <t>KHDI</t>
  </si>
  <si>
    <t>Hardwick Field</t>
  </si>
  <si>
    <t>HDM</t>
  </si>
  <si>
    <t>OIHH</t>
  </si>
  <si>
    <t>Hamadan Airport</t>
  </si>
  <si>
    <t>HDN</t>
  </si>
  <si>
    <t>KHDN</t>
  </si>
  <si>
    <t>Yampa Valley Airport</t>
  </si>
  <si>
    <t>HDO</t>
  </si>
  <si>
    <t>KHDO</t>
  </si>
  <si>
    <t>Hondo Municipal Airport</t>
  </si>
  <si>
    <t>HDR</t>
  </si>
  <si>
    <t>OIKP</t>
  </si>
  <si>
    <t>Havadarya Airport</t>
  </si>
  <si>
    <t>HDS</t>
  </si>
  <si>
    <t>FAHS</t>
  </si>
  <si>
    <t>Hoedspruit Air Force Base Airport</t>
  </si>
  <si>
    <t>HDY</t>
  </si>
  <si>
    <t>VTSS</t>
  </si>
  <si>
    <t>Hat Yai International Airport</t>
  </si>
  <si>
    <t>OAHR</t>
  </si>
  <si>
    <t>Herat Airport</t>
  </si>
  <si>
    <t>HEE</t>
  </si>
  <si>
    <t>KHEE</t>
  </si>
  <si>
    <t>Thompson-Robbins Airport</t>
  </si>
  <si>
    <t>HEH</t>
  </si>
  <si>
    <t>VYHH</t>
  </si>
  <si>
    <t>Heho Airport</t>
  </si>
  <si>
    <t>HEI</t>
  </si>
  <si>
    <t>EDXB</t>
  </si>
  <si>
    <t>Heide-Büsum Airport</t>
  </si>
  <si>
    <t>KHEI</t>
  </si>
  <si>
    <t>Hettinger Municipal Airport</t>
  </si>
  <si>
    <t>HEK</t>
  </si>
  <si>
    <t>ZYHE</t>
  </si>
  <si>
    <t>Heihe Airport</t>
  </si>
  <si>
    <t>HEL</t>
  </si>
  <si>
    <t>EFHK</t>
  </si>
  <si>
    <t>Helsinki-Vantaa Airport</t>
  </si>
  <si>
    <t>HEM</t>
  </si>
  <si>
    <t>EFHF</t>
  </si>
  <si>
    <t>Helsinki-Malmi Airport</t>
  </si>
  <si>
    <t>HEQ</t>
  </si>
  <si>
    <t>KHEQ</t>
  </si>
  <si>
    <t>Holyoke Airport</t>
  </si>
  <si>
    <t>HER</t>
  </si>
  <si>
    <t>LGIR</t>
  </si>
  <si>
    <t>Nikos Kazantzakis International Airport</t>
  </si>
  <si>
    <t>HES</t>
  </si>
  <si>
    <t>KHRI</t>
  </si>
  <si>
    <t>Hermiston Municipal Airport, Hermiston, Oregon, United State</t>
  </si>
  <si>
    <t>HET</t>
  </si>
  <si>
    <t>ZBHH</t>
  </si>
  <si>
    <t>Baita International Airport</t>
  </si>
  <si>
    <t>HEV</t>
  </si>
  <si>
    <t>LEMF</t>
  </si>
  <si>
    <t>Mafé - Gibraleón Airport</t>
  </si>
  <si>
    <t>HEW</t>
  </si>
  <si>
    <t>LGAT</t>
  </si>
  <si>
    <t>Athen Helenikon Airport</t>
  </si>
  <si>
    <t>HEZ</t>
  </si>
  <si>
    <t>KHEZ</t>
  </si>
  <si>
    <t>Natchez-Adams County Airport (Hardy-Anders Field)</t>
  </si>
  <si>
    <t>HFA</t>
  </si>
  <si>
    <t>LLHA</t>
  </si>
  <si>
    <t>Haifa Airport</t>
  </si>
  <si>
    <t>HFD</t>
  </si>
  <si>
    <t>KHFD</t>
  </si>
  <si>
    <t>Hartford-Brainard Airport</t>
  </si>
  <si>
    <t>HFE</t>
  </si>
  <si>
    <t>ZSOF</t>
  </si>
  <si>
    <t>Hefei Luogang International Airport</t>
  </si>
  <si>
    <t>HFF</t>
  </si>
  <si>
    <t>KHFF</t>
  </si>
  <si>
    <t>Mackall Army Airfield</t>
  </si>
  <si>
    <t>HFN</t>
  </si>
  <si>
    <t>BIHN</t>
  </si>
  <si>
    <t>Hornafjordur Airport</t>
  </si>
  <si>
    <t>HFS</t>
  </si>
  <si>
    <t>ESOH</t>
  </si>
  <si>
    <t>Hagfors Airport</t>
  </si>
  <si>
    <t>HFT</t>
  </si>
  <si>
    <t>ENHF</t>
  </si>
  <si>
    <t>Hammerfest Airport</t>
  </si>
  <si>
    <t>HFY</t>
  </si>
  <si>
    <t>KHFY</t>
  </si>
  <si>
    <t>Greenwood Municipal Airport</t>
  </si>
  <si>
    <t>HGA</t>
  </si>
  <si>
    <t>HCMH</t>
  </si>
  <si>
    <t>Egal International Airport</t>
  </si>
  <si>
    <t>HGD</t>
  </si>
  <si>
    <t>YHUG</t>
  </si>
  <si>
    <t>Hughenden Airport</t>
  </si>
  <si>
    <t>HGH</t>
  </si>
  <si>
    <t>ZSHC</t>
  </si>
  <si>
    <t>Hangzhou Xiaoshan International Airport</t>
  </si>
  <si>
    <t>HGL</t>
  </si>
  <si>
    <t>EDXH</t>
  </si>
  <si>
    <t>Helgoland-Düne Airport</t>
  </si>
  <si>
    <t>HGN</t>
  </si>
  <si>
    <t>VTCH</t>
  </si>
  <si>
    <t>Mae Hong Son Airport</t>
  </si>
  <si>
    <t>HGO</t>
  </si>
  <si>
    <t>DIKO</t>
  </si>
  <si>
    <t>Korhogo Airport</t>
  </si>
  <si>
    <t>HGR</t>
  </si>
  <si>
    <t>KHGR</t>
  </si>
  <si>
    <t>Hagerstown Regional Airport (Richard A. Henson Field)</t>
  </si>
  <si>
    <t>HGU</t>
  </si>
  <si>
    <t>AYMH</t>
  </si>
  <si>
    <t>Mount Hagen Airport</t>
  </si>
  <si>
    <t>HHE</t>
  </si>
  <si>
    <t>RJSH</t>
  </si>
  <si>
    <t>Hachinohe Air Base</t>
  </si>
  <si>
    <t>HHF</t>
  </si>
  <si>
    <t>KHHF</t>
  </si>
  <si>
    <t>Hemphill County Airport</t>
  </si>
  <si>
    <t>HHG</t>
  </si>
  <si>
    <t>KHHG</t>
  </si>
  <si>
    <t>Huntington Municipal Airport</t>
  </si>
  <si>
    <t>HHI</t>
  </si>
  <si>
    <t>PHHI</t>
  </si>
  <si>
    <t>Wheeler Army Airfield</t>
  </si>
  <si>
    <t>HHN</t>
  </si>
  <si>
    <t>EDFH</t>
  </si>
  <si>
    <t>Frankfurt-Hahn Airport</t>
  </si>
  <si>
    <t>HHQ</t>
  </si>
  <si>
    <t>VTPH</t>
  </si>
  <si>
    <t>Hua Hin Airport</t>
  </si>
  <si>
    <t>HHR</t>
  </si>
  <si>
    <t>KHHR</t>
  </si>
  <si>
    <t>Hawthorne Municipal Airport</t>
  </si>
  <si>
    <t>HHW</t>
  </si>
  <si>
    <t>KHHW</t>
  </si>
  <si>
    <t>Stan Stamper Municipal Airport</t>
  </si>
  <si>
    <t>HHZ</t>
  </si>
  <si>
    <t>NTGH</t>
  </si>
  <si>
    <t>Hikueru Atoll Airport</t>
  </si>
  <si>
    <t>HIA</t>
  </si>
  <si>
    <t>ZSSH</t>
  </si>
  <si>
    <t>Lianshui Airport</t>
  </si>
  <si>
    <t>HIB</t>
  </si>
  <si>
    <t>KHIB</t>
  </si>
  <si>
    <t>Chisholm-Hibbing Airport</t>
  </si>
  <si>
    <t>HID</t>
  </si>
  <si>
    <t>YHID</t>
  </si>
  <si>
    <t>Horn Island Airport</t>
  </si>
  <si>
    <t>HIE</t>
  </si>
  <si>
    <t>KHIE</t>
  </si>
  <si>
    <t>Mount Washington Regional Airport</t>
  </si>
  <si>
    <t>HIF</t>
  </si>
  <si>
    <t>KHIF</t>
  </si>
  <si>
    <t>Hill Air Force Base</t>
  </si>
  <si>
    <t>HIG</t>
  </si>
  <si>
    <t>KHIG</t>
  </si>
  <si>
    <t>Higginsville Industrial Municipal Airport</t>
  </si>
  <si>
    <t>HII</t>
  </si>
  <si>
    <t>KHII</t>
  </si>
  <si>
    <t>Lake Havasu City Airport</t>
  </si>
  <si>
    <t>HIJ</t>
  </si>
  <si>
    <t>RJOA</t>
  </si>
  <si>
    <t>Hiroshima Airport</t>
  </si>
  <si>
    <t>HIL</t>
  </si>
  <si>
    <t>Shilavo Airport</t>
  </si>
  <si>
    <t>HIN</t>
  </si>
  <si>
    <t>RKPS</t>
  </si>
  <si>
    <t>Sacheon Airport</t>
  </si>
  <si>
    <t>HIO</t>
  </si>
  <si>
    <t>KHIO</t>
  </si>
  <si>
    <t>Portland-Hillsboro Airport</t>
  </si>
  <si>
    <t>HIP</t>
  </si>
  <si>
    <t>YHDY</t>
  </si>
  <si>
    <t>Headingly Airport</t>
  </si>
  <si>
    <t>HIR</t>
  </si>
  <si>
    <t>AGGH</t>
  </si>
  <si>
    <t>Honiara International Airport</t>
  </si>
  <si>
    <t>HIW</t>
  </si>
  <si>
    <t>RJBH</t>
  </si>
  <si>
    <t>Hiroshima-Nishi Airport</t>
  </si>
  <si>
    <t>HJH</t>
  </si>
  <si>
    <t>KHJH</t>
  </si>
  <si>
    <t>Hebron Municipal Airport</t>
  </si>
  <si>
    <t>HJJ</t>
  </si>
  <si>
    <t>ZGCJ</t>
  </si>
  <si>
    <t>Zhijiang Airport</t>
  </si>
  <si>
    <t>HJO</t>
  </si>
  <si>
    <t>KHJO</t>
  </si>
  <si>
    <t>Hanford Municipal Airport</t>
  </si>
  <si>
    <t>HJR</t>
  </si>
  <si>
    <t>VAKJ</t>
  </si>
  <si>
    <t>Khajuraho Airport</t>
  </si>
  <si>
    <t>HJT</t>
  </si>
  <si>
    <t>ZMHU</t>
  </si>
  <si>
    <t>Khujirt Airport</t>
  </si>
  <si>
    <t>HKA</t>
  </si>
  <si>
    <t>KHKA</t>
  </si>
  <si>
    <t>Blytheville Municipal Airport</t>
  </si>
  <si>
    <t>HKD</t>
  </si>
  <si>
    <t>RJCH</t>
  </si>
  <si>
    <t>Hakodate Airport</t>
  </si>
  <si>
    <t>HKG</t>
  </si>
  <si>
    <t>VHHH</t>
  </si>
  <si>
    <t>Hong Kong International Airport</t>
  </si>
  <si>
    <t>HKK</t>
  </si>
  <si>
    <t>NZHK</t>
  </si>
  <si>
    <t>Hokitika Airport</t>
  </si>
  <si>
    <t>HKN</t>
  </si>
  <si>
    <t>AYHK</t>
  </si>
  <si>
    <t>Kimbe Airport</t>
  </si>
  <si>
    <t>HKS</t>
  </si>
  <si>
    <t>KHKS</t>
  </si>
  <si>
    <t>Hawkins Field</t>
  </si>
  <si>
    <t>HKT</t>
  </si>
  <si>
    <t>VTSP</t>
  </si>
  <si>
    <t>Phuket International Airport</t>
  </si>
  <si>
    <t>HKY</t>
  </si>
  <si>
    <t>KHKY</t>
  </si>
  <si>
    <t>Hickory Regional Airport</t>
  </si>
  <si>
    <t>HLA</t>
  </si>
  <si>
    <t>FALA</t>
  </si>
  <si>
    <t>Lanseria Airport</t>
  </si>
  <si>
    <t>HLB</t>
  </si>
  <si>
    <t>KHLB</t>
  </si>
  <si>
    <t>Hillenbrand Industries Airport</t>
  </si>
  <si>
    <t>HLC</t>
  </si>
  <si>
    <t>KHLC</t>
  </si>
  <si>
    <t>Hill City Municipal Airport</t>
  </si>
  <si>
    <t>HLD</t>
  </si>
  <si>
    <t>ZBLA</t>
  </si>
  <si>
    <t>Hailar Dongshan Airport</t>
  </si>
  <si>
    <t>HLF</t>
  </si>
  <si>
    <t>ESSF</t>
  </si>
  <si>
    <t>Hultsfred Airport</t>
  </si>
  <si>
    <t>HLG</t>
  </si>
  <si>
    <t>KHLG</t>
  </si>
  <si>
    <t>Wheeling Ohio County Airport</t>
  </si>
  <si>
    <t>HLH</t>
  </si>
  <si>
    <t>ZBUL</t>
  </si>
  <si>
    <t>Ulanhot Airport</t>
  </si>
  <si>
    <t>HLJ</t>
  </si>
  <si>
    <t>EYSB</t>
  </si>
  <si>
    <t>Barysiai Airport</t>
  </si>
  <si>
    <t>HLM</t>
  </si>
  <si>
    <t>KHLM</t>
  </si>
  <si>
    <t>Park Township Airport</t>
  </si>
  <si>
    <t>HLN</t>
  </si>
  <si>
    <t>KHLN</t>
  </si>
  <si>
    <t>Helena Regional Airport</t>
  </si>
  <si>
    <t>HLO</t>
  </si>
  <si>
    <t>BIID</t>
  </si>
  <si>
    <t>Ingjaldssanður Airport</t>
  </si>
  <si>
    <t>HLP</t>
  </si>
  <si>
    <t>WIHH</t>
  </si>
  <si>
    <t>Halim Perdanakusuma International Airport</t>
  </si>
  <si>
    <t>WIIH</t>
  </si>
  <si>
    <t>HLR</t>
  </si>
  <si>
    <t>KHLR</t>
  </si>
  <si>
    <t>Hood Army Airfield</t>
  </si>
  <si>
    <t>HLS</t>
  </si>
  <si>
    <t>YSTH</t>
  </si>
  <si>
    <t>St Helens Airport</t>
  </si>
  <si>
    <t>HLT</t>
  </si>
  <si>
    <t>YHML</t>
  </si>
  <si>
    <t>Hamilton Airport</t>
  </si>
  <si>
    <t>HLU</t>
  </si>
  <si>
    <t>NWWH</t>
  </si>
  <si>
    <t>Nesson Airport</t>
  </si>
  <si>
    <t>HLW</t>
  </si>
  <si>
    <t>FAHL</t>
  </si>
  <si>
    <t>Hluhluwe Airport</t>
  </si>
  <si>
    <t>HLX</t>
  </si>
  <si>
    <t>KHLX</t>
  </si>
  <si>
    <t>Twin County Airport</t>
  </si>
  <si>
    <t>HLY</t>
  </si>
  <si>
    <t>EGOV</t>
  </si>
  <si>
    <t>Anglesey Airport (Maes Awyr Môn) or RAF Valley</t>
  </si>
  <si>
    <t>HLZ</t>
  </si>
  <si>
    <t>NZHN</t>
  </si>
  <si>
    <t>Hamilton International Airport</t>
  </si>
  <si>
    <t>HMA</t>
  </si>
  <si>
    <t>USHH</t>
  </si>
  <si>
    <t>Khanty-Mansiysk Airport</t>
  </si>
  <si>
    <t>HMB</t>
  </si>
  <si>
    <t>HEMK</t>
  </si>
  <si>
    <t>Sohag International Airport</t>
  </si>
  <si>
    <t>HME</t>
  </si>
  <si>
    <t>DAUH</t>
  </si>
  <si>
    <t>Oued Irara Airport</t>
  </si>
  <si>
    <t>HMG</t>
  </si>
  <si>
    <t>YHMB</t>
  </si>
  <si>
    <t>Hermannsburg Airport</t>
  </si>
  <si>
    <t>HMI</t>
  </si>
  <si>
    <t>ZWHM</t>
  </si>
  <si>
    <t>Hami Airport</t>
  </si>
  <si>
    <t>HMJ</t>
  </si>
  <si>
    <t>UKLH</t>
  </si>
  <si>
    <t>Khmelnytskyi Airport</t>
  </si>
  <si>
    <t>HMN</t>
  </si>
  <si>
    <t>KHMN</t>
  </si>
  <si>
    <t>Holloman Air Force Base</t>
  </si>
  <si>
    <t>HMO</t>
  </si>
  <si>
    <t>MMHO</t>
  </si>
  <si>
    <t>General Ignacio Pesqueira Garcia International Airport</t>
  </si>
  <si>
    <t>HMR</t>
  </si>
  <si>
    <t>ENHA</t>
  </si>
  <si>
    <t>Hamar Airport, Stafsberg</t>
  </si>
  <si>
    <t>HMT</t>
  </si>
  <si>
    <t>KHMT</t>
  </si>
  <si>
    <t>Hemet-Ryan Airport</t>
  </si>
  <si>
    <t>HMV</t>
  </si>
  <si>
    <t>ESUT</t>
  </si>
  <si>
    <t>Hemavan Airport</t>
  </si>
  <si>
    <t>HMZ</t>
  </si>
  <si>
    <t>KHMZ</t>
  </si>
  <si>
    <t>Bedford County Airport</t>
  </si>
  <si>
    <t>HNA</t>
  </si>
  <si>
    <t>RJSI</t>
  </si>
  <si>
    <t>Hanamaki Airport</t>
  </si>
  <si>
    <t>HNB</t>
  </si>
  <si>
    <t>KHNB</t>
  </si>
  <si>
    <t>Huntingburg Airport</t>
  </si>
  <si>
    <t>HND</t>
  </si>
  <si>
    <t>RJTT</t>
  </si>
  <si>
    <t>Tokyo International Airport</t>
  </si>
  <si>
    <t>HNE</t>
  </si>
  <si>
    <t>PAHE</t>
  </si>
  <si>
    <t>Tahneta Pass Airport</t>
  </si>
  <si>
    <t>HNH</t>
  </si>
  <si>
    <t>PAOH</t>
  </si>
  <si>
    <t>Hoonah Airport</t>
  </si>
  <si>
    <t>HNL</t>
  </si>
  <si>
    <t>PHNL</t>
  </si>
  <si>
    <t>Daniel K. Inouye International Airport</t>
  </si>
  <si>
    <t>HNM</t>
  </si>
  <si>
    <t>PHHN</t>
  </si>
  <si>
    <t>Hana Airport</t>
  </si>
  <si>
    <t>HNR</t>
  </si>
  <si>
    <t>KHNR</t>
  </si>
  <si>
    <t>Harlan Municipal Airport</t>
  </si>
  <si>
    <t>HNS</t>
  </si>
  <si>
    <t>PAHN</t>
  </si>
  <si>
    <t>Haines Airport</t>
  </si>
  <si>
    <t>HNY</t>
  </si>
  <si>
    <t>ZGHY</t>
  </si>
  <si>
    <t>Hengyang Airport</t>
  </si>
  <si>
    <t>HNZ</t>
  </si>
  <si>
    <t>KHNZ</t>
  </si>
  <si>
    <t>Henderson-Oxford Airport</t>
  </si>
  <si>
    <t>HOA</t>
  </si>
  <si>
    <t>HKHO</t>
  </si>
  <si>
    <t>Hola Airport</t>
  </si>
  <si>
    <t>HOB</t>
  </si>
  <si>
    <t>KHOB</t>
  </si>
  <si>
    <t>Lea County Regional Airport</t>
  </si>
  <si>
    <t>HOC</t>
  </si>
  <si>
    <t>KHOC</t>
  </si>
  <si>
    <t>Highland County Airport</t>
  </si>
  <si>
    <t>HOD</t>
  </si>
  <si>
    <t>OYHD</t>
  </si>
  <si>
    <t>Hodeida International Airport</t>
  </si>
  <si>
    <t>HOE</t>
  </si>
  <si>
    <t>KHOE</t>
  </si>
  <si>
    <t>Homerville Airport</t>
  </si>
  <si>
    <t>HOF</t>
  </si>
  <si>
    <t>OEAH</t>
  </si>
  <si>
    <t>Al Ahsa Airport</t>
  </si>
  <si>
    <t>HOG</t>
  </si>
  <si>
    <t>MUHG</t>
  </si>
  <si>
    <t>Holguin Frank Pais International Airport</t>
  </si>
  <si>
    <t>HOH</t>
  </si>
  <si>
    <t>LOIH</t>
  </si>
  <si>
    <t>Hohenems-Dornbirn Airport</t>
  </si>
  <si>
    <t>HOI</t>
  </si>
  <si>
    <t>NTTO</t>
  </si>
  <si>
    <t>Hao Airport</t>
  </si>
  <si>
    <t>HOK</t>
  </si>
  <si>
    <t>YHOO</t>
  </si>
  <si>
    <t>Hooker Creek Airport</t>
  </si>
  <si>
    <t>HOM</t>
  </si>
  <si>
    <t>PAHO</t>
  </si>
  <si>
    <t>Homer Airport</t>
  </si>
  <si>
    <t>HON</t>
  </si>
  <si>
    <t>KHON</t>
  </si>
  <si>
    <t>Huron Regional Airport</t>
  </si>
  <si>
    <t>HOP</t>
  </si>
  <si>
    <t>KHOP</t>
  </si>
  <si>
    <t>Campbell Army Airfield</t>
  </si>
  <si>
    <t>HOQ</t>
  </si>
  <si>
    <t>EDQM</t>
  </si>
  <si>
    <t>Hof International Airport</t>
  </si>
  <si>
    <t>HOR</t>
  </si>
  <si>
    <t>LPHR</t>
  </si>
  <si>
    <t>Horta Airport</t>
  </si>
  <si>
    <t>HOS</t>
  </si>
  <si>
    <t>SAHC</t>
  </si>
  <si>
    <t>Chos Malal Airport</t>
  </si>
  <si>
    <t>HOT</t>
  </si>
  <si>
    <t>KHOT</t>
  </si>
  <si>
    <t>Hot Springs Memorial Field Airport</t>
  </si>
  <si>
    <t>HOU</t>
  </si>
  <si>
    <t>KHOU</t>
  </si>
  <si>
    <t>William P. Hobby Airport</t>
  </si>
  <si>
    <t>HOV</t>
  </si>
  <si>
    <t>ENOV</t>
  </si>
  <si>
    <t>Ørsta/Volda Airport, Hovden</t>
  </si>
  <si>
    <t>HOX</t>
  </si>
  <si>
    <t>VYHL</t>
  </si>
  <si>
    <t>Hommalinn Airport</t>
  </si>
  <si>
    <t>HPA</t>
  </si>
  <si>
    <t>NFTL</t>
  </si>
  <si>
    <t>Lifuka Island Airport</t>
  </si>
  <si>
    <t>HPB</t>
  </si>
  <si>
    <t>PAHP</t>
  </si>
  <si>
    <t>Hooper Bay Airport</t>
  </si>
  <si>
    <t>HPH</t>
  </si>
  <si>
    <t>VVCI</t>
  </si>
  <si>
    <t>Cat Bi International Airport</t>
  </si>
  <si>
    <t>HPN</t>
  </si>
  <si>
    <t>KHPN</t>
  </si>
  <si>
    <t>Westchester County Airport</t>
  </si>
  <si>
    <t>HPT</t>
  </si>
  <si>
    <t>KHPT</t>
  </si>
  <si>
    <t>Hampton Municipal Airport</t>
  </si>
  <si>
    <t>HPY</t>
  </si>
  <si>
    <t>KHPY</t>
  </si>
  <si>
    <t>Baytown Airport</t>
  </si>
  <si>
    <t>HQG</t>
  </si>
  <si>
    <t>KHQG</t>
  </si>
  <si>
    <t>Hugoton Municipal Airport</t>
  </si>
  <si>
    <t>HQM</t>
  </si>
  <si>
    <t>KHQM</t>
  </si>
  <si>
    <t>Bowerman Airport</t>
  </si>
  <si>
    <t>HQU</t>
  </si>
  <si>
    <t>KHQU</t>
  </si>
  <si>
    <t>Thomson-McDuffie County Airport</t>
  </si>
  <si>
    <t>HQZ</t>
  </si>
  <si>
    <t>KHQZ</t>
  </si>
  <si>
    <t>Mesquite Metro Airport</t>
  </si>
  <si>
    <t>HRB</t>
  </si>
  <si>
    <t>ZYHB</t>
  </si>
  <si>
    <t>Harbin Taiping International Airport</t>
  </si>
  <si>
    <t>HRE</t>
  </si>
  <si>
    <t>FVHA</t>
  </si>
  <si>
    <t>Harare International Airport</t>
  </si>
  <si>
    <t>HRG</t>
  </si>
  <si>
    <t>HEGN</t>
  </si>
  <si>
    <t>Hurghada International Airport</t>
  </si>
  <si>
    <t>HRJ</t>
  </si>
  <si>
    <t>VNCJ</t>
  </si>
  <si>
    <t>Rukum Chaurjahari Airport</t>
  </si>
  <si>
    <t>HRK</t>
  </si>
  <si>
    <t>UKHH</t>
  </si>
  <si>
    <t>Kharkiv Osnova International Airport</t>
  </si>
  <si>
    <t>HRL</t>
  </si>
  <si>
    <t>KHRL</t>
  </si>
  <si>
    <t>Valley International Airport</t>
  </si>
  <si>
    <t>HRM</t>
  </si>
  <si>
    <t>DAFH</t>
  </si>
  <si>
    <t>Hassi R'Mel Airport</t>
  </si>
  <si>
    <t>HRO</t>
  </si>
  <si>
    <t>KHRO</t>
  </si>
  <si>
    <t>Boone County Airport</t>
  </si>
  <si>
    <t>HRR</t>
  </si>
  <si>
    <t>PAHV</t>
  </si>
  <si>
    <t>Healy River Airport</t>
  </si>
  <si>
    <t>HRS</t>
  </si>
  <si>
    <t>FAHR</t>
  </si>
  <si>
    <t>Harrismith Airport</t>
  </si>
  <si>
    <t>HRT</t>
  </si>
  <si>
    <t>EGXU</t>
  </si>
  <si>
    <t>RAF Linton-On-Ouse</t>
  </si>
  <si>
    <t>HRU</t>
  </si>
  <si>
    <t>KHRU</t>
  </si>
  <si>
    <t>Herington Regional Airport</t>
  </si>
  <si>
    <t>HRX</t>
  </si>
  <si>
    <t>KHRX</t>
  </si>
  <si>
    <t>Hereford Municipal Airport</t>
  </si>
  <si>
    <t>HSB</t>
  </si>
  <si>
    <t>KHSB</t>
  </si>
  <si>
    <t>Harrisburg-Raleigh Airport</t>
  </si>
  <si>
    <t>HSD</t>
  </si>
  <si>
    <t>KHSD</t>
  </si>
  <si>
    <t>Sundance Airpark</t>
  </si>
  <si>
    <t>HSE</t>
  </si>
  <si>
    <t>KHSE</t>
  </si>
  <si>
    <t>Billy Mitchell Airport</t>
  </si>
  <si>
    <t>HSG</t>
  </si>
  <si>
    <t>RJFS</t>
  </si>
  <si>
    <t>Saga Airport</t>
  </si>
  <si>
    <t>HSI</t>
  </si>
  <si>
    <t>KHSI</t>
  </si>
  <si>
    <t>Hastings Municipal Airport</t>
  </si>
  <si>
    <t>HSM</t>
  </si>
  <si>
    <t>YHSM</t>
  </si>
  <si>
    <t>Horsham Airport</t>
  </si>
  <si>
    <t>HSN</t>
  </si>
  <si>
    <t>ZSZS</t>
  </si>
  <si>
    <t>Zhoushan Airport</t>
  </si>
  <si>
    <t>HSP</t>
  </si>
  <si>
    <t>KHSP</t>
  </si>
  <si>
    <t>Ingalls Field</t>
  </si>
  <si>
    <t>HSR</t>
  </si>
  <si>
    <t>KHSR</t>
  </si>
  <si>
    <t>Hot Springs Municipal Airport</t>
  </si>
  <si>
    <t>HSS</t>
  </si>
  <si>
    <t>VIHR</t>
  </si>
  <si>
    <t>Hissar Airport</t>
  </si>
  <si>
    <t>HST</t>
  </si>
  <si>
    <t>KHST</t>
  </si>
  <si>
    <t>Homestead Air Reserve Base</t>
  </si>
  <si>
    <t>HSV</t>
  </si>
  <si>
    <t>KHSV</t>
  </si>
  <si>
    <t>Huntsville International Airport</t>
  </si>
  <si>
    <t>HTA</t>
  </si>
  <si>
    <t>UIAA</t>
  </si>
  <si>
    <t>Kadala Airport</t>
  </si>
  <si>
    <t>HTG</t>
  </si>
  <si>
    <t>UOHH</t>
  </si>
  <si>
    <t>Khatanga Airport</t>
  </si>
  <si>
    <t>HTH</t>
  </si>
  <si>
    <t>KHTH</t>
  </si>
  <si>
    <t>Hawthorne Industrial Airport</t>
  </si>
  <si>
    <t>HTI</t>
  </si>
  <si>
    <t>YBHM</t>
  </si>
  <si>
    <t>Hamilton Island</t>
  </si>
  <si>
    <t>HTL</t>
  </si>
  <si>
    <t>KHTL</t>
  </si>
  <si>
    <t>Roscommon County Airport</t>
  </si>
  <si>
    <t>HTN</t>
  </si>
  <si>
    <t>ZWTN</t>
  </si>
  <si>
    <t>Hotan Airport</t>
  </si>
  <si>
    <t>HTO</t>
  </si>
  <si>
    <t>KHTO</t>
  </si>
  <si>
    <t>East Hampton Airport</t>
  </si>
  <si>
    <t>HTR</t>
  </si>
  <si>
    <t>RORH</t>
  </si>
  <si>
    <t>Hateruma Airport</t>
  </si>
  <si>
    <t>HTS</t>
  </si>
  <si>
    <t>KHTS</t>
  </si>
  <si>
    <t>Tri-State Airport (Milton J. Ferguson Field)</t>
  </si>
  <si>
    <t>HTU</t>
  </si>
  <si>
    <t>YHPN</t>
  </si>
  <si>
    <t>Hopetoun Airport</t>
  </si>
  <si>
    <t>HTW</t>
  </si>
  <si>
    <t>KHTW</t>
  </si>
  <si>
    <t>Lawrence County Airpark</t>
  </si>
  <si>
    <t>HTY</t>
  </si>
  <si>
    <t>LTAK</t>
  </si>
  <si>
    <t>Hatay Airport</t>
  </si>
  <si>
    <t>LTDA</t>
  </si>
  <si>
    <t>HTZ</t>
  </si>
  <si>
    <t>SKHC</t>
  </si>
  <si>
    <t>Hato Corozal Airport</t>
  </si>
  <si>
    <t>HUA</t>
  </si>
  <si>
    <t>KHUA</t>
  </si>
  <si>
    <t>Redstone Army Airfield</t>
  </si>
  <si>
    <t>HUB</t>
  </si>
  <si>
    <t>YHBR</t>
  </si>
  <si>
    <t>Humbert River Airport</t>
  </si>
  <si>
    <t>HUE</t>
  </si>
  <si>
    <t>HAHU</t>
  </si>
  <si>
    <t>Humera Airport</t>
  </si>
  <si>
    <t>HUF</t>
  </si>
  <si>
    <t>KHUF</t>
  </si>
  <si>
    <t>Terre Haute International Airport (Hulman Field)</t>
  </si>
  <si>
    <t>HUG</t>
  </si>
  <si>
    <t>MGHT</t>
  </si>
  <si>
    <t>Huehuetenango Airport</t>
  </si>
  <si>
    <t>HUH</t>
  </si>
  <si>
    <t>NTTH</t>
  </si>
  <si>
    <t>Huahine-Fare Airport</t>
  </si>
  <si>
    <t>HUI</t>
  </si>
  <si>
    <t>VVPB</t>
  </si>
  <si>
    <t>Phu Bai International Airport</t>
  </si>
  <si>
    <t>HUL</t>
  </si>
  <si>
    <t>KHUL</t>
  </si>
  <si>
    <t>Houlton International Airport</t>
  </si>
  <si>
    <t>KHUM</t>
  </si>
  <si>
    <t>Houma-Terrebonne Airport</t>
  </si>
  <si>
    <t>HUN</t>
  </si>
  <si>
    <t>RCYU</t>
  </si>
  <si>
    <t>Hualien Airport</t>
  </si>
  <si>
    <t>HUQ</t>
  </si>
  <si>
    <t>HLON</t>
  </si>
  <si>
    <t>Hon Airport</t>
  </si>
  <si>
    <t>HUT</t>
  </si>
  <si>
    <t>KHUT</t>
  </si>
  <si>
    <t>Hutchinson Municipal Airport</t>
  </si>
  <si>
    <t>HUU</t>
  </si>
  <si>
    <t>SPNC</t>
  </si>
  <si>
    <t>Alferez Fap David Figueroa Fernandini Airport</t>
  </si>
  <si>
    <t>HUX</t>
  </si>
  <si>
    <t>MMBT</t>
  </si>
  <si>
    <t>Bahías de Huatulco International Airport</t>
  </si>
  <si>
    <t>HUY</t>
  </si>
  <si>
    <t>EGNJ</t>
  </si>
  <si>
    <t>Humberside Airport</t>
  </si>
  <si>
    <t>HUZ</t>
  </si>
  <si>
    <t>ZGHZ</t>
  </si>
  <si>
    <t>Huizhou Airport</t>
  </si>
  <si>
    <t>HVA</t>
  </si>
  <si>
    <t>FMNL</t>
  </si>
  <si>
    <t>Analalava Airport</t>
  </si>
  <si>
    <t>HVB</t>
  </si>
  <si>
    <t>YHBA</t>
  </si>
  <si>
    <t>Hervey Bay Airport</t>
  </si>
  <si>
    <t>HVC</t>
  </si>
  <si>
    <t>KHVC</t>
  </si>
  <si>
    <t>Hopkinsville-Christian County Airport</t>
  </si>
  <si>
    <t>HVD</t>
  </si>
  <si>
    <t>ZMKD</t>
  </si>
  <si>
    <t>Khovd Airport</t>
  </si>
  <si>
    <t>HVE</t>
  </si>
  <si>
    <t>KHVE</t>
  </si>
  <si>
    <t>Hanksville Airport</t>
  </si>
  <si>
    <t>HVG</t>
  </si>
  <si>
    <t>ENHV</t>
  </si>
  <si>
    <t>Honningsvåg Airport, Valan</t>
  </si>
  <si>
    <t>HVK</t>
  </si>
  <si>
    <t>BIHK</t>
  </si>
  <si>
    <t>Hólmavík Airport</t>
  </si>
  <si>
    <t>HVM</t>
  </si>
  <si>
    <t>BIHV</t>
  </si>
  <si>
    <t>Krókstaðarmelar Airport</t>
  </si>
  <si>
    <t>HVN</t>
  </si>
  <si>
    <t>KHVN</t>
  </si>
  <si>
    <t>Tweed-New Haven Airport</t>
  </si>
  <si>
    <t>HVR</t>
  </si>
  <si>
    <t>KHVR</t>
  </si>
  <si>
    <t>Havre City-County Airport</t>
  </si>
  <si>
    <t>HVS</t>
  </si>
  <si>
    <t>KHVS</t>
  </si>
  <si>
    <t>Hartsville Regional Airport</t>
  </si>
  <si>
    <t>HWD</t>
  </si>
  <si>
    <t>KHWD</t>
  </si>
  <si>
    <t>Hayward Executive Airport</t>
  </si>
  <si>
    <t>HWK</t>
  </si>
  <si>
    <t>YHAW</t>
  </si>
  <si>
    <t>Wilpena Pound Airport</t>
  </si>
  <si>
    <t>HWN</t>
  </si>
  <si>
    <t>FVWN</t>
  </si>
  <si>
    <t>Hwange National Park Airport</t>
  </si>
  <si>
    <t>HWO</t>
  </si>
  <si>
    <t>KHWO</t>
  </si>
  <si>
    <t>North Perry Airport</t>
  </si>
  <si>
    <t>HWQ</t>
  </si>
  <si>
    <t>KHWQ</t>
  </si>
  <si>
    <t>Wheatland County Airport</t>
  </si>
  <si>
    <t>HWV</t>
  </si>
  <si>
    <t>KHWV</t>
  </si>
  <si>
    <t>Brookhaven Airport</t>
  </si>
  <si>
    <t>HXD</t>
  </si>
  <si>
    <t>KHXD</t>
  </si>
  <si>
    <t>Hilton Head Airport</t>
  </si>
  <si>
    <t>HXF</t>
  </si>
  <si>
    <t>KHXF</t>
  </si>
  <si>
    <t>Hartford Municipal Airport</t>
  </si>
  <si>
    <t>HXX</t>
  </si>
  <si>
    <t>YHAY</t>
  </si>
  <si>
    <t>Hay Airport</t>
  </si>
  <si>
    <t>HYA</t>
  </si>
  <si>
    <t>KHYA</t>
  </si>
  <si>
    <t>Cape Cod Gateway Airport</t>
  </si>
  <si>
    <t>HYD</t>
  </si>
  <si>
    <t>VOHS</t>
  </si>
  <si>
    <t>Rajiv Gandhi International Airport</t>
  </si>
  <si>
    <t>HYI</t>
  </si>
  <si>
    <t>KHYI</t>
  </si>
  <si>
    <t>San Marcos Municipal Airport</t>
  </si>
  <si>
    <t>HYN</t>
  </si>
  <si>
    <t>ZSLQ</t>
  </si>
  <si>
    <t>Huangyan Luqiao Airport</t>
  </si>
  <si>
    <t>HYR</t>
  </si>
  <si>
    <t>KHYR</t>
  </si>
  <si>
    <t>Sawyer County Airport</t>
  </si>
  <si>
    <t>HYS</t>
  </si>
  <si>
    <t>KHYS</t>
  </si>
  <si>
    <t>Hays Regional Airport</t>
  </si>
  <si>
    <t>HYV</t>
  </si>
  <si>
    <t>EFHV</t>
  </si>
  <si>
    <t>Hyvinkaa Airport</t>
  </si>
  <si>
    <t>HYW</t>
  </si>
  <si>
    <t>KHYW</t>
  </si>
  <si>
    <t>Conway-Horry County Airport</t>
  </si>
  <si>
    <t>HYX</t>
  </si>
  <si>
    <t>KHYX</t>
  </si>
  <si>
    <t>Saginaw County H.W. Browne Airport</t>
  </si>
  <si>
    <t>HZB</t>
  </si>
  <si>
    <t>LFQT</t>
  </si>
  <si>
    <t>Merville Calonne Airport</t>
  </si>
  <si>
    <t>HZG</t>
  </si>
  <si>
    <t>ZLHZ</t>
  </si>
  <si>
    <t>Hanzhong Airport</t>
  </si>
  <si>
    <t>HZK</t>
  </si>
  <si>
    <t>BIHU</t>
  </si>
  <si>
    <t>Húsavík Airport</t>
  </si>
  <si>
    <t>HZL</t>
  </si>
  <si>
    <t>KHZL</t>
  </si>
  <si>
    <t>Hazleton Municipal Airport</t>
  </si>
  <si>
    <t>HZP</t>
  </si>
  <si>
    <t>CYNR</t>
  </si>
  <si>
    <t>Fort Mackay / Horizon Airport</t>
  </si>
  <si>
    <t>IAA</t>
  </si>
  <si>
    <t>UOII</t>
  </si>
  <si>
    <t>Igarka Airport</t>
  </si>
  <si>
    <t>IAB</t>
  </si>
  <si>
    <t>KIAB</t>
  </si>
  <si>
    <t>McConnell AFB</t>
  </si>
  <si>
    <t>IAD</t>
  </si>
  <si>
    <t>KIAD</t>
  </si>
  <si>
    <t>Washington Dulles International Airport</t>
  </si>
  <si>
    <t>IAG</t>
  </si>
  <si>
    <t>KIAG</t>
  </si>
  <si>
    <t>Niagara Falls International Airport</t>
  </si>
  <si>
    <t>IAH</t>
  </si>
  <si>
    <t>KIAH</t>
  </si>
  <si>
    <t>George Bush Intercontinental Airport</t>
  </si>
  <si>
    <t>IAM</t>
  </si>
  <si>
    <t>DAUZ</t>
  </si>
  <si>
    <t>In Aménas Airport</t>
  </si>
  <si>
    <t>IAN</t>
  </si>
  <si>
    <t>PAIK</t>
  </si>
  <si>
    <t>Bob Baker Memorial Airport</t>
  </si>
  <si>
    <t>IAO</t>
  </si>
  <si>
    <t>RPNS</t>
  </si>
  <si>
    <t>Siargao Airport</t>
  </si>
  <si>
    <t>IAR</t>
  </si>
  <si>
    <t>UUDL</t>
  </si>
  <si>
    <t>Yaroslavl Airport</t>
  </si>
  <si>
    <t>IAS</t>
  </si>
  <si>
    <t>LRIA</t>
  </si>
  <si>
    <t>Iași International Airport</t>
  </si>
  <si>
    <t>IBA</t>
  </si>
  <si>
    <t>DNIB</t>
  </si>
  <si>
    <t>Ibadan Airport</t>
  </si>
  <si>
    <t>IBB</t>
  </si>
  <si>
    <t>SEII</t>
  </si>
  <si>
    <t>General Villamil Airport</t>
  </si>
  <si>
    <t>IBE</t>
  </si>
  <si>
    <t>SKIB</t>
  </si>
  <si>
    <t>Perales Airport</t>
  </si>
  <si>
    <t>IBM</t>
  </si>
  <si>
    <t>KIBM</t>
  </si>
  <si>
    <t>Kimball Municipal Airport (Robert E. Arraj Field)</t>
  </si>
  <si>
    <t>IBN</t>
  </si>
  <si>
    <t>PABN</t>
  </si>
  <si>
    <t>Devils Mountain Lodge Airport</t>
  </si>
  <si>
    <t>IBO</t>
  </si>
  <si>
    <t>KIBO</t>
  </si>
  <si>
    <t>Idabel Airport</t>
  </si>
  <si>
    <t>IBP</t>
  </si>
  <si>
    <t>SPBR</t>
  </si>
  <si>
    <t>Iberia Airport</t>
  </si>
  <si>
    <t>IBR</t>
  </si>
  <si>
    <t>RJAH</t>
  </si>
  <si>
    <t>Ibaraki Airport (Hyakuri Air Base)</t>
  </si>
  <si>
    <t>IBZ</t>
  </si>
  <si>
    <t>LEIB</t>
  </si>
  <si>
    <t>Ibiza Airport</t>
  </si>
  <si>
    <t>ICA</t>
  </si>
  <si>
    <t>SVIC</t>
  </si>
  <si>
    <t>Icabarú Airport</t>
  </si>
  <si>
    <t>ICI</t>
  </si>
  <si>
    <t>NFCI</t>
  </si>
  <si>
    <t>Cicia Airport</t>
  </si>
  <si>
    <t>ICK</t>
  </si>
  <si>
    <t>SMNI</t>
  </si>
  <si>
    <t>Nieuw-Nickerie Airport (Maj. Fernandes Airport)</t>
  </si>
  <si>
    <t>ICL</t>
  </si>
  <si>
    <t>KICL</t>
  </si>
  <si>
    <t>Schenck Field</t>
  </si>
  <si>
    <t>ICN</t>
  </si>
  <si>
    <t>RKSI</t>
  </si>
  <si>
    <t>Incheon International Airport</t>
  </si>
  <si>
    <t>ICR</t>
  </si>
  <si>
    <t>MUNC</t>
  </si>
  <si>
    <t>Nicaro Airport</t>
  </si>
  <si>
    <t>ICS</t>
  </si>
  <si>
    <t>KU70</t>
  </si>
  <si>
    <t>Cascade Airport</t>
  </si>
  <si>
    <t>ICT</t>
  </si>
  <si>
    <t>KICT</t>
  </si>
  <si>
    <t>Wichita Dwight D. Eisenhower National Airport</t>
  </si>
  <si>
    <t>IDA</t>
  </si>
  <si>
    <t>KIDA</t>
  </si>
  <si>
    <t>Idaho Falls Regional Airport</t>
  </si>
  <si>
    <t>IDB</t>
  </si>
  <si>
    <t>ESUE</t>
  </si>
  <si>
    <t>Idre Airport</t>
  </si>
  <si>
    <t>IDF</t>
  </si>
  <si>
    <t>FZCB</t>
  </si>
  <si>
    <t>Idiofa Airport</t>
  </si>
  <si>
    <t>IDG</t>
  </si>
  <si>
    <t>KIDG</t>
  </si>
  <si>
    <t>Ida Grove Municipal Airport</t>
  </si>
  <si>
    <t>IDH</t>
  </si>
  <si>
    <t>KGIC</t>
  </si>
  <si>
    <t>Idaho County Airport</t>
  </si>
  <si>
    <t>IDI</t>
  </si>
  <si>
    <t>KIDI</t>
  </si>
  <si>
    <t>Indiana County Airport (Jimmy Stewart Field)</t>
  </si>
  <si>
    <t>IDK</t>
  </si>
  <si>
    <t>YIDK</t>
  </si>
  <si>
    <t>Indulkana Airport</t>
  </si>
  <si>
    <t>IDL</t>
  </si>
  <si>
    <t>KIDL</t>
  </si>
  <si>
    <t>Indianola Municipal Airport</t>
  </si>
  <si>
    <t>IDO</t>
  </si>
  <si>
    <t>SWIY</t>
  </si>
  <si>
    <t>Santa Izabel do Morro Airport</t>
  </si>
  <si>
    <t>IDP</t>
  </si>
  <si>
    <t>KIDP</t>
  </si>
  <si>
    <t>Independence Municipal Airport</t>
  </si>
  <si>
    <t>IDR</t>
  </si>
  <si>
    <t>VAID</t>
  </si>
  <si>
    <t>Devi Ahilyabai Holkar International Airport</t>
  </si>
  <si>
    <t>IDY</t>
  </si>
  <si>
    <t>LFEY</t>
  </si>
  <si>
    <t>Île d'Yeu Airport</t>
  </si>
  <si>
    <t>IEG</t>
  </si>
  <si>
    <t>EPZG</t>
  </si>
  <si>
    <t>Zielona Góra Airport</t>
  </si>
  <si>
    <t>IEJ</t>
  </si>
  <si>
    <t>RORE</t>
  </si>
  <si>
    <t>Ie Jima Airport</t>
  </si>
  <si>
    <t>IEM</t>
  </si>
  <si>
    <t>PAWR</t>
  </si>
  <si>
    <t>Whittier Airport</t>
  </si>
  <si>
    <t>IEN</t>
  </si>
  <si>
    <t>KIEN</t>
  </si>
  <si>
    <t>Pine Ridge Airport</t>
  </si>
  <si>
    <t>IER</t>
  </si>
  <si>
    <t>KIER</t>
  </si>
  <si>
    <t>Natchitoches Regional Airport</t>
  </si>
  <si>
    <t>IEV</t>
  </si>
  <si>
    <t>UKKK</t>
  </si>
  <si>
    <t>Kiev International Airport</t>
  </si>
  <si>
    <t>IFA</t>
  </si>
  <si>
    <t>KIFA</t>
  </si>
  <si>
    <t>Iowa Falls Municipal Airport</t>
  </si>
  <si>
    <t>IFF</t>
  </si>
  <si>
    <t>YIFY</t>
  </si>
  <si>
    <t>Iffley Airport</t>
  </si>
  <si>
    <t>IFH</t>
  </si>
  <si>
    <t>OIFE</t>
  </si>
  <si>
    <t>Hesa Airport</t>
  </si>
  <si>
    <t>IFJ</t>
  </si>
  <si>
    <t>BIIS</t>
  </si>
  <si>
    <t>Ãsafjörður Airport</t>
  </si>
  <si>
    <t>IFL</t>
  </si>
  <si>
    <t>YIFL</t>
  </si>
  <si>
    <t>Innisfail Airport</t>
  </si>
  <si>
    <t>IFN</t>
  </si>
  <si>
    <t>OIFM</t>
  </si>
  <si>
    <t>Esfahan Shahid Beheshti International Airport</t>
  </si>
  <si>
    <t>IFO</t>
  </si>
  <si>
    <t>UKLI</t>
  </si>
  <si>
    <t>Ivano-Frankivsk Airport</t>
  </si>
  <si>
    <t>IFP</t>
  </si>
  <si>
    <t>KIFP</t>
  </si>
  <si>
    <t>Laughlin/Bullhead International Airport</t>
  </si>
  <si>
    <t>IGA</t>
  </si>
  <si>
    <t>MYIG</t>
  </si>
  <si>
    <t>Inagua Airport</t>
  </si>
  <si>
    <t>IGB</t>
  </si>
  <si>
    <t>SAVJ</t>
  </si>
  <si>
    <t>Cabo F.A.A. H. R. Bordón Airport</t>
  </si>
  <si>
    <t>IGG</t>
  </si>
  <si>
    <t>PAIG</t>
  </si>
  <si>
    <t>Igiugig Airport</t>
  </si>
  <si>
    <t>IGH</t>
  </si>
  <si>
    <t>YIGM</t>
  </si>
  <si>
    <t>Ingham Airport</t>
  </si>
  <si>
    <t>IGL</t>
  </si>
  <si>
    <t>LTBL</t>
  </si>
  <si>
    <t>Çiğli Air Base</t>
  </si>
  <si>
    <t>IGM</t>
  </si>
  <si>
    <t>KIGM</t>
  </si>
  <si>
    <t>Kingman Airport</t>
  </si>
  <si>
    <t>IGN</t>
  </si>
  <si>
    <t>RPMI</t>
  </si>
  <si>
    <t>Iligan Airport</t>
  </si>
  <si>
    <t>IGO</t>
  </si>
  <si>
    <t>SKIG</t>
  </si>
  <si>
    <t>Chigorodó Airport</t>
  </si>
  <si>
    <t>IGQ</t>
  </si>
  <si>
    <t>KIGQ</t>
  </si>
  <si>
    <t>Lansing Municipal Airport</t>
  </si>
  <si>
    <t>IGR</t>
  </si>
  <si>
    <t>SARI</t>
  </si>
  <si>
    <t>Cataratas del Iguazú International Airport</t>
  </si>
  <si>
    <t>IGS</t>
  </si>
  <si>
    <t>ETSI</t>
  </si>
  <si>
    <t>Ingolstadt Manching Airport</t>
  </si>
  <si>
    <t>IGT</t>
  </si>
  <si>
    <t>URMS</t>
  </si>
  <si>
    <t>Magas Airport</t>
  </si>
  <si>
    <t>PAGT</t>
  </si>
  <si>
    <t>Nightmute Airport</t>
  </si>
  <si>
    <t>IGU</t>
  </si>
  <si>
    <t>SBFI</t>
  </si>
  <si>
    <t>Foz do Iguaçu International Airport</t>
  </si>
  <si>
    <t>IGX</t>
  </si>
  <si>
    <t>KIGX</t>
  </si>
  <si>
    <t>Horace Williams Airport</t>
  </si>
  <si>
    <t>IHC</t>
  </si>
  <si>
    <t>FQIA</t>
  </si>
  <si>
    <t>Inhaca Airport</t>
  </si>
  <si>
    <t>IHN</t>
  </si>
  <si>
    <t>OYQN</t>
  </si>
  <si>
    <t>Qishn Airport</t>
  </si>
  <si>
    <t>IHO</t>
  </si>
  <si>
    <t>FMSI</t>
  </si>
  <si>
    <t>Ihosy Airport</t>
  </si>
  <si>
    <t>IIA</t>
  </si>
  <si>
    <t>EIMN</t>
  </si>
  <si>
    <t>Inishmaan Aerodrome</t>
  </si>
  <si>
    <t>IIB</t>
  </si>
  <si>
    <t>KIIB</t>
  </si>
  <si>
    <t>IIK</t>
  </si>
  <si>
    <t>PAKI</t>
  </si>
  <si>
    <t>Kipnuk Airport</t>
  </si>
  <si>
    <t>IIL</t>
  </si>
  <si>
    <t>OICI</t>
  </si>
  <si>
    <t>Ilam Airport</t>
  </si>
  <si>
    <t>IIY</t>
  </si>
  <si>
    <t>KIIY</t>
  </si>
  <si>
    <t>Washington-Wilkes County Airport</t>
  </si>
  <si>
    <t>IJD</t>
  </si>
  <si>
    <t>KIJD</t>
  </si>
  <si>
    <t>Windham Airport</t>
  </si>
  <si>
    <t>IJK</t>
  </si>
  <si>
    <t>USII</t>
  </si>
  <si>
    <t>Izhevsk Airport</t>
  </si>
  <si>
    <t>IJU</t>
  </si>
  <si>
    <t>SSIJ</t>
  </si>
  <si>
    <t>Ijuí Airport</t>
  </si>
  <si>
    <t>IJX</t>
  </si>
  <si>
    <t>KIJX</t>
  </si>
  <si>
    <t>Jacksonville Municipal Airport</t>
  </si>
  <si>
    <t>IKA</t>
  </si>
  <si>
    <t>OIIE</t>
  </si>
  <si>
    <t>Imam Khomeini International Airport</t>
  </si>
  <si>
    <t>IKG</t>
  </si>
  <si>
    <t>KIKG</t>
  </si>
  <si>
    <t>Kleberg County Airport</t>
  </si>
  <si>
    <t>IKI</t>
  </si>
  <si>
    <t>RJDB</t>
  </si>
  <si>
    <t>Iki Airport</t>
  </si>
  <si>
    <t>IKK</t>
  </si>
  <si>
    <t>KIKK</t>
  </si>
  <si>
    <t>Greater Kankakee Airport</t>
  </si>
  <si>
    <t>IKL</t>
  </si>
  <si>
    <t>FZGV</t>
  </si>
  <si>
    <t>Ikela Airport</t>
  </si>
  <si>
    <t>IKO</t>
  </si>
  <si>
    <t>PAKO</t>
  </si>
  <si>
    <t>Nikolski Air Station</t>
  </si>
  <si>
    <t>IKP</t>
  </si>
  <si>
    <t>YIKM</t>
  </si>
  <si>
    <t>Inkerman Airport</t>
  </si>
  <si>
    <t>IKS</t>
  </si>
  <si>
    <t>UEST</t>
  </si>
  <si>
    <t>Tiksi Airport</t>
  </si>
  <si>
    <t>IKT</t>
  </si>
  <si>
    <t>UIII</t>
  </si>
  <si>
    <t>Irkutsk Airport</t>
  </si>
  <si>
    <t>UUII</t>
  </si>
  <si>
    <t>Irkutsk International Airport</t>
  </si>
  <si>
    <t>IKV</t>
  </si>
  <si>
    <t>KIKV</t>
  </si>
  <si>
    <t>Ankeny Regional Airport</t>
  </si>
  <si>
    <t>ILA</t>
  </si>
  <si>
    <t>WABL</t>
  </si>
  <si>
    <t>Illaga Airport</t>
  </si>
  <si>
    <t>ILE</t>
  </si>
  <si>
    <t>KILE</t>
  </si>
  <si>
    <t>Skylark Field</t>
  </si>
  <si>
    <t>ILG</t>
  </si>
  <si>
    <t>KILG</t>
  </si>
  <si>
    <t>New Castle Airport</t>
  </si>
  <si>
    <t>ILI</t>
  </si>
  <si>
    <t>PAIL</t>
  </si>
  <si>
    <t>Iliamna Airport</t>
  </si>
  <si>
    <t>ILK</t>
  </si>
  <si>
    <t>FMMQ</t>
  </si>
  <si>
    <t>Atsinanana Airport</t>
  </si>
  <si>
    <t>ILL</t>
  </si>
  <si>
    <t>KILL</t>
  </si>
  <si>
    <t>Willmar Municipal Airport (John L. Rice Field)</t>
  </si>
  <si>
    <t>ILM</t>
  </si>
  <si>
    <t>KILM</t>
  </si>
  <si>
    <t>Wilmington International Airport</t>
  </si>
  <si>
    <t>ILN</t>
  </si>
  <si>
    <t>KILN</t>
  </si>
  <si>
    <t>Airborne Airpark</t>
  </si>
  <si>
    <t>ILO</t>
  </si>
  <si>
    <t>RPVI</t>
  </si>
  <si>
    <t>Iloilo International Airport</t>
  </si>
  <si>
    <t>ILP</t>
  </si>
  <si>
    <t>NWWE</t>
  </si>
  <si>
    <t>Île des Pins Airport</t>
  </si>
  <si>
    <t>ILQ</t>
  </si>
  <si>
    <t>SPLO</t>
  </si>
  <si>
    <t>Ilo Airport</t>
  </si>
  <si>
    <t>ILR</t>
  </si>
  <si>
    <t>DNIL</t>
  </si>
  <si>
    <t>Ilorin International Airport</t>
  </si>
  <si>
    <t>ILU</t>
  </si>
  <si>
    <t>HKKL</t>
  </si>
  <si>
    <t>Kilaguni Airport</t>
  </si>
  <si>
    <t>ILY</t>
  </si>
  <si>
    <t>EGPI</t>
  </si>
  <si>
    <t>Islay Airport</t>
  </si>
  <si>
    <t>ILZ</t>
  </si>
  <si>
    <t>LZZI</t>
  </si>
  <si>
    <t>Žilina Airport</t>
  </si>
  <si>
    <t>IMB</t>
  </si>
  <si>
    <t>SYIB</t>
  </si>
  <si>
    <t>Imbaimadai Airport</t>
  </si>
  <si>
    <t>IMF</t>
  </si>
  <si>
    <t>VEIM</t>
  </si>
  <si>
    <t>Imphal Airport</t>
  </si>
  <si>
    <t>IMK</t>
  </si>
  <si>
    <t>VNST</t>
  </si>
  <si>
    <t>Simikot Airport</t>
  </si>
  <si>
    <t>IML</t>
  </si>
  <si>
    <t>KIML</t>
  </si>
  <si>
    <t>Imperial Municipal Airport</t>
  </si>
  <si>
    <t>IMM</t>
  </si>
  <si>
    <t>KIMM</t>
  </si>
  <si>
    <t>Immokalee Airport</t>
  </si>
  <si>
    <t>IMO</t>
  </si>
  <si>
    <t>FEFZ</t>
  </si>
  <si>
    <t>Zemio Airport</t>
  </si>
  <si>
    <t>IMP</t>
  </si>
  <si>
    <t>SBIZ</t>
  </si>
  <si>
    <t>Prefeito Renato Moreira Airport</t>
  </si>
  <si>
    <t>IMT</t>
  </si>
  <si>
    <t>KIMT</t>
  </si>
  <si>
    <t>Ford Airport</t>
  </si>
  <si>
    <t>INA</t>
  </si>
  <si>
    <t>UUYI</t>
  </si>
  <si>
    <t>Inta Airport</t>
  </si>
  <si>
    <t>INC</t>
  </si>
  <si>
    <t>ZLIC</t>
  </si>
  <si>
    <t>Yinchuan Airport</t>
  </si>
  <si>
    <t>IND</t>
  </si>
  <si>
    <t>KIND</t>
  </si>
  <si>
    <t>Indianapolis International Airport</t>
  </si>
  <si>
    <t>INF</t>
  </si>
  <si>
    <t>DATG</t>
  </si>
  <si>
    <t>In Guezzam Airport</t>
  </si>
  <si>
    <t>ING</t>
  </si>
  <si>
    <t>SAWA</t>
  </si>
  <si>
    <t>Lago Argentino Airport</t>
  </si>
  <si>
    <t>INH</t>
  </si>
  <si>
    <t>FQIN</t>
  </si>
  <si>
    <t>Inhambane Airport</t>
  </si>
  <si>
    <t>INI</t>
  </si>
  <si>
    <t>LYNI</t>
  </si>
  <si>
    <t>Ni? Constantine the Great Airport</t>
  </si>
  <si>
    <t>INJ</t>
  </si>
  <si>
    <t>YINJ</t>
  </si>
  <si>
    <t>Injune Airport</t>
  </si>
  <si>
    <t>KINJ</t>
  </si>
  <si>
    <t>Hillsboro Municipal Airport</t>
  </si>
  <si>
    <t>INK</t>
  </si>
  <si>
    <t>KINK</t>
  </si>
  <si>
    <t>Winkler County Airport</t>
  </si>
  <si>
    <t>INL</t>
  </si>
  <si>
    <t>KINL</t>
  </si>
  <si>
    <t>Falls International Airport</t>
  </si>
  <si>
    <t>INM</t>
  </si>
  <si>
    <t>YINN</t>
  </si>
  <si>
    <t>Innamincka Airport</t>
  </si>
  <si>
    <t>INN</t>
  </si>
  <si>
    <t>LOWI</t>
  </si>
  <si>
    <t>Innsbruck Kranebitten Airport</t>
  </si>
  <si>
    <t>INO</t>
  </si>
  <si>
    <t>FZBA</t>
  </si>
  <si>
    <t>Inongo Airport</t>
  </si>
  <si>
    <t>INQ</t>
  </si>
  <si>
    <t>EIIR</t>
  </si>
  <si>
    <t>Inisheer Aerodrome</t>
  </si>
  <si>
    <t>INR</t>
  </si>
  <si>
    <t>PAIN</t>
  </si>
  <si>
    <t>McKinley National Park Airport</t>
  </si>
  <si>
    <t>INS</t>
  </si>
  <si>
    <t>KINS</t>
  </si>
  <si>
    <t>Creech Air Force Base</t>
  </si>
  <si>
    <t>INT</t>
  </si>
  <si>
    <t>KINT</t>
  </si>
  <si>
    <t>Smith Reynolds Airport</t>
  </si>
  <si>
    <t>INU</t>
  </si>
  <si>
    <t>ANYN</t>
  </si>
  <si>
    <t>Nauru International Airport</t>
  </si>
  <si>
    <t>INV</t>
  </si>
  <si>
    <t>EGPE</t>
  </si>
  <si>
    <t>Inverness Airport</t>
  </si>
  <si>
    <t>INW</t>
  </si>
  <si>
    <t>KINW</t>
  </si>
  <si>
    <t>Winslow-Lindbergh Regional Airport</t>
  </si>
  <si>
    <t>INX</t>
  </si>
  <si>
    <t>WASI</t>
  </si>
  <si>
    <t>Inanwatan Airport</t>
  </si>
  <si>
    <t>INZ</t>
  </si>
  <si>
    <t>DAUI</t>
  </si>
  <si>
    <t>In Salah Airport</t>
  </si>
  <si>
    <t>IOA</t>
  </si>
  <si>
    <t>LGIO</t>
  </si>
  <si>
    <t>Ioannina National Airport</t>
  </si>
  <si>
    <t>IOB</t>
  </si>
  <si>
    <t>KIOB</t>
  </si>
  <si>
    <t>Mount Sterling-Montgomery County Airport</t>
  </si>
  <si>
    <t>IOM</t>
  </si>
  <si>
    <t>EGNS</t>
  </si>
  <si>
    <t>Isle of Man Airport</t>
  </si>
  <si>
    <t>ION</t>
  </si>
  <si>
    <t>FCOI</t>
  </si>
  <si>
    <t>Impfondo Airport</t>
  </si>
  <si>
    <t>IOR</t>
  </si>
  <si>
    <t>EIIM</t>
  </si>
  <si>
    <t>Inishmore Aerodrome</t>
  </si>
  <si>
    <t>IOS</t>
  </si>
  <si>
    <t>SBIL</t>
  </si>
  <si>
    <t>Ilhéus Jorge Amado Airport</t>
  </si>
  <si>
    <t>IOU</t>
  </si>
  <si>
    <t>NWWO</t>
  </si>
  <si>
    <t>Edmond Cané Airport</t>
  </si>
  <si>
    <t>IOW</t>
  </si>
  <si>
    <t>KIOW</t>
  </si>
  <si>
    <t>Iowa City Municipal Airport</t>
  </si>
  <si>
    <t>IPA</t>
  </si>
  <si>
    <t>NVVI</t>
  </si>
  <si>
    <t>Ipota Airport</t>
  </si>
  <si>
    <t>IPC</t>
  </si>
  <si>
    <t>SCIP</t>
  </si>
  <si>
    <t>Mataveri International Airport</t>
  </si>
  <si>
    <t>IPE</t>
  </si>
  <si>
    <t>RPMV</t>
  </si>
  <si>
    <t>Ipil Airport</t>
  </si>
  <si>
    <t>IPG</t>
  </si>
  <si>
    <t>SWII</t>
  </si>
  <si>
    <t>Ipiranga Airport</t>
  </si>
  <si>
    <t>IPH</t>
  </si>
  <si>
    <t>WMKI</t>
  </si>
  <si>
    <t>Sultan Azlan Shah Airport</t>
  </si>
  <si>
    <t>IPI</t>
  </si>
  <si>
    <t>SKIP</t>
  </si>
  <si>
    <t>San Luis Airport</t>
  </si>
  <si>
    <t>IPJ</t>
  </si>
  <si>
    <t>KIPJ</t>
  </si>
  <si>
    <t>Lincolnton-Lincoln County Regional Airport</t>
  </si>
  <si>
    <t>IPL</t>
  </si>
  <si>
    <t>KIPL</t>
  </si>
  <si>
    <t>Imperial County Airport</t>
  </si>
  <si>
    <t>IPN</t>
  </si>
  <si>
    <t>SBIP</t>
  </si>
  <si>
    <t>Usiminas Airport</t>
  </si>
  <si>
    <t>IPT</t>
  </si>
  <si>
    <t>KIPT</t>
  </si>
  <si>
    <t>Williamsport Regional Airport</t>
  </si>
  <si>
    <t>IPU</t>
  </si>
  <si>
    <t>SNIU</t>
  </si>
  <si>
    <t>Ipiaú Airport</t>
  </si>
  <si>
    <t>IPW</t>
  </si>
  <si>
    <t>EGSE</t>
  </si>
  <si>
    <t>Ipswich Airport ipw? Ipswich, England (closed 1996)</t>
  </si>
  <si>
    <t>IQA</t>
  </si>
  <si>
    <t>ORAA</t>
  </si>
  <si>
    <t>Al Asad Air Base</t>
  </si>
  <si>
    <t>IQM</t>
  </si>
  <si>
    <t>ZWCM</t>
  </si>
  <si>
    <t>Qiemo Airport</t>
  </si>
  <si>
    <t>IQN</t>
  </si>
  <si>
    <t>ZLQY</t>
  </si>
  <si>
    <t>Qingyang Airport</t>
  </si>
  <si>
    <t>IQQ</t>
  </si>
  <si>
    <t>SCDA</t>
  </si>
  <si>
    <t>Diego Aracena International Airport</t>
  </si>
  <si>
    <t>IQT</t>
  </si>
  <si>
    <t>SPQT</t>
  </si>
  <si>
    <t>Crnl. FAP Francisco Secada Vignetta International Airport</t>
  </si>
  <si>
    <t>IRA</t>
  </si>
  <si>
    <t>AGGK</t>
  </si>
  <si>
    <t>Ngorangora Airport</t>
  </si>
  <si>
    <t>IRD</t>
  </si>
  <si>
    <t>VGIS</t>
  </si>
  <si>
    <t>Ishurdi Airport</t>
  </si>
  <si>
    <t>IRE</t>
  </si>
  <si>
    <t>SNIC</t>
  </si>
  <si>
    <t>Irecê Airport</t>
  </si>
  <si>
    <t>IRG</t>
  </si>
  <si>
    <t>YLHR</t>
  </si>
  <si>
    <t>Lockhart River Airport</t>
  </si>
  <si>
    <t>IRI</t>
  </si>
  <si>
    <t>HTIR</t>
  </si>
  <si>
    <t>Iringa Airport</t>
  </si>
  <si>
    <t>IRJ</t>
  </si>
  <si>
    <t>SANL</t>
  </si>
  <si>
    <t>Capitán Vicente Almandos Amonacid Airport</t>
  </si>
  <si>
    <t>IRK</t>
  </si>
  <si>
    <t>KIRK</t>
  </si>
  <si>
    <t>Kirksville Regional Airport</t>
  </si>
  <si>
    <t>IRM</t>
  </si>
  <si>
    <t>USHI</t>
  </si>
  <si>
    <t>Igrim Airport</t>
  </si>
  <si>
    <t>IRO</t>
  </si>
  <si>
    <t>FEFI</t>
  </si>
  <si>
    <t>Birao Airport</t>
  </si>
  <si>
    <t>IRP</t>
  </si>
  <si>
    <t>FZJH</t>
  </si>
  <si>
    <t>Matari Airport</t>
  </si>
  <si>
    <t>IRS</t>
  </si>
  <si>
    <t>KIRS</t>
  </si>
  <si>
    <t>Kirsch Municipal Airport</t>
  </si>
  <si>
    <t>IRZ</t>
  </si>
  <si>
    <t>SWTP</t>
  </si>
  <si>
    <t>Tapuruquara Airport</t>
  </si>
  <si>
    <t>ISA</t>
  </si>
  <si>
    <t>YBMA</t>
  </si>
  <si>
    <t>Mount Isa Airport</t>
  </si>
  <si>
    <t>ISB</t>
  </si>
  <si>
    <t>OPRN</t>
  </si>
  <si>
    <t>Islamabad International Airport</t>
  </si>
  <si>
    <t>KISB</t>
  </si>
  <si>
    <t>Sibley Municipal Airport</t>
  </si>
  <si>
    <t>ISC</t>
  </si>
  <si>
    <t>EGHE</t>
  </si>
  <si>
    <t>St. Mary's Airport</t>
  </si>
  <si>
    <t>ISE</t>
  </si>
  <si>
    <t>LTFC</t>
  </si>
  <si>
    <t>Suleyman Demirel Airport</t>
  </si>
  <si>
    <t>ISG</t>
  </si>
  <si>
    <t>ROIG</t>
  </si>
  <si>
    <t>New Ishigaki Airport</t>
  </si>
  <si>
    <t>ISI</t>
  </si>
  <si>
    <t>YISF</t>
  </si>
  <si>
    <t>Isisford Airport</t>
  </si>
  <si>
    <t>ISJ</t>
  </si>
  <si>
    <t>MMIM</t>
  </si>
  <si>
    <t>Isla Mujeres Airport</t>
  </si>
  <si>
    <t>ISK</t>
  </si>
  <si>
    <t>VANR</t>
  </si>
  <si>
    <t>Gandhinagar Airport</t>
  </si>
  <si>
    <t>ISM</t>
  </si>
  <si>
    <t>KISM</t>
  </si>
  <si>
    <t>Kissimmee Gateway Airport</t>
  </si>
  <si>
    <t>ISN</t>
  </si>
  <si>
    <t>KISN</t>
  </si>
  <si>
    <t>Sloulin Field International Airport</t>
  </si>
  <si>
    <t>ISO</t>
  </si>
  <si>
    <t>KISO</t>
  </si>
  <si>
    <t>Kinston Regional Jetport (at Stallings Field)</t>
  </si>
  <si>
    <t>ISP</t>
  </si>
  <si>
    <t>KISP</t>
  </si>
  <si>
    <t>Long Island MacArthur Airport</t>
  </si>
  <si>
    <t>ISQ</t>
  </si>
  <si>
    <t>KISQ</t>
  </si>
  <si>
    <t>Schoolcraft County Airport</t>
  </si>
  <si>
    <t>IST</t>
  </si>
  <si>
    <t>LTBA</t>
  </si>
  <si>
    <t>ISU</t>
  </si>
  <si>
    <t>ORSU</t>
  </si>
  <si>
    <t>Sulaimaniyah International Airport</t>
  </si>
  <si>
    <t>ISW</t>
  </si>
  <si>
    <t>KISW</t>
  </si>
  <si>
    <t>Alexander Field South Wood County Airport</t>
  </si>
  <si>
    <t>ISZ</t>
  </si>
  <si>
    <t>KISZ</t>
  </si>
  <si>
    <t>Blue Ash Airport</t>
  </si>
  <si>
    <t>ITA</t>
  </si>
  <si>
    <t>SBIC</t>
  </si>
  <si>
    <t>Itacoatiara Airport</t>
  </si>
  <si>
    <t>ITB</t>
  </si>
  <si>
    <t>SBCC</t>
  </si>
  <si>
    <t>Cachimbo Airport</t>
  </si>
  <si>
    <t>SBIH</t>
  </si>
  <si>
    <t>Itaituba Airport</t>
  </si>
  <si>
    <t>ITH</t>
  </si>
  <si>
    <t>KITH</t>
  </si>
  <si>
    <t>Ithaca Tompkins Regional Airport</t>
  </si>
  <si>
    <t>ITI</t>
  </si>
  <si>
    <t>SNYH</t>
  </si>
  <si>
    <t>Agropecuária Castanhais Airport</t>
  </si>
  <si>
    <t>ITM</t>
  </si>
  <si>
    <t>RJOO</t>
  </si>
  <si>
    <t>Osaka International Airport</t>
  </si>
  <si>
    <t>ITO</t>
  </si>
  <si>
    <t>PHTO</t>
  </si>
  <si>
    <t>Hilo International Airport</t>
  </si>
  <si>
    <t>ITQ</t>
  </si>
  <si>
    <t>SSIQ</t>
  </si>
  <si>
    <t>Itaqui Airport</t>
  </si>
  <si>
    <t>ITR</t>
  </si>
  <si>
    <t>KITR</t>
  </si>
  <si>
    <t>Kit Carson County Airport</t>
  </si>
  <si>
    <t>IUD</t>
  </si>
  <si>
    <t>OTBH</t>
  </si>
  <si>
    <t>Al Udeid Air Base</t>
  </si>
  <si>
    <t>IUE</t>
  </si>
  <si>
    <t>NIUE</t>
  </si>
  <si>
    <t>Hanan International Airport</t>
  </si>
  <si>
    <t>IVA</t>
  </si>
  <si>
    <t>FMNJ</t>
  </si>
  <si>
    <t>Ambanja Airport</t>
  </si>
  <si>
    <t>IVC</t>
  </si>
  <si>
    <t>NZNV</t>
  </si>
  <si>
    <t>Invercargill Airport</t>
  </si>
  <si>
    <t>IVG</t>
  </si>
  <si>
    <t>LYBR</t>
  </si>
  <si>
    <t>Berane Airport</t>
  </si>
  <si>
    <t>IVL</t>
  </si>
  <si>
    <t>EFIV</t>
  </si>
  <si>
    <t>Ivalo Airport</t>
  </si>
  <si>
    <t>IVR</t>
  </si>
  <si>
    <t>YIVL</t>
  </si>
  <si>
    <t>Inverell Airport</t>
  </si>
  <si>
    <t>IVW</t>
  </si>
  <si>
    <t>YINW</t>
  </si>
  <si>
    <t>Inverway Airport</t>
  </si>
  <si>
    <t>IWA</t>
  </si>
  <si>
    <t>UUBI</t>
  </si>
  <si>
    <t>Ivanovo South Airport</t>
  </si>
  <si>
    <t>IWD</t>
  </si>
  <si>
    <t>KIWD</t>
  </si>
  <si>
    <t>Gogebic-Iron County Airport</t>
  </si>
  <si>
    <t>IWH</t>
  </si>
  <si>
    <t>KIWH</t>
  </si>
  <si>
    <t>Wabash Municipal Airport</t>
  </si>
  <si>
    <t>IWI</t>
  </si>
  <si>
    <t>KIWI</t>
  </si>
  <si>
    <t>Wiscasset Airport</t>
  </si>
  <si>
    <t>IWJ</t>
  </si>
  <si>
    <t>RJOW</t>
  </si>
  <si>
    <t>Iwami Airport</t>
  </si>
  <si>
    <t>IWK</t>
  </si>
  <si>
    <t>RJOI</t>
  </si>
  <si>
    <t>Iwakuni Airport</t>
  </si>
  <si>
    <t>IWO</t>
  </si>
  <si>
    <t>RJAW</t>
  </si>
  <si>
    <t>North Field</t>
  </si>
  <si>
    <t>IWS</t>
  </si>
  <si>
    <t>KIWS</t>
  </si>
  <si>
    <t>West Houston Airport</t>
  </si>
  <si>
    <t>IXA</t>
  </si>
  <si>
    <t>VEAT</t>
  </si>
  <si>
    <t>Maharaja Bir Bikram Airport</t>
  </si>
  <si>
    <t>IXB</t>
  </si>
  <si>
    <t>VEBD</t>
  </si>
  <si>
    <t>Bagdogra Airport</t>
  </si>
  <si>
    <t>IXC</t>
  </si>
  <si>
    <t>VICG</t>
  </si>
  <si>
    <t>Chandigarh Airport</t>
  </si>
  <si>
    <t>IXD</t>
  </si>
  <si>
    <t>VIAL</t>
  </si>
  <si>
    <t>Allahabad Airport / Bamrauli Air Force Base</t>
  </si>
  <si>
    <t>IXE</t>
  </si>
  <si>
    <t>VOML</t>
  </si>
  <si>
    <t>Mangalore International Airport</t>
  </si>
  <si>
    <t>IXG</t>
  </si>
  <si>
    <t>VOBM</t>
  </si>
  <si>
    <t>Belagavi Airport</t>
  </si>
  <si>
    <t>IXH</t>
  </si>
  <si>
    <t>VEKR</t>
  </si>
  <si>
    <t>Kailashahar Airport</t>
  </si>
  <si>
    <t>IXI</t>
  </si>
  <si>
    <t>VELR</t>
  </si>
  <si>
    <t>Lilabari Airport (North Lakhimpur Airport)</t>
  </si>
  <si>
    <t>IXJ</t>
  </si>
  <si>
    <t>VIJU</t>
  </si>
  <si>
    <t>Jammu Airport (Satwari Airport)</t>
  </si>
  <si>
    <t>IXK</t>
  </si>
  <si>
    <t>VAKS</t>
  </si>
  <si>
    <t>Junagadh Airport (Keshod Airport)</t>
  </si>
  <si>
    <t>IXL</t>
  </si>
  <si>
    <t>VILH</t>
  </si>
  <si>
    <t>Kushok Bakula Rimpochee Airport</t>
  </si>
  <si>
    <t>IXM</t>
  </si>
  <si>
    <t>VOMD</t>
  </si>
  <si>
    <t>Madurai Airport</t>
  </si>
  <si>
    <t>IXN</t>
  </si>
  <si>
    <t>VEKW</t>
  </si>
  <si>
    <t>Khowai Airport</t>
  </si>
  <si>
    <t>IXP</t>
  </si>
  <si>
    <t>VIPK</t>
  </si>
  <si>
    <t>Pathankot Air Force Base</t>
  </si>
  <si>
    <t>IXQ</t>
  </si>
  <si>
    <t>VEKM</t>
  </si>
  <si>
    <t>Kamalpur Airport</t>
  </si>
  <si>
    <t>IXR</t>
  </si>
  <si>
    <t>VERC</t>
  </si>
  <si>
    <t>Birsa Munda Airport</t>
  </si>
  <si>
    <t>IXS</t>
  </si>
  <si>
    <t>VEKU</t>
  </si>
  <si>
    <t>Silchar Airport (Kumbhirgram Airport)</t>
  </si>
  <si>
    <t>IXT</t>
  </si>
  <si>
    <t>VEPG</t>
  </si>
  <si>
    <t>Pasighat Airport (Passighat Airport)</t>
  </si>
  <si>
    <t>IXU</t>
  </si>
  <si>
    <t>VAAU</t>
  </si>
  <si>
    <t>Aurangabad Airport (Chikkalthana Airport)</t>
  </si>
  <si>
    <t>IXV</t>
  </si>
  <si>
    <t>VEAN</t>
  </si>
  <si>
    <t>Along Airport</t>
  </si>
  <si>
    <t>IXW</t>
  </si>
  <si>
    <t>VEJS</t>
  </si>
  <si>
    <t>Jamshedpur Airport</t>
  </si>
  <si>
    <t>IXY</t>
  </si>
  <si>
    <t>VAKE</t>
  </si>
  <si>
    <t>Kandla Airport (Gandhidham Airport)</t>
  </si>
  <si>
    <t>IXZ</t>
  </si>
  <si>
    <t>VOPB</t>
  </si>
  <si>
    <t>Vir Savarkar Airport (Port Blair Airport)</t>
  </si>
  <si>
    <t>IYK</t>
  </si>
  <si>
    <t>KIYK</t>
  </si>
  <si>
    <t>Inyokern Airport</t>
  </si>
  <si>
    <t>IYS</t>
  </si>
  <si>
    <t>PAWS</t>
  </si>
  <si>
    <t>Wasilla Airport</t>
  </si>
  <si>
    <t>IZA</t>
  </si>
  <si>
    <t>SBZM</t>
  </si>
  <si>
    <t>Zona da Mata Regional Airport</t>
  </si>
  <si>
    <t>KIZA</t>
  </si>
  <si>
    <t>Santa Ynez Airport</t>
  </si>
  <si>
    <t>IZG</t>
  </si>
  <si>
    <t>KIZG</t>
  </si>
  <si>
    <t>Eastern Slopes Regional Airport</t>
  </si>
  <si>
    <t>IZO</t>
  </si>
  <si>
    <t>RJOC</t>
  </si>
  <si>
    <t>Izumo Airport</t>
  </si>
  <si>
    <t>IZT</t>
  </si>
  <si>
    <t>MMIT</t>
  </si>
  <si>
    <t>Ixtepec Airport</t>
  </si>
  <si>
    <t>JAA</t>
  </si>
  <si>
    <t>OAJL</t>
  </si>
  <si>
    <t>Jalalabad Airport</t>
  </si>
  <si>
    <t>JAB</t>
  </si>
  <si>
    <t>YJAB</t>
  </si>
  <si>
    <t>Jabiru Airport</t>
  </si>
  <si>
    <t>JAC</t>
  </si>
  <si>
    <t>KJAC</t>
  </si>
  <si>
    <t>Jackson Hole Airport</t>
  </si>
  <si>
    <t>JAD</t>
  </si>
  <si>
    <t>YPJT</t>
  </si>
  <si>
    <t>Perth Jandakot Airport</t>
  </si>
  <si>
    <t>JAF</t>
  </si>
  <si>
    <t>VCCJ</t>
  </si>
  <si>
    <t>Kankesanturai Airport</t>
  </si>
  <si>
    <t>JAG</t>
  </si>
  <si>
    <t>OPJA</t>
  </si>
  <si>
    <t>Shahbaz Air Base</t>
  </si>
  <si>
    <t>JAI</t>
  </si>
  <si>
    <t>VIJP</t>
  </si>
  <si>
    <t>Jaipur International Airport</t>
  </si>
  <si>
    <t>JAK</t>
  </si>
  <si>
    <t>MTJA</t>
  </si>
  <si>
    <t>Jacmel Airport</t>
  </si>
  <si>
    <t>JAL</t>
  </si>
  <si>
    <t>MMJA</t>
  </si>
  <si>
    <t>El Lencero Airport</t>
  </si>
  <si>
    <t>JAN</t>
  </si>
  <si>
    <t>KJAN</t>
  </si>
  <si>
    <t>Jackson-Evers International Airport</t>
  </si>
  <si>
    <t>JAS</t>
  </si>
  <si>
    <t>KJAS</t>
  </si>
  <si>
    <t>Jasper County-Bell Field</t>
  </si>
  <si>
    <t>JAU</t>
  </si>
  <si>
    <t>SPJJ</t>
  </si>
  <si>
    <t>Francisco Carle Airport</t>
  </si>
  <si>
    <t>JAV</t>
  </si>
  <si>
    <t>BGJN</t>
  </si>
  <si>
    <t>Ilulissat Airport</t>
  </si>
  <si>
    <t>JAX</t>
  </si>
  <si>
    <t>KJAX</t>
  </si>
  <si>
    <t>Jacksonville International Airport</t>
  </si>
  <si>
    <t>JBQ</t>
  </si>
  <si>
    <t>MDJB</t>
  </si>
  <si>
    <t>La Isabela International Airport</t>
  </si>
  <si>
    <t>JBR</t>
  </si>
  <si>
    <t>KJBR</t>
  </si>
  <si>
    <t>Jonesboro Municipal Airport</t>
  </si>
  <si>
    <t>JCB</t>
  </si>
  <si>
    <t>SSJA</t>
  </si>
  <si>
    <t>Santa Terezinha Airport</t>
  </si>
  <si>
    <t>JCI</t>
  </si>
  <si>
    <t>KIXD</t>
  </si>
  <si>
    <t>New Century AirCenter</t>
  </si>
  <si>
    <t>JCK</t>
  </si>
  <si>
    <t>YJLC</t>
  </si>
  <si>
    <t>Julia Creek Airport</t>
  </si>
  <si>
    <t>JCM</t>
  </si>
  <si>
    <t>SNJB</t>
  </si>
  <si>
    <t>Jacobina Airport</t>
  </si>
  <si>
    <t>JCR</t>
  </si>
  <si>
    <t>SBEK</t>
  </si>
  <si>
    <t>Jacareacanga Airport</t>
  </si>
  <si>
    <t>JCT</t>
  </si>
  <si>
    <t>KJCT</t>
  </si>
  <si>
    <t>Kimble County Airport</t>
  </si>
  <si>
    <t>JDD</t>
  </si>
  <si>
    <t>KJDD</t>
  </si>
  <si>
    <t>Wood County Airport</t>
  </si>
  <si>
    <t>JDF</t>
  </si>
  <si>
    <t>SBJF</t>
  </si>
  <si>
    <t>Francisco Alvares de Assis Airport</t>
  </si>
  <si>
    <t>JDH</t>
  </si>
  <si>
    <t>VIJO</t>
  </si>
  <si>
    <t>Jodhpur Airport</t>
  </si>
  <si>
    <t>JDN</t>
  </si>
  <si>
    <t>KJDN</t>
  </si>
  <si>
    <t>Jordan Airport</t>
  </si>
  <si>
    <t>JDO</t>
  </si>
  <si>
    <t>SBJU</t>
  </si>
  <si>
    <t>Cariri Regional Airport</t>
  </si>
  <si>
    <t>JDR</t>
  </si>
  <si>
    <t>SNJR</t>
  </si>
  <si>
    <t>Prefeito Octávio de Almeida Neves Airport</t>
  </si>
  <si>
    <t>JDZ</t>
  </si>
  <si>
    <t>ZSJD</t>
  </si>
  <si>
    <t>Jingdezhen Airport</t>
  </si>
  <si>
    <t>JED</t>
  </si>
  <si>
    <t>OEJN</t>
  </si>
  <si>
    <t>King Abdulaziz International Airport</t>
  </si>
  <si>
    <t>JEE</t>
  </si>
  <si>
    <t>MTJE</t>
  </si>
  <si>
    <t>Jérémie Airport</t>
  </si>
  <si>
    <t>JEF</t>
  </si>
  <si>
    <t>KJEF</t>
  </si>
  <si>
    <t>Jefferson City Memorial Airport</t>
  </si>
  <si>
    <t>JEG</t>
  </si>
  <si>
    <t>BGAA</t>
  </si>
  <si>
    <t>Aasiaat Airport</t>
  </si>
  <si>
    <t>JEQ</t>
  </si>
  <si>
    <t>SNJK</t>
  </si>
  <si>
    <t>Jequié Airport</t>
  </si>
  <si>
    <t>JER</t>
  </si>
  <si>
    <t>EGJJ</t>
  </si>
  <si>
    <t>Jersey Airport</t>
  </si>
  <si>
    <t>KJER</t>
  </si>
  <si>
    <t>Jerome County Airport</t>
  </si>
  <si>
    <t>JES</t>
  </si>
  <si>
    <t>KJES</t>
  </si>
  <si>
    <t>Jesup-Wayne County Airport</t>
  </si>
  <si>
    <t>JFK</t>
  </si>
  <si>
    <t>KJFK</t>
  </si>
  <si>
    <t>John F. Kennedy International Airport</t>
  </si>
  <si>
    <t>JFR</t>
  </si>
  <si>
    <t>BGPT</t>
  </si>
  <si>
    <t>Paamiut Airport</t>
  </si>
  <si>
    <t>JFX</t>
  </si>
  <si>
    <t>KJFX</t>
  </si>
  <si>
    <t>Walker County Airport (Bevill Field)</t>
  </si>
  <si>
    <t>JGA</t>
  </si>
  <si>
    <t>VAJM</t>
  </si>
  <si>
    <t>Jamnagar Airport</t>
  </si>
  <si>
    <t>JGB</t>
  </si>
  <si>
    <t>VE46</t>
  </si>
  <si>
    <t>Jagdalpur Airport</t>
  </si>
  <si>
    <t>JGG</t>
  </si>
  <si>
    <t>KJGG</t>
  </si>
  <si>
    <t>Williamsburg-Jamestown Airport</t>
  </si>
  <si>
    <t>JGN</t>
  </si>
  <si>
    <t>Jiayuguan Airport</t>
  </si>
  <si>
    <t>JGS</t>
  </si>
  <si>
    <t>ZSGS</t>
  </si>
  <si>
    <t>Jinggangshan Airport</t>
  </si>
  <si>
    <t>JHB</t>
  </si>
  <si>
    <t>WMKJ</t>
  </si>
  <si>
    <t>Sultan Ismail International Airport</t>
  </si>
  <si>
    <t>JHG</t>
  </si>
  <si>
    <t>ZPJH</t>
  </si>
  <si>
    <t>Xishuangbanna Gasa Airport</t>
  </si>
  <si>
    <t>JHL</t>
  </si>
  <si>
    <t>CAL4</t>
  </si>
  <si>
    <t>Fort MacKay/Albian Aerodrome</t>
  </si>
  <si>
    <t>JHM</t>
  </si>
  <si>
    <t>PHJH</t>
  </si>
  <si>
    <t>Kapalua Airport</t>
  </si>
  <si>
    <t>JHQ</t>
  </si>
  <si>
    <t>YSHR</t>
  </si>
  <si>
    <t>Shute Harbour Airport</t>
  </si>
  <si>
    <t>JHS</t>
  </si>
  <si>
    <t>BGSS</t>
  </si>
  <si>
    <t>Sisimiut Airport</t>
  </si>
  <si>
    <t>JHW</t>
  </si>
  <si>
    <t>KJHW</t>
  </si>
  <si>
    <t>Chautauqua County-Jamestown Airport</t>
  </si>
  <si>
    <t>JIA</t>
  </si>
  <si>
    <t>SWJN</t>
  </si>
  <si>
    <t>Juína Airport</t>
  </si>
  <si>
    <t>JIB</t>
  </si>
  <si>
    <t>HDAM</t>
  </si>
  <si>
    <t>Ambouli Airport</t>
  </si>
  <si>
    <t>JIJ</t>
  </si>
  <si>
    <t>HAJJ</t>
  </si>
  <si>
    <t>Jijiga Airport</t>
  </si>
  <si>
    <t>JIK</t>
  </si>
  <si>
    <t>LGIK</t>
  </si>
  <si>
    <t>Ikaria Airport</t>
  </si>
  <si>
    <t>JIL</t>
  </si>
  <si>
    <t>ZYJL</t>
  </si>
  <si>
    <t>Ertaizi Airport</t>
  </si>
  <si>
    <t>JIM</t>
  </si>
  <si>
    <t>HAJM</t>
  </si>
  <si>
    <t>Aba Segud Airport</t>
  </si>
  <si>
    <t>JIN</t>
  </si>
  <si>
    <t>HUJI</t>
  </si>
  <si>
    <t>Jinja Airport</t>
  </si>
  <si>
    <t>JIP</t>
  </si>
  <si>
    <t>SEJI</t>
  </si>
  <si>
    <t>Jipijapa Airport</t>
  </si>
  <si>
    <t>JIR</t>
  </si>
  <si>
    <t>VNJI</t>
  </si>
  <si>
    <t>Jiri Airport</t>
  </si>
  <si>
    <t>JIU</t>
  </si>
  <si>
    <t>ZSJJ</t>
  </si>
  <si>
    <t>Lushan Airport</t>
  </si>
  <si>
    <t>JIW</t>
  </si>
  <si>
    <t>OPJI</t>
  </si>
  <si>
    <t>Jiwani Airport</t>
  </si>
  <si>
    <t>JJI</t>
  </si>
  <si>
    <t>SPJI</t>
  </si>
  <si>
    <t>Juanjui Airport</t>
  </si>
  <si>
    <t>JJM</t>
  </si>
  <si>
    <t>HKMK</t>
  </si>
  <si>
    <t>Mulika Lodge Airport</t>
  </si>
  <si>
    <t>JJN</t>
  </si>
  <si>
    <t>ZBDX</t>
  </si>
  <si>
    <t>Quanzhou Airport</t>
  </si>
  <si>
    <t>ZSQZ</t>
  </si>
  <si>
    <t>JJU</t>
  </si>
  <si>
    <t>BGQE</t>
  </si>
  <si>
    <t>Qaqortoq Airport</t>
  </si>
  <si>
    <t>JKA</t>
  </si>
  <si>
    <t>KJKA</t>
  </si>
  <si>
    <t>Jack Edwards Airport</t>
  </si>
  <si>
    <t>JKG</t>
  </si>
  <si>
    <t>ESGJ</t>
  </si>
  <si>
    <t>Jönköping Airport</t>
  </si>
  <si>
    <t>JKH</t>
  </si>
  <si>
    <t>LGHI</t>
  </si>
  <si>
    <t>Chios Island National Airport</t>
  </si>
  <si>
    <t>JKJ</t>
  </si>
  <si>
    <t>KJKJ</t>
  </si>
  <si>
    <t>Moorhead Municipal Airport</t>
  </si>
  <si>
    <t>JKL</t>
  </si>
  <si>
    <t>LGKY</t>
  </si>
  <si>
    <t>Kalymnos Island National Airport</t>
  </si>
  <si>
    <t>JKR</t>
  </si>
  <si>
    <t>VNJP</t>
  </si>
  <si>
    <t>Janakpur Airport</t>
  </si>
  <si>
    <t>JLN</t>
  </si>
  <si>
    <t>KJLN</t>
  </si>
  <si>
    <t>Joplin Regional Airport</t>
  </si>
  <si>
    <t>JLR</t>
  </si>
  <si>
    <t>VAJB</t>
  </si>
  <si>
    <t>Jabalpur Airport</t>
  </si>
  <si>
    <t>JLS</t>
  </si>
  <si>
    <t>SDJL</t>
  </si>
  <si>
    <t>Jales Airport</t>
  </si>
  <si>
    <t>JMK</t>
  </si>
  <si>
    <t>LGMK</t>
  </si>
  <si>
    <t>Mykonos Island National Airport</t>
  </si>
  <si>
    <t>JMO</t>
  </si>
  <si>
    <t>VNJS</t>
  </si>
  <si>
    <t>Jomsom Airport</t>
  </si>
  <si>
    <t>JMR</t>
  </si>
  <si>
    <t>KJMR</t>
  </si>
  <si>
    <t>Mora Municipal Airport</t>
  </si>
  <si>
    <t>JMS</t>
  </si>
  <si>
    <t>KJMS</t>
  </si>
  <si>
    <t>Jamestown Regional Airport</t>
  </si>
  <si>
    <t>JMU</t>
  </si>
  <si>
    <t>ZYJM</t>
  </si>
  <si>
    <t>Jiamusi Airport</t>
  </si>
  <si>
    <t>JNA</t>
  </si>
  <si>
    <t>SNJN</t>
  </si>
  <si>
    <t>Januária Airport</t>
  </si>
  <si>
    <t>FAOR</t>
  </si>
  <si>
    <t>OR Tambo International Airport</t>
  </si>
  <si>
    <t>JNG</t>
  </si>
  <si>
    <t>ZLJN</t>
  </si>
  <si>
    <t>Jining Qufu Airport</t>
  </si>
  <si>
    <t>JNI</t>
  </si>
  <si>
    <t>SAAJ</t>
  </si>
  <si>
    <t>Junin Airport</t>
  </si>
  <si>
    <t>JNU</t>
  </si>
  <si>
    <t>PAJN</t>
  </si>
  <si>
    <t>Juneau International Airport</t>
  </si>
  <si>
    <t>JNX</t>
  </si>
  <si>
    <t>LGNX</t>
  </si>
  <si>
    <t>Naxos Island National Airport</t>
  </si>
  <si>
    <t>JNZ</t>
  </si>
  <si>
    <t>ZYJZ</t>
  </si>
  <si>
    <t>Jinzhou Airport</t>
  </si>
  <si>
    <t>JOE</t>
  </si>
  <si>
    <t>EFJO</t>
  </si>
  <si>
    <t>Joensuu Airport</t>
  </si>
  <si>
    <t>JOG</t>
  </si>
  <si>
    <t>WARJ</t>
  </si>
  <si>
    <t>Adi Sutjipto International Airport</t>
  </si>
  <si>
    <t>WIIJ</t>
  </si>
  <si>
    <t>Adisucipto International Airport</t>
  </si>
  <si>
    <t>JOH</t>
  </si>
  <si>
    <t>FAPJ</t>
  </si>
  <si>
    <t>Port St Johns Airport</t>
  </si>
  <si>
    <t>JOI</t>
  </si>
  <si>
    <t>SBJV</t>
  </si>
  <si>
    <t>Lauro Carneiro de Loyola Airport</t>
  </si>
  <si>
    <t>JOK</t>
  </si>
  <si>
    <t>UWKJ</t>
  </si>
  <si>
    <t>Yoshkar-Ola Airport</t>
  </si>
  <si>
    <t>JOL</t>
  </si>
  <si>
    <t>RPMJ</t>
  </si>
  <si>
    <t>Jolo Airport</t>
  </si>
  <si>
    <t>JOM</t>
  </si>
  <si>
    <t>HTNJ</t>
  </si>
  <si>
    <t>Njombe Airport</t>
  </si>
  <si>
    <t>JON</t>
  </si>
  <si>
    <t>PJON</t>
  </si>
  <si>
    <t>Johnston Atoll Airport</t>
  </si>
  <si>
    <t>JOS</t>
  </si>
  <si>
    <t>DNJO</t>
  </si>
  <si>
    <t>Yakubu Gowon Airport</t>
  </si>
  <si>
    <t>JOT</t>
  </si>
  <si>
    <t>KJOT</t>
  </si>
  <si>
    <t>Joliet Regional Airport</t>
  </si>
  <si>
    <t>JPA</t>
  </si>
  <si>
    <t>SBJP</t>
  </si>
  <si>
    <t>Presidente Castro Pinto International Airport</t>
  </si>
  <si>
    <t>JPR</t>
  </si>
  <si>
    <t>SWJI</t>
  </si>
  <si>
    <t>Ji-Paraná Airport</t>
  </si>
  <si>
    <t>JQA</t>
  </si>
  <si>
    <t>BGUQ</t>
  </si>
  <si>
    <t>Qaarsut Airport</t>
  </si>
  <si>
    <t>JQE</t>
  </si>
  <si>
    <t>MPJE</t>
  </si>
  <si>
    <t>Jaqué Airport</t>
  </si>
  <si>
    <t>JQF</t>
  </si>
  <si>
    <t>KJQF</t>
  </si>
  <si>
    <t>Concord Regional Airport</t>
  </si>
  <si>
    <t>JRF</t>
  </si>
  <si>
    <t>PHJR</t>
  </si>
  <si>
    <t>Kalaeloa Airport (John Rodgers Field)</t>
  </si>
  <si>
    <t>JRH</t>
  </si>
  <si>
    <t>VEJT</t>
  </si>
  <si>
    <t>Jorhat Airport</t>
  </si>
  <si>
    <t>JRN</t>
  </si>
  <si>
    <t>SWJU</t>
  </si>
  <si>
    <t>Juruena Airport</t>
  </si>
  <si>
    <t>JRO</t>
  </si>
  <si>
    <t>HTKJ</t>
  </si>
  <si>
    <t>Kilimanjaro International Airport</t>
  </si>
  <si>
    <t>JSA</t>
  </si>
  <si>
    <t>VIJR</t>
  </si>
  <si>
    <t>Jaisalmer Airport</t>
  </si>
  <si>
    <t>JSH</t>
  </si>
  <si>
    <t>LGST</t>
  </si>
  <si>
    <t>Sitia Airport</t>
  </si>
  <si>
    <t>JSI</t>
  </si>
  <si>
    <t>LGSK</t>
  </si>
  <si>
    <t>Skiathos Island National Airport</t>
  </si>
  <si>
    <t>JSM</t>
  </si>
  <si>
    <t>SAWS</t>
  </si>
  <si>
    <t>Jose De San Martin Airport</t>
  </si>
  <si>
    <t>JSO</t>
  </si>
  <si>
    <t>KJSO</t>
  </si>
  <si>
    <t>Cherokee County Airport</t>
  </si>
  <si>
    <t>JSR</t>
  </si>
  <si>
    <t>VGJR</t>
  </si>
  <si>
    <t>Jessore Airport</t>
  </si>
  <si>
    <t>JST</t>
  </si>
  <si>
    <t>KJST</t>
  </si>
  <si>
    <t>John Murtha Johnstown-Cambria County Airport</t>
  </si>
  <si>
    <t>JSU</t>
  </si>
  <si>
    <t>BGMQ</t>
  </si>
  <si>
    <t>Maniitsoq Airport</t>
  </si>
  <si>
    <t>JSV</t>
  </si>
  <si>
    <t>KJSV</t>
  </si>
  <si>
    <t>Sallisaw Municipal Airport</t>
  </si>
  <si>
    <t>JSY</t>
  </si>
  <si>
    <t>LGSO</t>
  </si>
  <si>
    <t>Syros Airport</t>
  </si>
  <si>
    <t>JTC</t>
  </si>
  <si>
    <t>SBAE</t>
  </si>
  <si>
    <t>Bauru - Arealva Airport</t>
  </si>
  <si>
    <t>JTR</t>
  </si>
  <si>
    <t>LGSR</t>
  </si>
  <si>
    <t>Santorini Airport</t>
  </si>
  <si>
    <t>JTY</t>
  </si>
  <si>
    <t>LGPL</t>
  </si>
  <si>
    <t>Astypalaia Airport</t>
  </si>
  <si>
    <t>JUB</t>
  </si>
  <si>
    <t>HSSJ</t>
  </si>
  <si>
    <t>Juba Airport</t>
  </si>
  <si>
    <t>JUI</t>
  </si>
  <si>
    <t>EDWJ</t>
  </si>
  <si>
    <t>Juist Airport</t>
  </si>
  <si>
    <t>JUJ</t>
  </si>
  <si>
    <t>SASJ</t>
  </si>
  <si>
    <t>Gobernador Horacio Guzmán International Airport</t>
  </si>
  <si>
    <t>JUL</t>
  </si>
  <si>
    <t>SPJL</t>
  </si>
  <si>
    <t>Inca Manco Capac Airport</t>
  </si>
  <si>
    <t>JUM</t>
  </si>
  <si>
    <t>VNJL</t>
  </si>
  <si>
    <t>Jumla Airport</t>
  </si>
  <si>
    <t>JUN</t>
  </si>
  <si>
    <t>YJDA</t>
  </si>
  <si>
    <t>Jundah Airport</t>
  </si>
  <si>
    <t>JUR</t>
  </si>
  <si>
    <t>YJNB</t>
  </si>
  <si>
    <t>Jurien Bay Airport</t>
  </si>
  <si>
    <t>JUT</t>
  </si>
  <si>
    <t>MHJU</t>
  </si>
  <si>
    <t>Juticalpa Airport</t>
  </si>
  <si>
    <t>JUV</t>
  </si>
  <si>
    <t>BGUK</t>
  </si>
  <si>
    <t>Upernavik Airport</t>
  </si>
  <si>
    <t>JUZ</t>
  </si>
  <si>
    <t>ZSJU</t>
  </si>
  <si>
    <t>Quzhou Airport</t>
  </si>
  <si>
    <t>ZUJZ</t>
  </si>
  <si>
    <t>Huanglong Airport</t>
  </si>
  <si>
    <t>JVA</t>
  </si>
  <si>
    <t>FMMK</t>
  </si>
  <si>
    <t>Ankavandra Airport</t>
  </si>
  <si>
    <t>JVL</t>
  </si>
  <si>
    <t>KJVL</t>
  </si>
  <si>
    <t>Southern Wisconsin Regional Airport</t>
  </si>
  <si>
    <t>JVM</t>
  </si>
  <si>
    <t>PAJV</t>
  </si>
  <si>
    <t>Jonesville Mine Airport</t>
  </si>
  <si>
    <t>JVY</t>
  </si>
  <si>
    <t>KJVY</t>
  </si>
  <si>
    <t>Clark Regional Airport</t>
  </si>
  <si>
    <t>JWA</t>
  </si>
  <si>
    <t>FBJW</t>
  </si>
  <si>
    <t>Jwaneng Airport</t>
  </si>
  <si>
    <t>JWG</t>
  </si>
  <si>
    <t>KJWG</t>
  </si>
  <si>
    <t>Watonga Regional Airport</t>
  </si>
  <si>
    <t>JWN</t>
  </si>
  <si>
    <t>KJWN</t>
  </si>
  <si>
    <t>John C. Tune Airport</t>
  </si>
  <si>
    <t>JWY</t>
  </si>
  <si>
    <t>KJWY</t>
  </si>
  <si>
    <t>Mid-Way Regional Airport</t>
  </si>
  <si>
    <t>JXI</t>
  </si>
  <si>
    <t>KJXI</t>
  </si>
  <si>
    <t>Gilmer Municipal Airport (Fox Stephens Field)</t>
  </si>
  <si>
    <t>JXN</t>
  </si>
  <si>
    <t>KJXN</t>
  </si>
  <si>
    <t>Jackson County Airport (Reynolds Field)</t>
  </si>
  <si>
    <t>JYG</t>
  </si>
  <si>
    <t>KJYG</t>
  </si>
  <si>
    <t>St. James Municipal Airport</t>
  </si>
  <si>
    <t>JYL</t>
  </si>
  <si>
    <t>KJYL</t>
  </si>
  <si>
    <t>Plantation Airpark</t>
  </si>
  <si>
    <t>JYM</t>
  </si>
  <si>
    <t>KJYM</t>
  </si>
  <si>
    <t>Hillsdale Municipal Airport</t>
  </si>
  <si>
    <t>JYO</t>
  </si>
  <si>
    <t>KJYO</t>
  </si>
  <si>
    <t>Leesburg Executive Airport</t>
  </si>
  <si>
    <t>JYR</t>
  </si>
  <si>
    <t>KJYR</t>
  </si>
  <si>
    <t>York Municipal Airport</t>
  </si>
  <si>
    <t>JYV</t>
  </si>
  <si>
    <t>EFJY</t>
  </si>
  <si>
    <t>Jyväskylä Airport</t>
  </si>
  <si>
    <t>JZH</t>
  </si>
  <si>
    <t>Jiuzhai Huanglong Airport</t>
  </si>
  <si>
    <t>JZI</t>
  </si>
  <si>
    <t>KJZI</t>
  </si>
  <si>
    <t>Charleston Executive Airport</t>
  </si>
  <si>
    <t>JZP</t>
  </si>
  <si>
    <t>KJZP</t>
  </si>
  <si>
    <t>Pickens County Airport</t>
  </si>
  <si>
    <t>JZZ</t>
  </si>
  <si>
    <t>PAJZ</t>
  </si>
  <si>
    <t>Koliganek Airport</t>
  </si>
  <si>
    <t>KAA</t>
  </si>
  <si>
    <t>FLKS</t>
  </si>
  <si>
    <t>Kasama Airport</t>
  </si>
  <si>
    <t>KAB</t>
  </si>
  <si>
    <t>FVKB</t>
  </si>
  <si>
    <t>Kariba International Airport</t>
  </si>
  <si>
    <t>KAC</t>
  </si>
  <si>
    <t>OSKL</t>
  </si>
  <si>
    <t>Al Qamishli Airport</t>
  </si>
  <si>
    <t>KAD</t>
  </si>
  <si>
    <t>DNKA</t>
  </si>
  <si>
    <t>Kaduna Airport</t>
  </si>
  <si>
    <t>KAG</t>
  </si>
  <si>
    <t>RKNN</t>
  </si>
  <si>
    <t>Gangneung Airbase</t>
  </si>
  <si>
    <t>KAJ</t>
  </si>
  <si>
    <t>EFKI</t>
  </si>
  <si>
    <t>Kajaani Airport</t>
  </si>
  <si>
    <t>KAL</t>
  </si>
  <si>
    <t>PAKV</t>
  </si>
  <si>
    <t>Kaltag Airport</t>
  </si>
  <si>
    <t>KAN</t>
  </si>
  <si>
    <t>DNKN</t>
  </si>
  <si>
    <t>Mallam Aminu International Airport</t>
  </si>
  <si>
    <t>KAO</t>
  </si>
  <si>
    <t>EFKS</t>
  </si>
  <si>
    <t>Kuusamo Airport</t>
  </si>
  <si>
    <t>KAP</t>
  </si>
  <si>
    <t>FZSK</t>
  </si>
  <si>
    <t>Kapanga Airport</t>
  </si>
  <si>
    <t>KAR</t>
  </si>
  <si>
    <t>SYKM</t>
  </si>
  <si>
    <t>Kamarang Airport</t>
  </si>
  <si>
    <t>KAT</t>
  </si>
  <si>
    <t>NZKT</t>
  </si>
  <si>
    <t>Kaitaia Airport</t>
  </si>
  <si>
    <t>KAU</t>
  </si>
  <si>
    <t>EFKA</t>
  </si>
  <si>
    <t>Kauhava Airport</t>
  </si>
  <si>
    <t>KAV</t>
  </si>
  <si>
    <t>SVKA</t>
  </si>
  <si>
    <t>Kavanayen Airport</t>
  </si>
  <si>
    <t>KAW</t>
  </si>
  <si>
    <t>VYKT</t>
  </si>
  <si>
    <t>Kawthoung Airport</t>
  </si>
  <si>
    <t>KAX</t>
  </si>
  <si>
    <t>YKBR</t>
  </si>
  <si>
    <t>Kalbarri Airport</t>
  </si>
  <si>
    <t>KAY</t>
  </si>
  <si>
    <t>NFNW</t>
  </si>
  <si>
    <t>Wakaya Island Airport</t>
  </si>
  <si>
    <t>KAZ</t>
  </si>
  <si>
    <t>WAMK</t>
  </si>
  <si>
    <t>Kao Airport</t>
  </si>
  <si>
    <t>KBB</t>
  </si>
  <si>
    <t>YKIR</t>
  </si>
  <si>
    <t>Kirkimbie Station Airport</t>
  </si>
  <si>
    <t>KBG</t>
  </si>
  <si>
    <t>HUKF</t>
  </si>
  <si>
    <t>Kabalega Falls Airport</t>
  </si>
  <si>
    <t>KBH</t>
  </si>
  <si>
    <t>OPKL</t>
  </si>
  <si>
    <t>Kalat Airport</t>
  </si>
  <si>
    <t>KBI</t>
  </si>
  <si>
    <t>FKKB</t>
  </si>
  <si>
    <t>Kribi Airport</t>
  </si>
  <si>
    <t>KBL</t>
  </si>
  <si>
    <t>OAKB</t>
  </si>
  <si>
    <t>Kabul International Airport</t>
  </si>
  <si>
    <t>KBN</t>
  </si>
  <si>
    <t>FZWT</t>
  </si>
  <si>
    <t>Tunta Airport</t>
  </si>
  <si>
    <t>KBO</t>
  </si>
  <si>
    <t>FZRM</t>
  </si>
  <si>
    <t>Kabalo Airport</t>
  </si>
  <si>
    <t>KBP</t>
  </si>
  <si>
    <t>UKBB</t>
  </si>
  <si>
    <t>Boryspil Airport</t>
  </si>
  <si>
    <t>KBQ</t>
  </si>
  <si>
    <t>FWKG</t>
  </si>
  <si>
    <t>Kasungu Airport</t>
  </si>
  <si>
    <t>KBR</t>
  </si>
  <si>
    <t>WMKC</t>
  </si>
  <si>
    <t>Sultan Ismail Petra Airport</t>
  </si>
  <si>
    <t>KBU</t>
  </si>
  <si>
    <t>WAOK</t>
  </si>
  <si>
    <t>Stagen Airport</t>
  </si>
  <si>
    <t>KBV</t>
  </si>
  <si>
    <t>VTSG</t>
  </si>
  <si>
    <t>Krabi Airport</t>
  </si>
  <si>
    <t>KBY</t>
  </si>
  <si>
    <t>YKBY</t>
  </si>
  <si>
    <t>Streaky Bay Airport</t>
  </si>
  <si>
    <t>KBZ</t>
  </si>
  <si>
    <t>NZKI</t>
  </si>
  <si>
    <t>Kaikoura Airport</t>
  </si>
  <si>
    <t>KCA</t>
  </si>
  <si>
    <t>ZWKC</t>
  </si>
  <si>
    <t>Kuqa Airport</t>
  </si>
  <si>
    <t>KCE</t>
  </si>
  <si>
    <t>YCSV</t>
  </si>
  <si>
    <t>Collinsville Airport</t>
  </si>
  <si>
    <t>KCH</t>
  </si>
  <si>
    <t>WBGG</t>
  </si>
  <si>
    <t>Kuching International Airport</t>
  </si>
  <si>
    <t>KCM</t>
  </si>
  <si>
    <t>LTCN</t>
  </si>
  <si>
    <t>Kahramanmara? Airport</t>
  </si>
  <si>
    <t>KCO</t>
  </si>
  <si>
    <t>LTBQ</t>
  </si>
  <si>
    <t>Cengiz Topel Airport</t>
  </si>
  <si>
    <t>KCS</t>
  </si>
  <si>
    <t>YKCS</t>
  </si>
  <si>
    <t>Kings Creek Airport</t>
  </si>
  <si>
    <t>KCT</t>
  </si>
  <si>
    <t>VCCK</t>
  </si>
  <si>
    <t>Koggala Airport</t>
  </si>
  <si>
    <t>VCII</t>
  </si>
  <si>
    <t>KCU</t>
  </si>
  <si>
    <t>HUMI</t>
  </si>
  <si>
    <t>Masindi Airport</t>
  </si>
  <si>
    <t>KCZ</t>
  </si>
  <si>
    <t>RJOK</t>
  </si>
  <si>
    <t>Kochi Airport</t>
  </si>
  <si>
    <t>KDA</t>
  </si>
  <si>
    <t>GODK</t>
  </si>
  <si>
    <t>Kolda North Airport</t>
  </si>
  <si>
    <t>GOGK</t>
  </si>
  <si>
    <t>KDC</t>
  </si>
  <si>
    <t>DBBK</t>
  </si>
  <si>
    <t>Kandi Airport</t>
  </si>
  <si>
    <t>KDD</t>
  </si>
  <si>
    <t>OPKH</t>
  </si>
  <si>
    <t>Khuzdar Airport</t>
  </si>
  <si>
    <t>KDH</t>
  </si>
  <si>
    <t>OAKN</t>
  </si>
  <si>
    <t>Kandahar International Airport</t>
  </si>
  <si>
    <t>KDI</t>
  </si>
  <si>
    <t>WAWW</t>
  </si>
  <si>
    <t>Wolter Monginsidi Airport</t>
  </si>
  <si>
    <t>KDJ</t>
  </si>
  <si>
    <t>FOGJ</t>
  </si>
  <si>
    <t>Ville Airport</t>
  </si>
  <si>
    <t>KDL</t>
  </si>
  <si>
    <t>EEKA</t>
  </si>
  <si>
    <t>Kärdla Airport</t>
  </si>
  <si>
    <t>KDM</t>
  </si>
  <si>
    <t>VRMT</t>
  </si>
  <si>
    <t>Kaadedhdhoo Airport</t>
  </si>
  <si>
    <t>KDN</t>
  </si>
  <si>
    <t>FOGE</t>
  </si>
  <si>
    <t>Ndende Airport</t>
  </si>
  <si>
    <t>KDO</t>
  </si>
  <si>
    <t>VRMK</t>
  </si>
  <si>
    <t>Kadhdhoo Airport</t>
  </si>
  <si>
    <t>KDU</t>
  </si>
  <si>
    <t>OPSD</t>
  </si>
  <si>
    <t>Skardu Airport</t>
  </si>
  <si>
    <t>KDV</t>
  </si>
  <si>
    <t>NFKD</t>
  </si>
  <si>
    <t>Vunisea Airport</t>
  </si>
  <si>
    <t>KDX</t>
  </si>
  <si>
    <t>HSLI</t>
  </si>
  <si>
    <t>Kadugli Airport</t>
  </si>
  <si>
    <t>KEC</t>
  </si>
  <si>
    <t>FZQG</t>
  </si>
  <si>
    <t>Kasenga Airport</t>
  </si>
  <si>
    <t>KED</t>
  </si>
  <si>
    <t>GQNK</t>
  </si>
  <si>
    <t>Kaédi Airport</t>
  </si>
  <si>
    <t>KEE</t>
  </si>
  <si>
    <t>FCOK</t>
  </si>
  <si>
    <t>Kelle Airport</t>
  </si>
  <si>
    <t>KEF</t>
  </si>
  <si>
    <t>BIKF</t>
  </si>
  <si>
    <t>Keflavík International Airport</t>
  </si>
  <si>
    <t>KEI</t>
  </si>
  <si>
    <t>WAKP</t>
  </si>
  <si>
    <t>Kepi Airport</t>
  </si>
  <si>
    <t>KEJ</t>
  </si>
  <si>
    <t>UNEE</t>
  </si>
  <si>
    <t>Kemerovo Airport</t>
  </si>
  <si>
    <t>KEK</t>
  </si>
  <si>
    <t>Ekwok Airport</t>
  </si>
  <si>
    <t>KEL</t>
  </si>
  <si>
    <t>EDHK</t>
  </si>
  <si>
    <t>Kiel-Holtenau Airport</t>
  </si>
  <si>
    <t>KEM</t>
  </si>
  <si>
    <t>EFKE</t>
  </si>
  <si>
    <t>Kemi-Tornio Airport</t>
  </si>
  <si>
    <t>KEO</t>
  </si>
  <si>
    <t>DIOD</t>
  </si>
  <si>
    <t>Odienne Airport</t>
  </si>
  <si>
    <t>KEP</t>
  </si>
  <si>
    <t>VNNG</t>
  </si>
  <si>
    <t>Nepalgunj Airport</t>
  </si>
  <si>
    <t>KEQ</t>
  </si>
  <si>
    <t>WASE</t>
  </si>
  <si>
    <t>Kebar Airport</t>
  </si>
  <si>
    <t>KER</t>
  </si>
  <si>
    <t>OIKK</t>
  </si>
  <si>
    <t>Kerman Airport</t>
  </si>
  <si>
    <t>KET</t>
  </si>
  <si>
    <t>VYKG</t>
  </si>
  <si>
    <t>Kengtung Airport</t>
  </si>
  <si>
    <t>KEV</t>
  </si>
  <si>
    <t>EFHA</t>
  </si>
  <si>
    <t>Halli Airport</t>
  </si>
  <si>
    <t>KEY</t>
  </si>
  <si>
    <t>HKKR</t>
  </si>
  <si>
    <t>Kericho Airport</t>
  </si>
  <si>
    <t>KFA</t>
  </si>
  <si>
    <t>GQNF</t>
  </si>
  <si>
    <t>Kiffa Airport</t>
  </si>
  <si>
    <t>KFE</t>
  </si>
  <si>
    <t>YFDF</t>
  </si>
  <si>
    <t>Fortescue - Dave Forrest Aerodrome</t>
  </si>
  <si>
    <t>KFG</t>
  </si>
  <si>
    <t>YKKG</t>
  </si>
  <si>
    <t>Kalkgurung Airport</t>
  </si>
  <si>
    <t>KFP</t>
  </si>
  <si>
    <t>PAKF</t>
  </si>
  <si>
    <t>False Pass Airport</t>
  </si>
  <si>
    <t>KFS</t>
  </si>
  <si>
    <t>LTAL</t>
  </si>
  <si>
    <t>Kastamonu Airport</t>
  </si>
  <si>
    <t>KGA</t>
  </si>
  <si>
    <t>FZUA</t>
  </si>
  <si>
    <t>Kananga Airport</t>
  </si>
  <si>
    <t>KGC</t>
  </si>
  <si>
    <t>YKSC</t>
  </si>
  <si>
    <t>Kingscote Airport</t>
  </si>
  <si>
    <t>KGD</t>
  </si>
  <si>
    <t>UMKK</t>
  </si>
  <si>
    <t>Khrabrovo Airport</t>
  </si>
  <si>
    <t>KGE</t>
  </si>
  <si>
    <t>AGKG</t>
  </si>
  <si>
    <t>Kagau Island Airport</t>
  </si>
  <si>
    <t>KGF</t>
  </si>
  <si>
    <t>UAKK</t>
  </si>
  <si>
    <t>Sary-Arka Airport</t>
  </si>
  <si>
    <t>KGG</t>
  </si>
  <si>
    <t>GOTK</t>
  </si>
  <si>
    <t>Kédougou Airport</t>
  </si>
  <si>
    <t>KGI</t>
  </si>
  <si>
    <t>YPKG</t>
  </si>
  <si>
    <t>Kalgoorlie-Boulder Airport</t>
  </si>
  <si>
    <t>KGJ</t>
  </si>
  <si>
    <t>FWKA</t>
  </si>
  <si>
    <t>Karonga Airport</t>
  </si>
  <si>
    <t>KGL</t>
  </si>
  <si>
    <t>HRYR</t>
  </si>
  <si>
    <t>Kigali International Airport</t>
  </si>
  <si>
    <t>KGO</t>
  </si>
  <si>
    <t>UKKG</t>
  </si>
  <si>
    <t>Kirovograd</t>
  </si>
  <si>
    <t>KGP</t>
  </si>
  <si>
    <t>USRK</t>
  </si>
  <si>
    <t>Kogalym Airport</t>
  </si>
  <si>
    <t>KGS</t>
  </si>
  <si>
    <t>LGKO</t>
  </si>
  <si>
    <t>Kos Island International Airport, Hippocrates</t>
  </si>
  <si>
    <t>KGU</t>
  </si>
  <si>
    <t>WBKG</t>
  </si>
  <si>
    <t>Keningau Airport</t>
  </si>
  <si>
    <t>KGY</t>
  </si>
  <si>
    <t>YKRY</t>
  </si>
  <si>
    <t>Kingaroy Airport</t>
  </si>
  <si>
    <t>KHC</t>
  </si>
  <si>
    <t>UKFK</t>
  </si>
  <si>
    <t>Kerch Airport</t>
  </si>
  <si>
    <t>KHD</t>
  </si>
  <si>
    <t>OICK</t>
  </si>
  <si>
    <t>Khoram Abad Airport</t>
  </si>
  <si>
    <t>KHE</t>
  </si>
  <si>
    <t>UKOH</t>
  </si>
  <si>
    <t>Chernobayevka Airport</t>
  </si>
  <si>
    <t>KHG</t>
  </si>
  <si>
    <t>ZWSH</t>
  </si>
  <si>
    <t>Kashgar Airport (Kashi Airport)</t>
  </si>
  <si>
    <t>KHH</t>
  </si>
  <si>
    <t>RCKH</t>
  </si>
  <si>
    <t>Kaohsiung International Airport</t>
  </si>
  <si>
    <t>KHI</t>
  </si>
  <si>
    <t>OPKC</t>
  </si>
  <si>
    <t>Jinnah International Airport (Quaid-e-Azam International Air</t>
  </si>
  <si>
    <t>KHJ</t>
  </si>
  <si>
    <t>EFKJ</t>
  </si>
  <si>
    <t>Kauhajoki Airport</t>
  </si>
  <si>
    <t>KHK</t>
  </si>
  <si>
    <t>OIBQ</t>
  </si>
  <si>
    <t>Khark Island Airport</t>
  </si>
  <si>
    <t>KHM</t>
  </si>
  <si>
    <t>VYKI</t>
  </si>
  <si>
    <t>Kanti Airport</t>
  </si>
  <si>
    <t>KHN</t>
  </si>
  <si>
    <t>ZSCN</t>
  </si>
  <si>
    <t>Nanchang Changbei International Airport</t>
  </si>
  <si>
    <t>KHS</t>
  </si>
  <si>
    <t>OOKB</t>
  </si>
  <si>
    <t>Khasab Air Base</t>
  </si>
  <si>
    <t>KHT</t>
  </si>
  <si>
    <t>OAKS</t>
  </si>
  <si>
    <t>Khost Airport</t>
  </si>
  <si>
    <t>KHV</t>
  </si>
  <si>
    <t>UHHH</t>
  </si>
  <si>
    <t>Khabarovsk Novy Airport</t>
  </si>
  <si>
    <t>KHW</t>
  </si>
  <si>
    <t>FBKR</t>
  </si>
  <si>
    <t>Khwai River Lodge Airport</t>
  </si>
  <si>
    <t>KHY</t>
  </si>
  <si>
    <t>OITK</t>
  </si>
  <si>
    <t>Khoy Airport</t>
  </si>
  <si>
    <t>KHZ</t>
  </si>
  <si>
    <t>NTKA</t>
  </si>
  <si>
    <t>Kauehi Airport</t>
  </si>
  <si>
    <t>KIA</t>
  </si>
  <si>
    <t>PKSA</t>
  </si>
  <si>
    <t>Kaieteur International Airport</t>
  </si>
  <si>
    <t>KIC</t>
  </si>
  <si>
    <t>KKIC</t>
  </si>
  <si>
    <t>Mesa Del Rey Airport</t>
  </si>
  <si>
    <t>KID</t>
  </si>
  <si>
    <t>ESMK</t>
  </si>
  <si>
    <t>Kristianstad Airport</t>
  </si>
  <si>
    <t>KIF</t>
  </si>
  <si>
    <t>CNM5</t>
  </si>
  <si>
    <t>Kingfisher Lake Airport</t>
  </si>
  <si>
    <t>KIH</t>
  </si>
  <si>
    <t>OIBK</t>
  </si>
  <si>
    <t>Kish International Airport</t>
  </si>
  <si>
    <t>KIJ</t>
  </si>
  <si>
    <t>RJSN</t>
  </si>
  <si>
    <t>Niigata Airport</t>
  </si>
  <si>
    <t>KIK</t>
  </si>
  <si>
    <t>ORKK</t>
  </si>
  <si>
    <t>Kirkuk Air Base</t>
  </si>
  <si>
    <t>KIM</t>
  </si>
  <si>
    <t>FAKM</t>
  </si>
  <si>
    <t>Kimberley Airport</t>
  </si>
  <si>
    <t>KIN</t>
  </si>
  <si>
    <t>MKJP</t>
  </si>
  <si>
    <t>Norman Manley International Airport</t>
  </si>
  <si>
    <t>KIO</t>
  </si>
  <si>
    <t>Q51</t>
  </si>
  <si>
    <t>Kili Airport</t>
  </si>
  <si>
    <t>KIP</t>
  </si>
  <si>
    <t>KCWC</t>
  </si>
  <si>
    <t>Kickapoo Downtown Airport</t>
  </si>
  <si>
    <t>KIR</t>
  </si>
  <si>
    <t>EIKY</t>
  </si>
  <si>
    <t>Kerry Airport</t>
  </si>
  <si>
    <t>KIS</t>
  </si>
  <si>
    <t>HKKI</t>
  </si>
  <si>
    <t>Kisumu Airport</t>
  </si>
  <si>
    <t>KIT</t>
  </si>
  <si>
    <t>LGKC</t>
  </si>
  <si>
    <t>Kithira Airport</t>
  </si>
  <si>
    <t>KIV</t>
  </si>
  <si>
    <t>LUKK</t>
  </si>
  <si>
    <t>Chi?in?u International Airport</t>
  </si>
  <si>
    <t>KIW</t>
  </si>
  <si>
    <t>FLSO</t>
  </si>
  <si>
    <t>Southdowns Airport</t>
  </si>
  <si>
    <t>KIX</t>
  </si>
  <si>
    <t>RJBB</t>
  </si>
  <si>
    <t>Kansai International Airport</t>
  </si>
  <si>
    <t>KIY</t>
  </si>
  <si>
    <t>HTKI</t>
  </si>
  <si>
    <t>Kilwa Masoko Airport</t>
  </si>
  <si>
    <t>KJA</t>
  </si>
  <si>
    <t>UNKL</t>
  </si>
  <si>
    <t>Krasnoyarsk Yemelyanovo Airport</t>
  </si>
  <si>
    <t>KJK</t>
  </si>
  <si>
    <t>EBKT</t>
  </si>
  <si>
    <t>Wevelgem Airport</t>
  </si>
  <si>
    <t>EBTK</t>
  </si>
  <si>
    <t>Kortrijk-Wevelgem International Airport</t>
  </si>
  <si>
    <t>KJP</t>
  </si>
  <si>
    <t>ROKR</t>
  </si>
  <si>
    <t>Kerama Airport</t>
  </si>
  <si>
    <t>KKA</t>
  </si>
  <si>
    <t>PAKK</t>
  </si>
  <si>
    <t>Koyuk Alfred Adams Airport</t>
  </si>
  <si>
    <t>KKC</t>
  </si>
  <si>
    <t>VTUK</t>
  </si>
  <si>
    <t>Khon Kaen Airport</t>
  </si>
  <si>
    <t>KKE</t>
  </si>
  <si>
    <t>NZKK</t>
  </si>
  <si>
    <t>Bay of Islands Airport</t>
  </si>
  <si>
    <t>KKJ</t>
  </si>
  <si>
    <t>RJFR</t>
  </si>
  <si>
    <t>New Kitakyushu Airport</t>
  </si>
  <si>
    <t>KKM</t>
  </si>
  <si>
    <t>VTBH</t>
  </si>
  <si>
    <t>Sa Pran Nak Airport</t>
  </si>
  <si>
    <t>VTBL</t>
  </si>
  <si>
    <t>Khok Kathiam Airport</t>
  </si>
  <si>
    <t>KKN</t>
  </si>
  <si>
    <t>ENKR</t>
  </si>
  <si>
    <t>Kirkenes Airport, Høybuktmoen</t>
  </si>
  <si>
    <t>KKO</t>
  </si>
  <si>
    <t>NZKO</t>
  </si>
  <si>
    <t>Kaikohe Airport</t>
  </si>
  <si>
    <t>KKP</t>
  </si>
  <si>
    <t>YKLB</t>
  </si>
  <si>
    <t>Koolburra Airport</t>
  </si>
  <si>
    <t>KKR</t>
  </si>
  <si>
    <t>NTGK</t>
  </si>
  <si>
    <t>Kaukura Airport</t>
  </si>
  <si>
    <t>KKW</t>
  </si>
  <si>
    <t>FZCA</t>
  </si>
  <si>
    <t>Kikwit Airport</t>
  </si>
  <si>
    <t>KKX</t>
  </si>
  <si>
    <t>RJKI</t>
  </si>
  <si>
    <t>Kikai Airport</t>
  </si>
  <si>
    <t>KKY</t>
  </si>
  <si>
    <t>EIKK</t>
  </si>
  <si>
    <t>Kilkenny Airport</t>
  </si>
  <si>
    <t>KKZ</t>
  </si>
  <si>
    <t>VDKK</t>
  </si>
  <si>
    <t>Kaoh Kong Airport</t>
  </si>
  <si>
    <t>KLB</t>
  </si>
  <si>
    <t>FLKL</t>
  </si>
  <si>
    <t>Kalabo Airport</t>
  </si>
  <si>
    <t>KLC</t>
  </si>
  <si>
    <t>GOOK</t>
  </si>
  <si>
    <t>Kaolack Airport</t>
  </si>
  <si>
    <t>KLD</t>
  </si>
  <si>
    <t>UUEM</t>
  </si>
  <si>
    <t>Mialovo Airport</t>
  </si>
  <si>
    <t>KLE</t>
  </si>
  <si>
    <t>FKKH</t>
  </si>
  <si>
    <t>Kaélé Airport</t>
  </si>
  <si>
    <t>KLG</t>
  </si>
  <si>
    <t>PALG</t>
  </si>
  <si>
    <t>Kalskag Airport</t>
  </si>
  <si>
    <t>KLH</t>
  </si>
  <si>
    <t>VAKP</t>
  </si>
  <si>
    <t>Kolhapur Airport</t>
  </si>
  <si>
    <t>KLI</t>
  </si>
  <si>
    <t>FZFP</t>
  </si>
  <si>
    <t>Kotakoli Airport</t>
  </si>
  <si>
    <t>KLJ</t>
  </si>
  <si>
    <t>EYKL</t>
  </si>
  <si>
    <t>Klaipeda Airport</t>
  </si>
  <si>
    <t>KLK</t>
  </si>
  <si>
    <t>HKFG</t>
  </si>
  <si>
    <t>Kalokol Airport</t>
  </si>
  <si>
    <t>KLO</t>
  </si>
  <si>
    <t>RPVK</t>
  </si>
  <si>
    <t>Kalibo International Airport</t>
  </si>
  <si>
    <t>KLQ</t>
  </si>
  <si>
    <t>WIPV</t>
  </si>
  <si>
    <t>Keluang Airport</t>
  </si>
  <si>
    <t>KLR</t>
  </si>
  <si>
    <t>ESMQ</t>
  </si>
  <si>
    <t>Kalmar Airport</t>
  </si>
  <si>
    <t>KLS</t>
  </si>
  <si>
    <t>KKLS</t>
  </si>
  <si>
    <t>Kelso-Longview Airport</t>
  </si>
  <si>
    <t>KLU</t>
  </si>
  <si>
    <t>LOWK</t>
  </si>
  <si>
    <t>Klagenfurt Airport</t>
  </si>
  <si>
    <t>KLV</t>
  </si>
  <si>
    <t>LKKV</t>
  </si>
  <si>
    <t>Karlovy Vary Airport</t>
  </si>
  <si>
    <t>KLW</t>
  </si>
  <si>
    <t>KLX</t>
  </si>
  <si>
    <t>LGKL</t>
  </si>
  <si>
    <t>Kalamata Airport</t>
  </si>
  <si>
    <t>KLY</t>
  </si>
  <si>
    <t>FZOD</t>
  </si>
  <si>
    <t>Kinkungwa Airport</t>
  </si>
  <si>
    <t>KLZ</t>
  </si>
  <si>
    <t>FAKZ</t>
  </si>
  <si>
    <t>Kleinsee Airport</t>
  </si>
  <si>
    <t>KMA</t>
  </si>
  <si>
    <t>AYKM</t>
  </si>
  <si>
    <t>Kerema Airport</t>
  </si>
  <si>
    <t>KMG</t>
  </si>
  <si>
    <t>ZPPP</t>
  </si>
  <si>
    <t>Kunming Wujiaba International Airport</t>
  </si>
  <si>
    <t>KMH</t>
  </si>
  <si>
    <t>FAKU</t>
  </si>
  <si>
    <t>Johan Pienaar Airport</t>
  </si>
  <si>
    <t>KMI</t>
  </si>
  <si>
    <t>RJFM</t>
  </si>
  <si>
    <t>Miyazaki Airport</t>
  </si>
  <si>
    <t>KMJ</t>
  </si>
  <si>
    <t>RJFT</t>
  </si>
  <si>
    <t>Kumamoto Airport</t>
  </si>
  <si>
    <t>KMK</t>
  </si>
  <si>
    <t>FCPA</t>
  </si>
  <si>
    <t>Makabana Airport</t>
  </si>
  <si>
    <t>KML</t>
  </si>
  <si>
    <t>YKML</t>
  </si>
  <si>
    <t>Kamileroi Airport</t>
  </si>
  <si>
    <t>KMN</t>
  </si>
  <si>
    <t>FZSA</t>
  </si>
  <si>
    <t>Kamina Base Airport</t>
  </si>
  <si>
    <t>KMP</t>
  </si>
  <si>
    <t>FYKT</t>
  </si>
  <si>
    <t>Keetmanshoop Airport</t>
  </si>
  <si>
    <t>KMQ</t>
  </si>
  <si>
    <t>RJNK</t>
  </si>
  <si>
    <t>Komatsu Airport</t>
  </si>
  <si>
    <t>KMS</t>
  </si>
  <si>
    <t>DGSI</t>
  </si>
  <si>
    <t>Kumasi Airport</t>
  </si>
  <si>
    <t>KMU</t>
  </si>
  <si>
    <t>HCMK</t>
  </si>
  <si>
    <t>Kisimayu Airport</t>
  </si>
  <si>
    <t>KMV</t>
  </si>
  <si>
    <t>VYKL</t>
  </si>
  <si>
    <t>Kalay Airport</t>
  </si>
  <si>
    <t>KMW</t>
  </si>
  <si>
    <t>UUBA</t>
  </si>
  <si>
    <t>Kostroma Sokerkino Airport</t>
  </si>
  <si>
    <t>KMX</t>
  </si>
  <si>
    <t>OEKM</t>
  </si>
  <si>
    <t>King Khaled Air Base</t>
  </si>
  <si>
    <t>KMZ</t>
  </si>
  <si>
    <t>FLKO</t>
  </si>
  <si>
    <t>Kaoma Airport</t>
  </si>
  <si>
    <t>KNA</t>
  </si>
  <si>
    <t>SCVM</t>
  </si>
  <si>
    <t>Viña del mar Airport</t>
  </si>
  <si>
    <t>KNB</t>
  </si>
  <si>
    <t>KKNB</t>
  </si>
  <si>
    <t>Kanab Municipal Airport</t>
  </si>
  <si>
    <t>KND</t>
  </si>
  <si>
    <t>FZOA</t>
  </si>
  <si>
    <t>Kindu Airport</t>
  </si>
  <si>
    <t>KNG</t>
  </si>
  <si>
    <t>WASK</t>
  </si>
  <si>
    <t>Kaimana Airport</t>
  </si>
  <si>
    <t>KNH</t>
  </si>
  <si>
    <t>RCBS</t>
  </si>
  <si>
    <t>Kinmen Airport</t>
  </si>
  <si>
    <t>KNI</t>
  </si>
  <si>
    <t>YKNG</t>
  </si>
  <si>
    <t>Katanning Airport</t>
  </si>
  <si>
    <t>KNJ</t>
  </si>
  <si>
    <t>FCBK</t>
  </si>
  <si>
    <t>Kindamba Airport</t>
  </si>
  <si>
    <t>KNM</t>
  </si>
  <si>
    <t>FZTK</t>
  </si>
  <si>
    <t>Kaniama Airport</t>
  </si>
  <si>
    <t>KNN</t>
  </si>
  <si>
    <t>GUXN</t>
  </si>
  <si>
    <t>Kankan Airport</t>
  </si>
  <si>
    <t>KNQ</t>
  </si>
  <si>
    <t>NWWD</t>
  </si>
  <si>
    <t>Koné Airport</t>
  </si>
  <si>
    <t>KNR</t>
  </si>
  <si>
    <t>OIBJ</t>
  </si>
  <si>
    <t>Jam Airport</t>
  </si>
  <si>
    <t>KNS</t>
  </si>
  <si>
    <t>YKII</t>
  </si>
  <si>
    <t>King Island Airport</t>
  </si>
  <si>
    <t>KNU</t>
  </si>
  <si>
    <t>VIKA</t>
  </si>
  <si>
    <t>Kanpur Airport</t>
  </si>
  <si>
    <t>KNW</t>
  </si>
  <si>
    <t>PANW</t>
  </si>
  <si>
    <t>New Stuyahok Airport</t>
  </si>
  <si>
    <t>KNX</t>
  </si>
  <si>
    <t>YPKU</t>
  </si>
  <si>
    <t>Kununurra Airport? Kununurra, Western Australia</t>
  </si>
  <si>
    <t>KNZ</t>
  </si>
  <si>
    <t>GAKA</t>
  </si>
  <si>
    <t>Kenieba Airport</t>
  </si>
  <si>
    <t>KOA</t>
  </si>
  <si>
    <t>PHKO</t>
  </si>
  <si>
    <t>Kona International Airport</t>
  </si>
  <si>
    <t>KOC</t>
  </si>
  <si>
    <t>NWWK</t>
  </si>
  <si>
    <t>Koumac Airport</t>
  </si>
  <si>
    <t>KOE</t>
  </si>
  <si>
    <t>WATT</t>
  </si>
  <si>
    <t>El Tari Airport</t>
  </si>
  <si>
    <t>KOF</t>
  </si>
  <si>
    <t>FAKP</t>
  </si>
  <si>
    <t>Komatipoort Airport</t>
  </si>
  <si>
    <t>KOI</t>
  </si>
  <si>
    <t>EGPA</t>
  </si>
  <si>
    <t>Kirkwall Airport</t>
  </si>
  <si>
    <t>KOJ</t>
  </si>
  <si>
    <t>RJFK</t>
  </si>
  <si>
    <t>Kagoshima Airport</t>
  </si>
  <si>
    <t>KOK</t>
  </si>
  <si>
    <t>EFKK</t>
  </si>
  <si>
    <t>Kruunupyy Airport</t>
  </si>
  <si>
    <t>KOO</t>
  </si>
  <si>
    <t>FZRQ</t>
  </si>
  <si>
    <t>Kongolo Airport</t>
  </si>
  <si>
    <t>KOP</t>
  </si>
  <si>
    <t>VTUW</t>
  </si>
  <si>
    <t>Nakhon Phanom Airport</t>
  </si>
  <si>
    <t>KOS</t>
  </si>
  <si>
    <t>VDSV</t>
  </si>
  <si>
    <t>Sihanoukville International Airport</t>
  </si>
  <si>
    <t>KOU</t>
  </si>
  <si>
    <t>FOGK</t>
  </si>
  <si>
    <t>Koulamoutou Airport</t>
  </si>
  <si>
    <t>KOV</t>
  </si>
  <si>
    <t>UACK</t>
  </si>
  <si>
    <t>Kokshetau Airport</t>
  </si>
  <si>
    <t>KOW</t>
  </si>
  <si>
    <t>ZSGZ</t>
  </si>
  <si>
    <t>Ganzhou Huangjin Airport</t>
  </si>
  <si>
    <t>KOX</t>
  </si>
  <si>
    <t>WABN</t>
  </si>
  <si>
    <t>Kokonau Airport</t>
  </si>
  <si>
    <t>KPC</t>
  </si>
  <si>
    <t>PAPC</t>
  </si>
  <si>
    <t>Port Clarence Coast Guard Station</t>
  </si>
  <si>
    <t>KPI</t>
  </si>
  <si>
    <t>WBGP</t>
  </si>
  <si>
    <t>Kapit Airport</t>
  </si>
  <si>
    <t>KPO</t>
  </si>
  <si>
    <t>RKTH</t>
  </si>
  <si>
    <t>Pohang Airport</t>
  </si>
  <si>
    <t>KPS</t>
  </si>
  <si>
    <t>YKMP</t>
  </si>
  <si>
    <t>Kempsey Airport</t>
  </si>
  <si>
    <t>KQT</t>
  </si>
  <si>
    <t>UTDT</t>
  </si>
  <si>
    <t>Qurghonteppa International Airport</t>
  </si>
  <si>
    <t>KRA</t>
  </si>
  <si>
    <t>YKER</t>
  </si>
  <si>
    <t>Kerang Airport</t>
  </si>
  <si>
    <t>KRB</t>
  </si>
  <si>
    <t>YKMB</t>
  </si>
  <si>
    <t>Karumba Airport</t>
  </si>
  <si>
    <t>KRF</t>
  </si>
  <si>
    <t>ESNK</t>
  </si>
  <si>
    <t>Kramfors Sollefteä Airport</t>
  </si>
  <si>
    <t>KRG</t>
  </si>
  <si>
    <t>SYKS</t>
  </si>
  <si>
    <t>Karasabai Airport</t>
  </si>
  <si>
    <t>KRH</t>
  </si>
  <si>
    <t>EGKR</t>
  </si>
  <si>
    <t>Redhill Aerodrome</t>
  </si>
  <si>
    <t>KRI</t>
  </si>
  <si>
    <t>AYKK</t>
  </si>
  <si>
    <t>Kikori Airport</t>
  </si>
  <si>
    <t>KRK</t>
  </si>
  <si>
    <t>EPKK</t>
  </si>
  <si>
    <t>John Paul II International Airport</t>
  </si>
  <si>
    <t>KRL</t>
  </si>
  <si>
    <t>ZWKL</t>
  </si>
  <si>
    <t>Korla Airport</t>
  </si>
  <si>
    <t>KRM</t>
  </si>
  <si>
    <t>SYKR</t>
  </si>
  <si>
    <t>Karanambo Airport</t>
  </si>
  <si>
    <t>KRN</t>
  </si>
  <si>
    <t>ESNQ</t>
  </si>
  <si>
    <t>Kiruna Airport</t>
  </si>
  <si>
    <t>KRO</t>
  </si>
  <si>
    <t>USUU</t>
  </si>
  <si>
    <t>Kurgan Airport</t>
  </si>
  <si>
    <t>KRP</t>
  </si>
  <si>
    <t>EKKA</t>
  </si>
  <si>
    <t>Karup Airport</t>
  </si>
  <si>
    <t>KRQ</t>
  </si>
  <si>
    <t>UKCK</t>
  </si>
  <si>
    <t>Kramatorsk Airport</t>
  </si>
  <si>
    <t>KRR</t>
  </si>
  <si>
    <t>URKK</t>
  </si>
  <si>
    <t>Pashkovsky Airport</t>
  </si>
  <si>
    <t>KRS</t>
  </si>
  <si>
    <t>ENCN</t>
  </si>
  <si>
    <t>Kristiansand Airport, Kjevik</t>
  </si>
  <si>
    <t>KRT</t>
  </si>
  <si>
    <t>HSSS</t>
  </si>
  <si>
    <t>Khartoum International Airport</t>
  </si>
  <si>
    <t>KRW</t>
  </si>
  <si>
    <t>UTAK</t>
  </si>
  <si>
    <t>Turkmenbashi Airport</t>
  </si>
  <si>
    <t>KRY</t>
  </si>
  <si>
    <t>ZWKM</t>
  </si>
  <si>
    <t>Karamay Airport</t>
  </si>
  <si>
    <t>KRZ</t>
  </si>
  <si>
    <t>FZBT</t>
  </si>
  <si>
    <t>Basango Mboliasa Airport</t>
  </si>
  <si>
    <t>KSA</t>
  </si>
  <si>
    <t>PTSA</t>
  </si>
  <si>
    <t>Kosrae International Airport</t>
  </si>
  <si>
    <t>KSC</t>
  </si>
  <si>
    <t>LZKZ</t>
  </si>
  <si>
    <t>Ko?ice Airport</t>
  </si>
  <si>
    <t>KSD</t>
  </si>
  <si>
    <t>ESOK</t>
  </si>
  <si>
    <t>Karlstad Airport</t>
  </si>
  <si>
    <t>KSE</t>
  </si>
  <si>
    <t>HUKS</t>
  </si>
  <si>
    <t>Kasese Airport</t>
  </si>
  <si>
    <t>KSF</t>
  </si>
  <si>
    <t>EDVK</t>
  </si>
  <si>
    <t>Kassel-Calden Airport</t>
  </si>
  <si>
    <t>KSH</t>
  </si>
  <si>
    <t>OICC</t>
  </si>
  <si>
    <t>Kermanshah Airport</t>
  </si>
  <si>
    <t>KSI</t>
  </si>
  <si>
    <t>GUKU</t>
  </si>
  <si>
    <t>Kissidougou Airport</t>
  </si>
  <si>
    <t>KSJ</t>
  </si>
  <si>
    <t>LGKS</t>
  </si>
  <si>
    <t>Kasos Airport</t>
  </si>
  <si>
    <t>KSK</t>
  </si>
  <si>
    <t>ESKK</t>
  </si>
  <si>
    <t>Karlskoga Airport</t>
  </si>
  <si>
    <t>KSL</t>
  </si>
  <si>
    <t>HSKA</t>
  </si>
  <si>
    <t>Kassala Airport</t>
  </si>
  <si>
    <t>KSM</t>
  </si>
  <si>
    <t>PASM</t>
  </si>
  <si>
    <t>KSN</t>
  </si>
  <si>
    <t>UAUU</t>
  </si>
  <si>
    <t>Kostanay Airport</t>
  </si>
  <si>
    <t>KSO</t>
  </si>
  <si>
    <t>LGKA</t>
  </si>
  <si>
    <t>Kastoria National Airport</t>
  </si>
  <si>
    <t>KSQ</t>
  </si>
  <si>
    <t>UTSL</t>
  </si>
  <si>
    <t>Karshi Khanabad Airport</t>
  </si>
  <si>
    <t>KSS</t>
  </si>
  <si>
    <t>GASK</t>
  </si>
  <si>
    <t>Sikasso Airport</t>
  </si>
  <si>
    <t>KST</t>
  </si>
  <si>
    <t>HSKI</t>
  </si>
  <si>
    <t>Kosti Airport</t>
  </si>
  <si>
    <t>KSU</t>
  </si>
  <si>
    <t>ENKB</t>
  </si>
  <si>
    <t>Kristiansund Airport, Kvernberget</t>
  </si>
  <si>
    <t>KSV</t>
  </si>
  <si>
    <t>YSPV</t>
  </si>
  <si>
    <t>Springvale Airport</t>
  </si>
  <si>
    <t>KSW</t>
  </si>
  <si>
    <t>LLKS</t>
  </si>
  <si>
    <t>Qiryat Shemona Airport</t>
  </si>
  <si>
    <t>KSY</t>
  </si>
  <si>
    <t>LTCF</t>
  </si>
  <si>
    <t>Kars Airport</t>
  </si>
  <si>
    <t>KSZ</t>
  </si>
  <si>
    <t>ULKK</t>
  </si>
  <si>
    <t>Kotlas Airport</t>
  </si>
  <si>
    <t>KTA</t>
  </si>
  <si>
    <t>YPKA</t>
  </si>
  <si>
    <t>Karratha Airport</t>
  </si>
  <si>
    <t>KTD</t>
  </si>
  <si>
    <t>RORK</t>
  </si>
  <si>
    <t>Kitadaito Airport</t>
  </si>
  <si>
    <t>KTE</t>
  </si>
  <si>
    <t>WMKE</t>
  </si>
  <si>
    <t>Kerteh Airport</t>
  </si>
  <si>
    <t>KTF</t>
  </si>
  <si>
    <t>NZTK</t>
  </si>
  <si>
    <t>Takaka Airport</t>
  </si>
  <si>
    <t>KTG</t>
  </si>
  <si>
    <t>WIOK</t>
  </si>
  <si>
    <t>Ketapang(Rahadi Usman) Airport</t>
  </si>
  <si>
    <t>KTI</t>
  </si>
  <si>
    <t>VDKT</t>
  </si>
  <si>
    <t>Kratie Airport</t>
  </si>
  <si>
    <t>KTL</t>
  </si>
  <si>
    <t>HKKT</t>
  </si>
  <si>
    <t>Kitale Airport</t>
  </si>
  <si>
    <t>KTM</t>
  </si>
  <si>
    <t>VNKT</t>
  </si>
  <si>
    <t>Tribhuvan International Airport</t>
  </si>
  <si>
    <t>KTN</t>
  </si>
  <si>
    <t>PAKT</t>
  </si>
  <si>
    <t>Ketchikan International Airport</t>
  </si>
  <si>
    <t>KTO</t>
  </si>
  <si>
    <t>SYKT</t>
  </si>
  <si>
    <t>Kato Airport</t>
  </si>
  <si>
    <t>KTP</t>
  </si>
  <si>
    <t>MKTP</t>
  </si>
  <si>
    <t>Tinson Pen Aerodrome</t>
  </si>
  <si>
    <t>KTQ</t>
  </si>
  <si>
    <t>EFIT</t>
  </si>
  <si>
    <t>Kitee Airport</t>
  </si>
  <si>
    <t>KTR</t>
  </si>
  <si>
    <t>YPTN</t>
  </si>
  <si>
    <t>Tindal Airport</t>
  </si>
  <si>
    <t>KTT</t>
  </si>
  <si>
    <t>EFKT</t>
  </si>
  <si>
    <t>Kittilä Airport</t>
  </si>
  <si>
    <t>KTU</t>
  </si>
  <si>
    <t>VIKO</t>
  </si>
  <si>
    <t>Kota Airport</t>
  </si>
  <si>
    <t>KTW</t>
  </si>
  <si>
    <t>EPKT</t>
  </si>
  <si>
    <t>Katowice International Airport</t>
  </si>
  <si>
    <t>KTX</t>
  </si>
  <si>
    <t>GAKO</t>
  </si>
  <si>
    <t>Koutiala Airport</t>
  </si>
  <si>
    <t>KUA</t>
  </si>
  <si>
    <t>WMKD</t>
  </si>
  <si>
    <t>Kuantan Airport</t>
  </si>
  <si>
    <t>KUC</t>
  </si>
  <si>
    <t>NGKT</t>
  </si>
  <si>
    <t>Kuria Airport</t>
  </si>
  <si>
    <t>KUD</t>
  </si>
  <si>
    <t>WBKT</t>
  </si>
  <si>
    <t>Kudat Airport</t>
  </si>
  <si>
    <t>KUF</t>
  </si>
  <si>
    <t>UWWW</t>
  </si>
  <si>
    <t>Kurumoch International Airport</t>
  </si>
  <si>
    <t>KUG</t>
  </si>
  <si>
    <t>YKUB</t>
  </si>
  <si>
    <t>Kubin Airport</t>
  </si>
  <si>
    <t>KUH</t>
  </si>
  <si>
    <t>RJCK</t>
  </si>
  <si>
    <t>Kushiro Airport</t>
  </si>
  <si>
    <t>KUL</t>
  </si>
  <si>
    <t>WMKK</t>
  </si>
  <si>
    <t>Kuala Lumpur International Airport</t>
  </si>
  <si>
    <t>KUM</t>
  </si>
  <si>
    <t>RJFC</t>
  </si>
  <si>
    <t>Yakushima Airport</t>
  </si>
  <si>
    <t>KUN</t>
  </si>
  <si>
    <t>EYKA</t>
  </si>
  <si>
    <t>Kaunas International Airport</t>
  </si>
  <si>
    <t>KUO</t>
  </si>
  <si>
    <t>EFKU</t>
  </si>
  <si>
    <t>Kuopio Airport</t>
  </si>
  <si>
    <t>KUR</t>
  </si>
  <si>
    <t>OARZ</t>
  </si>
  <si>
    <t>Razer Airport</t>
  </si>
  <si>
    <t>KUS</t>
  </si>
  <si>
    <t>BGKK</t>
  </si>
  <si>
    <t>Metropolitan Area Airport</t>
  </si>
  <si>
    <t>KUT</t>
  </si>
  <si>
    <t>UGKO</t>
  </si>
  <si>
    <t>Kopitnari Airport</t>
  </si>
  <si>
    <t>KUU</t>
  </si>
  <si>
    <t>VIBR</t>
  </si>
  <si>
    <t>Bhuntar Airport</t>
  </si>
  <si>
    <t>KUV</t>
  </si>
  <si>
    <t>RKJK</t>
  </si>
  <si>
    <t>Gunsan Airport</t>
  </si>
  <si>
    <t>KVA</t>
  </si>
  <si>
    <t>LGKV</t>
  </si>
  <si>
    <t>Alexander the Great International Airport</t>
  </si>
  <si>
    <t>KVB</t>
  </si>
  <si>
    <t>ESGR</t>
  </si>
  <si>
    <t>Skövde Airport</t>
  </si>
  <si>
    <t>KVC</t>
  </si>
  <si>
    <t>PAVC</t>
  </si>
  <si>
    <t>King Cove Airport</t>
  </si>
  <si>
    <t>KVD</t>
  </si>
  <si>
    <t>UBBG</t>
  </si>
  <si>
    <t>Ganja Airport</t>
  </si>
  <si>
    <t>KVG</t>
  </si>
  <si>
    <t>AYKV</t>
  </si>
  <si>
    <t>Kavieng Airport</t>
  </si>
  <si>
    <t>KVK</t>
  </si>
  <si>
    <t>ULMK</t>
  </si>
  <si>
    <t>Kirovsk-Apatity Airport</t>
  </si>
  <si>
    <t>KVL</t>
  </si>
  <si>
    <t>PAVL</t>
  </si>
  <si>
    <t>Kivalina Airport</t>
  </si>
  <si>
    <t>KVX</t>
  </si>
  <si>
    <t>USKK</t>
  </si>
  <si>
    <t>Pobedilovo Airport</t>
  </si>
  <si>
    <t>KWA</t>
  </si>
  <si>
    <t>PKWA</t>
  </si>
  <si>
    <t>Kwajalein Atoll Airport</t>
  </si>
  <si>
    <t>KWB</t>
  </si>
  <si>
    <t>WICM</t>
  </si>
  <si>
    <t>Karimunjawa Airport</t>
  </si>
  <si>
    <t>KWE</t>
  </si>
  <si>
    <t>ZUGY</t>
  </si>
  <si>
    <t>Guiyang Longdongbao Airport</t>
  </si>
  <si>
    <t>KWG</t>
  </si>
  <si>
    <t>UKDR</t>
  </si>
  <si>
    <t>Kryvyi Rih International Airport</t>
  </si>
  <si>
    <t>KWH</t>
  </si>
  <si>
    <t>OAHN</t>
  </si>
  <si>
    <t>Khwahan Airport</t>
  </si>
  <si>
    <t>KWI</t>
  </si>
  <si>
    <t>OKBK</t>
  </si>
  <si>
    <t>Kuwait International Airport</t>
  </si>
  <si>
    <t>KWJ</t>
  </si>
  <si>
    <t>RKJJ</t>
  </si>
  <si>
    <t>Gwangju Airport</t>
  </si>
  <si>
    <t>KWL</t>
  </si>
  <si>
    <t>ZGKL</t>
  </si>
  <si>
    <t>Guilin Liangjiang International Airport</t>
  </si>
  <si>
    <t>KWM</t>
  </si>
  <si>
    <t>YKOW</t>
  </si>
  <si>
    <t>Kowanyama Airport</t>
  </si>
  <si>
    <t>KWZ</t>
  </si>
  <si>
    <t>FZQM</t>
  </si>
  <si>
    <t>Kolwezi Airport</t>
  </si>
  <si>
    <t>KXE</t>
  </si>
  <si>
    <t>FAKD</t>
  </si>
  <si>
    <t>P C Pelser Airport</t>
  </si>
  <si>
    <t>KXF</t>
  </si>
  <si>
    <t>NFNO</t>
  </si>
  <si>
    <t>Koro Airport</t>
  </si>
  <si>
    <t>KXK</t>
  </si>
  <si>
    <t>UHKK</t>
  </si>
  <si>
    <t>Komsomolsk-on-Amur Airport</t>
  </si>
  <si>
    <t>KYA</t>
  </si>
  <si>
    <t>LTAN</t>
  </si>
  <si>
    <t>Konya Airport</t>
  </si>
  <si>
    <t>KYD</t>
  </si>
  <si>
    <t>RCLY</t>
  </si>
  <si>
    <t>Lanyu Airport</t>
  </si>
  <si>
    <t>KYE</t>
  </si>
  <si>
    <t>OLKA</t>
  </si>
  <si>
    <t>Rene Mouawad Air Base</t>
  </si>
  <si>
    <t>KYF</t>
  </si>
  <si>
    <t>YYLR</t>
  </si>
  <si>
    <t>Yeelirrie Airport</t>
  </si>
  <si>
    <t>KYI</t>
  </si>
  <si>
    <t>YYTA</t>
  </si>
  <si>
    <t>Yalata Mission Airport</t>
  </si>
  <si>
    <t>KYK</t>
  </si>
  <si>
    <t>PAKY</t>
  </si>
  <si>
    <t>Karluk Airport</t>
  </si>
  <si>
    <t>KYP</t>
  </si>
  <si>
    <t>VYKP</t>
  </si>
  <si>
    <t>Kyaukpyu Airport</t>
  </si>
  <si>
    <t>KYS</t>
  </si>
  <si>
    <t>GAKY</t>
  </si>
  <si>
    <t>Kayes Dag Dag Airport</t>
  </si>
  <si>
    <t>KYT</t>
  </si>
  <si>
    <t>VYKU</t>
  </si>
  <si>
    <t>Kyauktu Airport</t>
  </si>
  <si>
    <t>KYZ</t>
  </si>
  <si>
    <t>UNKY</t>
  </si>
  <si>
    <t>Kyzyl Airport</t>
  </si>
  <si>
    <t>KZC</t>
  </si>
  <si>
    <t>VDKH</t>
  </si>
  <si>
    <t>Kampong Chhnang Airport</t>
  </si>
  <si>
    <t>KZI</t>
  </si>
  <si>
    <t>LGKZ</t>
  </si>
  <si>
    <t>Philippos Airport</t>
  </si>
  <si>
    <t>KZN</t>
  </si>
  <si>
    <t>UWKD</t>
  </si>
  <si>
    <t>Kazan International Airport</t>
  </si>
  <si>
    <t>KZO</t>
  </si>
  <si>
    <t>UAOO</t>
  </si>
  <si>
    <t>Kyzylorda Airport</t>
  </si>
  <si>
    <t>KZS</t>
  </si>
  <si>
    <t>LGKJ</t>
  </si>
  <si>
    <t>Kastelorizo Island Public Airport</t>
  </si>
  <si>
    <t>LAA</t>
  </si>
  <si>
    <t>KLAA</t>
  </si>
  <si>
    <t>Lamar Municipal Airport</t>
  </si>
  <si>
    <t>LAD</t>
  </si>
  <si>
    <t>FNLU</t>
  </si>
  <si>
    <t>Quatro De Fevereiro Airport</t>
  </si>
  <si>
    <t>LAE</t>
  </si>
  <si>
    <t>AYNZ</t>
  </si>
  <si>
    <t>Lae Nadzab Airport</t>
  </si>
  <si>
    <t>LAF</t>
  </si>
  <si>
    <t>KLAF</t>
  </si>
  <si>
    <t>Purdue University Airport</t>
  </si>
  <si>
    <t>LAH</t>
  </si>
  <si>
    <t>WAPH</t>
  </si>
  <si>
    <t>Oesman Sadik Airport, Labuha</t>
  </si>
  <si>
    <t>LAI</t>
  </si>
  <si>
    <t>LFRO</t>
  </si>
  <si>
    <t>Lannion - Côte de Granit Airport</t>
  </si>
  <si>
    <t>LAJ</t>
  </si>
  <si>
    <t>SBLJ</t>
  </si>
  <si>
    <t>Lages Airport</t>
  </si>
  <si>
    <t>LAK</t>
  </si>
  <si>
    <t>CYKD</t>
  </si>
  <si>
    <t>Aklavik Airport</t>
  </si>
  <si>
    <t>LAL</t>
  </si>
  <si>
    <t>KLAL</t>
  </si>
  <si>
    <t>Lakeland Linder Regional Airport</t>
  </si>
  <si>
    <t>LAM</t>
  </si>
  <si>
    <t>KLAM</t>
  </si>
  <si>
    <t>Los Alamos Airport</t>
  </si>
  <si>
    <t>LAN</t>
  </si>
  <si>
    <t>KLAN</t>
  </si>
  <si>
    <t>Lansing Capital City Airport</t>
  </si>
  <si>
    <t>LAO</t>
  </si>
  <si>
    <t>RPLI</t>
  </si>
  <si>
    <t>Laoag International Airport</t>
  </si>
  <si>
    <t>LAP</t>
  </si>
  <si>
    <t>MMLP</t>
  </si>
  <si>
    <t>Manuel Márquez de León International Airport</t>
  </si>
  <si>
    <t>LAQ</t>
  </si>
  <si>
    <t>HLLQ</t>
  </si>
  <si>
    <t>La Abraq Airport</t>
  </si>
  <si>
    <t>LAR</t>
  </si>
  <si>
    <t>KLAR</t>
  </si>
  <si>
    <t>Laramie Regional Airport</t>
  </si>
  <si>
    <t>LAS</t>
  </si>
  <si>
    <t>KLAS</t>
  </si>
  <si>
    <t>LAU</t>
  </si>
  <si>
    <t>HKLU</t>
  </si>
  <si>
    <t>Manda Airstrip</t>
  </si>
  <si>
    <t>LAW</t>
  </si>
  <si>
    <t>KLAW</t>
  </si>
  <si>
    <t>Lawton-Fort Sill Regional Airport</t>
  </si>
  <si>
    <t>LAX</t>
  </si>
  <si>
    <t>KLAX</t>
  </si>
  <si>
    <t>Los Angeles International Airport</t>
  </si>
  <si>
    <t>LAY</t>
  </si>
  <si>
    <t>FALY</t>
  </si>
  <si>
    <t>Ladysmith Airport</t>
  </si>
  <si>
    <t>LAZ</t>
  </si>
  <si>
    <t>SBLP</t>
  </si>
  <si>
    <t>Bom Jesus da Lapa Airport</t>
  </si>
  <si>
    <t>LBA</t>
  </si>
  <si>
    <t>EGNM</t>
  </si>
  <si>
    <t>Leeds Bradford Airport</t>
  </si>
  <si>
    <t>LBB</t>
  </si>
  <si>
    <t>KLBB</t>
  </si>
  <si>
    <t>Lubbock Preston Smith International Airport</t>
  </si>
  <si>
    <t>LBC</t>
  </si>
  <si>
    <t>EDHL</t>
  </si>
  <si>
    <t>Lübeck Airport</t>
  </si>
  <si>
    <t>LBD</t>
  </si>
  <si>
    <t>UTDL</t>
  </si>
  <si>
    <t>Khudzhand Airport</t>
  </si>
  <si>
    <t>LBE</t>
  </si>
  <si>
    <t>KLBE</t>
  </si>
  <si>
    <t>Arnold Palmer Regional Airport</t>
  </si>
  <si>
    <t>LBF</t>
  </si>
  <si>
    <t>KLBF</t>
  </si>
  <si>
    <t>North Platte Regional Airport (Lee Bird Field)</t>
  </si>
  <si>
    <t>LBG</t>
  </si>
  <si>
    <t>LFPB</t>
  </si>
  <si>
    <t>Paris - Le Bourget Airport</t>
  </si>
  <si>
    <t>LBI</t>
  </si>
  <si>
    <t>LFCI</t>
  </si>
  <si>
    <t>Le Sequestre Airport</t>
  </si>
  <si>
    <t>LBJ</t>
  </si>
  <si>
    <t>WATO</t>
  </si>
  <si>
    <t>Komodo Airport</t>
  </si>
  <si>
    <t>LBL</t>
  </si>
  <si>
    <t>KLBL</t>
  </si>
  <si>
    <t>Liberal Municipal Airport</t>
  </si>
  <si>
    <t>LBO</t>
  </si>
  <si>
    <t>FZVI</t>
  </si>
  <si>
    <t>Lusambo Airport</t>
  </si>
  <si>
    <t>KLBO</t>
  </si>
  <si>
    <t>Floyd W. Jones Lebanon Airport</t>
  </si>
  <si>
    <t>LBQ</t>
  </si>
  <si>
    <t>FOGR</t>
  </si>
  <si>
    <t>Lambarene Airport</t>
  </si>
  <si>
    <t>LBR</t>
  </si>
  <si>
    <t>SWLB</t>
  </si>
  <si>
    <t>Lábrea Airport</t>
  </si>
  <si>
    <t>KLBR</t>
  </si>
  <si>
    <t>Clarksville/Red River County Airport (J.D. Trissell Field)</t>
  </si>
  <si>
    <t>LBS</t>
  </si>
  <si>
    <t>NFNL</t>
  </si>
  <si>
    <t>Labasa Airport</t>
  </si>
  <si>
    <t>LBT</t>
  </si>
  <si>
    <t>KLBT</t>
  </si>
  <si>
    <t>Lumberton Municipal Airport</t>
  </si>
  <si>
    <t>LBU</t>
  </si>
  <si>
    <t>WBKL</t>
  </si>
  <si>
    <t>Labuan Airport</t>
  </si>
  <si>
    <t>LBV</t>
  </si>
  <si>
    <t>FOOL</t>
  </si>
  <si>
    <t>Leon M'Ba International Airport</t>
  </si>
  <si>
    <t>LBW</t>
  </si>
  <si>
    <t>WRLB</t>
  </si>
  <si>
    <t>Long Bawan Airport</t>
  </si>
  <si>
    <t>LBX</t>
  </si>
  <si>
    <t>RPLU</t>
  </si>
  <si>
    <t>Lubang Airport</t>
  </si>
  <si>
    <t>KLBX</t>
  </si>
  <si>
    <t>Brazoria County Airport</t>
  </si>
  <si>
    <t>LBY</t>
  </si>
  <si>
    <t>LFRE</t>
  </si>
  <si>
    <t>La Baule-Escoublac Airport</t>
  </si>
  <si>
    <t>LCA</t>
  </si>
  <si>
    <t>LCLK</t>
  </si>
  <si>
    <t>Larnaca International Airport</t>
  </si>
  <si>
    <t>LCC</t>
  </si>
  <si>
    <t>LIBN</t>
  </si>
  <si>
    <t>Lecce Airport</t>
  </si>
  <si>
    <t>LCD</t>
  </si>
  <si>
    <t>FALO</t>
  </si>
  <si>
    <t>Louis Trichardt Airport</t>
  </si>
  <si>
    <t>LCE</t>
  </si>
  <si>
    <t>MHLC</t>
  </si>
  <si>
    <t>Goloson International Airport</t>
  </si>
  <si>
    <t>LCG</t>
  </si>
  <si>
    <t>LECO</t>
  </si>
  <si>
    <t>La Coruña Airport</t>
  </si>
  <si>
    <t>KLCG</t>
  </si>
  <si>
    <t>Wayne Municipal Airport</t>
  </si>
  <si>
    <t>LCH</t>
  </si>
  <si>
    <t>KLCH</t>
  </si>
  <si>
    <t>Lake Charles Regional Airport</t>
  </si>
  <si>
    <t>LCI</t>
  </si>
  <si>
    <t>KLCI</t>
  </si>
  <si>
    <t>Laconia Municipal Airport</t>
  </si>
  <si>
    <t>LCJ</t>
  </si>
  <si>
    <t>EPLL</t>
  </si>
  <si>
    <t>?ód? W?adys?aw Reymont Airport</t>
  </si>
  <si>
    <t>LCK</t>
  </si>
  <si>
    <t>KLCK</t>
  </si>
  <si>
    <t>Rickenbacker International Airport</t>
  </si>
  <si>
    <t>LCL</t>
  </si>
  <si>
    <t>MULM</t>
  </si>
  <si>
    <t>La Coloma Airport</t>
  </si>
  <si>
    <t>LCM</t>
  </si>
  <si>
    <t>SACC</t>
  </si>
  <si>
    <t>La Cumbre Airport</t>
  </si>
  <si>
    <t>LCN</t>
  </si>
  <si>
    <t>YBLC</t>
  </si>
  <si>
    <t>Balcanoona Airport</t>
  </si>
  <si>
    <t>LCO</t>
  </si>
  <si>
    <t>FCBL</t>
  </si>
  <si>
    <t>Lague Airport</t>
  </si>
  <si>
    <t>LCQ</t>
  </si>
  <si>
    <t>KLCQ</t>
  </si>
  <si>
    <t>Lake City Municipal Airport</t>
  </si>
  <si>
    <t>LCV</t>
  </si>
  <si>
    <t>LIQL</t>
  </si>
  <si>
    <t>Lucca / Tassignano Airport</t>
  </si>
  <si>
    <t>LCX</t>
  </si>
  <si>
    <t>ZSLD</t>
  </si>
  <si>
    <t>Longyan Guanzhishan Airport</t>
  </si>
  <si>
    <t>LCY</t>
  </si>
  <si>
    <t>EGLC</t>
  </si>
  <si>
    <t>London City Airport</t>
  </si>
  <si>
    <t>LDA</t>
  </si>
  <si>
    <t>VEMH</t>
  </si>
  <si>
    <t>Malda Airport</t>
  </si>
  <si>
    <t>LDB</t>
  </si>
  <si>
    <t>SBLO</t>
  </si>
  <si>
    <t>Londrina - Aeroporto de Londrina</t>
  </si>
  <si>
    <t>LDC</t>
  </si>
  <si>
    <t>YLIN</t>
  </si>
  <si>
    <t>Lindeman Island Airport</t>
  </si>
  <si>
    <t>LDE</t>
  </si>
  <si>
    <t>LFBT</t>
  </si>
  <si>
    <t>Tarbes - Lourdes Pyrenees Airport</t>
  </si>
  <si>
    <t>LDH</t>
  </si>
  <si>
    <t>YLHI</t>
  </si>
  <si>
    <t>Lord Howe Island Airport</t>
  </si>
  <si>
    <t>LDI</t>
  </si>
  <si>
    <t>HTLI</t>
  </si>
  <si>
    <t>Kikwetu Airport</t>
  </si>
  <si>
    <t>LDJ</t>
  </si>
  <si>
    <t>KLDJ</t>
  </si>
  <si>
    <t>Linden Airport</t>
  </si>
  <si>
    <t>LDK</t>
  </si>
  <si>
    <t>ESGL</t>
  </si>
  <si>
    <t>Lidköping-Hovby Airport</t>
  </si>
  <si>
    <t>LDM</t>
  </si>
  <si>
    <t>KLDM</t>
  </si>
  <si>
    <t>Mason County Airport</t>
  </si>
  <si>
    <t>LDN</t>
  </si>
  <si>
    <t>VNLD</t>
  </si>
  <si>
    <t>Lamidanda Airport</t>
  </si>
  <si>
    <t>LDU</t>
  </si>
  <si>
    <t>WBKD</t>
  </si>
  <si>
    <t>Lahad Datu Airport</t>
  </si>
  <si>
    <t>LDV</t>
  </si>
  <si>
    <t>LFRJ</t>
  </si>
  <si>
    <t>Landivisiau Air Base</t>
  </si>
  <si>
    <t>LDX</t>
  </si>
  <si>
    <t>SOOM</t>
  </si>
  <si>
    <t>Saint-Laurent-du-Maroni Airport</t>
  </si>
  <si>
    <t>LDY</t>
  </si>
  <si>
    <t>EGAE</t>
  </si>
  <si>
    <t>City of Derry Airport (Londonderry Eglinton Airport)</t>
  </si>
  <si>
    <t>LDZ</t>
  </si>
  <si>
    <t>FALD</t>
  </si>
  <si>
    <t>Londolozi Airport</t>
  </si>
  <si>
    <t>LEA</t>
  </si>
  <si>
    <t>YPLM</t>
  </si>
  <si>
    <t>Learmonth Airport</t>
  </si>
  <si>
    <t>LEB</t>
  </si>
  <si>
    <t>KLEB</t>
  </si>
  <si>
    <t>Lebanon Municipal Airport</t>
  </si>
  <si>
    <t>LEC</t>
  </si>
  <si>
    <t>SBLE</t>
  </si>
  <si>
    <t>Chapada Diamantina Airport</t>
  </si>
  <si>
    <t>LED</t>
  </si>
  <si>
    <t>ULLI</t>
  </si>
  <si>
    <t>Pulkovo Airport, Rzhevka Airport</t>
  </si>
  <si>
    <t>LEE</t>
  </si>
  <si>
    <t>KLEE</t>
  </si>
  <si>
    <t>Leesburg International Airport</t>
  </si>
  <si>
    <t>LEF</t>
  </si>
  <si>
    <t>FXLK</t>
  </si>
  <si>
    <t>Lebakeng Airport</t>
  </si>
  <si>
    <t>LEH</t>
  </si>
  <si>
    <t>LFOH</t>
  </si>
  <si>
    <t>Le Havre Octeville Airport</t>
  </si>
  <si>
    <t>LEI</t>
  </si>
  <si>
    <t>LEAM</t>
  </si>
  <si>
    <t>Almería International Airport</t>
  </si>
  <si>
    <t>LEJ</t>
  </si>
  <si>
    <t>EDDP</t>
  </si>
  <si>
    <t>Leipzig/Halle Airport</t>
  </si>
  <si>
    <t>LEK</t>
  </si>
  <si>
    <t>GULB</t>
  </si>
  <si>
    <t>Labe Airport</t>
  </si>
  <si>
    <t>LEL</t>
  </si>
  <si>
    <t>YLEV</t>
  </si>
  <si>
    <t>Lake Evella Airport</t>
  </si>
  <si>
    <t>LEM</t>
  </si>
  <si>
    <t>KLEM</t>
  </si>
  <si>
    <t>Lemmon Municipal Airport</t>
  </si>
  <si>
    <t>LEN</t>
  </si>
  <si>
    <t>LELN</t>
  </si>
  <si>
    <t>Leon Airport</t>
  </si>
  <si>
    <t>LEP</t>
  </si>
  <si>
    <t>SNDN</t>
  </si>
  <si>
    <t>Leopoldina Airport</t>
  </si>
  <si>
    <t>LEQ</t>
  </si>
  <si>
    <t>EGHC</t>
  </si>
  <si>
    <t>Land's End Airport</t>
  </si>
  <si>
    <t>LER</t>
  </si>
  <si>
    <t>YLST</t>
  </si>
  <si>
    <t>Leinster Airport</t>
  </si>
  <si>
    <t>LES</t>
  </si>
  <si>
    <t>FXLS</t>
  </si>
  <si>
    <t>Lesobeng Airport</t>
  </si>
  <si>
    <t>LET</t>
  </si>
  <si>
    <t>SKLT</t>
  </si>
  <si>
    <t>Leticia General Alfredo Vasquez Cobo International Airport</t>
  </si>
  <si>
    <t>LEU</t>
  </si>
  <si>
    <t>LESU</t>
  </si>
  <si>
    <t>Aeròdrom dels Pirineus-Alt Urgell Airport</t>
  </si>
  <si>
    <t>LEV</t>
  </si>
  <si>
    <t>NFNB</t>
  </si>
  <si>
    <t>Levuka Airfield</t>
  </si>
  <si>
    <t>LEW</t>
  </si>
  <si>
    <t>KLEW</t>
  </si>
  <si>
    <t>Auburn/Lewiston Municipal Airport</t>
  </si>
  <si>
    <t>LEX</t>
  </si>
  <si>
    <t>KLEX</t>
  </si>
  <si>
    <t>Blue Grass Airport</t>
  </si>
  <si>
    <t>LEY</t>
  </si>
  <si>
    <t>EHLE</t>
  </si>
  <si>
    <t>Lelystad Airport</t>
  </si>
  <si>
    <t>LEZ</t>
  </si>
  <si>
    <t>MHLE</t>
  </si>
  <si>
    <t>La Esperanza Airport</t>
  </si>
  <si>
    <t>LFB</t>
  </si>
  <si>
    <t>FQLU</t>
  </si>
  <si>
    <t>Lumbo Airport</t>
  </si>
  <si>
    <t>LFI</t>
  </si>
  <si>
    <t>KLFI</t>
  </si>
  <si>
    <t>Langley Air Force Base</t>
  </si>
  <si>
    <t>LFK</t>
  </si>
  <si>
    <t>KLFK</t>
  </si>
  <si>
    <t>Angelina County Airport</t>
  </si>
  <si>
    <t>LFO</t>
  </si>
  <si>
    <t>HAKL</t>
  </si>
  <si>
    <t>Kelafo East Airport</t>
  </si>
  <si>
    <t>LFR</t>
  </si>
  <si>
    <t>SVLF</t>
  </si>
  <si>
    <t>La Fria Airport</t>
  </si>
  <si>
    <t>LFT</t>
  </si>
  <si>
    <t>KLFT</t>
  </si>
  <si>
    <t>Lafayette Regional Airport</t>
  </si>
  <si>
    <t>LFW</t>
  </si>
  <si>
    <t>DXXX</t>
  </si>
  <si>
    <t>Lome Tokoin Airport</t>
  </si>
  <si>
    <t>LGA</t>
  </si>
  <si>
    <t>KLGA</t>
  </si>
  <si>
    <t>LaGuardia Airport</t>
  </si>
  <si>
    <t>LGB</t>
  </si>
  <si>
    <t>KLGB</t>
  </si>
  <si>
    <t>Long Beach Airport</t>
  </si>
  <si>
    <t>LGE</t>
  </si>
  <si>
    <t>FALW</t>
  </si>
  <si>
    <t>Langebaanweg Airport</t>
  </si>
  <si>
    <t>LGG</t>
  </si>
  <si>
    <t>EBLG</t>
  </si>
  <si>
    <t>Liège Airport</t>
  </si>
  <si>
    <t>LGH</t>
  </si>
  <si>
    <t>YLEC</t>
  </si>
  <si>
    <t>Leigh Creek Airport</t>
  </si>
  <si>
    <t>LGI</t>
  </si>
  <si>
    <t>MYLD</t>
  </si>
  <si>
    <t>Deadman's Cay Airport</t>
  </si>
  <si>
    <t>LGK</t>
  </si>
  <si>
    <t>WMKL</t>
  </si>
  <si>
    <t>Langkawi International Airport</t>
  </si>
  <si>
    <t>LGL</t>
  </si>
  <si>
    <t>WBGF</t>
  </si>
  <si>
    <t>Long Lellang Airport</t>
  </si>
  <si>
    <t>LGO</t>
  </si>
  <si>
    <t>EDWL</t>
  </si>
  <si>
    <t>Langeoog Airport</t>
  </si>
  <si>
    <t>LGP</t>
  </si>
  <si>
    <t>RPLP</t>
  </si>
  <si>
    <t>Legazpi City International Airport</t>
  </si>
  <si>
    <t>LGQ</t>
  </si>
  <si>
    <t>SENL</t>
  </si>
  <si>
    <t>Lago Agrio Airport</t>
  </si>
  <si>
    <t>LGR</t>
  </si>
  <si>
    <t>SCHR</t>
  </si>
  <si>
    <t>Cochrane Airport</t>
  </si>
  <si>
    <t>LGS</t>
  </si>
  <si>
    <t>SAMM</t>
  </si>
  <si>
    <t>Malargue International Airport</t>
  </si>
  <si>
    <t>LGW</t>
  </si>
  <si>
    <t>EGKK</t>
  </si>
  <si>
    <t>Gatwick Airport</t>
  </si>
  <si>
    <t>LHA</t>
  </si>
  <si>
    <t>EDTL</t>
  </si>
  <si>
    <t>Black Forest Airport</t>
  </si>
  <si>
    <t>LHB</t>
  </si>
  <si>
    <t>KLHB</t>
  </si>
  <si>
    <t>Hearne Municipal Airport</t>
  </si>
  <si>
    <t>LHC</t>
  </si>
  <si>
    <t>SPBC</t>
  </si>
  <si>
    <t>Caballococha Airport</t>
  </si>
  <si>
    <t>LHE</t>
  </si>
  <si>
    <t>OPLA</t>
  </si>
  <si>
    <t>Allama Iqbal International Airport</t>
  </si>
  <si>
    <t>LHG</t>
  </si>
  <si>
    <t>YLRD</t>
  </si>
  <si>
    <t>Lightning Ridge Airport</t>
  </si>
  <si>
    <t>LHI</t>
  </si>
  <si>
    <t>WAJL</t>
  </si>
  <si>
    <t>Lereh Airport</t>
  </si>
  <si>
    <t>LHK</t>
  </si>
  <si>
    <t>ZHGH</t>
  </si>
  <si>
    <t>Guangzhou MR Air Base</t>
  </si>
  <si>
    <t>LHM</t>
  </si>
  <si>
    <t>KLHM</t>
  </si>
  <si>
    <t>Lincoln Regional Airport (Karl Harder Field)</t>
  </si>
  <si>
    <t>LHR</t>
  </si>
  <si>
    <t>EGLL</t>
  </si>
  <si>
    <t>Heathrow Airport</t>
  </si>
  <si>
    <t>LHS</t>
  </si>
  <si>
    <t>SAVH</t>
  </si>
  <si>
    <t>Las Heras Airport</t>
  </si>
  <si>
    <t>LHV</t>
  </si>
  <si>
    <t>KLHV</t>
  </si>
  <si>
    <t>William T. Piper Memorial Airport</t>
  </si>
  <si>
    <t>LHW</t>
  </si>
  <si>
    <t>KLHW</t>
  </si>
  <si>
    <t>Wright Army Airfield</t>
  </si>
  <si>
    <t>LHX</t>
  </si>
  <si>
    <t>KLHX</t>
  </si>
  <si>
    <t>La Junta Municipal Airport</t>
  </si>
  <si>
    <t>LHZ</t>
  </si>
  <si>
    <t>KLHZ</t>
  </si>
  <si>
    <t>Franklin County Airport</t>
  </si>
  <si>
    <t>LIA</t>
  </si>
  <si>
    <t>ZULP</t>
  </si>
  <si>
    <t>Liangping Airport</t>
  </si>
  <si>
    <t>KLIC</t>
  </si>
  <si>
    <t>Limon Municipal Airport</t>
  </si>
  <si>
    <t>LIE</t>
  </si>
  <si>
    <t>FZFA</t>
  </si>
  <si>
    <t>Libenge Airport</t>
  </si>
  <si>
    <t>LIF</t>
  </si>
  <si>
    <t>NWWL</t>
  </si>
  <si>
    <t>Lifou Airport</t>
  </si>
  <si>
    <t>LIG</t>
  </si>
  <si>
    <t>LFBL</t>
  </si>
  <si>
    <t>Bellegarde Airport</t>
  </si>
  <si>
    <t>LIH</t>
  </si>
  <si>
    <t>PHLI</t>
  </si>
  <si>
    <t>Lihue Airport</t>
  </si>
  <si>
    <t>LII</t>
  </si>
  <si>
    <t>WAJM</t>
  </si>
  <si>
    <t>Mulia Airport</t>
  </si>
  <si>
    <t>LIL</t>
  </si>
  <si>
    <t>LFQQ</t>
  </si>
  <si>
    <t>Lille-Lesquin Airport</t>
  </si>
  <si>
    <t>LIM</t>
  </si>
  <si>
    <t>SPIM</t>
  </si>
  <si>
    <t>Jorge Chavez International Airport</t>
  </si>
  <si>
    <t>SPLP</t>
  </si>
  <si>
    <t>Las Palmas Airport</t>
  </si>
  <si>
    <t>LIN</t>
  </si>
  <si>
    <t>LIML</t>
  </si>
  <si>
    <t>Linate Airport</t>
  </si>
  <si>
    <t>LIO</t>
  </si>
  <si>
    <t>MRLM</t>
  </si>
  <si>
    <t>Limon International Airport</t>
  </si>
  <si>
    <t>LIP</t>
  </si>
  <si>
    <t>SBLN</t>
  </si>
  <si>
    <t>Lins Airport</t>
  </si>
  <si>
    <t>LIQ</t>
  </si>
  <si>
    <t>FZGA</t>
  </si>
  <si>
    <t>Lisala Airport</t>
  </si>
  <si>
    <t>LIR</t>
  </si>
  <si>
    <t>MRLB</t>
  </si>
  <si>
    <t>Daniel Oduber Quiros International Airport</t>
  </si>
  <si>
    <t>LIS</t>
  </si>
  <si>
    <t>LPPT</t>
  </si>
  <si>
    <t>Portela Airport</t>
  </si>
  <si>
    <t>LIT</t>
  </si>
  <si>
    <t>KLIT</t>
  </si>
  <si>
    <t>Little Rock National Airport (Adams Field)</t>
  </si>
  <si>
    <t>LIU</t>
  </si>
  <si>
    <t>KLIU</t>
  </si>
  <si>
    <t>Littlefield Municipal Airport</t>
  </si>
  <si>
    <t>LIW</t>
  </si>
  <si>
    <t>VYLK</t>
  </si>
  <si>
    <t>Loikaw Airport</t>
  </si>
  <si>
    <t>LIX</t>
  </si>
  <si>
    <t>FWLK</t>
  </si>
  <si>
    <t>Likoma Island Airport</t>
  </si>
  <si>
    <t>LJA</t>
  </si>
  <si>
    <t>FZVA</t>
  </si>
  <si>
    <t>Lodja Airport</t>
  </si>
  <si>
    <t>LJF</t>
  </si>
  <si>
    <t>KLJF</t>
  </si>
  <si>
    <t>Litchfield Municipal Airport</t>
  </si>
  <si>
    <t>LJG</t>
  </si>
  <si>
    <t>ZPLJ</t>
  </si>
  <si>
    <t>Lijiang Airport</t>
  </si>
  <si>
    <t>LJU</t>
  </si>
  <si>
    <t>LJLJ</t>
  </si>
  <si>
    <t>Brnik Airport</t>
  </si>
  <si>
    <t>LKA</t>
  </si>
  <si>
    <t>WRKL</t>
  </si>
  <si>
    <t>Gewayentana Airport</t>
  </si>
  <si>
    <t>LKB</t>
  </si>
  <si>
    <t>NFNK</t>
  </si>
  <si>
    <t>Lakeba Island Airport</t>
  </si>
  <si>
    <t>LKG</t>
  </si>
  <si>
    <t>HKLK</t>
  </si>
  <si>
    <t>Lokichoggio Airport</t>
  </si>
  <si>
    <t>LKH</t>
  </si>
  <si>
    <t>WBGL</t>
  </si>
  <si>
    <t>Long Akah Airport</t>
  </si>
  <si>
    <t>LKK</t>
  </si>
  <si>
    <t>PAKL</t>
  </si>
  <si>
    <t>Kulik Lake Airport</t>
  </si>
  <si>
    <t>LKL</t>
  </si>
  <si>
    <t>ENNA</t>
  </si>
  <si>
    <t>Lakselv Airport, Banak</t>
  </si>
  <si>
    <t>LKN</t>
  </si>
  <si>
    <t>ENLK</t>
  </si>
  <si>
    <t>Leknes Airport</t>
  </si>
  <si>
    <t>LKO</t>
  </si>
  <si>
    <t>VILK</t>
  </si>
  <si>
    <t>Chaudhary Charan Singh Airport</t>
  </si>
  <si>
    <t>LKP</t>
  </si>
  <si>
    <t>KLKP</t>
  </si>
  <si>
    <t>Lake Placid Airport</t>
  </si>
  <si>
    <t>LKR</t>
  </si>
  <si>
    <t>KLKR</t>
  </si>
  <si>
    <t>Lancaster County Airport (McWhirter Field)</t>
  </si>
  <si>
    <t>LKU</t>
  </si>
  <si>
    <t>KLKU</t>
  </si>
  <si>
    <t>Louisa County Airport (Freeman Field)</t>
  </si>
  <si>
    <t>LKV</t>
  </si>
  <si>
    <t>KLKV</t>
  </si>
  <si>
    <t>Lake County Airport</t>
  </si>
  <si>
    <t>LKY</t>
  </si>
  <si>
    <t>HTLM</t>
  </si>
  <si>
    <t>Lake Manyara Airport</t>
  </si>
  <si>
    <t>LKZ</t>
  </si>
  <si>
    <t>EGUL</t>
  </si>
  <si>
    <t>RAF Lakenheath</t>
  </si>
  <si>
    <t>LLA</t>
  </si>
  <si>
    <t>ESPA</t>
  </si>
  <si>
    <t>Luleå Airport</t>
  </si>
  <si>
    <t>LLE</t>
  </si>
  <si>
    <t>FAMN</t>
  </si>
  <si>
    <t>Riverside Airport</t>
  </si>
  <si>
    <t>LLG</t>
  </si>
  <si>
    <t>YCGO</t>
  </si>
  <si>
    <t>Chillagoe Airport</t>
  </si>
  <si>
    <t>WIKL</t>
  </si>
  <si>
    <t>Silampari Airport</t>
  </si>
  <si>
    <t>LLI</t>
  </si>
  <si>
    <t>HALL</t>
  </si>
  <si>
    <t>Lalibella Airport</t>
  </si>
  <si>
    <t>LLJ</t>
  </si>
  <si>
    <t>VGLM</t>
  </si>
  <si>
    <t>Lalmonirhat Airport</t>
  </si>
  <si>
    <t>LLS</t>
  </si>
  <si>
    <t>SATK</t>
  </si>
  <si>
    <t>Alferez Armando Rodriguez Airport</t>
  </si>
  <si>
    <t>LLW</t>
  </si>
  <si>
    <t>FWKI</t>
  </si>
  <si>
    <t>Lilongwe International Airport</t>
  </si>
  <si>
    <t>LLY</t>
  </si>
  <si>
    <t>KVAY</t>
  </si>
  <si>
    <t>South Jersey Regional Airport</t>
  </si>
  <si>
    <t>LMB</t>
  </si>
  <si>
    <t>FWSM</t>
  </si>
  <si>
    <t>Salima Airport</t>
  </si>
  <si>
    <t>LME</t>
  </si>
  <si>
    <t>LFRM</t>
  </si>
  <si>
    <t>Le Mans-Arnage Airport</t>
  </si>
  <si>
    <t>LMM</t>
  </si>
  <si>
    <t>MMLM</t>
  </si>
  <si>
    <t>Federal del Valle del Fuerte International Airport</t>
  </si>
  <si>
    <t>LMN</t>
  </si>
  <si>
    <t>WBGJ</t>
  </si>
  <si>
    <t>Limbang Airport</t>
  </si>
  <si>
    <t>LMO</t>
  </si>
  <si>
    <t>EGQS</t>
  </si>
  <si>
    <t>RAF Lossiemouth</t>
  </si>
  <si>
    <t>LMP</t>
  </si>
  <si>
    <t>LICD</t>
  </si>
  <si>
    <t>Lampedusa Airport</t>
  </si>
  <si>
    <t>LMQ</t>
  </si>
  <si>
    <t>HLMB</t>
  </si>
  <si>
    <t>Marsa Brega Airport</t>
  </si>
  <si>
    <t>LMR</t>
  </si>
  <si>
    <t>FALC</t>
  </si>
  <si>
    <t>Lime Acres Finsch Mine Airport</t>
  </si>
  <si>
    <t>LMS</t>
  </si>
  <si>
    <t>KLMS</t>
  </si>
  <si>
    <t>Louisville Winston County Airport</t>
  </si>
  <si>
    <t>LMT</t>
  </si>
  <si>
    <t>KLMT</t>
  </si>
  <si>
    <t>Klamath Falls Airport</t>
  </si>
  <si>
    <t>LNA</t>
  </si>
  <si>
    <t>KLNA</t>
  </si>
  <si>
    <t>Palm Beach County Park Airport</t>
  </si>
  <si>
    <t>LNB</t>
  </si>
  <si>
    <t>NVSM</t>
  </si>
  <si>
    <t>Lamen Bay Airport</t>
  </si>
  <si>
    <t>LNC</t>
  </si>
  <si>
    <t>KLNC</t>
  </si>
  <si>
    <t>Lancaster Airport</t>
  </si>
  <si>
    <t>LND</t>
  </si>
  <si>
    <t>KLND</t>
  </si>
  <si>
    <t>Hunt Field</t>
  </si>
  <si>
    <t>LNE</t>
  </si>
  <si>
    <t>NVSO</t>
  </si>
  <si>
    <t>Lonorore Airport</t>
  </si>
  <si>
    <t>LNK</t>
  </si>
  <si>
    <t>KLNK</t>
  </si>
  <si>
    <t>Lincoln Airport</t>
  </si>
  <si>
    <t>LNL</t>
  </si>
  <si>
    <t>KLNL</t>
  </si>
  <si>
    <t>Kings Land O' Lakes Airport</t>
  </si>
  <si>
    <t>LNN</t>
  </si>
  <si>
    <t>KLNN</t>
  </si>
  <si>
    <t>Willoughby Lost Nation Municipal Airport</t>
  </si>
  <si>
    <t>LNO</t>
  </si>
  <si>
    <t>YLEO</t>
  </si>
  <si>
    <t>Leonora Airport</t>
  </si>
  <si>
    <t>LNP</t>
  </si>
  <si>
    <t>KLNP</t>
  </si>
  <si>
    <t>Lonesome Pine Airport</t>
  </si>
  <si>
    <t>LNR</t>
  </si>
  <si>
    <t>KLNR</t>
  </si>
  <si>
    <t>Tri-County Regional Airport</t>
  </si>
  <si>
    <t>LNS</t>
  </si>
  <si>
    <t>KLNS</t>
  </si>
  <si>
    <t>LNV</t>
  </si>
  <si>
    <t>AYKY</t>
  </si>
  <si>
    <t>Londolovit Airport</t>
  </si>
  <si>
    <t>LNX</t>
  </si>
  <si>
    <t>UUBS</t>
  </si>
  <si>
    <t>Smolensk South Airport</t>
  </si>
  <si>
    <t>LNY</t>
  </si>
  <si>
    <t>PHNY</t>
  </si>
  <si>
    <t>Lanai Airport</t>
  </si>
  <si>
    <t>LNZ</t>
  </si>
  <si>
    <t>LOWL</t>
  </si>
  <si>
    <t>Linz Airport</t>
  </si>
  <si>
    <t>LOA</t>
  </si>
  <si>
    <t>YLOR</t>
  </si>
  <si>
    <t>Lorraine Airport</t>
  </si>
  <si>
    <t>LOB</t>
  </si>
  <si>
    <t>SCAN</t>
  </si>
  <si>
    <t>LOC</t>
  </si>
  <si>
    <t>YLOK</t>
  </si>
  <si>
    <t>Lock Airport</t>
  </si>
  <si>
    <t>LOD</t>
  </si>
  <si>
    <t>NVSG</t>
  </si>
  <si>
    <t>Longana Airport</t>
  </si>
  <si>
    <t>LOE</t>
  </si>
  <si>
    <t>VTUL</t>
  </si>
  <si>
    <t>Loei Airport</t>
  </si>
  <si>
    <t>LOH</t>
  </si>
  <si>
    <t>SETM</t>
  </si>
  <si>
    <t>Camilo Ponce Enriquez Airport</t>
  </si>
  <si>
    <t>LOK</t>
  </si>
  <si>
    <t>HKLO</t>
  </si>
  <si>
    <t>Lodwar Airport</t>
  </si>
  <si>
    <t>LOL</t>
  </si>
  <si>
    <t>KLOL</t>
  </si>
  <si>
    <t>Derby Field</t>
  </si>
  <si>
    <t>LOO</t>
  </si>
  <si>
    <t>DAUL</t>
  </si>
  <si>
    <t>Laghouat Airport</t>
  </si>
  <si>
    <t>LOS</t>
  </si>
  <si>
    <t>DNMM</t>
  </si>
  <si>
    <t>Murtala Mohammed International Airport</t>
  </si>
  <si>
    <t>LOT</t>
  </si>
  <si>
    <t>KLOT</t>
  </si>
  <si>
    <t>Lewis University Airport</t>
  </si>
  <si>
    <t>LOU</t>
  </si>
  <si>
    <t>KLOU</t>
  </si>
  <si>
    <t>Bowman Field</t>
  </si>
  <si>
    <t>LOV</t>
  </si>
  <si>
    <t>MMMV</t>
  </si>
  <si>
    <t>Venustiano Carranza International Airport</t>
  </si>
  <si>
    <t>LOY</t>
  </si>
  <si>
    <t>HKLY</t>
  </si>
  <si>
    <t>Loyengalani Airport</t>
  </si>
  <si>
    <t>LOZ</t>
  </si>
  <si>
    <t>KLOZ</t>
  </si>
  <si>
    <t>London-Corbin Airport (Magee Field)</t>
  </si>
  <si>
    <t>LPA</t>
  </si>
  <si>
    <t>GCLP</t>
  </si>
  <si>
    <t>Gran Canaria International Airport</t>
  </si>
  <si>
    <t>LPB</t>
  </si>
  <si>
    <t>SLLP</t>
  </si>
  <si>
    <t>El Alto International Airport</t>
  </si>
  <si>
    <t>LPC</t>
  </si>
  <si>
    <t>KLPC</t>
  </si>
  <si>
    <t>Lompoc Airport</t>
  </si>
  <si>
    <t>LPD</t>
  </si>
  <si>
    <t>SKLP</t>
  </si>
  <si>
    <t>La Pedrera Airport La Pedrera, Colombia</t>
  </si>
  <si>
    <t>LPG</t>
  </si>
  <si>
    <t>SADL</t>
  </si>
  <si>
    <t>La Plata City International Airport</t>
  </si>
  <si>
    <t>LPI</t>
  </si>
  <si>
    <t>ESSL</t>
  </si>
  <si>
    <t>SAAB Airport</t>
  </si>
  <si>
    <t>LPJ</t>
  </si>
  <si>
    <t>SVAS</t>
  </si>
  <si>
    <t>Armando Schwarck Airport</t>
  </si>
  <si>
    <t>LPK</t>
  </si>
  <si>
    <t>UUOL</t>
  </si>
  <si>
    <t>Lipetsk Airport</t>
  </si>
  <si>
    <t>LPL</t>
  </si>
  <si>
    <t>EGGP</t>
  </si>
  <si>
    <t>Liverpool John Lennon Airport</t>
  </si>
  <si>
    <t>LPM</t>
  </si>
  <si>
    <t>NVSL</t>
  </si>
  <si>
    <t>Lamap Airport</t>
  </si>
  <si>
    <t>LPP</t>
  </si>
  <si>
    <t>EFLP</t>
  </si>
  <si>
    <t>Lappeenranta Airport</t>
  </si>
  <si>
    <t>LPQ</t>
  </si>
  <si>
    <t>VLLB</t>
  </si>
  <si>
    <t>Luang Prabang International Airport</t>
  </si>
  <si>
    <t>LPR</t>
  </si>
  <si>
    <t>KLPR</t>
  </si>
  <si>
    <t>Lorain County Regional Airport</t>
  </si>
  <si>
    <t>LPS</t>
  </si>
  <si>
    <t>S31</t>
  </si>
  <si>
    <t>Lopez Island Airport</t>
  </si>
  <si>
    <t>LPT</t>
  </si>
  <si>
    <t>VTCL</t>
  </si>
  <si>
    <t>Lampang Airport</t>
  </si>
  <si>
    <t>LPU</t>
  </si>
  <si>
    <t>WRLP</t>
  </si>
  <si>
    <t>Long Apung Airport</t>
  </si>
  <si>
    <t>LPX</t>
  </si>
  <si>
    <t>EVLA</t>
  </si>
  <si>
    <t>LiepÄja International Airport</t>
  </si>
  <si>
    <t>LPY</t>
  </si>
  <si>
    <t>LFHP</t>
  </si>
  <si>
    <t>Le Puy-Loudes Airport</t>
  </si>
  <si>
    <t>LQK</t>
  </si>
  <si>
    <t>KLQK</t>
  </si>
  <si>
    <t>LQM</t>
  </si>
  <si>
    <t>SKLG</t>
  </si>
  <si>
    <t>Caucaya Airport</t>
  </si>
  <si>
    <t>LQN</t>
  </si>
  <si>
    <t>OAQN</t>
  </si>
  <si>
    <t>Qala i Naw Airport</t>
  </si>
  <si>
    <t>LQR</t>
  </si>
  <si>
    <t>KLQR</t>
  </si>
  <si>
    <t>Larned-Pawnee County Airport</t>
  </si>
  <si>
    <t>LRA</t>
  </si>
  <si>
    <t>LGLR</t>
  </si>
  <si>
    <t>Larisa Airport</t>
  </si>
  <si>
    <t>LRB</t>
  </si>
  <si>
    <t>FXLR</t>
  </si>
  <si>
    <t>Leribe Airport</t>
  </si>
  <si>
    <t>LRD</t>
  </si>
  <si>
    <t>KLRD</t>
  </si>
  <si>
    <t>Laredo International Airport</t>
  </si>
  <si>
    <t>LRE</t>
  </si>
  <si>
    <t>YLRE</t>
  </si>
  <si>
    <t>Longreach Airport</t>
  </si>
  <si>
    <t>LRF</t>
  </si>
  <si>
    <t>KLRF</t>
  </si>
  <si>
    <t>Little Rock Air Force Base</t>
  </si>
  <si>
    <t>LRG</t>
  </si>
  <si>
    <t>OPLL</t>
  </si>
  <si>
    <t>Loralai Airport</t>
  </si>
  <si>
    <t>KLRG</t>
  </si>
  <si>
    <t>Lincoln Regional Airport</t>
  </si>
  <si>
    <t>LRH</t>
  </si>
  <si>
    <t>LFBH</t>
  </si>
  <si>
    <t>La Rochelle - Île de Ré Airport</t>
  </si>
  <si>
    <t>LRJ</t>
  </si>
  <si>
    <t>KLRJ</t>
  </si>
  <si>
    <t>Le Mars Municipal Airport</t>
  </si>
  <si>
    <t>LRL</t>
  </si>
  <si>
    <t>DXNG</t>
  </si>
  <si>
    <t>Niamtougou International Airport</t>
  </si>
  <si>
    <t>LRM</t>
  </si>
  <si>
    <t>MDLR</t>
  </si>
  <si>
    <t>La Romana International Airport</t>
  </si>
  <si>
    <t>LRR</t>
  </si>
  <si>
    <t>OISL</t>
  </si>
  <si>
    <t>Lar Airport</t>
  </si>
  <si>
    <t>LRS</t>
  </si>
  <si>
    <t>LGLE</t>
  </si>
  <si>
    <t>Leros Airport</t>
  </si>
  <si>
    <t>LRT</t>
  </si>
  <si>
    <t>LFRH</t>
  </si>
  <si>
    <t>Lorient South Brittany Airport</t>
  </si>
  <si>
    <t>LRU</t>
  </si>
  <si>
    <t>KLRU</t>
  </si>
  <si>
    <t>Las Cruces International Airport</t>
  </si>
  <si>
    <t>LRV</t>
  </si>
  <si>
    <t>SVRS</t>
  </si>
  <si>
    <t>Los Roques Airport</t>
  </si>
  <si>
    <t>LRY</t>
  </si>
  <si>
    <t>KLRY</t>
  </si>
  <si>
    <t>Lawrence Smith Memorial Airport</t>
  </si>
  <si>
    <t>LSA</t>
  </si>
  <si>
    <t>AYKA</t>
  </si>
  <si>
    <t>Losuia Airport</t>
  </si>
  <si>
    <t>LSB</t>
  </si>
  <si>
    <t>KLSB</t>
  </si>
  <si>
    <t>Lordsburg Municipal Airport</t>
  </si>
  <si>
    <t>LSC</t>
  </si>
  <si>
    <t>SCSE</t>
  </si>
  <si>
    <t>La Florida Airport</t>
  </si>
  <si>
    <t>LSE</t>
  </si>
  <si>
    <t>KLSE</t>
  </si>
  <si>
    <t>La Crosse Municipal Airport</t>
  </si>
  <si>
    <t>LSH</t>
  </si>
  <si>
    <t>VYLS</t>
  </si>
  <si>
    <t>Lashio Airport</t>
  </si>
  <si>
    <t>LSI</t>
  </si>
  <si>
    <t>EGPB</t>
  </si>
  <si>
    <t>Sumburgh Airport</t>
  </si>
  <si>
    <t>LSK</t>
  </si>
  <si>
    <t>KLSK</t>
  </si>
  <si>
    <t>Lusk Municipal Airport</t>
  </si>
  <si>
    <t>LSL</t>
  </si>
  <si>
    <t>MRLC</t>
  </si>
  <si>
    <t>Los Chiles Airport</t>
  </si>
  <si>
    <t>LSM</t>
  </si>
  <si>
    <t>WBGD</t>
  </si>
  <si>
    <t>Long Semado Airport</t>
  </si>
  <si>
    <t>LSN</t>
  </si>
  <si>
    <t>KLSN</t>
  </si>
  <si>
    <t>Los Banos Municipal Airport</t>
  </si>
  <si>
    <t>LSO</t>
  </si>
  <si>
    <t>LFOO</t>
  </si>
  <si>
    <t>Les Sables-d'Olonne Talmont Airport</t>
  </si>
  <si>
    <t>LSP</t>
  </si>
  <si>
    <t>SVJC</t>
  </si>
  <si>
    <t>Josefa Camejo International Airport</t>
  </si>
  <si>
    <t>LSQ</t>
  </si>
  <si>
    <t>SCGE</t>
  </si>
  <si>
    <t>María Dolores Airport</t>
  </si>
  <si>
    <t>LSS</t>
  </si>
  <si>
    <t>TFFS</t>
  </si>
  <si>
    <t>Terre-de-Haut Airport</t>
  </si>
  <si>
    <t>LST</t>
  </si>
  <si>
    <t>YMLT</t>
  </si>
  <si>
    <t>Launceston Airport</t>
  </si>
  <si>
    <t>LSU</t>
  </si>
  <si>
    <t>WBGU</t>
  </si>
  <si>
    <t>Long Sukang Airport</t>
  </si>
  <si>
    <t>LSV</t>
  </si>
  <si>
    <t>KLSV</t>
  </si>
  <si>
    <t>Nellis Air Force Base</t>
  </si>
  <si>
    <t>LSW</t>
  </si>
  <si>
    <t>WITM</t>
  </si>
  <si>
    <t>Malikus Saleh Airport</t>
  </si>
  <si>
    <t>LSX</t>
  </si>
  <si>
    <t>WITL</t>
  </si>
  <si>
    <t>Lhok Sukon Airport</t>
  </si>
  <si>
    <t>LSY</t>
  </si>
  <si>
    <t>YLIS</t>
  </si>
  <si>
    <t>Lismore Airport</t>
  </si>
  <si>
    <t>LSZ</t>
  </si>
  <si>
    <t>LDLO</t>
  </si>
  <si>
    <t>LoÅ¡inj Island Airport</t>
  </si>
  <si>
    <t>LTA</t>
  </si>
  <si>
    <t>FATZ</t>
  </si>
  <si>
    <t>Tzaneen Airport</t>
  </si>
  <si>
    <t>LTC</t>
  </si>
  <si>
    <t>FTTH</t>
  </si>
  <si>
    <t>Lai Airport</t>
  </si>
  <si>
    <t>LTD</t>
  </si>
  <si>
    <t>HLTD</t>
  </si>
  <si>
    <t>Ghadames East Airport</t>
  </si>
  <si>
    <t>LTG</t>
  </si>
  <si>
    <t>VNLT</t>
  </si>
  <si>
    <t>Langtang Airport</t>
  </si>
  <si>
    <t>LTI</t>
  </si>
  <si>
    <t>ZMAT</t>
  </si>
  <si>
    <t>Altai Airport</t>
  </si>
  <si>
    <t>LTK</t>
  </si>
  <si>
    <t>OSLK</t>
  </si>
  <si>
    <t>Bassel Al-Assad International Airport</t>
  </si>
  <si>
    <t>LTL</t>
  </si>
  <si>
    <t>FOOR</t>
  </si>
  <si>
    <t>Lastourville Airport</t>
  </si>
  <si>
    <t>LTM</t>
  </si>
  <si>
    <t>SYLT</t>
  </si>
  <si>
    <t>Lethem Airport</t>
  </si>
  <si>
    <t>LTN</t>
  </si>
  <si>
    <t>EGGW</t>
  </si>
  <si>
    <t>Luton Airport</t>
  </si>
  <si>
    <t>LTO</t>
  </si>
  <si>
    <t>MMLT</t>
  </si>
  <si>
    <t>Loreto International Airport</t>
  </si>
  <si>
    <t>LTP</t>
  </si>
  <si>
    <t>YLHS</t>
  </si>
  <si>
    <t>Lyndhurst Airport</t>
  </si>
  <si>
    <t>LTQ</t>
  </si>
  <si>
    <t>LFAT</t>
  </si>
  <si>
    <t>Le Touquet-Céte d'Opale Airport</t>
  </si>
  <si>
    <t>LTR</t>
  </si>
  <si>
    <t>EILT</t>
  </si>
  <si>
    <t>Letterkenny Airport</t>
  </si>
  <si>
    <t>LTS</t>
  </si>
  <si>
    <t>KLTS</t>
  </si>
  <si>
    <t>Altus Air Force Base</t>
  </si>
  <si>
    <t>LTT</t>
  </si>
  <si>
    <t>LFTZ</t>
  </si>
  <si>
    <t>La Méle Airport</t>
  </si>
  <si>
    <t>LTU</t>
  </si>
  <si>
    <t>VALT</t>
  </si>
  <si>
    <t>Murod Kond Airport</t>
  </si>
  <si>
    <t>LTV</t>
  </si>
  <si>
    <t>YLOV</t>
  </si>
  <si>
    <t>Lotus Vale Airport</t>
  </si>
  <si>
    <t>LTX</t>
  </si>
  <si>
    <t>SELT</t>
  </si>
  <si>
    <t>Cotopaxi International Airport</t>
  </si>
  <si>
    <t>LUA</t>
  </si>
  <si>
    <t>VNLK</t>
  </si>
  <si>
    <t>Tenzing–Hillary Airport</t>
  </si>
  <si>
    <t>LUB</t>
  </si>
  <si>
    <t>SYLP</t>
  </si>
  <si>
    <t>Lumid Pau Airport</t>
  </si>
  <si>
    <t>LUC</t>
  </si>
  <si>
    <t>NFNH</t>
  </si>
  <si>
    <t>Laucala Island Airport</t>
  </si>
  <si>
    <t>LUD</t>
  </si>
  <si>
    <t>FYLZ</t>
  </si>
  <si>
    <t>Luderitz Airport</t>
  </si>
  <si>
    <t>LUE</t>
  </si>
  <si>
    <t>LZLU</t>
  </si>
  <si>
    <t>Lucenec Airport</t>
  </si>
  <si>
    <t>LUF</t>
  </si>
  <si>
    <t>KLUF</t>
  </si>
  <si>
    <t>Luke Air Force Base</t>
  </si>
  <si>
    <t>LUG</t>
  </si>
  <si>
    <t>LSZA</t>
  </si>
  <si>
    <t>Lugano Airport</t>
  </si>
  <si>
    <t>LUH</t>
  </si>
  <si>
    <t>VILD</t>
  </si>
  <si>
    <t>Ludhiana Airport</t>
  </si>
  <si>
    <t>LUJ</t>
  </si>
  <si>
    <t>FALK</t>
  </si>
  <si>
    <t>Lusikisiki Airport</t>
  </si>
  <si>
    <t>LUK</t>
  </si>
  <si>
    <t>KLUK</t>
  </si>
  <si>
    <t>Cincinnati Municipal Airport (Lunken Field)</t>
  </si>
  <si>
    <t>LUL</t>
  </si>
  <si>
    <t>KLUL</t>
  </si>
  <si>
    <t>Hesler-Noble Field</t>
  </si>
  <si>
    <t>LUM</t>
  </si>
  <si>
    <t>ZPLX</t>
  </si>
  <si>
    <t>Mangshi Airport</t>
  </si>
  <si>
    <t>LUN</t>
  </si>
  <si>
    <t>FLLS</t>
  </si>
  <si>
    <t>Lusaka International Airport</t>
  </si>
  <si>
    <t>LUO</t>
  </si>
  <si>
    <t>FNUE</t>
  </si>
  <si>
    <t>Luena Airport</t>
  </si>
  <si>
    <t>LUP</t>
  </si>
  <si>
    <t>PHLU</t>
  </si>
  <si>
    <t>Kalaupapa Airport</t>
  </si>
  <si>
    <t>LUQ</t>
  </si>
  <si>
    <t>SAOU</t>
  </si>
  <si>
    <t>LUR</t>
  </si>
  <si>
    <t>PALU</t>
  </si>
  <si>
    <t>Cape Lisburne LRRS</t>
  </si>
  <si>
    <t>LUS</t>
  </si>
  <si>
    <t>FZCE</t>
  </si>
  <si>
    <t>Lusanga Airport</t>
  </si>
  <si>
    <t>LUT</t>
  </si>
  <si>
    <t>YLRS</t>
  </si>
  <si>
    <t>Laura Station Airport</t>
  </si>
  <si>
    <t>LUU</t>
  </si>
  <si>
    <t>YLRA</t>
  </si>
  <si>
    <t>Laura Airport</t>
  </si>
  <si>
    <t>LUV</t>
  </si>
  <si>
    <t>WAPL</t>
  </si>
  <si>
    <t>Dumatubin Airport</t>
  </si>
  <si>
    <t>LUW</t>
  </si>
  <si>
    <t>WAMW</t>
  </si>
  <si>
    <t>Bubung Airport</t>
  </si>
  <si>
    <t>LUX</t>
  </si>
  <si>
    <t>ELLX</t>
  </si>
  <si>
    <t>Luxembourg-Findel International Airport</t>
  </si>
  <si>
    <t>LUZ</t>
  </si>
  <si>
    <t>ZSLS</t>
  </si>
  <si>
    <t>LVA</t>
  </si>
  <si>
    <t>LFOV</t>
  </si>
  <si>
    <t>Laval-Entrammes Airport</t>
  </si>
  <si>
    <t>LVB</t>
  </si>
  <si>
    <t>SNLB</t>
  </si>
  <si>
    <t>Livramento do Brumado Airport</t>
  </si>
  <si>
    <t>LVI</t>
  </si>
  <si>
    <t>FLLI</t>
  </si>
  <si>
    <t>Livingstone Airport</t>
  </si>
  <si>
    <t>LVJ</t>
  </si>
  <si>
    <t>KLVJ</t>
  </si>
  <si>
    <t>Pearland Regional Airport</t>
  </si>
  <si>
    <t>LVK</t>
  </si>
  <si>
    <t>KLVK</t>
  </si>
  <si>
    <t>Livermore Municipal Airport</t>
  </si>
  <si>
    <t>LVL</t>
  </si>
  <si>
    <t>KLVL</t>
  </si>
  <si>
    <t>Lawrenceville/Brunswick Municipal Airport</t>
  </si>
  <si>
    <t>LVM</t>
  </si>
  <si>
    <t>KLVM</t>
  </si>
  <si>
    <t>Mission Field</t>
  </si>
  <si>
    <t>LVN</t>
  </si>
  <si>
    <t>KLVN</t>
  </si>
  <si>
    <t>Airlake Airport</t>
  </si>
  <si>
    <t>LVO</t>
  </si>
  <si>
    <t>YLTN</t>
  </si>
  <si>
    <t>Laverton Airport</t>
  </si>
  <si>
    <t>LVP</t>
  </si>
  <si>
    <t>OIBV</t>
  </si>
  <si>
    <t>Lavan Island Airport</t>
  </si>
  <si>
    <t>LVR</t>
  </si>
  <si>
    <t>SILC</t>
  </si>
  <si>
    <t>Municipal Bom Futuro Airport</t>
  </si>
  <si>
    <t>LVS</t>
  </si>
  <si>
    <t>KLVS</t>
  </si>
  <si>
    <t>Las Vegas Municipal Airport</t>
  </si>
  <si>
    <t>LWA</t>
  </si>
  <si>
    <t>KLWA</t>
  </si>
  <si>
    <t>South Haven Area Regional Airport</t>
  </si>
  <si>
    <t>LWB</t>
  </si>
  <si>
    <t>KLWB</t>
  </si>
  <si>
    <t>Greenbrier Valley Airport</t>
  </si>
  <si>
    <t>LWC</t>
  </si>
  <si>
    <t>KLWC</t>
  </si>
  <si>
    <t>Lawrence Municipal Airport</t>
  </si>
  <si>
    <t>LWD</t>
  </si>
  <si>
    <t>KLWD</t>
  </si>
  <si>
    <t>Lamoni Municipal Airport</t>
  </si>
  <si>
    <t>LWH</t>
  </si>
  <si>
    <t>YLAH</t>
  </si>
  <si>
    <t>Lawn Hill Airport</t>
  </si>
  <si>
    <t>LWK</t>
  </si>
  <si>
    <t>EGET</t>
  </si>
  <si>
    <t>Lerwick / Tingwall Airport</t>
  </si>
  <si>
    <t>LWL</t>
  </si>
  <si>
    <t>KLWL</t>
  </si>
  <si>
    <t>Wells Municipal Airport (Harriet Field)</t>
  </si>
  <si>
    <t>LWM</t>
  </si>
  <si>
    <t>KLWM</t>
  </si>
  <si>
    <t>LWN</t>
  </si>
  <si>
    <t>UDSG</t>
  </si>
  <si>
    <t>Shirak Airport</t>
  </si>
  <si>
    <t>LWO</t>
  </si>
  <si>
    <t>UKLL</t>
  </si>
  <si>
    <t>Lviv International Airport</t>
  </si>
  <si>
    <t>LWR</t>
  </si>
  <si>
    <t>EHLW</t>
  </si>
  <si>
    <t>Leeuwarden Air Base</t>
  </si>
  <si>
    <t>LWS</t>
  </si>
  <si>
    <t>KLWS</t>
  </si>
  <si>
    <t>Lewiston-Nez Perce County Airport</t>
  </si>
  <si>
    <t>LWT</t>
  </si>
  <si>
    <t>KLWT</t>
  </si>
  <si>
    <t>Lewistown Municipal Airport</t>
  </si>
  <si>
    <t>LWV</t>
  </si>
  <si>
    <t>KLWV</t>
  </si>
  <si>
    <t>Lawrenceville-Vincennes International Airport</t>
  </si>
  <si>
    <t>LWY</t>
  </si>
  <si>
    <t>WBGW</t>
  </si>
  <si>
    <t>Lawas Airport</t>
  </si>
  <si>
    <t>LXA</t>
  </si>
  <si>
    <t>ZULS</t>
  </si>
  <si>
    <t>Lhasa Gonggar Airport</t>
  </si>
  <si>
    <t>LXG</t>
  </si>
  <si>
    <t>VLLN</t>
  </si>
  <si>
    <t>Luang Namtha Airport</t>
  </si>
  <si>
    <t>LXN</t>
  </si>
  <si>
    <t>KLXN</t>
  </si>
  <si>
    <t>Jim Kelly Field</t>
  </si>
  <si>
    <t>LXR</t>
  </si>
  <si>
    <t>HELX</t>
  </si>
  <si>
    <t>Luxor International Airport</t>
  </si>
  <si>
    <t>LXS</t>
  </si>
  <si>
    <t>LGLM</t>
  </si>
  <si>
    <t>Limnos Airport</t>
  </si>
  <si>
    <t>LXT</t>
  </si>
  <si>
    <t>KLXT</t>
  </si>
  <si>
    <t>Lee's Summit Municipal Airport</t>
  </si>
  <si>
    <t>LXU</t>
  </si>
  <si>
    <t>FLLK</t>
  </si>
  <si>
    <t>Lukulu Airport</t>
  </si>
  <si>
    <t>LXY</t>
  </si>
  <si>
    <t>KLXY</t>
  </si>
  <si>
    <t>Mexia-Limestone County Airport</t>
  </si>
  <si>
    <t>LYA</t>
  </si>
  <si>
    <t>ZHLY</t>
  </si>
  <si>
    <t>Luoyang Airport</t>
  </si>
  <si>
    <t>LYB</t>
  </si>
  <si>
    <t>MWCL</t>
  </si>
  <si>
    <t>Edward Bodden Airfield</t>
  </si>
  <si>
    <t>LYC</t>
  </si>
  <si>
    <t>ESNL</t>
  </si>
  <si>
    <t>Lycksele Airport</t>
  </si>
  <si>
    <t>LYE</t>
  </si>
  <si>
    <t>EGDL</t>
  </si>
  <si>
    <t>RAF Lyneham</t>
  </si>
  <si>
    <t>LYG</t>
  </si>
  <si>
    <t>ZSLG</t>
  </si>
  <si>
    <t>Lianyungang Airport</t>
  </si>
  <si>
    <t>LYH</t>
  </si>
  <si>
    <t>KLYH</t>
  </si>
  <si>
    <t>Lynchburg Regional Airport (Preston Glenn Field)</t>
  </si>
  <si>
    <t>LYI</t>
  </si>
  <si>
    <t>ZSLY</t>
  </si>
  <si>
    <t>Shubuling Airport</t>
  </si>
  <si>
    <t>LYN</t>
  </si>
  <si>
    <t>LFLY</t>
  </si>
  <si>
    <t>Lyon-Bron Airport</t>
  </si>
  <si>
    <t>LYO</t>
  </si>
  <si>
    <t>KLYO</t>
  </si>
  <si>
    <t>Lyons-Rice County Municipal Airport</t>
  </si>
  <si>
    <t>LYP</t>
  </si>
  <si>
    <t>OPFA</t>
  </si>
  <si>
    <t>Faisalabad International Airport</t>
  </si>
  <si>
    <t>LYR</t>
  </si>
  <si>
    <t>ENSB</t>
  </si>
  <si>
    <t>Svalbard Airport, Longyear</t>
  </si>
  <si>
    <t>LYS</t>
  </si>
  <si>
    <t>LFLL</t>
  </si>
  <si>
    <t>Lyon–Saint-Exupéry Airport</t>
  </si>
  <si>
    <t>LYV</t>
  </si>
  <si>
    <t>KLYV</t>
  </si>
  <si>
    <t>Quentin Aanenson Field</t>
  </si>
  <si>
    <t>LYX</t>
  </si>
  <si>
    <t>EGMD</t>
  </si>
  <si>
    <t>Lydd Airport</t>
  </si>
  <si>
    <t>LZA</t>
  </si>
  <si>
    <t>FZUG</t>
  </si>
  <si>
    <t>Luiza Airport</t>
  </si>
  <si>
    <t>LZC</t>
  </si>
  <si>
    <t>MMLC</t>
  </si>
  <si>
    <t>Lázaro Cárdenas Airport</t>
  </si>
  <si>
    <t>LZH</t>
  </si>
  <si>
    <t>ZGZH</t>
  </si>
  <si>
    <t>Bailian Airport</t>
  </si>
  <si>
    <t>LZI</t>
  </si>
  <si>
    <t>YLZI</t>
  </si>
  <si>
    <t>Lizard Island Airport</t>
  </si>
  <si>
    <t>FZAL</t>
  </si>
  <si>
    <t>Luozi Airport</t>
  </si>
  <si>
    <t>LZN</t>
  </si>
  <si>
    <t>RCFG</t>
  </si>
  <si>
    <t>Matsu Nangan Airport</t>
  </si>
  <si>
    <t>LZO</t>
  </si>
  <si>
    <t>ZULZ</t>
  </si>
  <si>
    <t>Luzhou Airport</t>
  </si>
  <si>
    <t>LZR</t>
  </si>
  <si>
    <t>LZU</t>
  </si>
  <si>
    <t>KLZU</t>
  </si>
  <si>
    <t>Gwinnett County Airport (Briscoe Field)</t>
  </si>
  <si>
    <t>LZY</t>
  </si>
  <si>
    <t>ZUNZ</t>
  </si>
  <si>
    <t>Nyingchi Airport</t>
  </si>
  <si>
    <t>LZZ</t>
  </si>
  <si>
    <t>KLZZ</t>
  </si>
  <si>
    <t>Lampasas Airport</t>
  </si>
  <si>
    <t>MAA</t>
  </si>
  <si>
    <t>VOMM</t>
  </si>
  <si>
    <t>Chennai International Airport</t>
  </si>
  <si>
    <t>MAB</t>
  </si>
  <si>
    <t>SBMA</t>
  </si>
  <si>
    <t>Marabá Airport</t>
  </si>
  <si>
    <t>MAC</t>
  </si>
  <si>
    <t>KMAC</t>
  </si>
  <si>
    <t>Macon Downtown Airport</t>
  </si>
  <si>
    <t>MAD</t>
  </si>
  <si>
    <t>LEMD</t>
  </si>
  <si>
    <t>MAE</t>
  </si>
  <si>
    <t>KMAE</t>
  </si>
  <si>
    <t>Madera Municipal Airport</t>
  </si>
  <si>
    <t>MAF</t>
  </si>
  <si>
    <t>KMAF</t>
  </si>
  <si>
    <t>Midland International Airport</t>
  </si>
  <si>
    <t>AYMD</t>
  </si>
  <si>
    <t>Madang Airport</t>
  </si>
  <si>
    <t>MAH</t>
  </si>
  <si>
    <t>LEMH</t>
  </si>
  <si>
    <t>Mahon Airport</t>
  </si>
  <si>
    <t>MAI</t>
  </si>
  <si>
    <t>FWMG</t>
  </si>
  <si>
    <t>Mangochi Airport</t>
  </si>
  <si>
    <t>MAJ</t>
  </si>
  <si>
    <t>PKMJ</t>
  </si>
  <si>
    <t>Marshall Islands International Airport (Amata Kabua Int'l)</t>
  </si>
  <si>
    <t>MAK</t>
  </si>
  <si>
    <t>HSSM</t>
  </si>
  <si>
    <t>Malakal Airport</t>
  </si>
  <si>
    <t>WAPE</t>
  </si>
  <si>
    <t>Mangole Airport, Falabisahaya</t>
  </si>
  <si>
    <t>KMAL</t>
  </si>
  <si>
    <t>Malone-Dufort Airport</t>
  </si>
  <si>
    <t>MAM</t>
  </si>
  <si>
    <t>MMMA</t>
  </si>
  <si>
    <t>General Servando Canales International Airport</t>
  </si>
  <si>
    <t>MAN</t>
  </si>
  <si>
    <t>EGCC</t>
  </si>
  <si>
    <t>Manchester Airport</t>
  </si>
  <si>
    <t>MAO</t>
  </si>
  <si>
    <t>SBEG</t>
  </si>
  <si>
    <t>Eduardo Gomes International Airport</t>
  </si>
  <si>
    <t>KMAO</t>
  </si>
  <si>
    <t>Marion County Airport</t>
  </si>
  <si>
    <t>MAQ</t>
  </si>
  <si>
    <t>VTPM</t>
  </si>
  <si>
    <t>Mae Sot Airport</t>
  </si>
  <si>
    <t>MAR</t>
  </si>
  <si>
    <t>SVMC</t>
  </si>
  <si>
    <t>La Chinita International Airport</t>
  </si>
  <si>
    <t>MAS</t>
  </si>
  <si>
    <t>AYMO</t>
  </si>
  <si>
    <t>Momote Airport</t>
  </si>
  <si>
    <t>MAT</t>
  </si>
  <si>
    <t>FZAM</t>
  </si>
  <si>
    <t>Tshimpi Airport</t>
  </si>
  <si>
    <t>MAU</t>
  </si>
  <si>
    <t>NTTP</t>
  </si>
  <si>
    <t>Maupiti Airport</t>
  </si>
  <si>
    <t>MAW</t>
  </si>
  <si>
    <t>KMAW</t>
  </si>
  <si>
    <t>Malden Municipal Airport</t>
  </si>
  <si>
    <t>GOSM</t>
  </si>
  <si>
    <t>Ouro Sogui Airport</t>
  </si>
  <si>
    <t>KMAX</t>
  </si>
  <si>
    <t>Max Chessis Airport</t>
  </si>
  <si>
    <t>MAY</t>
  </si>
  <si>
    <t>MYAB</t>
  </si>
  <si>
    <t>Clarence A. Bain Airport</t>
  </si>
  <si>
    <t>MAZ</t>
  </si>
  <si>
    <t>TJMZ</t>
  </si>
  <si>
    <t>Eugenio Maria de Hostos Airport</t>
  </si>
  <si>
    <t>MBA</t>
  </si>
  <si>
    <t>HKMO</t>
  </si>
  <si>
    <t>Moi International Airport</t>
  </si>
  <si>
    <t>MBB</t>
  </si>
  <si>
    <t>YMBL</t>
  </si>
  <si>
    <t>Marble Bar Airport</t>
  </si>
  <si>
    <t>MBC</t>
  </si>
  <si>
    <t>FOGG</t>
  </si>
  <si>
    <t>M'Bigou Airport</t>
  </si>
  <si>
    <t>MBD</t>
  </si>
  <si>
    <t>FAMM</t>
  </si>
  <si>
    <t>Mmabatho International Airport</t>
  </si>
  <si>
    <t>MBE</t>
  </si>
  <si>
    <t>RJEB</t>
  </si>
  <si>
    <t>Monbetsu Airport</t>
  </si>
  <si>
    <t>MBG</t>
  </si>
  <si>
    <t>KMBG</t>
  </si>
  <si>
    <t>Mobridge Municipal Airport</t>
  </si>
  <si>
    <t>MBH</t>
  </si>
  <si>
    <t>YMYB</t>
  </si>
  <si>
    <t>Maryborough Airport</t>
  </si>
  <si>
    <t>MBI</t>
  </si>
  <si>
    <t>HTMB</t>
  </si>
  <si>
    <t>Mbeya Airport</t>
  </si>
  <si>
    <t>MBJ</t>
  </si>
  <si>
    <t>MKJS</t>
  </si>
  <si>
    <t>Sangster International Airport</t>
  </si>
  <si>
    <t>MBK</t>
  </si>
  <si>
    <t>SWXM</t>
  </si>
  <si>
    <t>Regional Orlando Villas Boas Airport</t>
  </si>
  <si>
    <t>MBL</t>
  </si>
  <si>
    <t>KMBL</t>
  </si>
  <si>
    <t>Manistee County-Blacker Airport</t>
  </si>
  <si>
    <t>MBO</t>
  </si>
  <si>
    <t>RPUM</t>
  </si>
  <si>
    <t>Mamburao Airport</t>
  </si>
  <si>
    <t>MBP</t>
  </si>
  <si>
    <t>SPBB</t>
  </si>
  <si>
    <t>Moyobamba Airport</t>
  </si>
  <si>
    <t>MBQ</t>
  </si>
  <si>
    <t>HUMA</t>
  </si>
  <si>
    <t>Mbarara Airport</t>
  </si>
  <si>
    <t>MBS</t>
  </si>
  <si>
    <t>KMBS</t>
  </si>
  <si>
    <t>MBS International Airport</t>
  </si>
  <si>
    <t>MBT</t>
  </si>
  <si>
    <t>RPVJ</t>
  </si>
  <si>
    <t>Moises R. Espinosa Airport</t>
  </si>
  <si>
    <t>KMBT</t>
  </si>
  <si>
    <t>Masbate Airport</t>
  </si>
  <si>
    <t>MBU</t>
  </si>
  <si>
    <t>AGGI</t>
  </si>
  <si>
    <t>Babanakira Airport</t>
  </si>
  <si>
    <t>MBW</t>
  </si>
  <si>
    <t>YMMB</t>
  </si>
  <si>
    <t>Melbourne Moorabbin Airport</t>
  </si>
  <si>
    <t>MBX</t>
  </si>
  <si>
    <t>LJMB</t>
  </si>
  <si>
    <t>Maribor Airport</t>
  </si>
  <si>
    <t>MBY</t>
  </si>
  <si>
    <t>KMBY</t>
  </si>
  <si>
    <t>Omar N. Bradley Airport</t>
  </si>
  <si>
    <t>MBZ</t>
  </si>
  <si>
    <t>SWMW</t>
  </si>
  <si>
    <t>Maués Airport</t>
  </si>
  <si>
    <t>MCA</t>
  </si>
  <si>
    <t>GUMA</t>
  </si>
  <si>
    <t>Macenta Airport</t>
  </si>
  <si>
    <t>MCB</t>
  </si>
  <si>
    <t>KMCB</t>
  </si>
  <si>
    <t>McComb-Pike County Airport (John E. Lewis Field)</t>
  </si>
  <si>
    <t>MCC</t>
  </si>
  <si>
    <t>KMCC</t>
  </si>
  <si>
    <t>McClellan Airfield</t>
  </si>
  <si>
    <t>MCD</t>
  </si>
  <si>
    <t>KMCD</t>
  </si>
  <si>
    <t>Mackinac Island Airport</t>
  </si>
  <si>
    <t>MCE</t>
  </si>
  <si>
    <t>KMCE</t>
  </si>
  <si>
    <t>Merced Municipal Airport (Macready Field)</t>
  </si>
  <si>
    <t>MCF</t>
  </si>
  <si>
    <t>KMCF</t>
  </si>
  <si>
    <t>MacDill Air Force Base</t>
  </si>
  <si>
    <t>MCG</t>
  </si>
  <si>
    <t>PAMC</t>
  </si>
  <si>
    <t>McGrath Airport</t>
  </si>
  <si>
    <t>MCH</t>
  </si>
  <si>
    <t>SEMH</t>
  </si>
  <si>
    <t>General Manuel Serrano Airport</t>
  </si>
  <si>
    <t>MCI</t>
  </si>
  <si>
    <t>KMCI</t>
  </si>
  <si>
    <t>Kansas City International Airport</t>
  </si>
  <si>
    <t>MCJ</t>
  </si>
  <si>
    <t>SKLM</t>
  </si>
  <si>
    <t>Jorge Isaac Airport</t>
  </si>
  <si>
    <t>SKMJ</t>
  </si>
  <si>
    <t>Maicao Airport</t>
  </si>
  <si>
    <t>MCK</t>
  </si>
  <si>
    <t>KMCK</t>
  </si>
  <si>
    <t>McCook Regional Airport</t>
  </si>
  <si>
    <t>MCM</t>
  </si>
  <si>
    <t>LNMC</t>
  </si>
  <si>
    <t>Monaco Heliport</t>
  </si>
  <si>
    <t>MCN</t>
  </si>
  <si>
    <t>KMCN</t>
  </si>
  <si>
    <t>Middle Georgia Regional Airport</t>
  </si>
  <si>
    <t>MCO</t>
  </si>
  <si>
    <t>KMCO</t>
  </si>
  <si>
    <t>Orlando International Airport</t>
  </si>
  <si>
    <t>MCP</t>
  </si>
  <si>
    <t>SBMP</t>
  </si>
  <si>
    <t>Macapá International Airport</t>
  </si>
  <si>
    <t>SBMQ</t>
  </si>
  <si>
    <t>Alberto Alcolumbre Airport</t>
  </si>
  <si>
    <t>MCQ</t>
  </si>
  <si>
    <t>LHMC</t>
  </si>
  <si>
    <t>Miskolc Airport</t>
  </si>
  <si>
    <t>MCR</t>
  </si>
  <si>
    <t>MGMM</t>
  </si>
  <si>
    <t>Melchor de Mencos Airport</t>
  </si>
  <si>
    <t>MCS</t>
  </si>
  <si>
    <t>SARM</t>
  </si>
  <si>
    <t>Monte Caseros Airport</t>
  </si>
  <si>
    <t>MCT</t>
  </si>
  <si>
    <t>OOMS</t>
  </si>
  <si>
    <t>Seeb International Airport</t>
  </si>
  <si>
    <t>MCU</t>
  </si>
  <si>
    <t>LFBK</t>
  </si>
  <si>
    <t>Montluçon-Guéret Airport</t>
  </si>
  <si>
    <t>LFLT</t>
  </si>
  <si>
    <t>Montluçon-Domérat Airport</t>
  </si>
  <si>
    <t>MCV</t>
  </si>
  <si>
    <t>YMHU</t>
  </si>
  <si>
    <t>McArthur River Mine Airport</t>
  </si>
  <si>
    <t>MCW</t>
  </si>
  <si>
    <t>KMCW</t>
  </si>
  <si>
    <t>Mason City Municipal Airport</t>
  </si>
  <si>
    <t>MCX</t>
  </si>
  <si>
    <t>URML</t>
  </si>
  <si>
    <t>Uytash airport</t>
  </si>
  <si>
    <t>KMCX</t>
  </si>
  <si>
    <t>White County Airport</t>
  </si>
  <si>
    <t>MCY</t>
  </si>
  <si>
    <t>YBMC</t>
  </si>
  <si>
    <t>Sunshine Coast Airport</t>
  </si>
  <si>
    <t>MCZ</t>
  </si>
  <si>
    <t>SBMO</t>
  </si>
  <si>
    <t>Zumbi dos Palmares Airport</t>
  </si>
  <si>
    <t>MDC</t>
  </si>
  <si>
    <t>WAMM</t>
  </si>
  <si>
    <t>Sam Ratulangi International Airport</t>
  </si>
  <si>
    <t>MDD</t>
  </si>
  <si>
    <t>KMDD</t>
  </si>
  <si>
    <t>Midland Airpark</t>
  </si>
  <si>
    <t>MDE</t>
  </si>
  <si>
    <t>SKRG</t>
  </si>
  <si>
    <t>José María Córdova International Airport</t>
  </si>
  <si>
    <t>MDF</t>
  </si>
  <si>
    <t>KMDF</t>
  </si>
  <si>
    <t>Mooreland Municipal Airport</t>
  </si>
  <si>
    <t>MDG</t>
  </si>
  <si>
    <t>ZYMD</t>
  </si>
  <si>
    <t>Mudanjiang Airport</t>
  </si>
  <si>
    <t>MDH</t>
  </si>
  <si>
    <t>KMDH</t>
  </si>
  <si>
    <t>Southern Illinois Airport</t>
  </si>
  <si>
    <t>MDI</t>
  </si>
  <si>
    <t>DNMK</t>
  </si>
  <si>
    <t>Makurdi Airport</t>
  </si>
  <si>
    <t>MDK</t>
  </si>
  <si>
    <t>FZEA</t>
  </si>
  <si>
    <t>Mbandaka Airport</t>
  </si>
  <si>
    <t>MDL</t>
  </si>
  <si>
    <t>VYMD</t>
  </si>
  <si>
    <t>Mandalay International Airport</t>
  </si>
  <si>
    <t>MDN</t>
  </si>
  <si>
    <t>KIMS</t>
  </si>
  <si>
    <t>Madison Municipal Airport</t>
  </si>
  <si>
    <t>MDO</t>
  </si>
  <si>
    <t>PAMD</t>
  </si>
  <si>
    <t>Middleton Island Airport</t>
  </si>
  <si>
    <t>SUPE</t>
  </si>
  <si>
    <t>El Jaguel / Punta del Este Airport</t>
  </si>
  <si>
    <t>MDP</t>
  </si>
  <si>
    <t>WAKD</t>
  </si>
  <si>
    <t>Mindiptana Airport</t>
  </si>
  <si>
    <t>MDQ</t>
  </si>
  <si>
    <t>SAZM</t>
  </si>
  <si>
    <t>Mar Del Plata International Airport</t>
  </si>
  <si>
    <t>MDS</t>
  </si>
  <si>
    <t>MBMC</t>
  </si>
  <si>
    <t>Middle Caicos Airport</t>
  </si>
  <si>
    <t>MDT</t>
  </si>
  <si>
    <t>KMDT</t>
  </si>
  <si>
    <t>Harrisburg International Airport</t>
  </si>
  <si>
    <t>MDU</t>
  </si>
  <si>
    <t>AYMN</t>
  </si>
  <si>
    <t>Mendi Airport</t>
  </si>
  <si>
    <t>MDW</t>
  </si>
  <si>
    <t>KMDW</t>
  </si>
  <si>
    <t>Midway International Airport</t>
  </si>
  <si>
    <t>MDX</t>
  </si>
  <si>
    <t>SATM</t>
  </si>
  <si>
    <t>Mercedes Airport</t>
  </si>
  <si>
    <t>MDY</t>
  </si>
  <si>
    <t>PMDY</t>
  </si>
  <si>
    <t>Henderson Field</t>
  </si>
  <si>
    <t>MDZ</t>
  </si>
  <si>
    <t>SAME</t>
  </si>
  <si>
    <t>Mendoza International Airport (El plumerillo)</t>
  </si>
  <si>
    <t>MEA</t>
  </si>
  <si>
    <t>SBME</t>
  </si>
  <si>
    <t>Macaé Airport</t>
  </si>
  <si>
    <t>MEB</t>
  </si>
  <si>
    <t>YMEN</t>
  </si>
  <si>
    <t>Melbourne Essendon Airport</t>
  </si>
  <si>
    <t>MEC</t>
  </si>
  <si>
    <t>SEMT</t>
  </si>
  <si>
    <t>Eloy Alfaro International Airport</t>
  </si>
  <si>
    <t>MED</t>
  </si>
  <si>
    <t>OEMA</t>
  </si>
  <si>
    <t>Prince Mohammad Bin Abdulaziz Airport</t>
  </si>
  <si>
    <t>MEE</t>
  </si>
  <si>
    <t>NWWR</t>
  </si>
  <si>
    <t>Maré Airport</t>
  </si>
  <si>
    <t>MEG</t>
  </si>
  <si>
    <t>FNMA</t>
  </si>
  <si>
    <t>Malanje Airport</t>
  </si>
  <si>
    <t>MEH</t>
  </si>
  <si>
    <t>ENMH</t>
  </si>
  <si>
    <t>Mehamn Airport</t>
  </si>
  <si>
    <t>MEI</t>
  </si>
  <si>
    <t>KMEI</t>
  </si>
  <si>
    <t>Key Field</t>
  </si>
  <si>
    <t>MEJ</t>
  </si>
  <si>
    <t>KMEJ</t>
  </si>
  <si>
    <t>Meade Municipal Airport</t>
  </si>
  <si>
    <t>MEK</t>
  </si>
  <si>
    <t>GMFM</t>
  </si>
  <si>
    <t>Bassatine Airport</t>
  </si>
  <si>
    <t>MEL</t>
  </si>
  <si>
    <t>YMML</t>
  </si>
  <si>
    <t>Melbourne Airport</t>
  </si>
  <si>
    <t>MEM</t>
  </si>
  <si>
    <t>KMEM</t>
  </si>
  <si>
    <t>Memphis International Airport</t>
  </si>
  <si>
    <t>MEN</t>
  </si>
  <si>
    <t>LFNB</t>
  </si>
  <si>
    <t>Mende-Brenoux Airport</t>
  </si>
  <si>
    <t>MEP</t>
  </si>
  <si>
    <t>WMAU</t>
  </si>
  <si>
    <t>Mersing Airport</t>
  </si>
  <si>
    <t>MEQ</t>
  </si>
  <si>
    <t>WITC</t>
  </si>
  <si>
    <t>Seunagan Airport</t>
  </si>
  <si>
    <t>MER</t>
  </si>
  <si>
    <t>KMER</t>
  </si>
  <si>
    <t>Castle Airport</t>
  </si>
  <si>
    <t>SUME</t>
  </si>
  <si>
    <t>Ricardo de Tomasi International Airport</t>
  </si>
  <si>
    <t>MES</t>
  </si>
  <si>
    <t>WIMM</t>
  </si>
  <si>
    <t>Polonia International Airport</t>
  </si>
  <si>
    <t>MET</t>
  </si>
  <si>
    <t>YMOT</t>
  </si>
  <si>
    <t>Moreton Airport</t>
  </si>
  <si>
    <t>MEU</t>
  </si>
  <si>
    <t>SBMD</t>
  </si>
  <si>
    <t>Monte Dourado Airport</t>
  </si>
  <si>
    <t>MEV</t>
  </si>
  <si>
    <t>KMEV</t>
  </si>
  <si>
    <t>Minden-Tahoe Airport</t>
  </si>
  <si>
    <t>MEW</t>
  </si>
  <si>
    <t>FZVM</t>
  </si>
  <si>
    <t>Mweka Airport</t>
  </si>
  <si>
    <t>MEX</t>
  </si>
  <si>
    <t>MMMX</t>
  </si>
  <si>
    <t>Mexico City International Airport</t>
  </si>
  <si>
    <t>MEY</t>
  </si>
  <si>
    <t>VNMG</t>
  </si>
  <si>
    <t>Meghauli Airport</t>
  </si>
  <si>
    <t>KMEY</t>
  </si>
  <si>
    <t>James G. Whiting Memorial Field</t>
  </si>
  <si>
    <t>MEZ</t>
  </si>
  <si>
    <t>KMEZ</t>
  </si>
  <si>
    <t>Mena Intermountain Municipal Airport</t>
  </si>
  <si>
    <t>FAMS</t>
  </si>
  <si>
    <t>Morningside Farm Airport</t>
  </si>
  <si>
    <t>MFA</t>
  </si>
  <si>
    <t>HTMA</t>
  </si>
  <si>
    <t>Mafia Island Airport</t>
  </si>
  <si>
    <t>MFC</t>
  </si>
  <si>
    <t>FXMF</t>
  </si>
  <si>
    <t>Mafeteng Airport</t>
  </si>
  <si>
    <t>MFD</t>
  </si>
  <si>
    <t>KMFD</t>
  </si>
  <si>
    <t>Mansfield Lahm Regional Airport</t>
  </si>
  <si>
    <t>MFE</t>
  </si>
  <si>
    <t>KMFE</t>
  </si>
  <si>
    <t>McAllen-Miller International Airport</t>
  </si>
  <si>
    <t>MFF</t>
  </si>
  <si>
    <t>FOOD</t>
  </si>
  <si>
    <t>Moanda Airport</t>
  </si>
  <si>
    <t>MFG</t>
  </si>
  <si>
    <t>OPMF</t>
  </si>
  <si>
    <t>Muzaffarabad Airport</t>
  </si>
  <si>
    <t>MFI</t>
  </si>
  <si>
    <t>KMFI</t>
  </si>
  <si>
    <t>Marshfield Municipal Airport</t>
  </si>
  <si>
    <t>MFJ</t>
  </si>
  <si>
    <t>NFMO</t>
  </si>
  <si>
    <t>Moala Airport</t>
  </si>
  <si>
    <t>MFK</t>
  </si>
  <si>
    <t>RCMT</t>
  </si>
  <si>
    <t>Matsu Beigan Airport</t>
  </si>
  <si>
    <t>MFM</t>
  </si>
  <si>
    <t>VMMC</t>
  </si>
  <si>
    <t>Macau International Airport</t>
  </si>
  <si>
    <t>MFN</t>
  </si>
  <si>
    <t>NZMF</t>
  </si>
  <si>
    <t>Milford Sound Airport</t>
  </si>
  <si>
    <t>MFP</t>
  </si>
  <si>
    <t>YMCR</t>
  </si>
  <si>
    <t>Manners Creek Airport</t>
  </si>
  <si>
    <t>MFQ</t>
  </si>
  <si>
    <t>DRRM</t>
  </si>
  <si>
    <t>Maradi Airport</t>
  </si>
  <si>
    <t>MFR</t>
  </si>
  <si>
    <t>KMFR</t>
  </si>
  <si>
    <t>Rogue Valley International-Medford Airport</t>
  </si>
  <si>
    <t>MFS</t>
  </si>
  <si>
    <t>SKMF</t>
  </si>
  <si>
    <t>Miraflores Airport</t>
  </si>
  <si>
    <t>MFU</t>
  </si>
  <si>
    <t>FLMF</t>
  </si>
  <si>
    <t>Mfuwe Airport</t>
  </si>
  <si>
    <t>MFV</t>
  </si>
  <si>
    <t>KMFV</t>
  </si>
  <si>
    <t>Accomack County Airport</t>
  </si>
  <si>
    <t>MFW</t>
  </si>
  <si>
    <t/>
  </si>
  <si>
    <t>MFX</t>
  </si>
  <si>
    <t>LFKX</t>
  </si>
  <si>
    <t>Méribel Airport</t>
  </si>
  <si>
    <t>MGA</t>
  </si>
  <si>
    <t>MNMG</t>
  </si>
  <si>
    <t>Augusto C. Sandino International Airport</t>
  </si>
  <si>
    <t>MGB</t>
  </si>
  <si>
    <t>YMTG</t>
  </si>
  <si>
    <t>Mount Gambier Airport</t>
  </si>
  <si>
    <t>MGC</t>
  </si>
  <si>
    <t>KMGC</t>
  </si>
  <si>
    <t>Michigan City Municipal Airport</t>
  </si>
  <si>
    <t>MGD</t>
  </si>
  <si>
    <t>SLMG</t>
  </si>
  <si>
    <t>Magdalena Airport</t>
  </si>
  <si>
    <t>MGE</t>
  </si>
  <si>
    <t>KMGE</t>
  </si>
  <si>
    <t>Dobbins Air Reserve Base (Atlanta NAS)</t>
  </si>
  <si>
    <t>MGF</t>
  </si>
  <si>
    <t>SBMG</t>
  </si>
  <si>
    <t>Maringá - Sílvio Name Júnior Regional Airport</t>
  </si>
  <si>
    <t>MGH</t>
  </si>
  <si>
    <t>FAMG</t>
  </si>
  <si>
    <t>Margate Airport</t>
  </si>
  <si>
    <t>MGJ</t>
  </si>
  <si>
    <t>KMGJ</t>
  </si>
  <si>
    <t>Orange County Airport</t>
  </si>
  <si>
    <t>MGK</t>
  </si>
  <si>
    <t>VYMT</t>
  </si>
  <si>
    <t>Mong Tong Airport</t>
  </si>
  <si>
    <t>MGL</t>
  </si>
  <si>
    <t>EDLN</t>
  </si>
  <si>
    <t>Düsseldorf-Mönchengladbach Airport</t>
  </si>
  <si>
    <t>MGM</t>
  </si>
  <si>
    <t>KMGM</t>
  </si>
  <si>
    <t>Montgomery Regional Airport (Dannelly Field)</t>
  </si>
  <si>
    <t>MGN</t>
  </si>
  <si>
    <t>SKMG</t>
  </si>
  <si>
    <t>Baracoa Airport</t>
  </si>
  <si>
    <t>KMGN</t>
  </si>
  <si>
    <t>Harbor Springs Airport</t>
  </si>
  <si>
    <t>MGQ</t>
  </si>
  <si>
    <t>HCMM</t>
  </si>
  <si>
    <t>Aden Adde International Airport</t>
  </si>
  <si>
    <t>KMGQ</t>
  </si>
  <si>
    <t>Mogadishu International Airport</t>
  </si>
  <si>
    <t>MGR</t>
  </si>
  <si>
    <t>KMGR</t>
  </si>
  <si>
    <t>Moultrie Municipal Airport</t>
  </si>
  <si>
    <t>MGS</t>
  </si>
  <si>
    <t>NCMG</t>
  </si>
  <si>
    <t>Mangaia Island Airport</t>
  </si>
  <si>
    <t>MGT</t>
  </si>
  <si>
    <t>YMGB</t>
  </si>
  <si>
    <t>Milingimbi Airport</t>
  </si>
  <si>
    <t>MGU</t>
  </si>
  <si>
    <t>VYMN</t>
  </si>
  <si>
    <t>Manaung Airport</t>
  </si>
  <si>
    <t>MGV</t>
  </si>
  <si>
    <t>YMGR</t>
  </si>
  <si>
    <t>Margaret River (Station) Airport</t>
  </si>
  <si>
    <t>MGW</t>
  </si>
  <si>
    <t>KMGW</t>
  </si>
  <si>
    <t>Morgantown Municipal Airport (Walter L. Bill Hart Field)</t>
  </si>
  <si>
    <t>MGX</t>
  </si>
  <si>
    <t>FOGI</t>
  </si>
  <si>
    <t>Moabi Airport</t>
  </si>
  <si>
    <t>MGY</t>
  </si>
  <si>
    <t>KMGY</t>
  </si>
  <si>
    <t>Dayton-Wright Brothers Airport</t>
  </si>
  <si>
    <t>MGZ</t>
  </si>
  <si>
    <t>VYME</t>
  </si>
  <si>
    <t>Myeik Airport</t>
  </si>
  <si>
    <t>MHA</t>
  </si>
  <si>
    <t>SYMD</t>
  </si>
  <si>
    <t>Mahdia Airport</t>
  </si>
  <si>
    <t>MHD</t>
  </si>
  <si>
    <t>OIMM</t>
  </si>
  <si>
    <t>Mashhad International Airport</t>
  </si>
  <si>
    <t>MHE</t>
  </si>
  <si>
    <t>KMHE</t>
  </si>
  <si>
    <t>Mitchell Municipal Airport</t>
  </si>
  <si>
    <t>MHG</t>
  </si>
  <si>
    <t>EDFM</t>
  </si>
  <si>
    <t>Mannheim-City Airport</t>
  </si>
  <si>
    <t>MHH</t>
  </si>
  <si>
    <t>MYAM</t>
  </si>
  <si>
    <t>Marsh Harbour Airport</t>
  </si>
  <si>
    <t>MHI</t>
  </si>
  <si>
    <t>HDMO</t>
  </si>
  <si>
    <t>Moucha Airport</t>
  </si>
  <si>
    <t>MHK</t>
  </si>
  <si>
    <t>KMHK</t>
  </si>
  <si>
    <t>Manhattan Regional Airport</t>
  </si>
  <si>
    <t>MHL</t>
  </si>
  <si>
    <t>KMHL</t>
  </si>
  <si>
    <t>Marshall Memorial Municipal Airport</t>
  </si>
  <si>
    <t>MHM</t>
  </si>
  <si>
    <t>PAMH</t>
  </si>
  <si>
    <t>Minchumina Airport</t>
  </si>
  <si>
    <t>MHN</t>
  </si>
  <si>
    <t>KMHN</t>
  </si>
  <si>
    <t>Hooker County Airport</t>
  </si>
  <si>
    <t>MHO</t>
  </si>
  <si>
    <t>YMHO</t>
  </si>
  <si>
    <t>Mount House Airport</t>
  </si>
  <si>
    <t>MHP</t>
  </si>
  <si>
    <t>UMMM</t>
  </si>
  <si>
    <t>Minsk-1 Airport</t>
  </si>
  <si>
    <t>KMHP</t>
  </si>
  <si>
    <t>Metter Municipal Airport</t>
  </si>
  <si>
    <t>MHQ</t>
  </si>
  <si>
    <t>EFMA</t>
  </si>
  <si>
    <t>Mariehamn Airport</t>
  </si>
  <si>
    <t>MHR</t>
  </si>
  <si>
    <t>KMHR</t>
  </si>
  <si>
    <t>Sacramento Mather Airport</t>
  </si>
  <si>
    <t>MHT</t>
  </si>
  <si>
    <t>KMHT</t>
  </si>
  <si>
    <t>Manchester-Boston Regional Airport</t>
  </si>
  <si>
    <t>MHU</t>
  </si>
  <si>
    <t>YHOT</t>
  </si>
  <si>
    <t>Mount Hotham Airport</t>
  </si>
  <si>
    <t>MHV</t>
  </si>
  <si>
    <t>KMHV</t>
  </si>
  <si>
    <t>Mojave Airport</t>
  </si>
  <si>
    <t>MHW</t>
  </si>
  <si>
    <t>SLAG</t>
  </si>
  <si>
    <t>Monteagudo Airport</t>
  </si>
  <si>
    <t>MHX</t>
  </si>
  <si>
    <t>NCMH</t>
  </si>
  <si>
    <t>Manihiki Island Airport</t>
  </si>
  <si>
    <t>MHZ</t>
  </si>
  <si>
    <t>EGUN</t>
  </si>
  <si>
    <t>RAF Mildenhall</t>
  </si>
  <si>
    <t>MIA</t>
  </si>
  <si>
    <t>KMIA</t>
  </si>
  <si>
    <t>Miami International Airport</t>
  </si>
  <si>
    <t>MIB</t>
  </si>
  <si>
    <t>KMIB</t>
  </si>
  <si>
    <t>Minot Air Force Base</t>
  </si>
  <si>
    <t>MIC</t>
  </si>
  <si>
    <t>KMIC</t>
  </si>
  <si>
    <t>Crystal Airport</t>
  </si>
  <si>
    <t>MID</t>
  </si>
  <si>
    <t>MMMD</t>
  </si>
  <si>
    <t>Manuel Crescencio Rejón International Airport</t>
  </si>
  <si>
    <t>MIE</t>
  </si>
  <si>
    <t>KMIE</t>
  </si>
  <si>
    <t>Delaware County Airport (Johnson Field)</t>
  </si>
  <si>
    <t>MIG</t>
  </si>
  <si>
    <t>ZUMY</t>
  </si>
  <si>
    <t>Mianyang Airport</t>
  </si>
  <si>
    <t>MIH</t>
  </si>
  <si>
    <t>YMIP</t>
  </si>
  <si>
    <t>Mitchell Plateau Airport</t>
  </si>
  <si>
    <t>MII</t>
  </si>
  <si>
    <t>SBML</t>
  </si>
  <si>
    <t>Marília Airport</t>
  </si>
  <si>
    <t>MIJ</t>
  </si>
  <si>
    <t>MLIP</t>
  </si>
  <si>
    <t>Mili Island Airport</t>
  </si>
  <si>
    <t>MIK</t>
  </si>
  <si>
    <t>EFMI</t>
  </si>
  <si>
    <t>Mikkeli Airport</t>
  </si>
  <si>
    <t>MIM</t>
  </si>
  <si>
    <t>YMER</t>
  </si>
  <si>
    <t>Merimbula Airport</t>
  </si>
  <si>
    <t>MIN</t>
  </si>
  <si>
    <t>YMPA</t>
  </si>
  <si>
    <t>Minnipa Airport</t>
  </si>
  <si>
    <t>MIO</t>
  </si>
  <si>
    <t>KMIO</t>
  </si>
  <si>
    <t>Miami Municipal Airport</t>
  </si>
  <si>
    <t>MIP</t>
  </si>
  <si>
    <t>LLMR</t>
  </si>
  <si>
    <t>Mitzpe Ramon Airfield</t>
  </si>
  <si>
    <t>LLRM</t>
  </si>
  <si>
    <t>Ramon Air Base</t>
  </si>
  <si>
    <t>MIQ</t>
  </si>
  <si>
    <t>KMLE</t>
  </si>
  <si>
    <t>Millard Airport</t>
  </si>
  <si>
    <t>MIR</t>
  </si>
  <si>
    <t>DTMB</t>
  </si>
  <si>
    <t>Monastir Habib Bourguiba International Airport</t>
  </si>
  <si>
    <t>MIS</t>
  </si>
  <si>
    <t>AYMS</t>
  </si>
  <si>
    <t>Misima Island Airport</t>
  </si>
  <si>
    <t>MIT</t>
  </si>
  <si>
    <t>KMIT</t>
  </si>
  <si>
    <t>Shafter Airport</t>
  </si>
  <si>
    <t>MIU</t>
  </si>
  <si>
    <t>DNMA</t>
  </si>
  <si>
    <t>Maiduguri International Airport</t>
  </si>
  <si>
    <t>MIV</t>
  </si>
  <si>
    <t>KMIV</t>
  </si>
  <si>
    <t>Millville Municipal Airport</t>
  </si>
  <si>
    <t>MIW</t>
  </si>
  <si>
    <t>KMIW</t>
  </si>
  <si>
    <t>Marshalltown Municipal Airport</t>
  </si>
  <si>
    <t>MJA</t>
  </si>
  <si>
    <t>FMSJ</t>
  </si>
  <si>
    <t>Manja Airport</t>
  </si>
  <si>
    <t>MJC</t>
  </si>
  <si>
    <t>DIMN</t>
  </si>
  <si>
    <t>Man Airport</t>
  </si>
  <si>
    <t>MJD</t>
  </si>
  <si>
    <t>OPMJ</t>
  </si>
  <si>
    <t>Moenjodaro Airport</t>
  </si>
  <si>
    <t>KMJD</t>
  </si>
  <si>
    <t>Picayune Municipal Airport</t>
  </si>
  <si>
    <t>MJF</t>
  </si>
  <si>
    <t>ENMS</t>
  </si>
  <si>
    <t>Mosjøen Airport, Kjærstad</t>
  </si>
  <si>
    <t>MJG</t>
  </si>
  <si>
    <t>MUMJ</t>
  </si>
  <si>
    <t>Mayajigua Airport</t>
  </si>
  <si>
    <t>Areopuerto Internacional Michael Gonzalez</t>
  </si>
  <si>
    <t>MJI</t>
  </si>
  <si>
    <t>HLLM</t>
  </si>
  <si>
    <t>Mitiga International Airport</t>
  </si>
  <si>
    <t>MJL</t>
  </si>
  <si>
    <t>FOGM</t>
  </si>
  <si>
    <t>Mouilla Ville Airport</t>
  </si>
  <si>
    <t>MJM</t>
  </si>
  <si>
    <t>FZWA</t>
  </si>
  <si>
    <t>Mbuji Mayi Airport</t>
  </si>
  <si>
    <t>MJN</t>
  </si>
  <si>
    <t>FMNM</t>
  </si>
  <si>
    <t>Amborovy Airport</t>
  </si>
  <si>
    <t>MJP</t>
  </si>
  <si>
    <t>YMJM</t>
  </si>
  <si>
    <t>Manjimup Airport</t>
  </si>
  <si>
    <t>MJQ</t>
  </si>
  <si>
    <t>KMJQ</t>
  </si>
  <si>
    <t>Jackson Municipal Airport</t>
  </si>
  <si>
    <t>MJR</t>
  </si>
  <si>
    <t>SAEM</t>
  </si>
  <si>
    <t>Miramar Airport</t>
  </si>
  <si>
    <t>MJT</t>
  </si>
  <si>
    <t>LGMT</t>
  </si>
  <si>
    <t>Mytilene International Airport</t>
  </si>
  <si>
    <t>MJU</t>
  </si>
  <si>
    <t>WAAJ</t>
  </si>
  <si>
    <t>Tampa Padang Airport</t>
  </si>
  <si>
    <t>MJV</t>
  </si>
  <si>
    <t>LELC</t>
  </si>
  <si>
    <t>Murcia-San Javier Airport</t>
  </si>
  <si>
    <t>MJX</t>
  </si>
  <si>
    <t>KMJX</t>
  </si>
  <si>
    <t>Robert J. Miller Air Park</t>
  </si>
  <si>
    <t>MJZ</t>
  </si>
  <si>
    <t>UERR</t>
  </si>
  <si>
    <t>Mirny Airport</t>
  </si>
  <si>
    <t>MKA</t>
  </si>
  <si>
    <t>LKMR</t>
  </si>
  <si>
    <t>Mariánské LáznÄ› Airport</t>
  </si>
  <si>
    <t>KMKA</t>
  </si>
  <si>
    <t>Miller Municipal Airport</t>
  </si>
  <si>
    <t>MKB</t>
  </si>
  <si>
    <t>FOOE</t>
  </si>
  <si>
    <t>Mekambo Airport</t>
  </si>
  <si>
    <t>MKC</t>
  </si>
  <si>
    <t>KMKC</t>
  </si>
  <si>
    <t>Kansas City Downtown Airport (Charles B. Wheeler Downtown Airport)</t>
  </si>
  <si>
    <t>MKE</t>
  </si>
  <si>
    <t>KMKE</t>
  </si>
  <si>
    <t>General Mitchell International Airport</t>
  </si>
  <si>
    <t>MKG</t>
  </si>
  <si>
    <t>KMKG</t>
  </si>
  <si>
    <t>Muskegon County Airport</t>
  </si>
  <si>
    <t>MKH</t>
  </si>
  <si>
    <t>FXMK</t>
  </si>
  <si>
    <t>Mokhotlong Airport</t>
  </si>
  <si>
    <t>MKI</t>
  </si>
  <si>
    <t>FEGE</t>
  </si>
  <si>
    <t>M'Boki Airport</t>
  </si>
  <si>
    <t>MKJ</t>
  </si>
  <si>
    <t>FCOM</t>
  </si>
  <si>
    <t>Makoua Airport</t>
  </si>
  <si>
    <t>KMKJ</t>
  </si>
  <si>
    <t>Mountain Empire Airport</t>
  </si>
  <si>
    <t>MKK</t>
  </si>
  <si>
    <t>PHMK</t>
  </si>
  <si>
    <t>Molokai Airport</t>
  </si>
  <si>
    <t>MKL</t>
  </si>
  <si>
    <t>KMKL</t>
  </si>
  <si>
    <t>McKellar-Sipes Regional Airport</t>
  </si>
  <si>
    <t>MKM</t>
  </si>
  <si>
    <t>WBGK</t>
  </si>
  <si>
    <t>Mukah Airport</t>
  </si>
  <si>
    <t>MKN</t>
  </si>
  <si>
    <t>KMKN</t>
  </si>
  <si>
    <t>Comanche County-City Airport</t>
  </si>
  <si>
    <t>MKO</t>
  </si>
  <si>
    <t>KMKO</t>
  </si>
  <si>
    <t>Davis Field</t>
  </si>
  <si>
    <t>MKP</t>
  </si>
  <si>
    <t>NTGM</t>
  </si>
  <si>
    <t>Makemo Airport</t>
  </si>
  <si>
    <t>MKQ</t>
  </si>
  <si>
    <t>WAKK</t>
  </si>
  <si>
    <t>Mopah Airport</t>
  </si>
  <si>
    <t>MKR</t>
  </si>
  <si>
    <t>YMEK</t>
  </si>
  <si>
    <t>Meekatharra Airport</t>
  </si>
  <si>
    <t>MKT</t>
  </si>
  <si>
    <t>KMKT</t>
  </si>
  <si>
    <t>Mankato Regional Airport</t>
  </si>
  <si>
    <t>MKU</t>
  </si>
  <si>
    <t>FOOK</t>
  </si>
  <si>
    <t>Makokou Airport</t>
  </si>
  <si>
    <t>MKV</t>
  </si>
  <si>
    <t>KMKV</t>
  </si>
  <si>
    <t>Marksville Municipal Airport</t>
  </si>
  <si>
    <t>MKW</t>
  </si>
  <si>
    <t>WASR</t>
  </si>
  <si>
    <t>Rendani Airport</t>
  </si>
  <si>
    <t>MKY</t>
  </si>
  <si>
    <t>YBMK</t>
  </si>
  <si>
    <t>Mackay Airport</t>
  </si>
  <si>
    <t>MKZ</t>
  </si>
  <si>
    <t>WMKM</t>
  </si>
  <si>
    <t>Malacca Airport</t>
  </si>
  <si>
    <t>MLA</t>
  </si>
  <si>
    <t>LMML</t>
  </si>
  <si>
    <t>Malta International Airport</t>
  </si>
  <si>
    <t>MLB</t>
  </si>
  <si>
    <t>KMLB</t>
  </si>
  <si>
    <t>Melbourne International Airport</t>
  </si>
  <si>
    <t>MLC</t>
  </si>
  <si>
    <t>KMLC</t>
  </si>
  <si>
    <t>McAlester Regional Airport</t>
  </si>
  <si>
    <t>MLD</t>
  </si>
  <si>
    <t>KMLD</t>
  </si>
  <si>
    <t>Malad City Airport</t>
  </si>
  <si>
    <t>MLE</t>
  </si>
  <si>
    <t>VRMM</t>
  </si>
  <si>
    <t>Malé International Airport</t>
  </si>
  <si>
    <t>MLF</t>
  </si>
  <si>
    <t>KMLF</t>
  </si>
  <si>
    <t>Milford Municipal Airport (Ben and Judy Briscoe Field)</t>
  </si>
  <si>
    <t>MLG</t>
  </si>
  <si>
    <t>WARA</t>
  </si>
  <si>
    <t>Abdul Rachman Saleh Airport</t>
  </si>
  <si>
    <t>MLI</t>
  </si>
  <si>
    <t>KMLI</t>
  </si>
  <si>
    <t>Quad City International Airport</t>
  </si>
  <si>
    <t>MLJ</t>
  </si>
  <si>
    <t>KMLJ</t>
  </si>
  <si>
    <t>Baldwin County Airport</t>
  </si>
  <si>
    <t>MLM</t>
  </si>
  <si>
    <t>MMMM</t>
  </si>
  <si>
    <t>General Francisco J. Mujica International Airport</t>
  </si>
  <si>
    <t>MLN</t>
  </si>
  <si>
    <t>GEML</t>
  </si>
  <si>
    <t>Melilla Airport</t>
  </si>
  <si>
    <t>MLO</t>
  </si>
  <si>
    <t>LGML</t>
  </si>
  <si>
    <t>Milos Island National Airport</t>
  </si>
  <si>
    <t>MLP</t>
  </si>
  <si>
    <t>RPMM</t>
  </si>
  <si>
    <t>Malabang Airport</t>
  </si>
  <si>
    <t>MLR</t>
  </si>
  <si>
    <t>YMCT</t>
  </si>
  <si>
    <t>Millicent Airport</t>
  </si>
  <si>
    <t>MLS</t>
  </si>
  <si>
    <t>KMLS</t>
  </si>
  <si>
    <t>Miles City Municipal Airport (Frank Wiley Field)</t>
  </si>
  <si>
    <t>MLT</t>
  </si>
  <si>
    <t>KMLT</t>
  </si>
  <si>
    <t>Millinocket Municipal Airport</t>
  </si>
  <si>
    <t>MLU</t>
  </si>
  <si>
    <t>KMLU</t>
  </si>
  <si>
    <t>Monroe Regional Airport</t>
  </si>
  <si>
    <t>GLMR</t>
  </si>
  <si>
    <t>Spriggs Payne Airport</t>
  </si>
  <si>
    <t>MLX</t>
  </si>
  <si>
    <t>LTAT</t>
  </si>
  <si>
    <t>Erhac Airport</t>
  </si>
  <si>
    <t>MLY</t>
  </si>
  <si>
    <t>PAML</t>
  </si>
  <si>
    <t>Manley Hot Springs Airport</t>
  </si>
  <si>
    <t>MLZ</t>
  </si>
  <si>
    <t>SUMO</t>
  </si>
  <si>
    <t>Cerro Largo International Airport</t>
  </si>
  <si>
    <t>MMB</t>
  </si>
  <si>
    <t>RJCM</t>
  </si>
  <si>
    <t>Memanbetsu Airport</t>
  </si>
  <si>
    <t>MMC</t>
  </si>
  <si>
    <t>MMDM</t>
  </si>
  <si>
    <t>Ciudad Mante National Airport</t>
  </si>
  <si>
    <t>MMD</t>
  </si>
  <si>
    <t>ROMD</t>
  </si>
  <si>
    <t>Minami Daito Airport</t>
  </si>
  <si>
    <t>MME</t>
  </si>
  <si>
    <t>EGNV</t>
  </si>
  <si>
    <t>Teesside International Airport</t>
  </si>
  <si>
    <t>MMF</t>
  </si>
  <si>
    <t>FKKF</t>
  </si>
  <si>
    <t>Mamfe Airport</t>
  </si>
  <si>
    <t>MMG</t>
  </si>
  <si>
    <t>YMOG</t>
  </si>
  <si>
    <t>Mount Magnet Airport</t>
  </si>
  <si>
    <t>MMH</t>
  </si>
  <si>
    <t>KMMH</t>
  </si>
  <si>
    <t>Mammoth Yosemite Airport</t>
  </si>
  <si>
    <t>MMI</t>
  </si>
  <si>
    <t>KMMI</t>
  </si>
  <si>
    <t>McMinn County Airport</t>
  </si>
  <si>
    <t>MMJ</t>
  </si>
  <si>
    <t>RJAF</t>
  </si>
  <si>
    <t>Matsumoto Airport</t>
  </si>
  <si>
    <t>MMK</t>
  </si>
  <si>
    <t>ULMM</t>
  </si>
  <si>
    <t>Murmansk Airport</t>
  </si>
  <si>
    <t>MML</t>
  </si>
  <si>
    <t>KMML</t>
  </si>
  <si>
    <t>Southwest Minnesota Regional Airport (Marshall/Ryan Field)</t>
  </si>
  <si>
    <t>MMM</t>
  </si>
  <si>
    <t>YMMU</t>
  </si>
  <si>
    <t>Middlemount Airport</t>
  </si>
  <si>
    <t>MMO</t>
  </si>
  <si>
    <t>GVMA</t>
  </si>
  <si>
    <t>Maio Airport, Maio, Cape Verde</t>
  </si>
  <si>
    <t>MMP</t>
  </si>
  <si>
    <t>SKIO</t>
  </si>
  <si>
    <t>Cicuco Airport</t>
  </si>
  <si>
    <t>MMQ</t>
  </si>
  <si>
    <t>FLBA</t>
  </si>
  <si>
    <t>Mbala Airport</t>
  </si>
  <si>
    <t>MMS</t>
  </si>
  <si>
    <t>KMMS</t>
  </si>
  <si>
    <t>Selfs Airport</t>
  </si>
  <si>
    <t>MMT</t>
  </si>
  <si>
    <t>KMMT</t>
  </si>
  <si>
    <t>McEntire Air National Guard Station</t>
  </si>
  <si>
    <t>MMU</t>
  </si>
  <si>
    <t>KMMU</t>
  </si>
  <si>
    <t>Morristown Municipal Airport</t>
  </si>
  <si>
    <t>MMV</t>
  </si>
  <si>
    <t>KMMV</t>
  </si>
  <si>
    <t>McMinnville Municipal Airport</t>
  </si>
  <si>
    <t>MMX</t>
  </si>
  <si>
    <t>ESMS</t>
  </si>
  <si>
    <t>Malmö-Sturup Airport</t>
  </si>
  <si>
    <t>MMY</t>
  </si>
  <si>
    <t>ROMY</t>
  </si>
  <si>
    <t>Miyako Airport</t>
  </si>
  <si>
    <t>MMZ</t>
  </si>
  <si>
    <t>OAMN</t>
  </si>
  <si>
    <t>Maymana Airport</t>
  </si>
  <si>
    <t>MNA</t>
  </si>
  <si>
    <t>WAMN</t>
  </si>
  <si>
    <t>Melangguane Airport</t>
  </si>
  <si>
    <t>MNB</t>
  </si>
  <si>
    <t>FZAG</t>
  </si>
  <si>
    <t>Muanda Airport</t>
  </si>
  <si>
    <t>MNC</t>
  </si>
  <si>
    <t>FQNC</t>
  </si>
  <si>
    <t>Nacala Airport</t>
  </si>
  <si>
    <t>MNE</t>
  </si>
  <si>
    <t>YMUG</t>
  </si>
  <si>
    <t>Mungeranie Airport</t>
  </si>
  <si>
    <t>MNF</t>
  </si>
  <si>
    <t>NFMA</t>
  </si>
  <si>
    <t>Mana Island Airport</t>
  </si>
  <si>
    <t>KMNF</t>
  </si>
  <si>
    <t>Mountain View Airport</t>
  </si>
  <si>
    <t>MNG</t>
  </si>
  <si>
    <t>YMGD</t>
  </si>
  <si>
    <t>Maningrida Airport</t>
  </si>
  <si>
    <t>MNH</t>
  </si>
  <si>
    <t>VCCH</t>
  </si>
  <si>
    <t>Hingurakgoda Air Force Base</t>
  </si>
  <si>
    <t>MNI</t>
  </si>
  <si>
    <t>TRPG</t>
  </si>
  <si>
    <t>John A. Osborne Airport</t>
  </si>
  <si>
    <t>TRPM</t>
  </si>
  <si>
    <t>Gerald's Airport</t>
  </si>
  <si>
    <t>MNJ</t>
  </si>
  <si>
    <t>FMSM</t>
  </si>
  <si>
    <t>Mananjary Airport</t>
  </si>
  <si>
    <t>MNK</t>
  </si>
  <si>
    <t>NGMA</t>
  </si>
  <si>
    <t>Maiana Airport</t>
  </si>
  <si>
    <t>MNL</t>
  </si>
  <si>
    <t>RPLL</t>
  </si>
  <si>
    <t>Ninoy Aquino International Airport</t>
  </si>
  <si>
    <t>MNM</t>
  </si>
  <si>
    <t>KMNM</t>
  </si>
  <si>
    <t>Menominee-Marinette Twin County Airport</t>
  </si>
  <si>
    <t>MNN</t>
  </si>
  <si>
    <t>KMNN</t>
  </si>
  <si>
    <t>Marion Municipal Airport</t>
  </si>
  <si>
    <t>MNO</t>
  </si>
  <si>
    <t>FZRA</t>
  </si>
  <si>
    <t>Manono Airport</t>
  </si>
  <si>
    <t>MNQ</t>
  </si>
  <si>
    <t>YMTO</t>
  </si>
  <si>
    <t>Monto Airport</t>
  </si>
  <si>
    <t>MNR</t>
  </si>
  <si>
    <t>FLMG</t>
  </si>
  <si>
    <t>Mongu Airport</t>
  </si>
  <si>
    <t>MNS</t>
  </si>
  <si>
    <t>OPMS</t>
  </si>
  <si>
    <t>Minhas, Kamra Airport</t>
  </si>
  <si>
    <t>FLMA</t>
  </si>
  <si>
    <t>Mansa Airport</t>
  </si>
  <si>
    <t>MNU</t>
  </si>
  <si>
    <t>VYMM</t>
  </si>
  <si>
    <t>Mawlamyaing Airport</t>
  </si>
  <si>
    <t>MNV</t>
  </si>
  <si>
    <t>KMNV</t>
  </si>
  <si>
    <t>MNX</t>
  </si>
  <si>
    <t>SBMY</t>
  </si>
  <si>
    <t>Manicoré Airport</t>
  </si>
  <si>
    <t>MNY</t>
  </si>
  <si>
    <t>AGGO</t>
  </si>
  <si>
    <t>Mono Airport</t>
  </si>
  <si>
    <t>MNZ</t>
  </si>
  <si>
    <t>KHEF</t>
  </si>
  <si>
    <t>Manassas Regional Airport</t>
  </si>
  <si>
    <t>MOA</t>
  </si>
  <si>
    <t>MUMO</t>
  </si>
  <si>
    <t>Orestes Acosta Airport</t>
  </si>
  <si>
    <t>MOB</t>
  </si>
  <si>
    <t>KMOB</t>
  </si>
  <si>
    <t>Mobile Regional Airport</t>
  </si>
  <si>
    <t>MOC</t>
  </si>
  <si>
    <t>SBMK</t>
  </si>
  <si>
    <t>Mário Ribeiro Airport</t>
  </si>
  <si>
    <t>MOD</t>
  </si>
  <si>
    <t>KMOD</t>
  </si>
  <si>
    <t>Modesto City-County Airport (Harry Sham Field)</t>
  </si>
  <si>
    <t>MOE</t>
  </si>
  <si>
    <t>VYMO</t>
  </si>
  <si>
    <t>Momeik Airport</t>
  </si>
  <si>
    <t>MOF</t>
  </si>
  <si>
    <t>WATC</t>
  </si>
  <si>
    <t>Maumere(Wai Oti) Airport</t>
  </si>
  <si>
    <t>MOG</t>
  </si>
  <si>
    <t>VYMS</t>
  </si>
  <si>
    <t>Mong Hsat Airport</t>
  </si>
  <si>
    <t>MOI</t>
  </si>
  <si>
    <t>NCMR</t>
  </si>
  <si>
    <t>Mitiaro Island Airport</t>
  </si>
  <si>
    <t>MOL</t>
  </si>
  <si>
    <t>ENML</t>
  </si>
  <si>
    <t>Molde Airport, Årø</t>
  </si>
  <si>
    <t>MOM</t>
  </si>
  <si>
    <t>GQNL</t>
  </si>
  <si>
    <t>Letfotar Airport</t>
  </si>
  <si>
    <t>MON</t>
  </si>
  <si>
    <t>NZMC</t>
  </si>
  <si>
    <t>Mount Cook Airport</t>
  </si>
  <si>
    <t>MOO</t>
  </si>
  <si>
    <t>YOOM</t>
  </si>
  <si>
    <t>Moomba Airport</t>
  </si>
  <si>
    <t>MOP</t>
  </si>
  <si>
    <t>KMOP</t>
  </si>
  <si>
    <t>Mount Pleasant Municipal Airport</t>
  </si>
  <si>
    <t>MOQ</t>
  </si>
  <si>
    <t>FMMV</t>
  </si>
  <si>
    <t>Morondava Airport</t>
  </si>
  <si>
    <t>MOR</t>
  </si>
  <si>
    <t>KMOR</t>
  </si>
  <si>
    <t>Moore-Murrell Airport</t>
  </si>
  <si>
    <t>MOT</t>
  </si>
  <si>
    <t>KMOT</t>
  </si>
  <si>
    <t>Minot International Airport</t>
  </si>
  <si>
    <t>MOU</t>
  </si>
  <si>
    <t>PAMO</t>
  </si>
  <si>
    <t>Mountain Village Airport</t>
  </si>
  <si>
    <t>MOV</t>
  </si>
  <si>
    <t>YMRB</t>
  </si>
  <si>
    <t>Moranbah Airport</t>
  </si>
  <si>
    <t>MOX</t>
  </si>
  <si>
    <t>KMOX</t>
  </si>
  <si>
    <t>Morris Municipal Airport</t>
  </si>
  <si>
    <t>MOZ</t>
  </si>
  <si>
    <t>NTTM</t>
  </si>
  <si>
    <t>Temae Airport</t>
  </si>
  <si>
    <t>MPA</t>
  </si>
  <si>
    <t>FYKM</t>
  </si>
  <si>
    <t>Katima Mulilo Airport</t>
  </si>
  <si>
    <t>MPC</t>
  </si>
  <si>
    <t>WIPU</t>
  </si>
  <si>
    <t>Muko Muko Airport</t>
  </si>
  <si>
    <t>MPD</t>
  </si>
  <si>
    <t>OPMK</t>
  </si>
  <si>
    <t>Mirpur Khas Air Base</t>
  </si>
  <si>
    <t>OPMP</t>
  </si>
  <si>
    <t>Sindhri Tharparkar Airport</t>
  </si>
  <si>
    <t>MPE</t>
  </si>
  <si>
    <t>KMPE</t>
  </si>
  <si>
    <t>Philadelphia Municipal Airport</t>
  </si>
  <si>
    <t>MPH</t>
  </si>
  <si>
    <t>RPVE</t>
  </si>
  <si>
    <t>Godofredo P. Ramos Airport</t>
  </si>
  <si>
    <t>MPI</t>
  </si>
  <si>
    <t>KMPI</t>
  </si>
  <si>
    <t>Mariposa-Yosemite Airport</t>
  </si>
  <si>
    <t>MPJ</t>
  </si>
  <si>
    <t>KMPJ</t>
  </si>
  <si>
    <t>Petit Jean Park Airport</t>
  </si>
  <si>
    <t>MPK</t>
  </si>
  <si>
    <t>RKJM</t>
  </si>
  <si>
    <t>Mokpo Airport</t>
  </si>
  <si>
    <t>MPL</t>
  </si>
  <si>
    <t>LFMT</t>
  </si>
  <si>
    <t>Mediterranée Airport</t>
  </si>
  <si>
    <t>MPM</t>
  </si>
  <si>
    <t>FQMA</t>
  </si>
  <si>
    <t>Maputo International Airport</t>
  </si>
  <si>
    <t>MPN</t>
  </si>
  <si>
    <t>EGYP</t>
  </si>
  <si>
    <t>RAF Mount Pleasant</t>
  </si>
  <si>
    <t>MPO</t>
  </si>
  <si>
    <t>KMPO</t>
  </si>
  <si>
    <t>Pocono Mountains Municipal Airport</t>
  </si>
  <si>
    <t>MPR</t>
  </si>
  <si>
    <t>KMPR</t>
  </si>
  <si>
    <t>McPherson Airport</t>
  </si>
  <si>
    <t>MPT</t>
  </si>
  <si>
    <t>WPMN</t>
  </si>
  <si>
    <t>Maliana Airport</t>
  </si>
  <si>
    <t>MPV</t>
  </si>
  <si>
    <t>KMPV</t>
  </si>
  <si>
    <t>Edward F. Knapp State Airport</t>
  </si>
  <si>
    <t>MPW</t>
  </si>
  <si>
    <t>UKCM</t>
  </si>
  <si>
    <t>Mariupol Airport</t>
  </si>
  <si>
    <t>MPY</t>
  </si>
  <si>
    <t>SOOA</t>
  </si>
  <si>
    <t>Maripasoula Airport</t>
  </si>
  <si>
    <t>MPZ</t>
  </si>
  <si>
    <t>KMPZ</t>
  </si>
  <si>
    <t>MQA</t>
  </si>
  <si>
    <t>YMDI</t>
  </si>
  <si>
    <t>Mandora Airport</t>
  </si>
  <si>
    <t>MQB</t>
  </si>
  <si>
    <t>KMQB</t>
  </si>
  <si>
    <t>Macomb Municipal Airport</t>
  </si>
  <si>
    <t>MQC</t>
  </si>
  <si>
    <t>LFVM</t>
  </si>
  <si>
    <t>Miquelon Airport</t>
  </si>
  <si>
    <t>MQD</t>
  </si>
  <si>
    <t>SAVQ</t>
  </si>
  <si>
    <t>Maquinchao Airport</t>
  </si>
  <si>
    <t>MQE</t>
  </si>
  <si>
    <t>YMQA</t>
  </si>
  <si>
    <t>Marqua Airport</t>
  </si>
  <si>
    <t>MQF</t>
  </si>
  <si>
    <t>USCM</t>
  </si>
  <si>
    <t>Magnitogorsk Airport</t>
  </si>
  <si>
    <t>MQH</t>
  </si>
  <si>
    <t>SBMC</t>
  </si>
  <si>
    <t>Minaçu Airport</t>
  </si>
  <si>
    <t>MQI</t>
  </si>
  <si>
    <t>KMQI</t>
  </si>
  <si>
    <t>Dare County Regional Airport</t>
  </si>
  <si>
    <t>MQJ</t>
  </si>
  <si>
    <t>KMQJ</t>
  </si>
  <si>
    <t>Mount Comfort Airport</t>
  </si>
  <si>
    <t>MQK</t>
  </si>
  <si>
    <t>SLTI</t>
  </si>
  <si>
    <t>San Matías Airport</t>
  </si>
  <si>
    <t>MQL</t>
  </si>
  <si>
    <t>YMIA</t>
  </si>
  <si>
    <t>Mildura Airport</t>
  </si>
  <si>
    <t>MQM</t>
  </si>
  <si>
    <t>LTCR</t>
  </si>
  <si>
    <t>Mardin Airport</t>
  </si>
  <si>
    <t>MQN</t>
  </si>
  <si>
    <t>ENRA</t>
  </si>
  <si>
    <t>Mo i Rana Airport, Røssvoll</t>
  </si>
  <si>
    <t>MQP</t>
  </si>
  <si>
    <t>FAKN</t>
  </si>
  <si>
    <t>Kruger Mpumalanga International Airport</t>
  </si>
  <si>
    <t>MQQ</t>
  </si>
  <si>
    <t>FTTD</t>
  </si>
  <si>
    <t>Moundou Airport</t>
  </si>
  <si>
    <t>MQS</t>
  </si>
  <si>
    <t>KMQS</t>
  </si>
  <si>
    <t>Chester County G O Carlson Airport</t>
  </si>
  <si>
    <t>TVSM</t>
  </si>
  <si>
    <t>Mustique Airport</t>
  </si>
  <si>
    <t>MQT</t>
  </si>
  <si>
    <t>KSAW</t>
  </si>
  <si>
    <t>Sawyer International Airport</t>
  </si>
  <si>
    <t>MQU</t>
  </si>
  <si>
    <t>SKQU</t>
  </si>
  <si>
    <t>Jose Celestino Mutis Airport</t>
  </si>
  <si>
    <t>MQW</t>
  </si>
  <si>
    <t>KMQW</t>
  </si>
  <si>
    <t>Telfair-Wheeler Airport</t>
  </si>
  <si>
    <t>MQX</t>
  </si>
  <si>
    <t>HAMK</t>
  </si>
  <si>
    <t>Mekele Airport</t>
  </si>
  <si>
    <t>MQY</t>
  </si>
  <si>
    <t>KMQY</t>
  </si>
  <si>
    <t>Smyrna Airport</t>
  </si>
  <si>
    <t>MQZ</t>
  </si>
  <si>
    <t>YMGT</t>
  </si>
  <si>
    <t>Margaret River Airport</t>
  </si>
  <si>
    <t>SKUA</t>
  </si>
  <si>
    <t>Marandúa Air Base</t>
  </si>
  <si>
    <t>MRB</t>
  </si>
  <si>
    <t>KMRB</t>
  </si>
  <si>
    <t>Eastern WV Regional Airport (Shepherd Field)</t>
  </si>
  <si>
    <t>MRC</t>
  </si>
  <si>
    <t>KMRC</t>
  </si>
  <si>
    <t>Maury County Airport</t>
  </si>
  <si>
    <t>MRD</t>
  </si>
  <si>
    <t>SVMD</t>
  </si>
  <si>
    <t>Alberto Carnevalli Airport</t>
  </si>
  <si>
    <t>MRE</t>
  </si>
  <si>
    <t>HKMS</t>
  </si>
  <si>
    <t>Mara Serena Lodge Airstrip</t>
  </si>
  <si>
    <t>MRF</t>
  </si>
  <si>
    <t>KMRF</t>
  </si>
  <si>
    <t>Marfa Municipal Airport</t>
  </si>
  <si>
    <t>MRG</t>
  </si>
  <si>
    <t>YMBA</t>
  </si>
  <si>
    <t>Mareeba Airport</t>
  </si>
  <si>
    <t>MRH</t>
  </si>
  <si>
    <t>EGYM</t>
  </si>
  <si>
    <t>RAF Marham</t>
  </si>
  <si>
    <t>KMRH</t>
  </si>
  <si>
    <t>Michael J. Smith Field</t>
  </si>
  <si>
    <t>MRI</t>
  </si>
  <si>
    <t>PAMR</t>
  </si>
  <si>
    <t>Merrill Field</t>
  </si>
  <si>
    <t>MRJ</t>
  </si>
  <si>
    <t>KMRJ</t>
  </si>
  <si>
    <t>Iowa County Airport</t>
  </si>
  <si>
    <t>MRK</t>
  </si>
  <si>
    <t>KMKY</t>
  </si>
  <si>
    <t>Marco Island Airport</t>
  </si>
  <si>
    <t>MRN</t>
  </si>
  <si>
    <t>KMRN</t>
  </si>
  <si>
    <t>Morganton-Lenoir Airport</t>
  </si>
  <si>
    <t>MRO</t>
  </si>
  <si>
    <t>SAWB</t>
  </si>
  <si>
    <t>Base Marambio Island´s Airport</t>
  </si>
  <si>
    <t>NZMS</t>
  </si>
  <si>
    <t>Hood Airport</t>
  </si>
  <si>
    <t>MRP</t>
  </si>
  <si>
    <t>YALA</t>
  </si>
  <si>
    <t>Marla Airport</t>
  </si>
  <si>
    <t>MRQ</t>
  </si>
  <si>
    <t>RPUW</t>
  </si>
  <si>
    <t>Marinduque Airport</t>
  </si>
  <si>
    <t>MRR</t>
  </si>
  <si>
    <t>SEMA</t>
  </si>
  <si>
    <t>Jose Maria Velasco Ibarra Airport</t>
  </si>
  <si>
    <t>MRS</t>
  </si>
  <si>
    <t>LFML</t>
  </si>
  <si>
    <t>Marseille Provence Airport</t>
  </si>
  <si>
    <t>MRU</t>
  </si>
  <si>
    <t>FIMP</t>
  </si>
  <si>
    <t>Sir Seewoosagur Ramgoolam International Airport</t>
  </si>
  <si>
    <t>MRV</t>
  </si>
  <si>
    <t>URMM</t>
  </si>
  <si>
    <t>Mineralnye Vody Airport</t>
  </si>
  <si>
    <t>MRW</t>
  </si>
  <si>
    <t>EKMB</t>
  </si>
  <si>
    <t>Lolland Falster Maribo Airport</t>
  </si>
  <si>
    <t>MRX</t>
  </si>
  <si>
    <t>OIAM</t>
  </si>
  <si>
    <t>Mahshahr Airport</t>
  </si>
  <si>
    <t>MRY</t>
  </si>
  <si>
    <t>KMRY</t>
  </si>
  <si>
    <t>Monterey Peninsula Airport</t>
  </si>
  <si>
    <t>MRZ</t>
  </si>
  <si>
    <t>YMOR</t>
  </si>
  <si>
    <t>Moree Airport</t>
  </si>
  <si>
    <t>MSA</t>
  </si>
  <si>
    <t>CZMD</t>
  </si>
  <si>
    <t>Muskrat Dam Airport</t>
  </si>
  <si>
    <t>MSE</t>
  </si>
  <si>
    <t>EGMH</t>
  </si>
  <si>
    <t>Kent International Airport</t>
  </si>
  <si>
    <t>GMSH</t>
  </si>
  <si>
    <t>MSH</t>
  </si>
  <si>
    <t>OOMA</t>
  </si>
  <si>
    <t>Masirah Air Base</t>
  </si>
  <si>
    <t>MSJ</t>
  </si>
  <si>
    <t>RJSM</t>
  </si>
  <si>
    <t>Misawa Airport</t>
  </si>
  <si>
    <t>MSL</t>
  </si>
  <si>
    <t>KMSL</t>
  </si>
  <si>
    <t>Northwest Alabama Regional Airport</t>
  </si>
  <si>
    <t>MSM</t>
  </si>
  <si>
    <t>FZCV</t>
  </si>
  <si>
    <t>Masi Manimba Airport</t>
  </si>
  <si>
    <t>MSN</t>
  </si>
  <si>
    <t>KMSN</t>
  </si>
  <si>
    <t>Dane County Regional Airport (Truax Field)</t>
  </si>
  <si>
    <t>MSO</t>
  </si>
  <si>
    <t>KMSO</t>
  </si>
  <si>
    <t>Missoula International Airport</t>
  </si>
  <si>
    <t>MSP</t>
  </si>
  <si>
    <t>KMSP</t>
  </si>
  <si>
    <t>Minneapolis-Saint Paul International Airport</t>
  </si>
  <si>
    <t>MSQ</t>
  </si>
  <si>
    <t>UMMS</t>
  </si>
  <si>
    <t>Minsk International Airport (Minsk-2)</t>
  </si>
  <si>
    <t>LTCK</t>
  </si>
  <si>
    <t>Mus Airport</t>
  </si>
  <si>
    <t>MSR</t>
  </si>
  <si>
    <t>MuÅŸ Airport</t>
  </si>
  <si>
    <t>MSS</t>
  </si>
  <si>
    <t>KMSS</t>
  </si>
  <si>
    <t>Massena International Airport (Richards Field)</t>
  </si>
  <si>
    <t>MST</t>
  </si>
  <si>
    <t>EHBK</t>
  </si>
  <si>
    <t>Maastricht Aachen Airport</t>
  </si>
  <si>
    <t>MSU</t>
  </si>
  <si>
    <t>FXMM</t>
  </si>
  <si>
    <t>Moshoeshoe I International Airport</t>
  </si>
  <si>
    <t>MSV</t>
  </si>
  <si>
    <t>KMSV</t>
  </si>
  <si>
    <t>Sullivan County International Airport</t>
  </si>
  <si>
    <t>MSW</t>
  </si>
  <si>
    <t>HHMS</t>
  </si>
  <si>
    <t>Massawa International Airport</t>
  </si>
  <si>
    <t>MSX</t>
  </si>
  <si>
    <t>FCMM</t>
  </si>
  <si>
    <t>Mossendjo Airport</t>
  </si>
  <si>
    <t>MSY</t>
  </si>
  <si>
    <t>KMSY</t>
  </si>
  <si>
    <t>Louis Armstrong New Orleans International Airport</t>
  </si>
  <si>
    <t>MSZ</t>
  </si>
  <si>
    <t>FNMO</t>
  </si>
  <si>
    <t>Namibe Airport</t>
  </si>
  <si>
    <t>MTA</t>
  </si>
  <si>
    <t>NZMA</t>
  </si>
  <si>
    <t>Matamata Glider Airport</t>
  </si>
  <si>
    <t>MTB</t>
  </si>
  <si>
    <t>SKML</t>
  </si>
  <si>
    <t>Montelibano Airport</t>
  </si>
  <si>
    <t>MTC</t>
  </si>
  <si>
    <t>KMTC</t>
  </si>
  <si>
    <t>Selfridge Air National Guard Base</t>
  </si>
  <si>
    <t>MTD</t>
  </si>
  <si>
    <t>YMSF</t>
  </si>
  <si>
    <t>Mount Sanford Station Airport</t>
  </si>
  <si>
    <t>MTE</t>
  </si>
  <si>
    <t>SNMA</t>
  </si>
  <si>
    <t>Monte Alegre Airport</t>
  </si>
  <si>
    <t>MTF</t>
  </si>
  <si>
    <t>HAMT</t>
  </si>
  <si>
    <t>Mizan Teferi Airport</t>
  </si>
  <si>
    <t>MTH</t>
  </si>
  <si>
    <t>KMTH</t>
  </si>
  <si>
    <t>Florida Keys Marathon Airport</t>
  </si>
  <si>
    <t>MTI</t>
  </si>
  <si>
    <t>GVMT</t>
  </si>
  <si>
    <t>Mosteiros Airport</t>
  </si>
  <si>
    <t>MTJ</t>
  </si>
  <si>
    <t>KMTJ</t>
  </si>
  <si>
    <t>Montrose Regional Airport</t>
  </si>
  <si>
    <t>MTK</t>
  </si>
  <si>
    <t>NGMN</t>
  </si>
  <si>
    <t>Makin Island Airport</t>
  </si>
  <si>
    <t>MTL</t>
  </si>
  <si>
    <t>YMND</t>
  </si>
  <si>
    <t>Maitland Airport</t>
  </si>
  <si>
    <t>MTM</t>
  </si>
  <si>
    <t>PAMM</t>
  </si>
  <si>
    <t>Metlakatla Seaplane Base</t>
  </si>
  <si>
    <t>MTN</t>
  </si>
  <si>
    <t>KMTN</t>
  </si>
  <si>
    <t>Martin State Airport</t>
  </si>
  <si>
    <t>MTO</t>
  </si>
  <si>
    <t>KMTO</t>
  </si>
  <si>
    <t>Coles County Memorial Airport</t>
  </si>
  <si>
    <t>MTP</t>
  </si>
  <si>
    <t>KMTP</t>
  </si>
  <si>
    <t>Montauk Airport</t>
  </si>
  <si>
    <t>MTQ</t>
  </si>
  <si>
    <t>YMIT</t>
  </si>
  <si>
    <t>Mitchell Airport</t>
  </si>
  <si>
    <t>MTR</t>
  </si>
  <si>
    <t>SKMR</t>
  </si>
  <si>
    <t>Los Garzones Airport</t>
  </si>
  <si>
    <t>MTS</t>
  </si>
  <si>
    <t>FDMS</t>
  </si>
  <si>
    <t>Matsapha Airport</t>
  </si>
  <si>
    <t>MTT</t>
  </si>
  <si>
    <t>MMMT</t>
  </si>
  <si>
    <t>Minatitlán/Coatzacoalcos National Airport</t>
  </si>
  <si>
    <t>MTV</t>
  </si>
  <si>
    <t>KMTV</t>
  </si>
  <si>
    <t>Blue Ridge Airport</t>
  </si>
  <si>
    <t>NVSA</t>
  </si>
  <si>
    <t>Mota Lava Airport</t>
  </si>
  <si>
    <t>MTW</t>
  </si>
  <si>
    <t>WAOM</t>
  </si>
  <si>
    <t>Beringin Airport</t>
  </si>
  <si>
    <t>KMTW</t>
  </si>
  <si>
    <t>Manitowoc County Airport</t>
  </si>
  <si>
    <t>MTY</t>
  </si>
  <si>
    <t>MMMY</t>
  </si>
  <si>
    <t>General Mariano Escobedo International Airport</t>
  </si>
  <si>
    <t>MTZ</t>
  </si>
  <si>
    <t>LLMZ</t>
  </si>
  <si>
    <t>Bar Yehuda Airfield</t>
  </si>
  <si>
    <t>MUA</t>
  </si>
  <si>
    <t>AGGM</t>
  </si>
  <si>
    <t>Munda Airport</t>
  </si>
  <si>
    <t>MUB</t>
  </si>
  <si>
    <t>FBMN</t>
  </si>
  <si>
    <t>Maun Airport</t>
  </si>
  <si>
    <t>MUC</t>
  </si>
  <si>
    <t>EDDM</t>
  </si>
  <si>
    <t>MUD</t>
  </si>
  <si>
    <t>FQMD</t>
  </si>
  <si>
    <t>Mueda Airport</t>
  </si>
  <si>
    <t>MUE</t>
  </si>
  <si>
    <t>PHMU</t>
  </si>
  <si>
    <t>Waimea-Kohala Airport</t>
  </si>
  <si>
    <t>MUG</t>
  </si>
  <si>
    <t>MMMG</t>
  </si>
  <si>
    <t>Mulege Airport</t>
  </si>
  <si>
    <t>MUH</t>
  </si>
  <si>
    <t>HEMM</t>
  </si>
  <si>
    <t>Mersa Matruh Airport</t>
  </si>
  <si>
    <t>MUI</t>
  </si>
  <si>
    <t>KMUI</t>
  </si>
  <si>
    <t>Muir Army Airfield</t>
  </si>
  <si>
    <t>MUK</t>
  </si>
  <si>
    <t>NCMK</t>
  </si>
  <si>
    <t>Mauke Airport</t>
  </si>
  <si>
    <t>MUL</t>
  </si>
  <si>
    <t>KMUL</t>
  </si>
  <si>
    <t>Spence Airport</t>
  </si>
  <si>
    <t>MUN</t>
  </si>
  <si>
    <t>SVMT</t>
  </si>
  <si>
    <t>Maturín Airport</t>
  </si>
  <si>
    <t>MUO</t>
  </si>
  <si>
    <t>KMUO</t>
  </si>
  <si>
    <t>Mountain Home Air Force Base</t>
  </si>
  <si>
    <t>MUQ</t>
  </si>
  <si>
    <t>YMUC</t>
  </si>
  <si>
    <t>Muccan Station Airport</t>
  </si>
  <si>
    <t>MUR</t>
  </si>
  <si>
    <t>WBGM</t>
  </si>
  <si>
    <t>Marudi Airport</t>
  </si>
  <si>
    <t>MUS</t>
  </si>
  <si>
    <t>RJAM</t>
  </si>
  <si>
    <t>Minami Torishima Airport</t>
  </si>
  <si>
    <t>MUT</t>
  </si>
  <si>
    <t>KMUT</t>
  </si>
  <si>
    <t>Muscatine Municipal Airport</t>
  </si>
  <si>
    <t>DAOV</t>
  </si>
  <si>
    <t>Ghriss Airport</t>
  </si>
  <si>
    <t>MUX</t>
  </si>
  <si>
    <t>OPMT</t>
  </si>
  <si>
    <t>Multan International Airport</t>
  </si>
  <si>
    <t>MUY</t>
  </si>
  <si>
    <t>FCBM</t>
  </si>
  <si>
    <t>Mouyondzi Airport</t>
  </si>
  <si>
    <t>MUZ</t>
  </si>
  <si>
    <t>HTMU</t>
  </si>
  <si>
    <t>Musoma Airport</t>
  </si>
  <si>
    <t>MVA</t>
  </si>
  <si>
    <t>BIRL</t>
  </si>
  <si>
    <t>Reykjahlíð Airport</t>
  </si>
  <si>
    <t>MVB</t>
  </si>
  <si>
    <t>FOON</t>
  </si>
  <si>
    <t>M'Vengue El Hadj Omar Bongo Ondimba International Airport</t>
  </si>
  <si>
    <t>MVC</t>
  </si>
  <si>
    <t>KMVC</t>
  </si>
  <si>
    <t>MVD</t>
  </si>
  <si>
    <t>SUMU</t>
  </si>
  <si>
    <t>Carrasco International Airport</t>
  </si>
  <si>
    <t>MVE</t>
  </si>
  <si>
    <t>KMVE</t>
  </si>
  <si>
    <t>Montevideo-Chippewa County Airport</t>
  </si>
  <si>
    <t>MVF</t>
  </si>
  <si>
    <t>SBMS</t>
  </si>
  <si>
    <t>Dix-Sept Rosado Airport</t>
  </si>
  <si>
    <t>MVI</t>
  </si>
  <si>
    <t>KMVI</t>
  </si>
  <si>
    <t>Monte Vista Municipal Airport</t>
  </si>
  <si>
    <t>MVK</t>
  </si>
  <si>
    <t>YMUK</t>
  </si>
  <si>
    <t>Mulka Airport</t>
  </si>
  <si>
    <t>MVL</t>
  </si>
  <si>
    <t>KMVL</t>
  </si>
  <si>
    <t>Morrisville-Stowe State Airport</t>
  </si>
  <si>
    <t>MVM</t>
  </si>
  <si>
    <t>KMVM</t>
  </si>
  <si>
    <t>Machias Valley Airport</t>
  </si>
  <si>
    <t>MVN</t>
  </si>
  <si>
    <t>KMVN</t>
  </si>
  <si>
    <t>Mount Vernon Airport</t>
  </si>
  <si>
    <t>MVO</t>
  </si>
  <si>
    <t>FTTM</t>
  </si>
  <si>
    <t>Mongo Airport</t>
  </si>
  <si>
    <t>MVP</t>
  </si>
  <si>
    <t>SKMU</t>
  </si>
  <si>
    <t>Fabio Alberto Leon Bentley Airport</t>
  </si>
  <si>
    <t>MVQ</t>
  </si>
  <si>
    <t>UMOO</t>
  </si>
  <si>
    <t>Mogilev Airport</t>
  </si>
  <si>
    <t>MVR</t>
  </si>
  <si>
    <t>FKKL</t>
  </si>
  <si>
    <t>Salak Airport</t>
  </si>
  <si>
    <t>MVS</t>
  </si>
  <si>
    <t>SNMU</t>
  </si>
  <si>
    <t>Mucuri Airport</t>
  </si>
  <si>
    <t>MVT</t>
  </si>
  <si>
    <t>NTGV</t>
  </si>
  <si>
    <t>Mataiva Airport</t>
  </si>
  <si>
    <t>MVV</t>
  </si>
  <si>
    <t>LFHM</t>
  </si>
  <si>
    <t>Megève Airport</t>
  </si>
  <si>
    <t>MVX</t>
  </si>
  <si>
    <t>FOGV</t>
  </si>
  <si>
    <t>Minvoul Airport</t>
  </si>
  <si>
    <t>MVY</t>
  </si>
  <si>
    <t>KMVY</t>
  </si>
  <si>
    <t>Martha's Vineyard Airport</t>
  </si>
  <si>
    <t>MVZ</t>
  </si>
  <si>
    <t>FVMV</t>
  </si>
  <si>
    <t>Masvingo International Airport</t>
  </si>
  <si>
    <t>MWA</t>
  </si>
  <si>
    <t>KMWA</t>
  </si>
  <si>
    <t>Williamson County Regional Airport</t>
  </si>
  <si>
    <t>MWB</t>
  </si>
  <si>
    <t>YMRW</t>
  </si>
  <si>
    <t>Morawa Airport</t>
  </si>
  <si>
    <t>MWC</t>
  </si>
  <si>
    <t>KMWC</t>
  </si>
  <si>
    <t>Lawrence J. Timmerman Airport</t>
  </si>
  <si>
    <t>MWD</t>
  </si>
  <si>
    <t>OPMI</t>
  </si>
  <si>
    <t>Mianwali Air Base</t>
  </si>
  <si>
    <t>MWE</t>
  </si>
  <si>
    <t>HSMR</t>
  </si>
  <si>
    <t>Merowe Airport</t>
  </si>
  <si>
    <t>MWF</t>
  </si>
  <si>
    <t>NVSN</t>
  </si>
  <si>
    <t>Naone Airport</t>
  </si>
  <si>
    <t>MWH</t>
  </si>
  <si>
    <t>KMWH</t>
  </si>
  <si>
    <t>Grant County International Airport</t>
  </si>
  <si>
    <t>MWK</t>
  </si>
  <si>
    <t>WIOM</t>
  </si>
  <si>
    <t>Tarempa Airport</t>
  </si>
  <si>
    <t>KMWK</t>
  </si>
  <si>
    <t>Mount Airy/Surry County Airport</t>
  </si>
  <si>
    <t>MWL</t>
  </si>
  <si>
    <t>KMWL</t>
  </si>
  <si>
    <t>Mineral Wells Airport</t>
  </si>
  <si>
    <t>MWM</t>
  </si>
  <si>
    <t>KMWM</t>
  </si>
  <si>
    <t>Windom Municipal Airport</t>
  </si>
  <si>
    <t>MWN</t>
  </si>
  <si>
    <t>HTMD</t>
  </si>
  <si>
    <t>Mwadui Airport</t>
  </si>
  <si>
    <t>MWO</t>
  </si>
  <si>
    <t>KMWO</t>
  </si>
  <si>
    <t>Hook Field Municipal Airport</t>
  </si>
  <si>
    <t>MWQ</t>
  </si>
  <si>
    <t>VYMW</t>
  </si>
  <si>
    <t>Magway Airport</t>
  </si>
  <si>
    <t>MWZ</t>
  </si>
  <si>
    <t>HTMW</t>
  </si>
  <si>
    <t>Mwanza Airport</t>
  </si>
  <si>
    <t>MXA</t>
  </si>
  <si>
    <t>KMXA</t>
  </si>
  <si>
    <t>Manila Municipal Airport</t>
  </si>
  <si>
    <t>MXB</t>
  </si>
  <si>
    <t>WAWM</t>
  </si>
  <si>
    <t>Andi Jemma Airport</t>
  </si>
  <si>
    <t>MXD</t>
  </si>
  <si>
    <t>YMWX</t>
  </si>
  <si>
    <t>Marion Downs Airport</t>
  </si>
  <si>
    <t>MXF</t>
  </si>
  <si>
    <t>KMXF</t>
  </si>
  <si>
    <t>Maxwell Air Force Base</t>
  </si>
  <si>
    <t>MXH</t>
  </si>
  <si>
    <t>AYMR</t>
  </si>
  <si>
    <t>Moro Airport</t>
  </si>
  <si>
    <t>MXI</t>
  </si>
  <si>
    <t>RPMQ</t>
  </si>
  <si>
    <t>Mati National Airport</t>
  </si>
  <si>
    <t>MXJ</t>
  </si>
  <si>
    <t>DNMN</t>
  </si>
  <si>
    <t>Minna Airport</t>
  </si>
  <si>
    <t>MXL</t>
  </si>
  <si>
    <t>MMML</t>
  </si>
  <si>
    <t>General Rodolfo Sánchez Taboada International Airport</t>
  </si>
  <si>
    <t>MXM</t>
  </si>
  <si>
    <t>FMSR</t>
  </si>
  <si>
    <t>Morombe Airport</t>
  </si>
  <si>
    <t>MXN</t>
  </si>
  <si>
    <t>LFRU</t>
  </si>
  <si>
    <t>Morlaix-Ploujean Airport</t>
  </si>
  <si>
    <t>MXO</t>
  </si>
  <si>
    <t>KMXO</t>
  </si>
  <si>
    <t>Monticello Regional Airport</t>
  </si>
  <si>
    <t>MXP</t>
  </si>
  <si>
    <t>LIMC</t>
  </si>
  <si>
    <t>Malpensa International Airport</t>
  </si>
  <si>
    <t>MXS</t>
  </si>
  <si>
    <t>NSMA</t>
  </si>
  <si>
    <t>Maota Airport</t>
  </si>
  <si>
    <t>MXT</t>
  </si>
  <si>
    <t>FMMO</t>
  </si>
  <si>
    <t>Maintirano Airport</t>
  </si>
  <si>
    <t>MXU</t>
  </si>
  <si>
    <t>YMWA</t>
  </si>
  <si>
    <t>Mullewa Airport</t>
  </si>
  <si>
    <t>MXV</t>
  </si>
  <si>
    <t>ZMMN</t>
  </si>
  <si>
    <t>Mörön Airport</t>
  </si>
  <si>
    <t>MXW</t>
  </si>
  <si>
    <t>ZMMG</t>
  </si>
  <si>
    <t>Mandalgovi Airport</t>
  </si>
  <si>
    <t>MXX</t>
  </si>
  <si>
    <t>ESKM</t>
  </si>
  <si>
    <t>Mora Airport</t>
  </si>
  <si>
    <t>MXZ</t>
  </si>
  <si>
    <t>ZGMX</t>
  </si>
  <si>
    <t>Meixian Airport</t>
  </si>
  <si>
    <t>MYA</t>
  </si>
  <si>
    <t>YMRY</t>
  </si>
  <si>
    <t>Moruya Airport</t>
  </si>
  <si>
    <t>MYB</t>
  </si>
  <si>
    <t>FOOY</t>
  </si>
  <si>
    <t>Mayumba Airport</t>
  </si>
  <si>
    <t>MYC</t>
  </si>
  <si>
    <t>SVBS</t>
  </si>
  <si>
    <t>Escuela Mariscal Sucre Airport</t>
  </si>
  <si>
    <t>MYD</t>
  </si>
  <si>
    <t>HKML</t>
  </si>
  <si>
    <t>Malindi Airport</t>
  </si>
  <si>
    <t>MYE</t>
  </si>
  <si>
    <t>RJTQ</t>
  </si>
  <si>
    <t>Miyakejima Airport</t>
  </si>
  <si>
    <t>MYF</t>
  </si>
  <si>
    <t>KMYF</t>
  </si>
  <si>
    <t>Montgomery Field</t>
  </si>
  <si>
    <t>MYG</t>
  </si>
  <si>
    <t>MYMM</t>
  </si>
  <si>
    <t>Mayaguana Airport</t>
  </si>
  <si>
    <t>MYI</t>
  </si>
  <si>
    <t>YMUI</t>
  </si>
  <si>
    <t>Murray Island Airport</t>
  </si>
  <si>
    <t>MYJ</t>
  </si>
  <si>
    <t>RJOM</t>
  </si>
  <si>
    <t>Matsuyama Airport</t>
  </si>
  <si>
    <t>MYL</t>
  </si>
  <si>
    <t>KMYL</t>
  </si>
  <si>
    <t>McCall Municipal Airport</t>
  </si>
  <si>
    <t>MYM</t>
  </si>
  <si>
    <t>SYMM</t>
  </si>
  <si>
    <t>Monkey Mountain Airport</t>
  </si>
  <si>
    <t>MYN</t>
  </si>
  <si>
    <t>OYMB</t>
  </si>
  <si>
    <t>Mareb Airport</t>
  </si>
  <si>
    <t>MYP</t>
  </si>
  <si>
    <t>UTAM</t>
  </si>
  <si>
    <t>Mary Airport</t>
  </si>
  <si>
    <t>MYQ</t>
  </si>
  <si>
    <t>VOMY</t>
  </si>
  <si>
    <t>Mysore Airport</t>
  </si>
  <si>
    <t>MYR</t>
  </si>
  <si>
    <t>KMYR</t>
  </si>
  <si>
    <t>Myrtle Beach International Airport</t>
  </si>
  <si>
    <t>MYT</t>
  </si>
  <si>
    <t>VYMK</t>
  </si>
  <si>
    <t>Myitkyina Airport</t>
  </si>
  <si>
    <t>MYU</t>
  </si>
  <si>
    <t>PAMY</t>
  </si>
  <si>
    <t>Mekoryuk Airport</t>
  </si>
  <si>
    <t>MYV</t>
  </si>
  <si>
    <t>KMYV</t>
  </si>
  <si>
    <t>Yuba County Airport</t>
  </si>
  <si>
    <t>MYW</t>
  </si>
  <si>
    <t>HTMT</t>
  </si>
  <si>
    <t>Mtwara Airport</t>
  </si>
  <si>
    <t>MYY</t>
  </si>
  <si>
    <t>WBGR</t>
  </si>
  <si>
    <t>Miri Airport</t>
  </si>
  <si>
    <t>MYZ</t>
  </si>
  <si>
    <t>FWMY</t>
  </si>
  <si>
    <t>Monkey Bay Airport</t>
  </si>
  <si>
    <t>KMYZ</t>
  </si>
  <si>
    <t>Marysville Municipal Airport</t>
  </si>
  <si>
    <t>MZB</t>
  </si>
  <si>
    <t>FQMP</t>
  </si>
  <si>
    <t>Moçimboa da Praia Airport</t>
  </si>
  <si>
    <t>MZC</t>
  </si>
  <si>
    <t>FOOM</t>
  </si>
  <si>
    <t>Mitzic Airport</t>
  </si>
  <si>
    <t>MZG</t>
  </si>
  <si>
    <t>RCQC</t>
  </si>
  <si>
    <t>Penghu Airport</t>
  </si>
  <si>
    <t>MZH</t>
  </si>
  <si>
    <t>LTAP</t>
  </si>
  <si>
    <t>Merzifon Airport</t>
  </si>
  <si>
    <t>KMZH</t>
  </si>
  <si>
    <t>Moose Lake Carlton County Airport</t>
  </si>
  <si>
    <t>MZI</t>
  </si>
  <si>
    <t>GAMB</t>
  </si>
  <si>
    <t>Ambodedjo Airport</t>
  </si>
  <si>
    <t>MZJ</t>
  </si>
  <si>
    <t>KMZJ</t>
  </si>
  <si>
    <t>Pinal Airpark</t>
  </si>
  <si>
    <t>MZK</t>
  </si>
  <si>
    <t>NGMK</t>
  </si>
  <si>
    <t>Marakei Airport</t>
  </si>
  <si>
    <t>MZL</t>
  </si>
  <si>
    <t>SKMZ</t>
  </si>
  <si>
    <t>La Nubia Airport</t>
  </si>
  <si>
    <t>MZM</t>
  </si>
  <si>
    <t>LFSF</t>
  </si>
  <si>
    <t>Metz-Frescaty (BA 128) Air Base</t>
  </si>
  <si>
    <t>MZO</t>
  </si>
  <si>
    <t>MUMZ</t>
  </si>
  <si>
    <t>Sierra Maestra Airport</t>
  </si>
  <si>
    <t>MZP</t>
  </si>
  <si>
    <t>NZMK</t>
  </si>
  <si>
    <t>Motueka Airport</t>
  </si>
  <si>
    <t>MZQ</t>
  </si>
  <si>
    <t>FAMU</t>
  </si>
  <si>
    <t>Mkuze Airport</t>
  </si>
  <si>
    <t>MZR</t>
  </si>
  <si>
    <t>OAMS</t>
  </si>
  <si>
    <t>Mazari Sharif Airport</t>
  </si>
  <si>
    <t>MZT</t>
  </si>
  <si>
    <t>MMMZ</t>
  </si>
  <si>
    <t>General Rafael Buelna International Airport</t>
  </si>
  <si>
    <t>MZU</t>
  </si>
  <si>
    <t>VEMZ</t>
  </si>
  <si>
    <t>Muzzafarpur Airport</t>
  </si>
  <si>
    <t>MZV</t>
  </si>
  <si>
    <t>WBMU</t>
  </si>
  <si>
    <t>Mulu Airport</t>
  </si>
  <si>
    <t>MZW</t>
  </si>
  <si>
    <t>DAAY</t>
  </si>
  <si>
    <t>Mecheria Airport</t>
  </si>
  <si>
    <t>MZY</t>
  </si>
  <si>
    <t>FAMO</t>
  </si>
  <si>
    <t>Mossel Bay Airport</t>
  </si>
  <si>
    <t>MZZ</t>
  </si>
  <si>
    <t>KMZZ</t>
  </si>
  <si>
    <t>NAA</t>
  </si>
  <si>
    <t>YNBR</t>
  </si>
  <si>
    <t>Narrabri Airport</t>
  </si>
  <si>
    <t>NAC</t>
  </si>
  <si>
    <t>YNRC</t>
  </si>
  <si>
    <t>Naracoorte Airport</t>
  </si>
  <si>
    <t>NAE</t>
  </si>
  <si>
    <t>DBBN</t>
  </si>
  <si>
    <t>Natitingou Airport</t>
  </si>
  <si>
    <t>NAG</t>
  </si>
  <si>
    <t>VANP</t>
  </si>
  <si>
    <t>Dr. Babasaheb Ambedkar International Airport</t>
  </si>
  <si>
    <t>NAH</t>
  </si>
  <si>
    <t>WAMH</t>
  </si>
  <si>
    <t>Naha Airport</t>
  </si>
  <si>
    <t>NAI</t>
  </si>
  <si>
    <t>SYAN</t>
  </si>
  <si>
    <t>Annai Airport</t>
  </si>
  <si>
    <t>NAJ</t>
  </si>
  <si>
    <t>UBBN</t>
  </si>
  <si>
    <t>Nakhchivan Airport</t>
  </si>
  <si>
    <t>NAK</t>
  </si>
  <si>
    <t>VTUQ</t>
  </si>
  <si>
    <t>Nakhon Ratchasima Airport</t>
  </si>
  <si>
    <t>NAL</t>
  </si>
  <si>
    <t>URMN</t>
  </si>
  <si>
    <t>Nalchik Airport</t>
  </si>
  <si>
    <t>NAM</t>
  </si>
  <si>
    <t>WAPR</t>
  </si>
  <si>
    <t>Namlea Airport</t>
  </si>
  <si>
    <t>NAN</t>
  </si>
  <si>
    <t>NFFN</t>
  </si>
  <si>
    <t>Nadi International Airport</t>
  </si>
  <si>
    <t>NAO</t>
  </si>
  <si>
    <t>ZUNC</t>
  </si>
  <si>
    <t>Nanchong Airport</t>
  </si>
  <si>
    <t>NAP</t>
  </si>
  <si>
    <t>LIRN</t>
  </si>
  <si>
    <t>Naples International Airport</t>
  </si>
  <si>
    <t>NAQ</t>
  </si>
  <si>
    <t>BGQQ</t>
  </si>
  <si>
    <t>Qaanaaq Airport</t>
  </si>
  <si>
    <t>NAR</t>
  </si>
  <si>
    <t>SKPN</t>
  </si>
  <si>
    <t>Puerto Nare Airport</t>
  </si>
  <si>
    <t>NAS</t>
  </si>
  <si>
    <t>MYNN</t>
  </si>
  <si>
    <t>Nassau International Airport</t>
  </si>
  <si>
    <t>NAT</t>
  </si>
  <si>
    <t>SBNT</t>
  </si>
  <si>
    <t>Augusto Severo International Airport</t>
  </si>
  <si>
    <t>NAU</t>
  </si>
  <si>
    <t>NTGN</t>
  </si>
  <si>
    <t>Napuka Island Airport</t>
  </si>
  <si>
    <t>NAV</t>
  </si>
  <si>
    <t>LTAZ</t>
  </si>
  <si>
    <t>Kapadokya Airport</t>
  </si>
  <si>
    <t>NAW</t>
  </si>
  <si>
    <t>VTSC</t>
  </si>
  <si>
    <t>Narathiwat Airport</t>
  </si>
  <si>
    <t>NAY</t>
  </si>
  <si>
    <t>ZBNY</t>
  </si>
  <si>
    <t>Nanyuan Airport</t>
  </si>
  <si>
    <t>NBC</t>
  </si>
  <si>
    <t>UWKE</t>
  </si>
  <si>
    <t>Begishevo Airport</t>
  </si>
  <si>
    <t>NBE</t>
  </si>
  <si>
    <t>DNTZ</t>
  </si>
  <si>
    <t>Enfidha Zine El Abidine Ben Ali International Airport</t>
  </si>
  <si>
    <t>NBG</t>
  </si>
  <si>
    <t>KNBG</t>
  </si>
  <si>
    <t>NAS JRB New Orleans (Alvin Callender Field)</t>
  </si>
  <si>
    <t>NBH</t>
  </si>
  <si>
    <t>YNHS</t>
  </si>
  <si>
    <t>Nambucca Heads Airport</t>
  </si>
  <si>
    <t>NBJ</t>
  </si>
  <si>
    <t>KNBJ</t>
  </si>
  <si>
    <t>NOLF Barin</t>
  </si>
  <si>
    <t>NBL</t>
  </si>
  <si>
    <t>MPWN</t>
  </si>
  <si>
    <t>San Blas Airport</t>
  </si>
  <si>
    <t>HKJK</t>
  </si>
  <si>
    <t>Jomo Kenyatta International Airport</t>
  </si>
  <si>
    <t>NBW</t>
  </si>
  <si>
    <t>MUGM</t>
  </si>
  <si>
    <t>Leeward Point Field</t>
  </si>
  <si>
    <t>NBX</t>
  </si>
  <si>
    <t>WABI</t>
  </si>
  <si>
    <t>Nabire Airport</t>
  </si>
  <si>
    <t>NCA</t>
  </si>
  <si>
    <t>MBNC</t>
  </si>
  <si>
    <t>North Caicos Airport</t>
  </si>
  <si>
    <t>KNCA</t>
  </si>
  <si>
    <t>MCAS New River (McCutcheon Field)</t>
  </si>
  <si>
    <t>NCE</t>
  </si>
  <si>
    <t>LFMN</t>
  </si>
  <si>
    <t>Côte d'Azur International Airport</t>
  </si>
  <si>
    <t>NCG</t>
  </si>
  <si>
    <t>MMCG</t>
  </si>
  <si>
    <t>Nuevo Casas Grandes Airport</t>
  </si>
  <si>
    <t>NCH</t>
  </si>
  <si>
    <t>HTNA</t>
  </si>
  <si>
    <t>Nachingwea Airport</t>
  </si>
  <si>
    <t>NCI</t>
  </si>
  <si>
    <t>SKNC</t>
  </si>
  <si>
    <t>Necocli Airport</t>
  </si>
  <si>
    <t>NCJ</t>
  </si>
  <si>
    <t>SAFS</t>
  </si>
  <si>
    <t>Sunchales Aeroclub Airport</t>
  </si>
  <si>
    <t>NCL</t>
  </si>
  <si>
    <t>EGNT</t>
  </si>
  <si>
    <t>Newcastle International Airport</t>
  </si>
  <si>
    <t>NCR</t>
  </si>
  <si>
    <t>MNSC</t>
  </si>
  <si>
    <t>San Carlos</t>
  </si>
  <si>
    <t>NCS</t>
  </si>
  <si>
    <t>FANC</t>
  </si>
  <si>
    <t>Newcastle Airport</t>
  </si>
  <si>
    <t>NCT</t>
  </si>
  <si>
    <t>MRNC</t>
  </si>
  <si>
    <t>Guanacaste Airport</t>
  </si>
  <si>
    <t>NCU</t>
  </si>
  <si>
    <t>UTNN</t>
  </si>
  <si>
    <t>Nukus Airport</t>
  </si>
  <si>
    <t>NCY</t>
  </si>
  <si>
    <t>LFLP</t>
  </si>
  <si>
    <t>Meythet Airport</t>
  </si>
  <si>
    <t>NDB</t>
  </si>
  <si>
    <t>GQPP</t>
  </si>
  <si>
    <t>Nouadhibou International Airport</t>
  </si>
  <si>
    <t>NDC</t>
  </si>
  <si>
    <t>VAND</t>
  </si>
  <si>
    <t>Nanded Airport</t>
  </si>
  <si>
    <t>NDD</t>
  </si>
  <si>
    <t>FNSU</t>
  </si>
  <si>
    <t>Sumbe Airport</t>
  </si>
  <si>
    <t>NDE</t>
  </si>
  <si>
    <t>HKMA</t>
  </si>
  <si>
    <t>Mandera Airport</t>
  </si>
  <si>
    <t>NDG</t>
  </si>
  <si>
    <t>ZYQQ</t>
  </si>
  <si>
    <t>Qiqihar Sanjiazi Airport</t>
  </si>
  <si>
    <t>NDJ</t>
  </si>
  <si>
    <t>FTTJ</t>
  </si>
  <si>
    <t>N'Djamena Airport</t>
  </si>
  <si>
    <t>NDL</t>
  </si>
  <si>
    <t>FEFN</t>
  </si>
  <si>
    <t>N'Délé Airport</t>
  </si>
  <si>
    <t>NDM</t>
  </si>
  <si>
    <t>HAMN</t>
  </si>
  <si>
    <t>NDR</t>
  </si>
  <si>
    <t>GMMW</t>
  </si>
  <si>
    <t>Arwi Airport</t>
  </si>
  <si>
    <t>NDS</t>
  </si>
  <si>
    <t>YSAN</t>
  </si>
  <si>
    <t>Sandstone Airport</t>
  </si>
  <si>
    <t>NDU</t>
  </si>
  <si>
    <t>FYRU</t>
  </si>
  <si>
    <t>Rundu Airport</t>
  </si>
  <si>
    <t>NDY</t>
  </si>
  <si>
    <t>EGES</t>
  </si>
  <si>
    <t>Sanday Airport</t>
  </si>
  <si>
    <t>NDZ</t>
  </si>
  <si>
    <t>ETMN</t>
  </si>
  <si>
    <t>Nordholz Airport</t>
  </si>
  <si>
    <t>NEC</t>
  </si>
  <si>
    <t>SAZO</t>
  </si>
  <si>
    <t>Necochea Airport</t>
  </si>
  <si>
    <t>NEF</t>
  </si>
  <si>
    <t>UWUF</t>
  </si>
  <si>
    <t>Neftekamsk Airport</t>
  </si>
  <si>
    <t>NEG</t>
  </si>
  <si>
    <t>MKNG</t>
  </si>
  <si>
    <t>Negril Aerodrome</t>
  </si>
  <si>
    <t>NEJ</t>
  </si>
  <si>
    <t>HANJ</t>
  </si>
  <si>
    <t>Nejjo Airport</t>
  </si>
  <si>
    <t>NEK</t>
  </si>
  <si>
    <t>HANK</t>
  </si>
  <si>
    <t>Nekemte Airport</t>
  </si>
  <si>
    <t>NEL</t>
  </si>
  <si>
    <t>KNEL</t>
  </si>
  <si>
    <t>NAES Lakehurst (Maxfield Field)</t>
  </si>
  <si>
    <t>NEN</t>
  </si>
  <si>
    <t>KNEN</t>
  </si>
  <si>
    <t>NOLF Whitehouse</t>
  </si>
  <si>
    <t>NER</t>
  </si>
  <si>
    <t>UELL</t>
  </si>
  <si>
    <t>Chulman Neryungri Airport</t>
  </si>
  <si>
    <t>NEU</t>
  </si>
  <si>
    <t>VLSN</t>
  </si>
  <si>
    <t>Sam Neua Airport</t>
  </si>
  <si>
    <t>NEV</t>
  </si>
  <si>
    <t>TKPN</t>
  </si>
  <si>
    <t>Vance W. Amory International Airport</t>
  </si>
  <si>
    <t>NEW</t>
  </si>
  <si>
    <t>KNEW</t>
  </si>
  <si>
    <t>Lakefront Airport</t>
  </si>
  <si>
    <t>NFD</t>
  </si>
  <si>
    <t>KNFD</t>
  </si>
  <si>
    <t>NOLF Summerdale</t>
  </si>
  <si>
    <t>NFE</t>
  </si>
  <si>
    <t>KNFE</t>
  </si>
  <si>
    <t>NALF Fentress</t>
  </si>
  <si>
    <t>NFG</t>
  </si>
  <si>
    <t>USRN</t>
  </si>
  <si>
    <t>Nefteyugansk Airport</t>
  </si>
  <si>
    <t>KNFG</t>
  </si>
  <si>
    <t>MCAS Camp Pendleton (Munn Field)</t>
  </si>
  <si>
    <t>NFJ</t>
  </si>
  <si>
    <t>KNFJ</t>
  </si>
  <si>
    <t>NOLF Choctaw</t>
  </si>
  <si>
    <t>NFL</t>
  </si>
  <si>
    <t>KNFL</t>
  </si>
  <si>
    <t>NAS Fallon (Van Voorhis Field)</t>
  </si>
  <si>
    <t>NFO</t>
  </si>
  <si>
    <t>NFTO</t>
  </si>
  <si>
    <t>Mata'aho Airport</t>
  </si>
  <si>
    <t>NFW</t>
  </si>
  <si>
    <t>KNFW</t>
  </si>
  <si>
    <t>NAS JRB Fort Worth (Carswell Field)</t>
  </si>
  <si>
    <t>NGA</t>
  </si>
  <si>
    <t>YYNG</t>
  </si>
  <si>
    <t>Young Airport</t>
  </si>
  <si>
    <t>NGB</t>
  </si>
  <si>
    <t>ZSNB</t>
  </si>
  <si>
    <t>Ningbo Lishe International Airport</t>
  </si>
  <si>
    <t>NGD</t>
  </si>
  <si>
    <t>TUPA</t>
  </si>
  <si>
    <t>Captain Auguste George Airport</t>
  </si>
  <si>
    <t>NGE</t>
  </si>
  <si>
    <t>FKKN</t>
  </si>
  <si>
    <t>N'Gaoundéré Airport</t>
  </si>
  <si>
    <t>NGI</t>
  </si>
  <si>
    <t>NFNG</t>
  </si>
  <si>
    <t>Ngau Airport</t>
  </si>
  <si>
    <t>NGL</t>
  </si>
  <si>
    <t>FANG</t>
  </si>
  <si>
    <t>Ngala Airport</t>
  </si>
  <si>
    <t>NGO</t>
  </si>
  <si>
    <t>RJGG</t>
  </si>
  <si>
    <t>Chubu Centrair International Airport</t>
  </si>
  <si>
    <t>NGP</t>
  </si>
  <si>
    <t>KNGP</t>
  </si>
  <si>
    <t>NAS Corpus Christi (Truax Field)</t>
  </si>
  <si>
    <t>NGQ</t>
  </si>
  <si>
    <t>ZUAL</t>
  </si>
  <si>
    <t>Ngari Gunsa Airport</t>
  </si>
  <si>
    <t>NGS</t>
  </si>
  <si>
    <t>RJFU</t>
  </si>
  <si>
    <t>Nagasaki Airport</t>
  </si>
  <si>
    <t>NGU</t>
  </si>
  <si>
    <t>KNGU</t>
  </si>
  <si>
    <t>NS Norfolk (Chambers Field)</t>
  </si>
  <si>
    <t>NGW</t>
  </si>
  <si>
    <t>KNGW</t>
  </si>
  <si>
    <t>NOLF Cabaniss</t>
  </si>
  <si>
    <t>NGX</t>
  </si>
  <si>
    <t>VNMA</t>
  </si>
  <si>
    <t>Manang Airport</t>
  </si>
  <si>
    <t>NHA</t>
  </si>
  <si>
    <t>VVNT</t>
  </si>
  <si>
    <t>Nha Trang Air Base</t>
  </si>
  <si>
    <t>NHD</t>
  </si>
  <si>
    <t>OMDM</t>
  </si>
  <si>
    <t>Al Minhad Air Base</t>
  </si>
  <si>
    <t>NHF</t>
  </si>
  <si>
    <t>HSNW</t>
  </si>
  <si>
    <t>New Halfa Airport</t>
  </si>
  <si>
    <t>NHK</t>
  </si>
  <si>
    <t>KNHK</t>
  </si>
  <si>
    <t>NAS Patuxent River (Trapnell Field)</t>
  </si>
  <si>
    <t>NHS</t>
  </si>
  <si>
    <t>OPNK</t>
  </si>
  <si>
    <t>Nushki Airport</t>
  </si>
  <si>
    <t>NHT</t>
  </si>
  <si>
    <t>EGWU</t>
  </si>
  <si>
    <t>RAF Northolt</t>
  </si>
  <si>
    <t>NHV</t>
  </si>
  <si>
    <t>NTMD</t>
  </si>
  <si>
    <t>Nuku Hiva Airport</t>
  </si>
  <si>
    <t>NHZ</t>
  </si>
  <si>
    <t>KNHZ</t>
  </si>
  <si>
    <t>NAS Brunswick</t>
  </si>
  <si>
    <t>NIA</t>
  </si>
  <si>
    <t>GLNA</t>
  </si>
  <si>
    <t>Nimba Airport</t>
  </si>
  <si>
    <t>NID</t>
  </si>
  <si>
    <t>KNID</t>
  </si>
  <si>
    <t>NAWS China Lake (Armitage Field)</t>
  </si>
  <si>
    <t>NIF</t>
  </si>
  <si>
    <t>YCNF</t>
  </si>
  <si>
    <t>Camp Nifty Airport</t>
  </si>
  <si>
    <t>NIG</t>
  </si>
  <si>
    <t>NGNU</t>
  </si>
  <si>
    <t>Nikunau Airport</t>
  </si>
  <si>
    <t>NIM</t>
  </si>
  <si>
    <t>DRRN</t>
  </si>
  <si>
    <t>Diori Hamani International Airport</t>
  </si>
  <si>
    <t>NIO</t>
  </si>
  <si>
    <t>FZBI</t>
  </si>
  <si>
    <t>Nioki Airport</t>
  </si>
  <si>
    <t>NIP</t>
  </si>
  <si>
    <t>KNIP</t>
  </si>
  <si>
    <t>NAS Jacksonville (Towers Field)</t>
  </si>
  <si>
    <t>NIT</t>
  </si>
  <si>
    <t>LFBN</t>
  </si>
  <si>
    <t>Niort-Souché Airport</t>
  </si>
  <si>
    <t>NIX</t>
  </si>
  <si>
    <t>GANR</t>
  </si>
  <si>
    <t>Nioro du Sahel Airport</t>
  </si>
  <si>
    <t>NJA</t>
  </si>
  <si>
    <t>RJTA</t>
  </si>
  <si>
    <t>Atsugi Naval Air Facility</t>
  </si>
  <si>
    <t>NJC</t>
  </si>
  <si>
    <t>USNN</t>
  </si>
  <si>
    <t>Nizhnevartovsk Airport</t>
  </si>
  <si>
    <t>NJK</t>
  </si>
  <si>
    <t>KNJK</t>
  </si>
  <si>
    <t>NAF El Centro</t>
  </si>
  <si>
    <t>NJM</t>
  </si>
  <si>
    <t>KNJM</t>
  </si>
  <si>
    <t>MCALF Bogue</t>
  </si>
  <si>
    <t>NJW</t>
  </si>
  <si>
    <t>KNJW</t>
  </si>
  <si>
    <t>NOLF Joe Williams</t>
  </si>
  <si>
    <t>NKC</t>
  </si>
  <si>
    <t>GQNN</t>
  </si>
  <si>
    <t>Nouakchott International Airport</t>
  </si>
  <si>
    <t>NKG</t>
  </si>
  <si>
    <t>ZSNJ</t>
  </si>
  <si>
    <t>Nanjing Lukou International Airport</t>
  </si>
  <si>
    <t>NKL</t>
  </si>
  <si>
    <t>FZAR</t>
  </si>
  <si>
    <t>Nkolo Fuma Airport</t>
  </si>
  <si>
    <t>NKM</t>
  </si>
  <si>
    <t>RJNA</t>
  </si>
  <si>
    <t>Nagoya Airfield</t>
  </si>
  <si>
    <t>NKS</t>
  </si>
  <si>
    <t>FKAN</t>
  </si>
  <si>
    <t>Nkongsamba Airport</t>
  </si>
  <si>
    <t>NKT</t>
  </si>
  <si>
    <t>KNKT</t>
  </si>
  <si>
    <t>MCAS Cherry Point (Cunningham Field)</t>
  </si>
  <si>
    <t>NKU</t>
  </si>
  <si>
    <t>FXNK</t>
  </si>
  <si>
    <t>Nkaus Airport</t>
  </si>
  <si>
    <t>NKW</t>
  </si>
  <si>
    <t>FJDG</t>
  </si>
  <si>
    <t>Diego Garcia Naval Support Facility</t>
  </si>
  <si>
    <t>NKX</t>
  </si>
  <si>
    <t>KNKX</t>
  </si>
  <si>
    <t>MCAS Miramar</t>
  </si>
  <si>
    <t>NKY</t>
  </si>
  <si>
    <t>FCBY</t>
  </si>
  <si>
    <t>Yokangassi Airport</t>
  </si>
  <si>
    <t>NLA</t>
  </si>
  <si>
    <t>FLND</t>
  </si>
  <si>
    <t>Ndola Airport</t>
  </si>
  <si>
    <t>NLC</t>
  </si>
  <si>
    <t>KNLC</t>
  </si>
  <si>
    <t>NAS Lemoore (Reeves Field)</t>
  </si>
  <si>
    <t>NLD</t>
  </si>
  <si>
    <t>MMNL</t>
  </si>
  <si>
    <t>Quetzalcóatl International Airport</t>
  </si>
  <si>
    <t>NLF</t>
  </si>
  <si>
    <t>YDNI</t>
  </si>
  <si>
    <t>Darnley Island Airport</t>
  </si>
  <si>
    <t>NLK</t>
  </si>
  <si>
    <t>YNSF</t>
  </si>
  <si>
    <t>Norfolk Island Airport</t>
  </si>
  <si>
    <t>YSNF</t>
  </si>
  <si>
    <t>Norfolk Island International Airport</t>
  </si>
  <si>
    <t>NLL</t>
  </si>
  <si>
    <t>YNUL</t>
  </si>
  <si>
    <t>Nullagine Airport</t>
  </si>
  <si>
    <t>NLO</t>
  </si>
  <si>
    <t>FZAB</t>
  </si>
  <si>
    <t>Ndolo Airport</t>
  </si>
  <si>
    <t>NLP</t>
  </si>
  <si>
    <t>FANS</t>
  </si>
  <si>
    <t>Nelspruit Airport</t>
  </si>
  <si>
    <t>NLS</t>
  </si>
  <si>
    <t>YNIC</t>
  </si>
  <si>
    <t>Nicholson Airport</t>
  </si>
  <si>
    <t>NLV</t>
  </si>
  <si>
    <t>UKON</t>
  </si>
  <si>
    <t>Mykolaiv International Airport</t>
  </si>
  <si>
    <t>NMA</t>
  </si>
  <si>
    <t>UTKN</t>
  </si>
  <si>
    <t>Namangan Airport</t>
  </si>
  <si>
    <t>NMB</t>
  </si>
  <si>
    <t>VADN</t>
  </si>
  <si>
    <t>Daman Airport</t>
  </si>
  <si>
    <t>NMC</t>
  </si>
  <si>
    <t>MYEN</t>
  </si>
  <si>
    <t>Normans Cay Airport</t>
  </si>
  <si>
    <t>NML</t>
  </si>
  <si>
    <t>CER4</t>
  </si>
  <si>
    <t>Fort McMurray / Mildred Lake Airport</t>
  </si>
  <si>
    <t>NMM</t>
  </si>
  <si>
    <t>KNMM</t>
  </si>
  <si>
    <t>NAS Meridian (McCain Field)</t>
  </si>
  <si>
    <t>NMR</t>
  </si>
  <si>
    <t>YNAP</t>
  </si>
  <si>
    <t>Nappa Merrie Airport</t>
  </si>
  <si>
    <t>NMS</t>
  </si>
  <si>
    <t>VYNS</t>
  </si>
  <si>
    <t>Namsang Airport</t>
  </si>
  <si>
    <t>NMT</t>
  </si>
  <si>
    <t>VYNT</t>
  </si>
  <si>
    <t>Namtu Airport</t>
  </si>
  <si>
    <t>NNA</t>
  </si>
  <si>
    <t>GMMY</t>
  </si>
  <si>
    <t>Kenitra Airport</t>
  </si>
  <si>
    <t>NNG</t>
  </si>
  <si>
    <t>ZGNN</t>
  </si>
  <si>
    <t>Nanning Wuxu Airport</t>
  </si>
  <si>
    <t>NNI</t>
  </si>
  <si>
    <t>FYNA</t>
  </si>
  <si>
    <t>Namutoni Airport</t>
  </si>
  <si>
    <t>NNM</t>
  </si>
  <si>
    <t>ULAM</t>
  </si>
  <si>
    <t>Naryan Mar Airport</t>
  </si>
  <si>
    <t>NNR</t>
  </si>
  <si>
    <t>EICA</t>
  </si>
  <si>
    <t>Connemara Regional Airport</t>
  </si>
  <si>
    <t>NNT</t>
  </si>
  <si>
    <t>VTCN</t>
  </si>
  <si>
    <t>Nan Airport</t>
  </si>
  <si>
    <t>NNU</t>
  </si>
  <si>
    <t>SNNU</t>
  </si>
  <si>
    <t>Nanuque Airport</t>
  </si>
  <si>
    <t>NNX</t>
  </si>
  <si>
    <t>WRLF</t>
  </si>
  <si>
    <t>Nunukan Airport</t>
  </si>
  <si>
    <t>NNY</t>
  </si>
  <si>
    <t>ZHNY</t>
  </si>
  <si>
    <t>Nanyang Airport</t>
  </si>
  <si>
    <t>NOA</t>
  </si>
  <si>
    <t>YSNW</t>
  </si>
  <si>
    <t>Nowra Airport</t>
  </si>
  <si>
    <t>NOC</t>
  </si>
  <si>
    <t>EIKN</t>
  </si>
  <si>
    <t>Knock International Airport</t>
  </si>
  <si>
    <t>NOD</t>
  </si>
  <si>
    <t>EDWS</t>
  </si>
  <si>
    <t>Norden-Norddeich Airport</t>
  </si>
  <si>
    <t>NOG</t>
  </si>
  <si>
    <t>MMNG</t>
  </si>
  <si>
    <t>Nogales International Airport</t>
  </si>
  <si>
    <t>KNOG</t>
  </si>
  <si>
    <t>NALF Orange Grove</t>
  </si>
  <si>
    <t>NOJ</t>
  </si>
  <si>
    <t>USRO</t>
  </si>
  <si>
    <t>Noyabrsk Airport</t>
  </si>
  <si>
    <t>NOK</t>
  </si>
  <si>
    <t>SWXV</t>
  </si>
  <si>
    <t>Xavantina Airport</t>
  </si>
  <si>
    <t>NOM</t>
  </si>
  <si>
    <t>MRNS</t>
  </si>
  <si>
    <t>Nosara Airport</t>
  </si>
  <si>
    <t>NON</t>
  </si>
  <si>
    <t>NGTO</t>
  </si>
  <si>
    <t>Nonouti Airport</t>
  </si>
  <si>
    <t>NOR</t>
  </si>
  <si>
    <t>BINF</t>
  </si>
  <si>
    <t>Norðfjörður Airport</t>
  </si>
  <si>
    <t>NOS</t>
  </si>
  <si>
    <t>FMNN</t>
  </si>
  <si>
    <t>Fascene Airport</t>
  </si>
  <si>
    <t>NOT</t>
  </si>
  <si>
    <t>KDVO</t>
  </si>
  <si>
    <t>Gnoss Field</t>
  </si>
  <si>
    <t>NOU</t>
  </si>
  <si>
    <t>NWWW</t>
  </si>
  <si>
    <t>La Tontouta International Airport</t>
  </si>
  <si>
    <t>NOV</t>
  </si>
  <si>
    <t>FNHU</t>
  </si>
  <si>
    <t>Nova Lisboa Airport</t>
  </si>
  <si>
    <t>NOW</t>
  </si>
  <si>
    <t>KNOW</t>
  </si>
  <si>
    <t>CGAS Port Angeles</t>
  </si>
  <si>
    <t>NOZ</t>
  </si>
  <si>
    <t>UNWW</t>
  </si>
  <si>
    <t>Novokuznetsk Spichenkovo Airport (Prokopyevsk Southeast)</t>
  </si>
  <si>
    <t>NPA</t>
  </si>
  <si>
    <t>KNPA</t>
  </si>
  <si>
    <t>NAS Pensacola (Forrest Sherman Field)</t>
  </si>
  <si>
    <t>NPE</t>
  </si>
  <si>
    <t>NZNR</t>
  </si>
  <si>
    <t>Napier Airport</t>
  </si>
  <si>
    <t>NPL</t>
  </si>
  <si>
    <t>NZNP</t>
  </si>
  <si>
    <t>New Plymouth Airport</t>
  </si>
  <si>
    <t>NPO</t>
  </si>
  <si>
    <t>WIOG</t>
  </si>
  <si>
    <t>Nanga Pinoh I Airport</t>
  </si>
  <si>
    <t>NQA</t>
  </si>
  <si>
    <t>KNQA</t>
  </si>
  <si>
    <t>Millington Regional Jetport</t>
  </si>
  <si>
    <t>NQI</t>
  </si>
  <si>
    <t>KNQI</t>
  </si>
  <si>
    <t>NAS Kingsville</t>
  </si>
  <si>
    <t>NQL</t>
  </si>
  <si>
    <t>SWNQ</t>
  </si>
  <si>
    <t>Niquelândia Airport</t>
  </si>
  <si>
    <t>NQN</t>
  </si>
  <si>
    <t>SAZN</t>
  </si>
  <si>
    <t>Presidente Perón International Airport</t>
  </si>
  <si>
    <t>NQT</t>
  </si>
  <si>
    <t>EGBN</t>
  </si>
  <si>
    <t>Nottingham Airport</t>
  </si>
  <si>
    <t>NQU</t>
  </si>
  <si>
    <t>SKNQ</t>
  </si>
  <si>
    <t>Reyes Murillo Airport</t>
  </si>
  <si>
    <t>NQX</t>
  </si>
  <si>
    <t>KNQX</t>
  </si>
  <si>
    <t>NAS Key West (Boca Chica Field)</t>
  </si>
  <si>
    <t>NQY</t>
  </si>
  <si>
    <t>EGHQ</t>
  </si>
  <si>
    <t>Cornwall Airport Newquay</t>
  </si>
  <si>
    <t>NRA</t>
  </si>
  <si>
    <t>YNAR</t>
  </si>
  <si>
    <t>Narrandera Airport</t>
  </si>
  <si>
    <t>NRB</t>
  </si>
  <si>
    <t>KNRB</t>
  </si>
  <si>
    <t>NS Mayport (Adm. David L. McDonald Field)</t>
  </si>
  <si>
    <t>NRD</t>
  </si>
  <si>
    <t>EDWY</t>
  </si>
  <si>
    <t>Norderney Airport</t>
  </si>
  <si>
    <t>NRE</t>
  </si>
  <si>
    <t>WAPG</t>
  </si>
  <si>
    <t>Namrole Airport</t>
  </si>
  <si>
    <t>NRK</t>
  </si>
  <si>
    <t>ESSP</t>
  </si>
  <si>
    <t>Norrköping Airport</t>
  </si>
  <si>
    <t>NRL</t>
  </si>
  <si>
    <t>EGEN</t>
  </si>
  <si>
    <t>North Ronaldsay Airport</t>
  </si>
  <si>
    <t>NRM</t>
  </si>
  <si>
    <t>GANK</t>
  </si>
  <si>
    <t>Nara Airport</t>
  </si>
  <si>
    <t>NRN</t>
  </si>
  <si>
    <t>EDLV</t>
  </si>
  <si>
    <t>Weeze Airport (formerly Niederrhein Airport)</t>
  </si>
  <si>
    <t>KNRN</t>
  </si>
  <si>
    <t>Norton Municipal Airport</t>
  </si>
  <si>
    <t>NRS</t>
  </si>
  <si>
    <t>KNRS</t>
  </si>
  <si>
    <t>NOLF Imperial Beach (Ream Field)</t>
  </si>
  <si>
    <t>NRT</t>
  </si>
  <si>
    <t>RJAA</t>
  </si>
  <si>
    <t>Narita International Airport</t>
  </si>
  <si>
    <t>NSE</t>
  </si>
  <si>
    <t>KNSE</t>
  </si>
  <si>
    <t>NAS Whiting Field - North</t>
  </si>
  <si>
    <t>NSH</t>
  </si>
  <si>
    <t>OINN</t>
  </si>
  <si>
    <t>Noshahr Airport</t>
  </si>
  <si>
    <t>NSI</t>
  </si>
  <si>
    <t>FKYS</t>
  </si>
  <si>
    <t>Yaoundé Nsimalen International Airport</t>
  </si>
  <si>
    <t>KNSI</t>
  </si>
  <si>
    <t>NOLF San Nicolas Island</t>
  </si>
  <si>
    <t>NSK</t>
  </si>
  <si>
    <t>UOOO</t>
  </si>
  <si>
    <t>Norilsk Alykel Airport</t>
  </si>
  <si>
    <t>NSM</t>
  </si>
  <si>
    <t>YNSM</t>
  </si>
  <si>
    <t>Norseman Airport</t>
  </si>
  <si>
    <t>NSN</t>
  </si>
  <si>
    <t>NZNS</t>
  </si>
  <si>
    <t>Nelson Airport</t>
  </si>
  <si>
    <t>NSO</t>
  </si>
  <si>
    <t>YSCO</t>
  </si>
  <si>
    <t>Scone Airport</t>
  </si>
  <si>
    <t>NSP</t>
  </si>
  <si>
    <t>RPLS</t>
  </si>
  <si>
    <t>Sangley Point Air Base</t>
  </si>
  <si>
    <t>NST</t>
  </si>
  <si>
    <t>VTSF</t>
  </si>
  <si>
    <t>Nakhon Si Thammarat Airport</t>
  </si>
  <si>
    <t>VTSN</t>
  </si>
  <si>
    <t>Cha Ian Airport</t>
  </si>
  <si>
    <t>NSV</t>
  </si>
  <si>
    <t>YNSH</t>
  </si>
  <si>
    <t>Noosa Airport</t>
  </si>
  <si>
    <t>NSY</t>
  </si>
  <si>
    <t>LICZ</t>
  </si>
  <si>
    <t>Sigonella Airport</t>
  </si>
  <si>
    <t>NTB</t>
  </si>
  <si>
    <t>ENNO</t>
  </si>
  <si>
    <t>Notodden Airport, Tuven,</t>
  </si>
  <si>
    <t>NTD</t>
  </si>
  <si>
    <t>KNTD</t>
  </si>
  <si>
    <t>NAS Point Mugu (Naval Base Ventura County)</t>
  </si>
  <si>
    <t>NTE</t>
  </si>
  <si>
    <t>LFRS</t>
  </si>
  <si>
    <t>Nantes Atlantique Airport</t>
  </si>
  <si>
    <t>NTG</t>
  </si>
  <si>
    <t>ZSNT</t>
  </si>
  <si>
    <t>Nantong Airport</t>
  </si>
  <si>
    <t>NTI</t>
  </si>
  <si>
    <t>WASB</t>
  </si>
  <si>
    <t>Stenkol Airport</t>
  </si>
  <si>
    <t>NTL</t>
  </si>
  <si>
    <t>YWLM</t>
  </si>
  <si>
    <t>Newcastle Airport (Williamtown)</t>
  </si>
  <si>
    <t>NTN</t>
  </si>
  <si>
    <t>YNTN</t>
  </si>
  <si>
    <t>Normanton Airport</t>
  </si>
  <si>
    <t>NTO</t>
  </si>
  <si>
    <t>GVAN</t>
  </si>
  <si>
    <t>Agostinho Neto Airport</t>
  </si>
  <si>
    <t>NTQ</t>
  </si>
  <si>
    <t>RJNW</t>
  </si>
  <si>
    <t>Noto Airport</t>
  </si>
  <si>
    <t>NTR</t>
  </si>
  <si>
    <t>MMAN</t>
  </si>
  <si>
    <t>Del Norte International Airport</t>
  </si>
  <si>
    <t>NTT</t>
  </si>
  <si>
    <t>NFTP</t>
  </si>
  <si>
    <t>Kuini Lavenia Airport</t>
  </si>
  <si>
    <t>NTU</t>
  </si>
  <si>
    <t>KNTU</t>
  </si>
  <si>
    <t>NAS Oceana (Apollo Soucek Field)</t>
  </si>
  <si>
    <t>NTX</t>
  </si>
  <si>
    <t>WION</t>
  </si>
  <si>
    <t>Ranai Airport</t>
  </si>
  <si>
    <t>NTY</t>
  </si>
  <si>
    <t>FAPN</t>
  </si>
  <si>
    <t>Pilanesberg International Airport</t>
  </si>
  <si>
    <t>NUB</t>
  </si>
  <si>
    <t>YNUM</t>
  </si>
  <si>
    <t>Numbulwar Airport</t>
  </si>
  <si>
    <t>NUC</t>
  </si>
  <si>
    <t>KNUC</t>
  </si>
  <si>
    <t>San Clemente Island Naval Auxiliary Field</t>
  </si>
  <si>
    <t>NUD</t>
  </si>
  <si>
    <t>HSNH</t>
  </si>
  <si>
    <t>En Nahud Airport</t>
  </si>
  <si>
    <t>NUE</t>
  </si>
  <si>
    <t>EDDN</t>
  </si>
  <si>
    <t>Nuremberg Airport</t>
  </si>
  <si>
    <t>NUI</t>
  </si>
  <si>
    <t>KNUI</t>
  </si>
  <si>
    <t>NOLF Webster Papadopoulos</t>
  </si>
  <si>
    <t>NUK</t>
  </si>
  <si>
    <t>NTGW</t>
  </si>
  <si>
    <t>Nukutavake Airport</t>
  </si>
  <si>
    <t>NUL</t>
  </si>
  <si>
    <t>PANU</t>
  </si>
  <si>
    <t>Nulato Airport</t>
  </si>
  <si>
    <t>NUN</t>
  </si>
  <si>
    <t>KNUN</t>
  </si>
  <si>
    <t>NOLF Saufley</t>
  </si>
  <si>
    <t>NUQ</t>
  </si>
  <si>
    <t>KNUQ</t>
  </si>
  <si>
    <t>Moffett Federal Airfield</t>
  </si>
  <si>
    <t>NUR</t>
  </si>
  <si>
    <t>YNUB</t>
  </si>
  <si>
    <t>Nullabor Motel Airport</t>
  </si>
  <si>
    <t>NUS</t>
  </si>
  <si>
    <t>NVSP</t>
  </si>
  <si>
    <t>Norsup Airport</t>
  </si>
  <si>
    <t>NUU</t>
  </si>
  <si>
    <t>HKNK</t>
  </si>
  <si>
    <t>Nakuru Airport</t>
  </si>
  <si>
    <t>NUW</t>
  </si>
  <si>
    <t>KNUW</t>
  </si>
  <si>
    <t>NAS Whidbey Island (Ault Field)</t>
  </si>
  <si>
    <t>NUX</t>
  </si>
  <si>
    <t>NSMU</t>
  </si>
  <si>
    <t>Novy Urengoy Airport</t>
  </si>
  <si>
    <t>USMU</t>
  </si>
  <si>
    <t>NVA</t>
  </si>
  <si>
    <t>SKNV</t>
  </si>
  <si>
    <t>Benito Salas Airport</t>
  </si>
  <si>
    <t>NVD</t>
  </si>
  <si>
    <t>KNVD</t>
  </si>
  <si>
    <t>Nevada Municipal Airport</t>
  </si>
  <si>
    <t>NVG</t>
  </si>
  <si>
    <t>MNNG</t>
  </si>
  <si>
    <t>Nueva Guinea Airport</t>
  </si>
  <si>
    <t>NVI</t>
  </si>
  <si>
    <t>UTSA</t>
  </si>
  <si>
    <t>Navoi Airport</t>
  </si>
  <si>
    <t>NVK</t>
  </si>
  <si>
    <t>ENNK</t>
  </si>
  <si>
    <t>Narvik Airport, Framnes</t>
  </si>
  <si>
    <t>NVN</t>
  </si>
  <si>
    <t>KO02</t>
  </si>
  <si>
    <t>Nervino Airport</t>
  </si>
  <si>
    <t>NVP</t>
  </si>
  <si>
    <t>SWNA</t>
  </si>
  <si>
    <t>Novo Aripuanã Airport</t>
  </si>
  <si>
    <t>NVS</t>
  </si>
  <si>
    <t>LFQG</t>
  </si>
  <si>
    <t>Nevers-Fourchambault Airport</t>
  </si>
  <si>
    <t>NVT</t>
  </si>
  <si>
    <t>SBNF</t>
  </si>
  <si>
    <t>Ministro Victor Konder International Airport</t>
  </si>
  <si>
    <t>NWA</t>
  </si>
  <si>
    <t>FMCI</t>
  </si>
  <si>
    <t>Mohéli Bandar Es Eslam Airport</t>
  </si>
  <si>
    <t>NWI</t>
  </si>
  <si>
    <t>EGSH</t>
  </si>
  <si>
    <t>Norwich Airport</t>
  </si>
  <si>
    <t>NWL</t>
  </si>
  <si>
    <t>KNWL</t>
  </si>
  <si>
    <t>NOLF Waldron</t>
  </si>
  <si>
    <t>NXP</t>
  </si>
  <si>
    <t>KNXP</t>
  </si>
  <si>
    <t>Marine Corps Air Ground Combat Center Twentynine Palms</t>
  </si>
  <si>
    <t>NXX</t>
  </si>
  <si>
    <t>KNXX</t>
  </si>
  <si>
    <t>NAS JRB Willow Grove</t>
  </si>
  <si>
    <t>NYA</t>
  </si>
  <si>
    <t>USHN</t>
  </si>
  <si>
    <t>Nyagan Airport</t>
  </si>
  <si>
    <t>NYE</t>
  </si>
  <si>
    <t>HKNI</t>
  </si>
  <si>
    <t>Nyeri Airport</t>
  </si>
  <si>
    <t>NYG</t>
  </si>
  <si>
    <t>KNYG</t>
  </si>
  <si>
    <t>MCAF Quantico (Turner Field)</t>
  </si>
  <si>
    <t>NYI</t>
  </si>
  <si>
    <t>DGSN</t>
  </si>
  <si>
    <t>Sunyani Airport</t>
  </si>
  <si>
    <t>NYK</t>
  </si>
  <si>
    <t>HKNY</t>
  </si>
  <si>
    <t>Nanyuki, Kenya</t>
  </si>
  <si>
    <t>NYM</t>
  </si>
  <si>
    <t>USMM</t>
  </si>
  <si>
    <t>Nadym Airport</t>
  </si>
  <si>
    <t>NYN</t>
  </si>
  <si>
    <t>YNYN</t>
  </si>
  <si>
    <t>Nyngan Airport</t>
  </si>
  <si>
    <t>NYO</t>
  </si>
  <si>
    <t>ESKN</t>
  </si>
  <si>
    <t>Stockholm-Skavsta Airport</t>
  </si>
  <si>
    <t>NYT</t>
  </si>
  <si>
    <t>VYEL</t>
  </si>
  <si>
    <t>Naypyidaw Airport</t>
  </si>
  <si>
    <t>NYU</t>
  </si>
  <si>
    <t>NZA</t>
  </si>
  <si>
    <t>SPZA</t>
  </si>
  <si>
    <t>Maria Reiche Neuman Airport</t>
  </si>
  <si>
    <t>NZC</t>
  </si>
  <si>
    <t>KVQQ</t>
  </si>
  <si>
    <t>Cecil Field</t>
  </si>
  <si>
    <t>NZE</t>
  </si>
  <si>
    <t>GUNZ</t>
  </si>
  <si>
    <t>Nzerekore Airport</t>
  </si>
  <si>
    <t>NZH</t>
  </si>
  <si>
    <t>ZBMZ</t>
  </si>
  <si>
    <t>Manzhouli Xijiao Airport</t>
  </si>
  <si>
    <t>NZJ</t>
  </si>
  <si>
    <t>KNZJ</t>
  </si>
  <si>
    <t>MCAS El Toro</t>
  </si>
  <si>
    <t>NZY</t>
  </si>
  <si>
    <t>KNZY</t>
  </si>
  <si>
    <t>NAS North Island (Halsey Field)</t>
  </si>
  <si>
    <t>OAG</t>
  </si>
  <si>
    <t>YORG</t>
  </si>
  <si>
    <t>Orange Airport</t>
  </si>
  <si>
    <t>OAH</t>
  </si>
  <si>
    <t>OASD</t>
  </si>
  <si>
    <t>Shindand Airport</t>
  </si>
  <si>
    <t>OAI</t>
  </si>
  <si>
    <t>OAIX</t>
  </si>
  <si>
    <t>Bagram Air Base</t>
  </si>
  <si>
    <t>OAJ</t>
  </si>
  <si>
    <t>KOAJ</t>
  </si>
  <si>
    <t>Albert J. Ellis Airport</t>
  </si>
  <si>
    <t>OAK</t>
  </si>
  <si>
    <t>KOAK</t>
  </si>
  <si>
    <t>Oakland International Airport</t>
  </si>
  <si>
    <t>OAM</t>
  </si>
  <si>
    <t>NZOU</t>
  </si>
  <si>
    <t>Oamaru Airport</t>
  </si>
  <si>
    <t>OAR</t>
  </si>
  <si>
    <t>KOAR</t>
  </si>
  <si>
    <t>Marina Municipal Airport</t>
  </si>
  <si>
    <t>OAS</t>
  </si>
  <si>
    <t>OASA</t>
  </si>
  <si>
    <t>Sharana Airstrip</t>
  </si>
  <si>
    <t>OAX</t>
  </si>
  <si>
    <t>MMOX</t>
  </si>
  <si>
    <t>Xoxocotlán International Airport</t>
  </si>
  <si>
    <t>OAZ</t>
  </si>
  <si>
    <t>OAZI</t>
  </si>
  <si>
    <t>Camp Bastion Airport</t>
  </si>
  <si>
    <t>OBC</t>
  </si>
  <si>
    <t>HDOB</t>
  </si>
  <si>
    <t>Obock Airport</t>
  </si>
  <si>
    <t>OBD</t>
  </si>
  <si>
    <t>LEBA</t>
  </si>
  <si>
    <t>Córdoba Airport</t>
  </si>
  <si>
    <t>OBE</t>
  </si>
  <si>
    <t>KOBE</t>
  </si>
  <si>
    <t>Okeechobee County Airport</t>
  </si>
  <si>
    <t>OBF</t>
  </si>
  <si>
    <t>EDMO</t>
  </si>
  <si>
    <t>Oberpfaffenhofen Airport</t>
  </si>
  <si>
    <t>OBI</t>
  </si>
  <si>
    <t>SBTS</t>
  </si>
  <si>
    <t>Tiriós Airport</t>
  </si>
  <si>
    <t>SNTI</t>
  </si>
  <si>
    <t>Óbidos Airport</t>
  </si>
  <si>
    <t>OBL</t>
  </si>
  <si>
    <t>EBZR</t>
  </si>
  <si>
    <t>Oostmalle Air Base</t>
  </si>
  <si>
    <t>OBN</t>
  </si>
  <si>
    <t>EGEO</t>
  </si>
  <si>
    <t>Oban Airport</t>
  </si>
  <si>
    <t>OBO</t>
  </si>
  <si>
    <t>RJCB</t>
  </si>
  <si>
    <t>Tokachi-Obihiro Airport</t>
  </si>
  <si>
    <t>OBS</t>
  </si>
  <si>
    <t>LFHO</t>
  </si>
  <si>
    <t>Aubenas-Ardèche Méridional Airport</t>
  </si>
  <si>
    <t>OCC</t>
  </si>
  <si>
    <t>SECO</t>
  </si>
  <si>
    <t>Francisco de Orellana Airport</t>
  </si>
  <si>
    <t>OCE</t>
  </si>
  <si>
    <t>KOXB</t>
  </si>
  <si>
    <t>Ocean City Municipal Airport</t>
  </si>
  <si>
    <t>OCF</t>
  </si>
  <si>
    <t>KOCF</t>
  </si>
  <si>
    <t>Ocala International Airport (Jim Taylor Field)</t>
  </si>
  <si>
    <t>OCH</t>
  </si>
  <si>
    <t>KOCH</t>
  </si>
  <si>
    <t>A. L. Mangham Jr. Regional Airport</t>
  </si>
  <si>
    <t>OCJ</t>
  </si>
  <si>
    <t>MKBS</t>
  </si>
  <si>
    <t>Boscobel Aerodrome</t>
  </si>
  <si>
    <t>OCN</t>
  </si>
  <si>
    <t>KOKB</t>
  </si>
  <si>
    <t>Oceanside Municipal Airport</t>
  </si>
  <si>
    <t>OCQ</t>
  </si>
  <si>
    <t>KOCQ</t>
  </si>
  <si>
    <t>J. Douglas Bake Memorial Airport</t>
  </si>
  <si>
    <t>OCV</t>
  </si>
  <si>
    <t>SKOC</t>
  </si>
  <si>
    <t>Aguas Claras Airport</t>
  </si>
  <si>
    <t>OCW</t>
  </si>
  <si>
    <t>KOCW</t>
  </si>
  <si>
    <t>Warren Field</t>
  </si>
  <si>
    <t>ODA</t>
  </si>
  <si>
    <t>FEFW</t>
  </si>
  <si>
    <t>Ouadda Airport</t>
  </si>
  <si>
    <t>ODB</t>
  </si>
  <si>
    <t>ODC</t>
  </si>
  <si>
    <t>KO27</t>
  </si>
  <si>
    <t>Oakdale Airport</t>
  </si>
  <si>
    <t>ODD</t>
  </si>
  <si>
    <t>YOOD</t>
  </si>
  <si>
    <t>Oodnadatta Airport</t>
  </si>
  <si>
    <t>ODE</t>
  </si>
  <si>
    <t>EKOD</t>
  </si>
  <si>
    <t>Odense Airport</t>
  </si>
  <si>
    <t>ODH</t>
  </si>
  <si>
    <t>EGVO</t>
  </si>
  <si>
    <t>RAF Odiham</t>
  </si>
  <si>
    <t>ODJ</t>
  </si>
  <si>
    <t>FEGO</t>
  </si>
  <si>
    <t>Ouanda Djallé Airport</t>
  </si>
  <si>
    <t>ODL</t>
  </si>
  <si>
    <t>YCOD</t>
  </si>
  <si>
    <t>Cordillo Downs Airport</t>
  </si>
  <si>
    <t>SNGA</t>
  </si>
  <si>
    <t>Guarapari Airport</t>
  </si>
  <si>
    <t>ODN</t>
  </si>
  <si>
    <t>WBGI</t>
  </si>
  <si>
    <t>Long Seridan Airport</t>
  </si>
  <si>
    <t>ODO</t>
  </si>
  <si>
    <t>UIKB</t>
  </si>
  <si>
    <t>Bodaybo Airport</t>
  </si>
  <si>
    <t>KODO</t>
  </si>
  <si>
    <t>Odessa-Schlemeyer Field</t>
  </si>
  <si>
    <t>ODR</t>
  </si>
  <si>
    <t>YORV</t>
  </si>
  <si>
    <t>Ord River Airport</t>
  </si>
  <si>
    <t>ODS</t>
  </si>
  <si>
    <t>UKOO</t>
  </si>
  <si>
    <t>Odessa International Airport</t>
  </si>
  <si>
    <t>ODX</t>
  </si>
  <si>
    <t>KODX</t>
  </si>
  <si>
    <t>Evelyn Sharp Field</t>
  </si>
  <si>
    <t>ODY</t>
  </si>
  <si>
    <t>VLOS</t>
  </si>
  <si>
    <t>Oudomsay Airport</t>
  </si>
  <si>
    <t>OEA</t>
  </si>
  <si>
    <t>KOEA</t>
  </si>
  <si>
    <t>O'Neal Airport</t>
  </si>
  <si>
    <t>OEB</t>
  </si>
  <si>
    <t>KOEB</t>
  </si>
  <si>
    <t>Branch County Memorial Airport</t>
  </si>
  <si>
    <t>OEC</t>
  </si>
  <si>
    <t>WPOC</t>
  </si>
  <si>
    <t>Oecussi Airport</t>
  </si>
  <si>
    <t>OEL</t>
  </si>
  <si>
    <t>UUOR</t>
  </si>
  <si>
    <t>Oryol Yuzhny Airport</t>
  </si>
  <si>
    <t>KOEL</t>
  </si>
  <si>
    <t>Oakley Municipal Airport</t>
  </si>
  <si>
    <t>OEM</t>
  </si>
  <si>
    <t>SMPA</t>
  </si>
  <si>
    <t>Vincent Fayks Airport</t>
  </si>
  <si>
    <t>OEO</t>
  </si>
  <si>
    <t>KOEO</t>
  </si>
  <si>
    <t>L. O. Simenstad Municipal Airport</t>
  </si>
  <si>
    <t>OER</t>
  </si>
  <si>
    <t>ESNO</t>
  </si>
  <si>
    <t>Örnsköldsvik Airport</t>
  </si>
  <si>
    <t>OES</t>
  </si>
  <si>
    <t>SAVN</t>
  </si>
  <si>
    <t>Antoine De St Exupery Airport</t>
  </si>
  <si>
    <t>OFF</t>
  </si>
  <si>
    <t>KOFF</t>
  </si>
  <si>
    <t>Offutt AFB</t>
  </si>
  <si>
    <t>OFI</t>
  </si>
  <si>
    <t>DIOF</t>
  </si>
  <si>
    <t>Ouango Fitini Airport</t>
  </si>
  <si>
    <t>OFJ</t>
  </si>
  <si>
    <t>BIOF</t>
  </si>
  <si>
    <t>Ólafsfjörður Airport</t>
  </si>
  <si>
    <t>OFK</t>
  </si>
  <si>
    <t>KOFK</t>
  </si>
  <si>
    <t>Karl Stefan Memorial Airport</t>
  </si>
  <si>
    <t>OFP</t>
  </si>
  <si>
    <t>KOFP</t>
  </si>
  <si>
    <t>Hanover County Municipal Airport</t>
  </si>
  <si>
    <t>OFU</t>
  </si>
  <si>
    <t>NSAS</t>
  </si>
  <si>
    <t>Ofu Village Airport</t>
  </si>
  <si>
    <t>OGA</t>
  </si>
  <si>
    <t>KOGA</t>
  </si>
  <si>
    <t>Searle Field</t>
  </si>
  <si>
    <t>OGB</t>
  </si>
  <si>
    <t>KOGB</t>
  </si>
  <si>
    <t>Orangeburg Municipal Airport</t>
  </si>
  <si>
    <t>OGD</t>
  </si>
  <si>
    <t>KOGD</t>
  </si>
  <si>
    <t>Ogden-Hinckley Airport</t>
  </si>
  <si>
    <t>OGG</t>
  </si>
  <si>
    <t>PHOG</t>
  </si>
  <si>
    <t>Kahului Airport</t>
  </si>
  <si>
    <t>OGL</t>
  </si>
  <si>
    <t>SYGO</t>
  </si>
  <si>
    <t>Ogle Airport</t>
  </si>
  <si>
    <t>OGM</t>
  </si>
  <si>
    <t>KOGM</t>
  </si>
  <si>
    <t>Ontonagon County Airport</t>
  </si>
  <si>
    <t>OGN</t>
  </si>
  <si>
    <t>ROYN</t>
  </si>
  <si>
    <t>Yonaguni Airport</t>
  </si>
  <si>
    <t>OGO</t>
  </si>
  <si>
    <t>DIAU</t>
  </si>
  <si>
    <t>Abengourou Airport</t>
  </si>
  <si>
    <t>OGR</t>
  </si>
  <si>
    <t>FTTB</t>
  </si>
  <si>
    <t>Bongor Airport</t>
  </si>
  <si>
    <t>OGS</t>
  </si>
  <si>
    <t>KOGS</t>
  </si>
  <si>
    <t>Ogdensburg International Airport</t>
  </si>
  <si>
    <t>OGX</t>
  </si>
  <si>
    <t>DAUU</t>
  </si>
  <si>
    <t>Ain el Beida Airport</t>
  </si>
  <si>
    <t>OGZ</t>
  </si>
  <si>
    <t>URMO</t>
  </si>
  <si>
    <t>Beslan Airport</t>
  </si>
  <si>
    <t>OHA</t>
  </si>
  <si>
    <t>NZOH</t>
  </si>
  <si>
    <t>RNZAF Base Ohakea</t>
  </si>
  <si>
    <t>OHD</t>
  </si>
  <si>
    <t>LWOH</t>
  </si>
  <si>
    <t>Ohrid Airport</t>
  </si>
  <si>
    <t>OHE</t>
  </si>
  <si>
    <t>ZYMH</t>
  </si>
  <si>
    <t>Gu-Lian Airport</t>
  </si>
  <si>
    <t>OHH</t>
  </si>
  <si>
    <t>UHSH</t>
  </si>
  <si>
    <t>Okha Airport</t>
  </si>
  <si>
    <t>OHO</t>
  </si>
  <si>
    <t>UHOO</t>
  </si>
  <si>
    <t>Okhotsk Airport</t>
  </si>
  <si>
    <t>OHR</t>
  </si>
  <si>
    <t>EDXY</t>
  </si>
  <si>
    <t>Wyk auf Föhr Airport</t>
  </si>
  <si>
    <t>OHT</t>
  </si>
  <si>
    <t>OPKT</t>
  </si>
  <si>
    <t>Kohat Airport</t>
  </si>
  <si>
    <t>OIC</t>
  </si>
  <si>
    <t>KOIC</t>
  </si>
  <si>
    <t>Lt. Warren Eaton Airport</t>
  </si>
  <si>
    <t>OIM</t>
  </si>
  <si>
    <t>RJTO</t>
  </si>
  <si>
    <t>Oshima Airport</t>
  </si>
  <si>
    <t>OIN</t>
  </si>
  <si>
    <t>KOIN</t>
  </si>
  <si>
    <t>Oberlin Municipal Airport</t>
  </si>
  <si>
    <t>OIR</t>
  </si>
  <si>
    <t>RJEO</t>
  </si>
  <si>
    <t>Okushiri Airport</t>
  </si>
  <si>
    <t>OIT</t>
  </si>
  <si>
    <t>RJFO</t>
  </si>
  <si>
    <t>Oita Airport</t>
  </si>
  <si>
    <t>OIZ</t>
  </si>
  <si>
    <t>DTTB</t>
  </si>
  <si>
    <t>Sidi Ahmed Air Base</t>
  </si>
  <si>
    <t>OJA</t>
  </si>
  <si>
    <t>KOJA</t>
  </si>
  <si>
    <t>Thomas P. Stafford Airport</t>
  </si>
  <si>
    <t>OJC</t>
  </si>
  <si>
    <t>KOJC</t>
  </si>
  <si>
    <t>Johnson County Executive Airport</t>
  </si>
  <si>
    <t>OKA</t>
  </si>
  <si>
    <t>ROAH</t>
  </si>
  <si>
    <t>OKB</t>
  </si>
  <si>
    <t>N/A</t>
  </si>
  <si>
    <t>Orchid Beach</t>
  </si>
  <si>
    <t>OKC</t>
  </si>
  <si>
    <t>KOKC</t>
  </si>
  <si>
    <t>Will Rogers World Airport</t>
  </si>
  <si>
    <t>OKD</t>
  </si>
  <si>
    <t>RJCO</t>
  </si>
  <si>
    <t>Okadama Airport</t>
  </si>
  <si>
    <t>OKE</t>
  </si>
  <si>
    <t>RJKB</t>
  </si>
  <si>
    <t>Okinoerabu Airport</t>
  </si>
  <si>
    <t>OKF</t>
  </si>
  <si>
    <t>FYOO</t>
  </si>
  <si>
    <t>Okaukuejo Airport</t>
  </si>
  <si>
    <t>OKH</t>
  </si>
  <si>
    <t>EGXJ</t>
  </si>
  <si>
    <t>RAF Cottesmore</t>
  </si>
  <si>
    <t>OKI</t>
  </si>
  <si>
    <t>RJNO</t>
  </si>
  <si>
    <t>Oki Airport</t>
  </si>
  <si>
    <t>OKJ</t>
  </si>
  <si>
    <t>RJOB</t>
  </si>
  <si>
    <t>Okayama Airport</t>
  </si>
  <si>
    <t>OKK</t>
  </si>
  <si>
    <t>KOKK</t>
  </si>
  <si>
    <t>Kokomo Municipal Airport</t>
  </si>
  <si>
    <t>OKL</t>
  </si>
  <si>
    <t>WAJO</t>
  </si>
  <si>
    <t>Oksibil Airport</t>
  </si>
  <si>
    <t>OKM</t>
  </si>
  <si>
    <t>KOKM</t>
  </si>
  <si>
    <t>Okmulgee Regional Airport</t>
  </si>
  <si>
    <t>OKN</t>
  </si>
  <si>
    <t>FOGQ</t>
  </si>
  <si>
    <t>Okondja Airport</t>
  </si>
  <si>
    <t>OKO</t>
  </si>
  <si>
    <t>RJTY</t>
  </si>
  <si>
    <t>Yokota Air Base</t>
  </si>
  <si>
    <t>OKQ</t>
  </si>
  <si>
    <t>WAKO</t>
  </si>
  <si>
    <t>Okaba Airport</t>
  </si>
  <si>
    <t>OKR</t>
  </si>
  <si>
    <t>YYKI</t>
  </si>
  <si>
    <t>Yorke Island Airport</t>
  </si>
  <si>
    <t>OKS</t>
  </si>
  <si>
    <t>RJBK</t>
  </si>
  <si>
    <t>Konan Airport</t>
  </si>
  <si>
    <t>KOKS</t>
  </si>
  <si>
    <t>Garden County Airport</t>
  </si>
  <si>
    <t>OKT</t>
  </si>
  <si>
    <t>UWUK</t>
  </si>
  <si>
    <t>Oktyabrskiy Airport</t>
  </si>
  <si>
    <t>OKU</t>
  </si>
  <si>
    <t>FYMO</t>
  </si>
  <si>
    <t>Mokuti Lodge Airport</t>
  </si>
  <si>
    <t>OKV</t>
  </si>
  <si>
    <t>KOKV</t>
  </si>
  <si>
    <t>Winchester Regional Airport</t>
  </si>
  <si>
    <t>OKY</t>
  </si>
  <si>
    <t>YBOK</t>
  </si>
  <si>
    <t>Oakey Airport</t>
  </si>
  <si>
    <t>OKZ</t>
  </si>
  <si>
    <t>KOKZ</t>
  </si>
  <si>
    <t>Kaolin Field</t>
  </si>
  <si>
    <t>OLA</t>
  </si>
  <si>
    <t>ENOL</t>
  </si>
  <si>
    <t>Ørland Airport</t>
  </si>
  <si>
    <t>OLB</t>
  </si>
  <si>
    <t>LIEO</t>
  </si>
  <si>
    <t>Olbia-Costa Smerelda Airport</t>
  </si>
  <si>
    <t>OLC</t>
  </si>
  <si>
    <t>SDCG</t>
  </si>
  <si>
    <t>Senadora Eunice Micheles Airport</t>
  </si>
  <si>
    <t>OLD</t>
  </si>
  <si>
    <t>KOLD</t>
  </si>
  <si>
    <t>Old Town Municipal Airport and Seaplane Base (DeWitt Field)</t>
  </si>
  <si>
    <t>OLE</t>
  </si>
  <si>
    <t>KOLE</t>
  </si>
  <si>
    <t>Cattaraugus County-Olean Airport</t>
  </si>
  <si>
    <t>OLF</t>
  </si>
  <si>
    <t>KOLF</t>
  </si>
  <si>
    <t>L. M. Clayton Airport</t>
  </si>
  <si>
    <t>OLG</t>
  </si>
  <si>
    <t>KOLG</t>
  </si>
  <si>
    <t>Solon Springs Municipal Airport</t>
  </si>
  <si>
    <t>OLI</t>
  </si>
  <si>
    <t>BIRF</t>
  </si>
  <si>
    <t>Rif Airport</t>
  </si>
  <si>
    <t>OLJ</t>
  </si>
  <si>
    <t>NVSZ</t>
  </si>
  <si>
    <t>North West Santo Airport</t>
  </si>
  <si>
    <t>OLM</t>
  </si>
  <si>
    <t>KOLM</t>
  </si>
  <si>
    <t>Olympia Airport</t>
  </si>
  <si>
    <t>OLP</t>
  </si>
  <si>
    <t>YOLD</t>
  </si>
  <si>
    <t>Olympic Dam Airport</t>
  </si>
  <si>
    <t>OLS</t>
  </si>
  <si>
    <t>KOLS</t>
  </si>
  <si>
    <t>OLU</t>
  </si>
  <si>
    <t>KOLU</t>
  </si>
  <si>
    <t>Columbus Municipal Airport (Nebraska)</t>
  </si>
  <si>
    <t>OLV</t>
  </si>
  <si>
    <t>KOLV</t>
  </si>
  <si>
    <t>Olive Branch Airport</t>
  </si>
  <si>
    <t>OLY</t>
  </si>
  <si>
    <t>KOLY</t>
  </si>
  <si>
    <t>Olney-Noble Airport</t>
  </si>
  <si>
    <t>OLZ</t>
  </si>
  <si>
    <t>KOLZ</t>
  </si>
  <si>
    <t>Oelwein Municipal Airport</t>
  </si>
  <si>
    <t>OMA</t>
  </si>
  <si>
    <t>KOMA</t>
  </si>
  <si>
    <t>Eppley Airfield</t>
  </si>
  <si>
    <t>OMB</t>
  </si>
  <si>
    <t>FOOH</t>
  </si>
  <si>
    <t>Omboue Hopital Airport</t>
  </si>
  <si>
    <t>OMC</t>
  </si>
  <si>
    <t>RPVO</t>
  </si>
  <si>
    <t>Ormoc Airport</t>
  </si>
  <si>
    <t>OMD</t>
  </si>
  <si>
    <t>FYOG</t>
  </si>
  <si>
    <t>Oranjemund Airport</t>
  </si>
  <si>
    <t>OME</t>
  </si>
  <si>
    <t>PAOM</t>
  </si>
  <si>
    <t>Nome Airport</t>
  </si>
  <si>
    <t>OMF</t>
  </si>
  <si>
    <t>OJMF</t>
  </si>
  <si>
    <t>King Hussein Air College</t>
  </si>
  <si>
    <t>OMG</t>
  </si>
  <si>
    <t>FYOE</t>
  </si>
  <si>
    <t>Omega Airport</t>
  </si>
  <si>
    <t>OMH</t>
  </si>
  <si>
    <t>OITR</t>
  </si>
  <si>
    <t>Urmia Airport</t>
  </si>
  <si>
    <t>KOMH</t>
  </si>
  <si>
    <t>OMI</t>
  </si>
  <si>
    <t>OIAJ</t>
  </si>
  <si>
    <t>Omidiyeh Air Base</t>
  </si>
  <si>
    <t>OMK</t>
  </si>
  <si>
    <t>KOMK</t>
  </si>
  <si>
    <t>Omak Airport</t>
  </si>
  <si>
    <t>OMM</t>
  </si>
  <si>
    <t>OOMX</t>
  </si>
  <si>
    <t>Marmul Airport</t>
  </si>
  <si>
    <t>OMO</t>
  </si>
  <si>
    <t>LQMO</t>
  </si>
  <si>
    <t>Mostar International Airport</t>
  </si>
  <si>
    <t>OMR</t>
  </si>
  <si>
    <t>LROD</t>
  </si>
  <si>
    <t>Oradea International Airport</t>
  </si>
  <si>
    <t>OMS</t>
  </si>
  <si>
    <t>UNOO</t>
  </si>
  <si>
    <t>Omsk Airport</t>
  </si>
  <si>
    <t>ONA</t>
  </si>
  <si>
    <t>KONA</t>
  </si>
  <si>
    <t>Winona Municipal Airport (Max Conrad Field)</t>
  </si>
  <si>
    <t>OND</t>
  </si>
  <si>
    <t>FYOA</t>
  </si>
  <si>
    <t>Ondangwa Airport</t>
  </si>
  <si>
    <t>ONG</t>
  </si>
  <si>
    <t>YMTI</t>
  </si>
  <si>
    <t>Mornington Island Airport</t>
  </si>
  <si>
    <t>ONI</t>
  </si>
  <si>
    <t>WABD</t>
  </si>
  <si>
    <t>Moanamani Airport</t>
  </si>
  <si>
    <t>ONJ</t>
  </si>
  <si>
    <t>RJSR</t>
  </si>
  <si>
    <t>Odate-Noshiro Airport</t>
  </si>
  <si>
    <t>ONL</t>
  </si>
  <si>
    <t>KONL</t>
  </si>
  <si>
    <t>The O'Neill Municipal Airport (John L. Baker Field)</t>
  </si>
  <si>
    <t>ONM</t>
  </si>
  <si>
    <t>KONM</t>
  </si>
  <si>
    <t>Socorro Municipal Airport</t>
  </si>
  <si>
    <t>ONO</t>
  </si>
  <si>
    <t>KONO</t>
  </si>
  <si>
    <t>Ontario Municipal Airport</t>
  </si>
  <si>
    <t>ONP</t>
  </si>
  <si>
    <t>KONP</t>
  </si>
  <si>
    <t>Newport Municipal Airport</t>
  </si>
  <si>
    <t>ONQ</t>
  </si>
  <si>
    <t>LTAS</t>
  </si>
  <si>
    <t>Zonguldak Airport</t>
  </si>
  <si>
    <t>ONR</t>
  </si>
  <si>
    <t>YMNK</t>
  </si>
  <si>
    <t>Monkira Airport</t>
  </si>
  <si>
    <t>ONT</t>
  </si>
  <si>
    <t>KONT</t>
  </si>
  <si>
    <t>Ontario International Airport</t>
  </si>
  <si>
    <t>ONU</t>
  </si>
  <si>
    <t>NFOL</t>
  </si>
  <si>
    <t>Ono-I-Lau Airport</t>
  </si>
  <si>
    <t>ONX</t>
  </si>
  <si>
    <t>MPEJ</t>
  </si>
  <si>
    <t>Enrique Adolfo Jiménez Airport</t>
  </si>
  <si>
    <t>ONY</t>
  </si>
  <si>
    <t>KONY</t>
  </si>
  <si>
    <t>Olney Municipal Airport</t>
  </si>
  <si>
    <t>ONZ</t>
  </si>
  <si>
    <t>KONZ</t>
  </si>
  <si>
    <t>Grosse Ile Municipal Airport</t>
  </si>
  <si>
    <t>OOA</t>
  </si>
  <si>
    <t>KOOA</t>
  </si>
  <si>
    <t>Oskaloosa Municipal Airport</t>
  </si>
  <si>
    <t>OOK</t>
  </si>
  <si>
    <t>PAOO</t>
  </si>
  <si>
    <t>Toksook Bay Airport</t>
  </si>
  <si>
    <t>OOL</t>
  </si>
  <si>
    <t>YBCG</t>
  </si>
  <si>
    <t>Gold Coast Airport</t>
  </si>
  <si>
    <t>OOM</t>
  </si>
  <si>
    <t>YCOM</t>
  </si>
  <si>
    <t>Cooma Snowy Mountains Airport</t>
  </si>
  <si>
    <t>OOR</t>
  </si>
  <si>
    <t>YMOO</t>
  </si>
  <si>
    <t>Mooraberree Airport</t>
  </si>
  <si>
    <t>OOT</t>
  </si>
  <si>
    <t>NGON</t>
  </si>
  <si>
    <t>Onotoa Airport</t>
  </si>
  <si>
    <t>OPA</t>
  </si>
  <si>
    <t>BIKP</t>
  </si>
  <si>
    <t>Kópasker Airport</t>
  </si>
  <si>
    <t>OPF</t>
  </si>
  <si>
    <t>KOPF</t>
  </si>
  <si>
    <t>Opa-locka Airport</t>
  </si>
  <si>
    <t>OPI</t>
  </si>
  <si>
    <t>YOEN</t>
  </si>
  <si>
    <t>Oenpelli Airport</t>
  </si>
  <si>
    <t>OPL</t>
  </si>
  <si>
    <t>KOPL</t>
  </si>
  <si>
    <t>St. Landry Parish Airport (Ahart Field)</t>
  </si>
  <si>
    <t>OPN</t>
  </si>
  <si>
    <t>KOPN</t>
  </si>
  <si>
    <t>Thomaston-Upson County Airport</t>
  </si>
  <si>
    <t>OPO</t>
  </si>
  <si>
    <t>LPPR</t>
  </si>
  <si>
    <t>Francisco Sá Carneiro Airport</t>
  </si>
  <si>
    <t>OPS</t>
  </si>
  <si>
    <t>SWSI</t>
  </si>
  <si>
    <t>Presidente João Batista Figueiredo Airport</t>
  </si>
  <si>
    <t>OQN</t>
  </si>
  <si>
    <t>KOQN</t>
  </si>
  <si>
    <t>Brandywine Airport</t>
  </si>
  <si>
    <t>OQU</t>
  </si>
  <si>
    <t>KOQU</t>
  </si>
  <si>
    <t>Quonset State Airport</t>
  </si>
  <si>
    <t>OQW</t>
  </si>
  <si>
    <t>KOQW</t>
  </si>
  <si>
    <t>Maquoketa Municipal Airport</t>
  </si>
  <si>
    <t>ORA</t>
  </si>
  <si>
    <t>SASO</t>
  </si>
  <si>
    <t>Orán Airport</t>
  </si>
  <si>
    <t>ORB</t>
  </si>
  <si>
    <t>ESOE</t>
  </si>
  <si>
    <t>Örebro Airport</t>
  </si>
  <si>
    <t>ORC</t>
  </si>
  <si>
    <t>SKOE</t>
  </si>
  <si>
    <t>Orocue Airport</t>
  </si>
  <si>
    <t>KORC</t>
  </si>
  <si>
    <t>Orange City Municipal Airport</t>
  </si>
  <si>
    <t>ORD</t>
  </si>
  <si>
    <t>KORD</t>
  </si>
  <si>
    <t>O'Hare International Airport</t>
  </si>
  <si>
    <t>ORE</t>
  </si>
  <si>
    <t>LFOJ</t>
  </si>
  <si>
    <t>Orléans-Bricy (BA 123) Air Base</t>
  </si>
  <si>
    <t>KORE</t>
  </si>
  <si>
    <t>Orange Municipal Airport</t>
  </si>
  <si>
    <t>ORF</t>
  </si>
  <si>
    <t>KORF</t>
  </si>
  <si>
    <t>Norfolk International Airport</t>
  </si>
  <si>
    <t>ORG</t>
  </si>
  <si>
    <t>SMZO</t>
  </si>
  <si>
    <t>Zorg en Hoop Airport</t>
  </si>
  <si>
    <t>KORG</t>
  </si>
  <si>
    <t>Orange County Airport (Texas)</t>
  </si>
  <si>
    <t>ORH</t>
  </si>
  <si>
    <t>KORH</t>
  </si>
  <si>
    <t>Worcester Regional Airport</t>
  </si>
  <si>
    <t>ORI</t>
  </si>
  <si>
    <t>KORI</t>
  </si>
  <si>
    <t>Port Lions Airport</t>
  </si>
  <si>
    <t>ORJ</t>
  </si>
  <si>
    <t>SYDR</t>
  </si>
  <si>
    <t>Orinduik Airport</t>
  </si>
  <si>
    <t>SYOR</t>
  </si>
  <si>
    <t>ORK</t>
  </si>
  <si>
    <t>EICK</t>
  </si>
  <si>
    <t>Cork International Airport</t>
  </si>
  <si>
    <t>ORL</t>
  </si>
  <si>
    <t>KORL</t>
  </si>
  <si>
    <t>Orlando Executive Airport</t>
  </si>
  <si>
    <t>ORM</t>
  </si>
  <si>
    <t>EGBK</t>
  </si>
  <si>
    <t>Sywell Aerodrome</t>
  </si>
  <si>
    <t>ORN</t>
  </si>
  <si>
    <t>DAOO</t>
  </si>
  <si>
    <t>Es Senia Airport</t>
  </si>
  <si>
    <t>ORP</t>
  </si>
  <si>
    <t>FBOR</t>
  </si>
  <si>
    <t>Orapa Airport</t>
  </si>
  <si>
    <t>ORR</t>
  </si>
  <si>
    <t>YYOR</t>
  </si>
  <si>
    <t>Yorketown Airport</t>
  </si>
  <si>
    <t>ORT</t>
  </si>
  <si>
    <t>PAOR</t>
  </si>
  <si>
    <t>Northway Airport</t>
  </si>
  <si>
    <t>ORU</t>
  </si>
  <si>
    <t>SLOR</t>
  </si>
  <si>
    <t>Juan Mendoza Airport</t>
  </si>
  <si>
    <t>ORW</t>
  </si>
  <si>
    <t>OPOR</t>
  </si>
  <si>
    <t>Ormara Airport</t>
  </si>
  <si>
    <t>ORX</t>
  </si>
  <si>
    <t>SNOX</t>
  </si>
  <si>
    <t>Oriximiná Airport</t>
  </si>
  <si>
    <t>ORY</t>
  </si>
  <si>
    <t>LFPO</t>
  </si>
  <si>
    <t>Orly International Airport</t>
  </si>
  <si>
    <t>OSB</t>
  </si>
  <si>
    <t>ORBM</t>
  </si>
  <si>
    <t>Mosul International Airport</t>
  </si>
  <si>
    <t>OSC</t>
  </si>
  <si>
    <t>KOSC</t>
  </si>
  <si>
    <t>Oscoda-Wurtsmith Airport</t>
  </si>
  <si>
    <t>OSD</t>
  </si>
  <si>
    <t>ESNZ</t>
  </si>
  <si>
    <t>Åre Östersund Airport</t>
  </si>
  <si>
    <t>OSH</t>
  </si>
  <si>
    <t>KOSH</t>
  </si>
  <si>
    <t>Wittman Regional Airport</t>
  </si>
  <si>
    <t>OSI</t>
  </si>
  <si>
    <t>LDOS</t>
  </si>
  <si>
    <t>Osijek Airport</t>
  </si>
  <si>
    <t>OSK</t>
  </si>
  <si>
    <t>ESMO</t>
  </si>
  <si>
    <t>Oskarshamn Airport</t>
  </si>
  <si>
    <t>OSL</t>
  </si>
  <si>
    <t>ENGM</t>
  </si>
  <si>
    <t>Oslo Airport, Gardermoen</t>
  </si>
  <si>
    <t>OSN</t>
  </si>
  <si>
    <t>RKSO</t>
  </si>
  <si>
    <t>Osan Air Base</t>
  </si>
  <si>
    <t>OSO</t>
  </si>
  <si>
    <t>YOSB</t>
  </si>
  <si>
    <t>Osborne Mine Airport</t>
  </si>
  <si>
    <t>Sulaymaniyah International Airport</t>
  </si>
  <si>
    <t>OSR</t>
  </si>
  <si>
    <t>LKMT</t>
  </si>
  <si>
    <t>Ostrava-Mosnov International Airport</t>
  </si>
  <si>
    <t>OSS</t>
  </si>
  <si>
    <t>UAFO</t>
  </si>
  <si>
    <t>Osh Airport</t>
  </si>
  <si>
    <t>OST</t>
  </si>
  <si>
    <t>EBOS</t>
  </si>
  <si>
    <t>Ostend-Bruges International Airport</t>
  </si>
  <si>
    <t>OSU</t>
  </si>
  <si>
    <t>KOSU</t>
  </si>
  <si>
    <t>Ohio State University Airport</t>
  </si>
  <si>
    <t>OSW</t>
  </si>
  <si>
    <t>UWOR</t>
  </si>
  <si>
    <t>Orsk Airport</t>
  </si>
  <si>
    <t>OSX</t>
  </si>
  <si>
    <t>KOSX</t>
  </si>
  <si>
    <t>Kosciusko-Attala County Airport</t>
  </si>
  <si>
    <t>OSY</t>
  </si>
  <si>
    <t>ENNM</t>
  </si>
  <si>
    <t>Namsos Airport, Høknesøra</t>
  </si>
  <si>
    <t>OSZ</t>
  </si>
  <si>
    <t>EPKO</t>
  </si>
  <si>
    <t>Koszalin Zegrze Airport</t>
  </si>
  <si>
    <t>OTC</t>
  </si>
  <si>
    <t>FTTL</t>
  </si>
  <si>
    <t>OTG</t>
  </si>
  <si>
    <t>KOTG</t>
  </si>
  <si>
    <t>Worthington Municipal Airport</t>
  </si>
  <si>
    <t>OTH</t>
  </si>
  <si>
    <t>KOTH</t>
  </si>
  <si>
    <t>North Bend Municipal Airport</t>
  </si>
  <si>
    <t>OTI</t>
  </si>
  <si>
    <t>WAMR</t>
  </si>
  <si>
    <t>Pitu Airport</t>
  </si>
  <si>
    <t>OTK</t>
  </si>
  <si>
    <t>KTMK</t>
  </si>
  <si>
    <t>Tillamook Airport</t>
  </si>
  <si>
    <t>OTL</t>
  </si>
  <si>
    <t>GQNB</t>
  </si>
  <si>
    <t>Boutilimit Airport</t>
  </si>
  <si>
    <t>OTM</t>
  </si>
  <si>
    <t>KOTM</t>
  </si>
  <si>
    <t>Ottumwa Industrial Airport</t>
  </si>
  <si>
    <t>OTN</t>
  </si>
  <si>
    <t>KOTN</t>
  </si>
  <si>
    <t>Ed-Air Airport</t>
  </si>
  <si>
    <t>OTP</t>
  </si>
  <si>
    <t>LROP</t>
  </si>
  <si>
    <t>Henri Coandă International Airport</t>
  </si>
  <si>
    <t>OTR</t>
  </si>
  <si>
    <t>MRCC</t>
  </si>
  <si>
    <t>Coto 47 Airport</t>
  </si>
  <si>
    <t>OTZ</t>
  </si>
  <si>
    <t>PAOT</t>
  </si>
  <si>
    <t>Ralph Wien Memorial Airport</t>
  </si>
  <si>
    <t>OUA</t>
  </si>
  <si>
    <t>DFFD</t>
  </si>
  <si>
    <t>Ouagadougou Airport</t>
  </si>
  <si>
    <t>OUD</t>
  </si>
  <si>
    <t>GMFO</t>
  </si>
  <si>
    <t>Oujda Angads Airport</t>
  </si>
  <si>
    <t>OUE</t>
  </si>
  <si>
    <t>FCOU</t>
  </si>
  <si>
    <t>Ouesso Airport</t>
  </si>
  <si>
    <t>OUG</t>
  </si>
  <si>
    <t>DFCC</t>
  </si>
  <si>
    <t>Ouahigouya Airport</t>
  </si>
  <si>
    <t>OUH</t>
  </si>
  <si>
    <t>FAOH</t>
  </si>
  <si>
    <t>Oudtshoorn Airport</t>
  </si>
  <si>
    <t>OUI</t>
  </si>
  <si>
    <t>VLHS</t>
  </si>
  <si>
    <t>Ban Huoeisay Airport</t>
  </si>
  <si>
    <t>OUL</t>
  </si>
  <si>
    <t>EFOU</t>
  </si>
  <si>
    <t>Oulu Airport</t>
  </si>
  <si>
    <t>OUN</t>
  </si>
  <si>
    <t>KOUN</t>
  </si>
  <si>
    <t>University of Oklahoma Westheimer Airport</t>
  </si>
  <si>
    <t>OUR</t>
  </si>
  <si>
    <t>FKKI</t>
  </si>
  <si>
    <t>Batouri Airport</t>
  </si>
  <si>
    <t>OUS</t>
  </si>
  <si>
    <t>SDOU</t>
  </si>
  <si>
    <t>Ourinhos Airport</t>
  </si>
  <si>
    <t>OUT</t>
  </si>
  <si>
    <t>FTTS</t>
  </si>
  <si>
    <t>Bousso Airport</t>
  </si>
  <si>
    <t>OUZ</t>
  </si>
  <si>
    <t>GQPZ</t>
  </si>
  <si>
    <t>Tazadit Airport</t>
  </si>
  <si>
    <t>OVA</t>
  </si>
  <si>
    <t>FMSL</t>
  </si>
  <si>
    <t>Bekily Airport</t>
  </si>
  <si>
    <t>OVB</t>
  </si>
  <si>
    <t>UNNT</t>
  </si>
  <si>
    <t>Novosibirsk Tolmachevo Airport</t>
  </si>
  <si>
    <t>OVD</t>
  </si>
  <si>
    <t>LEAS</t>
  </si>
  <si>
    <t>Asturias Airport (Oviedo Airport)</t>
  </si>
  <si>
    <t>OVE</t>
  </si>
  <si>
    <t>KOVE</t>
  </si>
  <si>
    <t>Oroville Municipal Airport</t>
  </si>
  <si>
    <t>OVG</t>
  </si>
  <si>
    <t>FAOB</t>
  </si>
  <si>
    <t>Overberg Airport</t>
  </si>
  <si>
    <t>OVL</t>
  </si>
  <si>
    <t>SCOV</t>
  </si>
  <si>
    <t>El Tuqui Airport</t>
  </si>
  <si>
    <t>KOVL</t>
  </si>
  <si>
    <t>Olivia Regional Airport</t>
  </si>
  <si>
    <t>OVO</t>
  </si>
  <si>
    <t>KOVO</t>
  </si>
  <si>
    <t>North Vernon Airport</t>
  </si>
  <si>
    <t>OVR</t>
  </si>
  <si>
    <t>SAZF</t>
  </si>
  <si>
    <t>Olavarria Airport</t>
  </si>
  <si>
    <t>OVS</t>
  </si>
  <si>
    <t>USHS</t>
  </si>
  <si>
    <t>Sovetskiy Airport</t>
  </si>
  <si>
    <t>OWA</t>
  </si>
  <si>
    <t>KOWA</t>
  </si>
  <si>
    <t>Owatonna Degner Regional Airport</t>
  </si>
  <si>
    <t>OWB</t>
  </si>
  <si>
    <t>KOWB</t>
  </si>
  <si>
    <t>Owensboro-Daviess County Airport</t>
  </si>
  <si>
    <t>OWD</t>
  </si>
  <si>
    <t>KOWD</t>
  </si>
  <si>
    <t>Norwood Memorial Airport</t>
  </si>
  <si>
    <t>OWI</t>
  </si>
  <si>
    <t>KOWI</t>
  </si>
  <si>
    <t>Ottawa Municipal Airport</t>
  </si>
  <si>
    <t>OWK</t>
  </si>
  <si>
    <t>KOWK</t>
  </si>
  <si>
    <t>Central Maine Airport of Norridgewock</t>
  </si>
  <si>
    <t>OWX</t>
  </si>
  <si>
    <t>KOWX</t>
  </si>
  <si>
    <t>Putnam County Airport</t>
  </si>
  <si>
    <t>OXB</t>
  </si>
  <si>
    <t>GGOV</t>
  </si>
  <si>
    <t>Osvaldo Vieiro International Airport</t>
  </si>
  <si>
    <t>OXC</t>
  </si>
  <si>
    <t>KOXC</t>
  </si>
  <si>
    <t>Waterbury-Oxford Airport</t>
  </si>
  <si>
    <t>OXD</t>
  </si>
  <si>
    <t>KOXD</t>
  </si>
  <si>
    <t>Miami University Airport</t>
  </si>
  <si>
    <t>OXF</t>
  </si>
  <si>
    <t>EGTK</t>
  </si>
  <si>
    <t>Oxford (Kidlington) Airport</t>
  </si>
  <si>
    <t>OXI</t>
  </si>
  <si>
    <t>KOXI</t>
  </si>
  <si>
    <t>Starke County Airport</t>
  </si>
  <si>
    <t>OXP</t>
  </si>
  <si>
    <t>SOOG</t>
  </si>
  <si>
    <t>Saint-Georges-de-l'Oyapock Airport</t>
  </si>
  <si>
    <t>OXR</t>
  </si>
  <si>
    <t>KOXR</t>
  </si>
  <si>
    <t>Oxnard Airport</t>
  </si>
  <si>
    <t>OXV</t>
  </si>
  <si>
    <t>KOXV</t>
  </si>
  <si>
    <t>Knoxville Municipal Airport</t>
  </si>
  <si>
    <t>OXY</t>
  </si>
  <si>
    <t>YMNY</t>
  </si>
  <si>
    <t>Morney Airport</t>
  </si>
  <si>
    <t>OYA</t>
  </si>
  <si>
    <t>SATG</t>
  </si>
  <si>
    <t>Goya Airport</t>
  </si>
  <si>
    <t>OYE</t>
  </si>
  <si>
    <t>FOGO</t>
  </si>
  <si>
    <t>Oyem Airport</t>
  </si>
  <si>
    <t>OYK</t>
  </si>
  <si>
    <t>SBOI</t>
  </si>
  <si>
    <t>Oiapoque Airport ; Oiapoque, Amapa , Brasil</t>
  </si>
  <si>
    <t>OYL</t>
  </si>
  <si>
    <t>HKMY</t>
  </si>
  <si>
    <t>Moyale Airport</t>
  </si>
  <si>
    <t>OYN</t>
  </si>
  <si>
    <t>YOUY</t>
  </si>
  <si>
    <t>Ouyen Airport</t>
  </si>
  <si>
    <t>OYO</t>
  </si>
  <si>
    <t>SAZH</t>
  </si>
  <si>
    <t>Tres Arroyos Airport</t>
  </si>
  <si>
    <t>OZA</t>
  </si>
  <si>
    <t>KOZA</t>
  </si>
  <si>
    <t>Ozona Municipal Airport</t>
  </si>
  <si>
    <t>OZC</t>
  </si>
  <si>
    <t>RPMO</t>
  </si>
  <si>
    <t>Labo Airport</t>
  </si>
  <si>
    <t>OZG</t>
  </si>
  <si>
    <t>GMAZ</t>
  </si>
  <si>
    <t>Zagora Airport</t>
  </si>
  <si>
    <t>OZH</t>
  </si>
  <si>
    <t>UKDE</t>
  </si>
  <si>
    <t>Zaporizhzhia International Airport</t>
  </si>
  <si>
    <t>OZP</t>
  </si>
  <si>
    <t>LEMO</t>
  </si>
  <si>
    <t>Moron Air Base</t>
  </si>
  <si>
    <t>OZR</t>
  </si>
  <si>
    <t>KOZR</t>
  </si>
  <si>
    <t>Cairns Army Airfield (Fort Rucker)</t>
  </si>
  <si>
    <t>OZW</t>
  </si>
  <si>
    <t>KOZW</t>
  </si>
  <si>
    <t>Livingston County Airport</t>
  </si>
  <si>
    <t>OZZ</t>
  </si>
  <si>
    <t>GMMZ</t>
  </si>
  <si>
    <t>Ouarzazate Airport</t>
  </si>
  <si>
    <t>PAA</t>
  </si>
  <si>
    <t>VYPA</t>
  </si>
  <si>
    <t>Hpa-N Airport</t>
  </si>
  <si>
    <t>PAB</t>
  </si>
  <si>
    <t>VABI</t>
  </si>
  <si>
    <t>Bilaspur Airport</t>
  </si>
  <si>
    <t>MPMG</t>
  </si>
  <si>
    <t>Marcos A. Gelabert International Airport</t>
  </si>
  <si>
    <t>PAD</t>
  </si>
  <si>
    <t>EDLP</t>
  </si>
  <si>
    <t>Paderborn/Lippstadt Airport</t>
  </si>
  <si>
    <t>PAE</t>
  </si>
  <si>
    <t>KPAE</t>
  </si>
  <si>
    <t>Paine Field</t>
  </si>
  <si>
    <t>PAF</t>
  </si>
  <si>
    <t>LPMT</t>
  </si>
  <si>
    <t>Montijo Airport</t>
  </si>
  <si>
    <t>RPMP</t>
  </si>
  <si>
    <t>Pagadian Airport</t>
  </si>
  <si>
    <t>PAH</t>
  </si>
  <si>
    <t>KPAH</t>
  </si>
  <si>
    <t>Barkley Regional Airport</t>
  </si>
  <si>
    <t>PAJ</t>
  </si>
  <si>
    <t>OPPC</t>
  </si>
  <si>
    <t>Parachinar Airport</t>
  </si>
  <si>
    <t>PAM</t>
  </si>
  <si>
    <t>KPAM</t>
  </si>
  <si>
    <t>Tyndall Air Force Base</t>
  </si>
  <si>
    <t>PAN</t>
  </si>
  <si>
    <t>VTSK</t>
  </si>
  <si>
    <t>Pattani Airport</t>
  </si>
  <si>
    <t>KPAN</t>
  </si>
  <si>
    <t>Payson Airport</t>
  </si>
  <si>
    <t>PAO</t>
  </si>
  <si>
    <t>KPAO</t>
  </si>
  <si>
    <t>Palo Alto Airport</t>
  </si>
  <si>
    <t>PAP</t>
  </si>
  <si>
    <t>MTPP</t>
  </si>
  <si>
    <t>Port-au-Prince International Airport</t>
  </si>
  <si>
    <t>PAQ</t>
  </si>
  <si>
    <t>PAAQ</t>
  </si>
  <si>
    <t>Palmer Municipal Airport</t>
  </si>
  <si>
    <t>PAS</t>
  </si>
  <si>
    <t>LGPA</t>
  </si>
  <si>
    <t>Paros National Airport</t>
  </si>
  <si>
    <t>PAT</t>
  </si>
  <si>
    <t>VEPT</t>
  </si>
  <si>
    <t>Jay Prakash Narayan Airport</t>
  </si>
  <si>
    <t>PAU</t>
  </si>
  <si>
    <t>VYPK</t>
  </si>
  <si>
    <t>Pauk Airport</t>
  </si>
  <si>
    <t>PAV</t>
  </si>
  <si>
    <t>SBUF</t>
  </si>
  <si>
    <t>Paulo Afonso Airport</t>
  </si>
  <si>
    <t>PAX</t>
  </si>
  <si>
    <t>MTPX</t>
  </si>
  <si>
    <t>Port-de-Paix Airport</t>
  </si>
  <si>
    <t>PAY</t>
  </si>
  <si>
    <t>WBKP</t>
  </si>
  <si>
    <t>Pamol Airport</t>
  </si>
  <si>
    <t>PAZ</t>
  </si>
  <si>
    <t>MMPA</t>
  </si>
  <si>
    <t>El Tajín National Airport</t>
  </si>
  <si>
    <t>PBB</t>
  </si>
  <si>
    <t>SBPB</t>
  </si>
  <si>
    <t>Prefeito Doutor João Silva Filho Airport</t>
  </si>
  <si>
    <t>SSPN</t>
  </si>
  <si>
    <t>Paranaíba Airport</t>
  </si>
  <si>
    <t>PBC</t>
  </si>
  <si>
    <t>MMPB</t>
  </si>
  <si>
    <t>Hermanos Serdán International Airport</t>
  </si>
  <si>
    <t>PBD</t>
  </si>
  <si>
    <t>VAPR</t>
  </si>
  <si>
    <t>Porbandar Airport</t>
  </si>
  <si>
    <t>PBE</t>
  </si>
  <si>
    <t>SKPR</t>
  </si>
  <si>
    <t>Puerto Berrio Airport</t>
  </si>
  <si>
    <t>PBF</t>
  </si>
  <si>
    <t>KPBF</t>
  </si>
  <si>
    <t>Grider Field</t>
  </si>
  <si>
    <t>PBG</t>
  </si>
  <si>
    <t>KPBG</t>
  </si>
  <si>
    <t>Plattsburgh International Airport</t>
  </si>
  <si>
    <t>PBH</t>
  </si>
  <si>
    <t>VQPR</t>
  </si>
  <si>
    <t>Paro Airport</t>
  </si>
  <si>
    <t>PBI</t>
  </si>
  <si>
    <t>KPBI</t>
  </si>
  <si>
    <t>Palm Beach International Airport</t>
  </si>
  <si>
    <t>PBJ</t>
  </si>
  <si>
    <t>NVSI</t>
  </si>
  <si>
    <t>Tavie Airport</t>
  </si>
  <si>
    <t>PBL</t>
  </si>
  <si>
    <t>SVPC</t>
  </si>
  <si>
    <t>General Bartolome Salom International Airport</t>
  </si>
  <si>
    <t>PBM</t>
  </si>
  <si>
    <t>SMJP</t>
  </si>
  <si>
    <t>Johan Adolf Pengel International Airport</t>
  </si>
  <si>
    <t>PBN</t>
  </si>
  <si>
    <t>FNPA</t>
  </si>
  <si>
    <t>Porto Amboim Airport</t>
  </si>
  <si>
    <t>PBO</t>
  </si>
  <si>
    <t>YPBO</t>
  </si>
  <si>
    <t>Paraburdoo Airport</t>
  </si>
  <si>
    <t>PBP</t>
  </si>
  <si>
    <t>MRIA</t>
  </si>
  <si>
    <t>Punta Islita Airport</t>
  </si>
  <si>
    <t>PBQ</t>
  </si>
  <si>
    <t>SWPM</t>
  </si>
  <si>
    <t>Pimenta Bueno Airport</t>
  </si>
  <si>
    <t>PBR</t>
  </si>
  <si>
    <t>MGPB</t>
  </si>
  <si>
    <t>Puerto Barrios Airport</t>
  </si>
  <si>
    <t>PBU</t>
  </si>
  <si>
    <t>VYPT</t>
  </si>
  <si>
    <t>Putao Airport</t>
  </si>
  <si>
    <t>PBV</t>
  </si>
  <si>
    <t>PAPB</t>
  </si>
  <si>
    <t>St George Airport</t>
  </si>
  <si>
    <t>PBX</t>
  </si>
  <si>
    <t>KPBX</t>
  </si>
  <si>
    <t>Pike County Airport (Hatcher Field)</t>
  </si>
  <si>
    <t>PBZ</t>
  </si>
  <si>
    <t>FAPG</t>
  </si>
  <si>
    <t>Plettenberg Bay Airport</t>
  </si>
  <si>
    <t>PCA</t>
  </si>
  <si>
    <t>PAOC</t>
  </si>
  <si>
    <t>Portage Creek Airport</t>
  </si>
  <si>
    <t>PCB</t>
  </si>
  <si>
    <t>WIHP</t>
  </si>
  <si>
    <t>Pondok Cabe Air Base</t>
  </si>
  <si>
    <t>PCF</t>
  </si>
  <si>
    <t>FAPS</t>
  </si>
  <si>
    <t>Potchefstroom Airport</t>
  </si>
  <si>
    <t>PCL</t>
  </si>
  <si>
    <t>SPCL</t>
  </si>
  <si>
    <t>Captain Rolden International Airport</t>
  </si>
  <si>
    <t>PCN</t>
  </si>
  <si>
    <t>NZPN</t>
  </si>
  <si>
    <t>Picton Aerodrome</t>
  </si>
  <si>
    <t>PCP</t>
  </si>
  <si>
    <t>FPPR</t>
  </si>
  <si>
    <t>Principe Airport</t>
  </si>
  <si>
    <t>PCR</t>
  </si>
  <si>
    <t>SKPC</t>
  </si>
  <si>
    <t>German Olano Airport</t>
  </si>
  <si>
    <t>PCS</t>
  </si>
  <si>
    <t>SNPC</t>
  </si>
  <si>
    <t>Picos Airport</t>
  </si>
  <si>
    <t>PCW</t>
  </si>
  <si>
    <t>KPCW</t>
  </si>
  <si>
    <t>Carl R. Keller Field</t>
  </si>
  <si>
    <t>PDA</t>
  </si>
  <si>
    <t>SKPD</t>
  </si>
  <si>
    <t>Obando Airport</t>
  </si>
  <si>
    <t>PDC</t>
  </si>
  <si>
    <t>NWWQ</t>
  </si>
  <si>
    <t>Mueo Airport</t>
  </si>
  <si>
    <t>KPDC</t>
  </si>
  <si>
    <t>Prairie du Chien Municipal Airport</t>
  </si>
  <si>
    <t>PDE</t>
  </si>
  <si>
    <t>YPDI</t>
  </si>
  <si>
    <t>Pandie Pandie Airport</t>
  </si>
  <si>
    <t>PDF</t>
  </si>
  <si>
    <t>SNRD</t>
  </si>
  <si>
    <t>Prado Airport</t>
  </si>
  <si>
    <t>PDG</t>
  </si>
  <si>
    <t>WIMG</t>
  </si>
  <si>
    <t>Tabing Airport</t>
  </si>
  <si>
    <t>WIPT</t>
  </si>
  <si>
    <t>Minangkabau International Airport</t>
  </si>
  <si>
    <t>PDK</t>
  </si>
  <si>
    <t>KPDK</t>
  </si>
  <si>
    <t>DeKalb-Peachtree Airport</t>
  </si>
  <si>
    <t>PDL</t>
  </si>
  <si>
    <t>LPPD</t>
  </si>
  <si>
    <t>João Paulo II Airport (Ponta Delgada Airport)</t>
  </si>
  <si>
    <t>PDO</t>
  </si>
  <si>
    <t>WIPQ</t>
  </si>
  <si>
    <t>Pendopo Airport</t>
  </si>
  <si>
    <t>PDP</t>
  </si>
  <si>
    <t>SULS</t>
  </si>
  <si>
    <t>Capitan Corbeta CA Curbelo International Airport</t>
  </si>
  <si>
    <t>PDS</t>
  </si>
  <si>
    <t>MMPG</t>
  </si>
  <si>
    <t>Piedras Negras International Airport</t>
  </si>
  <si>
    <t>PDT</t>
  </si>
  <si>
    <t>KPDT</t>
  </si>
  <si>
    <t>Eastern Oregon Regional Airport</t>
  </si>
  <si>
    <t>PDU</t>
  </si>
  <si>
    <t>SUPU</t>
  </si>
  <si>
    <t>Tydeo Larre Borges Airport</t>
  </si>
  <si>
    <t>PDV</t>
  </si>
  <si>
    <t>LBPD</t>
  </si>
  <si>
    <t>Plovdiv International Airport</t>
  </si>
  <si>
    <t>PDX</t>
  </si>
  <si>
    <t>KPDX</t>
  </si>
  <si>
    <t>Portland International Airport</t>
  </si>
  <si>
    <t>PDZ</t>
  </si>
  <si>
    <t>SVPE</t>
  </si>
  <si>
    <t>Pedernales Airport</t>
  </si>
  <si>
    <t>YPSH</t>
  </si>
  <si>
    <t>Penneshaw Airport</t>
  </si>
  <si>
    <t>KPEA</t>
  </si>
  <si>
    <t>Pella Municipal Airport</t>
  </si>
  <si>
    <t>PED</t>
  </si>
  <si>
    <t>LKPD</t>
  </si>
  <si>
    <t>Pardubice Airport</t>
  </si>
  <si>
    <t>PEE</t>
  </si>
  <si>
    <t>USPP</t>
  </si>
  <si>
    <t>Bolshoye Savino Airport</t>
  </si>
  <si>
    <t>PEG</t>
  </si>
  <si>
    <t>LIRZ</t>
  </si>
  <si>
    <t>Perugia / San Egidio Airport</t>
  </si>
  <si>
    <t>PEH</t>
  </si>
  <si>
    <t>SAZP</t>
  </si>
  <si>
    <t>Comodoro Pedro Zanni Airport</t>
  </si>
  <si>
    <t>PEI</t>
  </si>
  <si>
    <t>SKPE</t>
  </si>
  <si>
    <t>Matecaña International Airport</t>
  </si>
  <si>
    <t>PEK</t>
  </si>
  <si>
    <t>ZBAA</t>
  </si>
  <si>
    <t>Beijing Capital International Airport</t>
  </si>
  <si>
    <t>PEL</t>
  </si>
  <si>
    <t>FXPG</t>
  </si>
  <si>
    <t>Pelaneng Airport</t>
  </si>
  <si>
    <t>SPTU</t>
  </si>
  <si>
    <t>Puerto Maldonado International Airport</t>
  </si>
  <si>
    <t>PEN</t>
  </si>
  <si>
    <t>WMKP</t>
  </si>
  <si>
    <t>Penang International Airport</t>
  </si>
  <si>
    <t>PEO</t>
  </si>
  <si>
    <t>KPEO</t>
  </si>
  <si>
    <t>Penn Yan Airport</t>
  </si>
  <si>
    <t>PEQ</t>
  </si>
  <si>
    <t>KPEQ</t>
  </si>
  <si>
    <t>Pecos Municipal Airport</t>
  </si>
  <si>
    <t>YPPH</t>
  </si>
  <si>
    <t>Perth Airport</t>
  </si>
  <si>
    <t>ULPB</t>
  </si>
  <si>
    <t>Besovets Airport, Petrozavodsk, Russia</t>
  </si>
  <si>
    <t>PET</t>
  </si>
  <si>
    <t>SBPK</t>
  </si>
  <si>
    <t>Aeroporto Internacional de Pelotas</t>
  </si>
  <si>
    <t>PEU</t>
  </si>
  <si>
    <t>MHPL</t>
  </si>
  <si>
    <t>Puerto Lempira Airport</t>
  </si>
  <si>
    <t>PEV</t>
  </si>
  <si>
    <t>LHPP</t>
  </si>
  <si>
    <t>Pécs Pogány Airport</t>
  </si>
  <si>
    <t>PEW</t>
  </si>
  <si>
    <t>OPPS</t>
  </si>
  <si>
    <t>Peshawar Airport</t>
  </si>
  <si>
    <t>PEX</t>
  </si>
  <si>
    <t>UUYP</t>
  </si>
  <si>
    <t>Pechora Airport</t>
  </si>
  <si>
    <t>KPEX</t>
  </si>
  <si>
    <t>Paynesville Municipal Airport</t>
  </si>
  <si>
    <t>PEZ</t>
  </si>
  <si>
    <t>UWPP</t>
  </si>
  <si>
    <t>Penza Airport</t>
  </si>
  <si>
    <t>PFB</t>
  </si>
  <si>
    <t>SBPF</t>
  </si>
  <si>
    <t>Aeroporto de Passo Fundo</t>
  </si>
  <si>
    <t>PFC</t>
  </si>
  <si>
    <t>KPFC</t>
  </si>
  <si>
    <t>Pacific City State Airport</t>
  </si>
  <si>
    <t>PFJ</t>
  </si>
  <si>
    <t>BIPA</t>
  </si>
  <si>
    <t>Patreksfjordur Airport</t>
  </si>
  <si>
    <t>PFN</t>
  </si>
  <si>
    <t>KPFN</t>
  </si>
  <si>
    <t>Panama City-Bay County International Airport</t>
  </si>
  <si>
    <t>PFO</t>
  </si>
  <si>
    <t>LCPH</t>
  </si>
  <si>
    <t>Paphos International Airport</t>
  </si>
  <si>
    <t>PFQ</t>
  </si>
  <si>
    <t>OITP</t>
  </si>
  <si>
    <t>Parsabade Moghan Airport</t>
  </si>
  <si>
    <t>PFR</t>
  </si>
  <si>
    <t>FZVS</t>
  </si>
  <si>
    <t>Ilebo Airport</t>
  </si>
  <si>
    <t>PGA</t>
  </si>
  <si>
    <t>KPGA</t>
  </si>
  <si>
    <t>Page Municipal Airport</t>
  </si>
  <si>
    <t>PGD</t>
  </si>
  <si>
    <t>KPGD</t>
  </si>
  <si>
    <t>Charlotte County Airport</t>
  </si>
  <si>
    <t>PGF</t>
  </si>
  <si>
    <t>LFMP</t>
  </si>
  <si>
    <t>Perpignan/Rivesaltes Aéroport</t>
  </si>
  <si>
    <t>PGH</t>
  </si>
  <si>
    <t>VIPT</t>
  </si>
  <si>
    <t>Pantnagar Airport</t>
  </si>
  <si>
    <t>PGI</t>
  </si>
  <si>
    <t>FNCH</t>
  </si>
  <si>
    <t>Chitato Airport</t>
  </si>
  <si>
    <t>PGK</t>
  </si>
  <si>
    <t>WIPK</t>
  </si>
  <si>
    <t>Pangkal Pinang (Depati Amir) Airport</t>
  </si>
  <si>
    <t>PGR</t>
  </si>
  <si>
    <t>KPGR</t>
  </si>
  <si>
    <t>Kirk Field</t>
  </si>
  <si>
    <t>PGV</t>
  </si>
  <si>
    <t>KPGV</t>
  </si>
  <si>
    <t>Pitt-Greenville Airport</t>
  </si>
  <si>
    <t>PGX</t>
  </si>
  <si>
    <t>LFBX</t>
  </si>
  <si>
    <t>Perigueux-Bassillac Aéroport</t>
  </si>
  <si>
    <t>PGZ</t>
  </si>
  <si>
    <t>SSZW</t>
  </si>
  <si>
    <t>Ponta Grossa Airport</t>
  </si>
  <si>
    <t>PHA</t>
  </si>
  <si>
    <t>VVPR</t>
  </si>
  <si>
    <t>Phan Rang Airport</t>
  </si>
  <si>
    <t>PHB</t>
  </si>
  <si>
    <t>Dr. Joao Silva Filho Airport</t>
  </si>
  <si>
    <t>PHC</t>
  </si>
  <si>
    <t>DNPO</t>
  </si>
  <si>
    <t>Port Harcourt International Airport (Omagwa International Ai</t>
  </si>
  <si>
    <t>PHD</t>
  </si>
  <si>
    <t>KPHD</t>
  </si>
  <si>
    <t>Harry Clever Field</t>
  </si>
  <si>
    <t>PHE</t>
  </si>
  <si>
    <t>YPPD</t>
  </si>
  <si>
    <t>Port Hedland International Airport</t>
  </si>
  <si>
    <t>PHF</t>
  </si>
  <si>
    <t>KPHF</t>
  </si>
  <si>
    <t>Newport News/Williamsburg International Airport</t>
  </si>
  <si>
    <t>PHG</t>
  </si>
  <si>
    <t>KPHG</t>
  </si>
  <si>
    <t>Phillipsburg Municipal Airport</t>
  </si>
  <si>
    <t>PHH</t>
  </si>
  <si>
    <t>VVPT</t>
  </si>
  <si>
    <t>Phan Thiet Airport</t>
  </si>
  <si>
    <t>PHI</t>
  </si>
  <si>
    <t>SNYE</t>
  </si>
  <si>
    <t>Pinheiro Airport</t>
  </si>
  <si>
    <t>PHK</t>
  </si>
  <si>
    <t>KPHK</t>
  </si>
  <si>
    <t>Palm Beach County Glades Airport</t>
  </si>
  <si>
    <t>PHL</t>
  </si>
  <si>
    <t>KPHL</t>
  </si>
  <si>
    <t>Philadelphia International Airport</t>
  </si>
  <si>
    <t>PHN</t>
  </si>
  <si>
    <t>KPHN</t>
  </si>
  <si>
    <t>St. Clair County International Airport</t>
  </si>
  <si>
    <t>PHO</t>
  </si>
  <si>
    <t>PAPO</t>
  </si>
  <si>
    <t>Point Hope Airport</t>
  </si>
  <si>
    <t>PHP</t>
  </si>
  <si>
    <t>KPHP</t>
  </si>
  <si>
    <t>Philip Airport</t>
  </si>
  <si>
    <t>PHS</t>
  </si>
  <si>
    <t>VTPP</t>
  </si>
  <si>
    <t>Phitsanulok Airport</t>
  </si>
  <si>
    <t>PHT</t>
  </si>
  <si>
    <t>KPHT</t>
  </si>
  <si>
    <t>Henry County Airport</t>
  </si>
  <si>
    <t>PHW</t>
  </si>
  <si>
    <t>FAPH</t>
  </si>
  <si>
    <t>Hendrik Van Eck Airport</t>
  </si>
  <si>
    <t>PHX</t>
  </si>
  <si>
    <t>KPHX</t>
  </si>
  <si>
    <t>Sky Harbor International Airport</t>
  </si>
  <si>
    <t>PHY</t>
  </si>
  <si>
    <t>VTPB</t>
  </si>
  <si>
    <t>Phetchabun Airport</t>
  </si>
  <si>
    <t>PIA</t>
  </si>
  <si>
    <t>KPIA</t>
  </si>
  <si>
    <t>General Wayne A. Downing Peoria International Airport</t>
  </si>
  <si>
    <t>PIB</t>
  </si>
  <si>
    <t>KPIB</t>
  </si>
  <si>
    <t>Hattiesburg-Laurel Regional Airport</t>
  </si>
  <si>
    <t>PIC</t>
  </si>
  <si>
    <t>MBPI</t>
  </si>
  <si>
    <t>Pine Cay Airport</t>
  </si>
  <si>
    <t>PID</t>
  </si>
  <si>
    <t>MYPI</t>
  </si>
  <si>
    <t>Paradise Island Airport</t>
  </si>
  <si>
    <t>PIE</t>
  </si>
  <si>
    <t>KPIE</t>
  </si>
  <si>
    <t>St. Petersburg-Clearwater International Airport</t>
  </si>
  <si>
    <t>PIF</t>
  </si>
  <si>
    <t>RCSQ</t>
  </si>
  <si>
    <t>Pingtung North Airport</t>
  </si>
  <si>
    <t>PIH</t>
  </si>
  <si>
    <t>KPIH</t>
  </si>
  <si>
    <t>Pocatello Regional Airport</t>
  </si>
  <si>
    <t>PIK</t>
  </si>
  <si>
    <t>EGPK</t>
  </si>
  <si>
    <t>Glasgow Prestwick International Airport</t>
  </si>
  <si>
    <t>SGPI</t>
  </si>
  <si>
    <t>Carlos Miguel Gimenez Airport</t>
  </si>
  <si>
    <t>PIM</t>
  </si>
  <si>
    <t>KPIM</t>
  </si>
  <si>
    <t>Callaway Gardens-Harris County Airport</t>
  </si>
  <si>
    <t>PIN</t>
  </si>
  <si>
    <t>SWPI</t>
  </si>
  <si>
    <t>Parintins Airport</t>
  </si>
  <si>
    <t>PIO</t>
  </si>
  <si>
    <t>SPSO</t>
  </si>
  <si>
    <t>Capitán FAP Renán Elías Olivera International Airport</t>
  </si>
  <si>
    <t>PIR</t>
  </si>
  <si>
    <t>KPIR</t>
  </si>
  <si>
    <t>Pierre Regional Airport</t>
  </si>
  <si>
    <t>PIS</t>
  </si>
  <si>
    <t>LFBI</t>
  </si>
  <si>
    <t>Poitiers - Biard Airport</t>
  </si>
  <si>
    <t>PIT</t>
  </si>
  <si>
    <t>KPIT</t>
  </si>
  <si>
    <t>Pittsburgh International Airport</t>
  </si>
  <si>
    <t>PIU</t>
  </si>
  <si>
    <t>SPUR</t>
  </si>
  <si>
    <t>Piura Airport</t>
  </si>
  <si>
    <t>PIV</t>
  </si>
  <si>
    <t>SNPX</t>
  </si>
  <si>
    <t>Pirapora Airport</t>
  </si>
  <si>
    <t>SNRA</t>
  </si>
  <si>
    <t>Fazenda Santo André Airport</t>
  </si>
  <si>
    <t>PIW</t>
  </si>
  <si>
    <t>CZMN</t>
  </si>
  <si>
    <t>Pikwitonei Airport</t>
  </si>
  <si>
    <t>PIX</t>
  </si>
  <si>
    <t>LPPI</t>
  </si>
  <si>
    <t>Pico Airport</t>
  </si>
  <si>
    <t>PIZ</t>
  </si>
  <si>
    <t>PPIZ</t>
  </si>
  <si>
    <t>Point Lay LRRS Airport</t>
  </si>
  <si>
    <t>PJA</t>
  </si>
  <si>
    <t>ESUP</t>
  </si>
  <si>
    <t>Pajala Airport</t>
  </si>
  <si>
    <t>PJC</t>
  </si>
  <si>
    <t>SGPJ</t>
  </si>
  <si>
    <t>Dr. Augusto Roberto Fuster International Airport</t>
  </si>
  <si>
    <t>PJG</t>
  </si>
  <si>
    <t>OPPG</t>
  </si>
  <si>
    <t>Panjgur Airport</t>
  </si>
  <si>
    <t>PJM</t>
  </si>
  <si>
    <t>MRPJ</t>
  </si>
  <si>
    <t>Puerto Jimenez Airport</t>
  </si>
  <si>
    <t>PJY</t>
  </si>
  <si>
    <t>KPJY</t>
  </si>
  <si>
    <t>Pinckneyville-Du Quoin Airport</t>
  </si>
  <si>
    <t>PJZ</t>
  </si>
  <si>
    <t>KPJZ</t>
  </si>
  <si>
    <t>Puerto Juarez</t>
  </si>
  <si>
    <t>PKB</t>
  </si>
  <si>
    <t>KPKB</t>
  </si>
  <si>
    <t>Mid-Ohio Valley Regional Airport</t>
  </si>
  <si>
    <t>PKC</t>
  </si>
  <si>
    <t>UHPP</t>
  </si>
  <si>
    <t>Yelizovo Airport</t>
  </si>
  <si>
    <t>PKD</t>
  </si>
  <si>
    <t>KPKD</t>
  </si>
  <si>
    <t>Park Rapids Municipal Airport (Konshok Field)</t>
  </si>
  <si>
    <t>PKE</t>
  </si>
  <si>
    <t>YPKS</t>
  </si>
  <si>
    <t>Parkes Airport</t>
  </si>
  <si>
    <t>PKF</t>
  </si>
  <si>
    <t>KPKF</t>
  </si>
  <si>
    <t>Park Falls Municipal Airport</t>
  </si>
  <si>
    <t>PKG</t>
  </si>
  <si>
    <t>WMPA</t>
  </si>
  <si>
    <t>Pulau Pangkor Airport</t>
  </si>
  <si>
    <t>PKH</t>
  </si>
  <si>
    <t>LGHL</t>
  </si>
  <si>
    <t>Porto Cheli Airport</t>
  </si>
  <si>
    <t>PKK</t>
  </si>
  <si>
    <t>VYPU</t>
  </si>
  <si>
    <t>Pakhokku Airport</t>
  </si>
  <si>
    <t>PKN</t>
  </si>
  <si>
    <t>WAOI</t>
  </si>
  <si>
    <t>Iskandar Airport</t>
  </si>
  <si>
    <t>PKO</t>
  </si>
  <si>
    <t>DBBP</t>
  </si>
  <si>
    <t>Parakou Airport</t>
  </si>
  <si>
    <t>PKP</t>
  </si>
  <si>
    <t>NTGP</t>
  </si>
  <si>
    <t>Puka Puka Airport</t>
  </si>
  <si>
    <t>PKR</t>
  </si>
  <si>
    <t>VNPK</t>
  </si>
  <si>
    <t>Pokhara Airport</t>
  </si>
  <si>
    <t>PKT</t>
  </si>
  <si>
    <t>YPKT</t>
  </si>
  <si>
    <t>Port Keats Airport</t>
  </si>
  <si>
    <t>PKU</t>
  </si>
  <si>
    <t>WIBB</t>
  </si>
  <si>
    <t>Sultan Syarif Kasim II Airport</t>
  </si>
  <si>
    <t>PKV</t>
  </si>
  <si>
    <t>ULOO</t>
  </si>
  <si>
    <t>Pskov Airport</t>
  </si>
  <si>
    <t>PKW</t>
  </si>
  <si>
    <t>FBSP</t>
  </si>
  <si>
    <t>Selebi Phikwe Airport</t>
  </si>
  <si>
    <t>PKX</t>
  </si>
  <si>
    <t>ZBAD</t>
  </si>
  <si>
    <t>Beijing Daxing International Airport</t>
  </si>
  <si>
    <t>PKY</t>
  </si>
  <si>
    <t>WAOP</t>
  </si>
  <si>
    <t>Tjilik Riwut Airport</t>
  </si>
  <si>
    <t>PKZ</t>
  </si>
  <si>
    <t>VLPS</t>
  </si>
  <si>
    <t>Pakse International Airport</t>
  </si>
  <si>
    <t>PLB</t>
  </si>
  <si>
    <t>KPLB</t>
  </si>
  <si>
    <t>Clinton County Airport</t>
  </si>
  <si>
    <t>PLD</t>
  </si>
  <si>
    <t>MRSR</t>
  </si>
  <si>
    <t>Playa Samara Airport</t>
  </si>
  <si>
    <t>KPLD</t>
  </si>
  <si>
    <t>Portland Municipal Airport</t>
  </si>
  <si>
    <t>PLF</t>
  </si>
  <si>
    <t>FTTP</t>
  </si>
  <si>
    <t>Pala Airport</t>
  </si>
  <si>
    <t>PLH</t>
  </si>
  <si>
    <t>EGHD</t>
  </si>
  <si>
    <t>Plymouth City Airport</t>
  </si>
  <si>
    <t>PLK</t>
  </si>
  <si>
    <t>KPLK</t>
  </si>
  <si>
    <t>M. Graham Clark - Taney County Airport</t>
  </si>
  <si>
    <t>PLL</t>
  </si>
  <si>
    <t>SBMN</t>
  </si>
  <si>
    <t>Ponta Pelada Airport</t>
  </si>
  <si>
    <t>PLM</t>
  </si>
  <si>
    <t>WIPP</t>
  </si>
  <si>
    <t>Sultan Mahmud Badaruddin II Airport</t>
  </si>
  <si>
    <t>PLN</t>
  </si>
  <si>
    <t>KPLN</t>
  </si>
  <si>
    <t>Pellston Regional Airport</t>
  </si>
  <si>
    <t>PLO</t>
  </si>
  <si>
    <t>YPLC</t>
  </si>
  <si>
    <t>Port Lincoln Airport</t>
  </si>
  <si>
    <t>PLP</t>
  </si>
  <si>
    <t>MPLP</t>
  </si>
  <si>
    <t>Captain Ramon Xatruch Airport</t>
  </si>
  <si>
    <t>PLQ</t>
  </si>
  <si>
    <t>EYPA</t>
  </si>
  <si>
    <t>Palanga International Airport</t>
  </si>
  <si>
    <t>PLR</t>
  </si>
  <si>
    <t>KPLR</t>
  </si>
  <si>
    <t>St. Clair County Airport</t>
  </si>
  <si>
    <t>PLS</t>
  </si>
  <si>
    <t>MBPV</t>
  </si>
  <si>
    <t>Providenciales International Airport</t>
  </si>
  <si>
    <t>PLT</t>
  </si>
  <si>
    <t>SKPL</t>
  </si>
  <si>
    <t>Plato Airport</t>
  </si>
  <si>
    <t>PLU</t>
  </si>
  <si>
    <t>SBBH</t>
  </si>
  <si>
    <t>Pampulha Domestic Airport</t>
  </si>
  <si>
    <t>PLV</t>
  </si>
  <si>
    <t>UKHP</t>
  </si>
  <si>
    <t>Suprunovka Airport</t>
  </si>
  <si>
    <t>PLW</t>
  </si>
  <si>
    <t>WAML</t>
  </si>
  <si>
    <t>Mutiara Airport</t>
  </si>
  <si>
    <t>PLX</t>
  </si>
  <si>
    <t>Semey Airport</t>
  </si>
  <si>
    <t>PLZ</t>
  </si>
  <si>
    <t>FAPE</t>
  </si>
  <si>
    <t>Port Elizabeth Airport</t>
  </si>
  <si>
    <t>PMA</t>
  </si>
  <si>
    <t>HTPE</t>
  </si>
  <si>
    <t>Pemba Airport</t>
  </si>
  <si>
    <t>PMB</t>
  </si>
  <si>
    <t>KPMB</t>
  </si>
  <si>
    <t>Pembina Municipal Airport</t>
  </si>
  <si>
    <t>PMC</t>
  </si>
  <si>
    <t>SCTE</t>
  </si>
  <si>
    <t>El Tepual Airport</t>
  </si>
  <si>
    <t>PMD</t>
  </si>
  <si>
    <t>KPMD</t>
  </si>
  <si>
    <t>Palmdale Regional Airport</t>
  </si>
  <si>
    <t>PMF</t>
  </si>
  <si>
    <t>LIMP</t>
  </si>
  <si>
    <t>Parma Airport (Aeroporto di Parma "Giuseppe Verdi")</t>
  </si>
  <si>
    <t>PMG</t>
  </si>
  <si>
    <t>SBPP</t>
  </si>
  <si>
    <t>Ponta Porã International Airport</t>
  </si>
  <si>
    <t>PMH</t>
  </si>
  <si>
    <t>KPMH</t>
  </si>
  <si>
    <t>Greater Portsmouth Regional Airport</t>
  </si>
  <si>
    <t>PMI</t>
  </si>
  <si>
    <t>LEPA</t>
  </si>
  <si>
    <t>Son Sant Joan Airport (Palma de Mallorca Airport)</t>
  </si>
  <si>
    <t>PMK</t>
  </si>
  <si>
    <t>YPAM</t>
  </si>
  <si>
    <t>Palm Island Airport</t>
  </si>
  <si>
    <t>PMO</t>
  </si>
  <si>
    <t>LICJ</t>
  </si>
  <si>
    <t>Palermo International Airport (Aeroporto Falcone e Borsellin</t>
  </si>
  <si>
    <t>PMQ</t>
  </si>
  <si>
    <t>SAWP</t>
  </si>
  <si>
    <t>Perito Moreno Airport</t>
  </si>
  <si>
    <t>PMR</t>
  </si>
  <si>
    <t>NZPM</t>
  </si>
  <si>
    <t>Palmerston North International Airport</t>
  </si>
  <si>
    <t>PMS</t>
  </si>
  <si>
    <t>OSPR</t>
  </si>
  <si>
    <t>Palmyra Airport</t>
  </si>
  <si>
    <t>PMU</t>
  </si>
  <si>
    <t>KPMU</t>
  </si>
  <si>
    <t>Panola County Airport</t>
  </si>
  <si>
    <t>PMV</t>
  </si>
  <si>
    <t>SVMG</t>
  </si>
  <si>
    <t>Del Caribe International General Santiago Marino Airport</t>
  </si>
  <si>
    <t>PMW</t>
  </si>
  <si>
    <t>SBPJ</t>
  </si>
  <si>
    <t>Brigadeiro Lysias Rodrigues Airport</t>
  </si>
  <si>
    <t>SWPJ</t>
  </si>
  <si>
    <t>Fazenda São Caetano Airport</t>
  </si>
  <si>
    <t>PMY</t>
  </si>
  <si>
    <t>SAVY</t>
  </si>
  <si>
    <t>El Tehuelche Airport</t>
  </si>
  <si>
    <t>PMZ</t>
  </si>
  <si>
    <t>MRPM</t>
  </si>
  <si>
    <t>Palmar Sur Airport</t>
  </si>
  <si>
    <t>KPMZ</t>
  </si>
  <si>
    <t>Plymouth Municipal Airport</t>
  </si>
  <si>
    <t>PNA</t>
  </si>
  <si>
    <t>LEPP</t>
  </si>
  <si>
    <t>Pamplona Airport</t>
  </si>
  <si>
    <t>KPNA</t>
  </si>
  <si>
    <t>Ralph Wenz Field</t>
  </si>
  <si>
    <t>PNB</t>
  </si>
  <si>
    <t>SBPN</t>
  </si>
  <si>
    <t>Porto Nacional Airport</t>
  </si>
  <si>
    <t>PNC</t>
  </si>
  <si>
    <t>KPNC</t>
  </si>
  <si>
    <t>Ponca City Regional Airport</t>
  </si>
  <si>
    <t>PNE</t>
  </si>
  <si>
    <t>KPNE</t>
  </si>
  <si>
    <t>Northeast Philadelphia Airport</t>
  </si>
  <si>
    <t>PNG</t>
  </si>
  <si>
    <t>SSPG</t>
  </si>
  <si>
    <t>Paranaguá Airport</t>
  </si>
  <si>
    <t>PNH</t>
  </si>
  <si>
    <t>VDPP</t>
  </si>
  <si>
    <t>Pochentong International Airport</t>
  </si>
  <si>
    <t>PNI</t>
  </si>
  <si>
    <t>PTPN</t>
  </si>
  <si>
    <t>Pohnpei International Airport</t>
  </si>
  <si>
    <t>PNK</t>
  </si>
  <si>
    <t>WIOO</t>
  </si>
  <si>
    <t>Supadio Airport</t>
  </si>
  <si>
    <t>PNL</t>
  </si>
  <si>
    <t>LICG</t>
  </si>
  <si>
    <t>Pantelleria Airport</t>
  </si>
  <si>
    <t>PNM</t>
  </si>
  <si>
    <t>KPNM</t>
  </si>
  <si>
    <t>Princeton Municipal Airport (Minnesota)</t>
  </si>
  <si>
    <t>PNN</t>
  </si>
  <si>
    <t>KPNN</t>
  </si>
  <si>
    <t>Princeton Municipal Airport (Maine)</t>
  </si>
  <si>
    <t>PNP</t>
  </si>
  <si>
    <t>AYGR</t>
  </si>
  <si>
    <t>Girua Airport</t>
  </si>
  <si>
    <t>PNQ</t>
  </si>
  <si>
    <t>VAPO</t>
  </si>
  <si>
    <t>Pune International Airport</t>
  </si>
  <si>
    <t>PNR</t>
  </si>
  <si>
    <t>FCPP</t>
  </si>
  <si>
    <t>Pointe Noire Airport</t>
  </si>
  <si>
    <t>PNS</t>
  </si>
  <si>
    <t>KPNS</t>
  </si>
  <si>
    <t>Pensacola Regional Airport</t>
  </si>
  <si>
    <t>PNT</t>
  </si>
  <si>
    <t>SCNT</t>
  </si>
  <si>
    <t>Tte. Julio Gallardo Airport</t>
  </si>
  <si>
    <t>KPNT</t>
  </si>
  <si>
    <t>Pontiac Municipal Airport</t>
  </si>
  <si>
    <t>PNV</t>
  </si>
  <si>
    <t>EYPP</t>
  </si>
  <si>
    <t>PanevÄ—Å¾ys Air Base</t>
  </si>
  <si>
    <t>PNY</t>
  </si>
  <si>
    <t>VOPC</t>
  </si>
  <si>
    <t>Pondicherry Airport</t>
  </si>
  <si>
    <t>PNZ</t>
  </si>
  <si>
    <t>SBPL</t>
  </si>
  <si>
    <t>Senador Nilo Coelho International Airport</t>
  </si>
  <si>
    <t>POA</t>
  </si>
  <si>
    <t>SBPA</t>
  </si>
  <si>
    <t>Salgado Filho International Airport</t>
  </si>
  <si>
    <t>POB</t>
  </si>
  <si>
    <t>KPOB</t>
  </si>
  <si>
    <t>Pope Air Force Base</t>
  </si>
  <si>
    <t>POC</t>
  </si>
  <si>
    <t>KPOC</t>
  </si>
  <si>
    <t>Brackett Field</t>
  </si>
  <si>
    <t>POD</t>
  </si>
  <si>
    <t>GOSP</t>
  </si>
  <si>
    <t>Podor Airport</t>
  </si>
  <si>
    <t>POE</t>
  </si>
  <si>
    <t>KPOE</t>
  </si>
  <si>
    <t>Polk Army Airfield</t>
  </si>
  <si>
    <t>POF</t>
  </si>
  <si>
    <t>KPOF</t>
  </si>
  <si>
    <t>Poplar Bluff Municipal Airport</t>
  </si>
  <si>
    <t>POG</t>
  </si>
  <si>
    <t>FOOG</t>
  </si>
  <si>
    <t>Port Gentil Airport</t>
  </si>
  <si>
    <t>POH</t>
  </si>
  <si>
    <t>KPOH</t>
  </si>
  <si>
    <t>Pocahontas Municipal Airport</t>
  </si>
  <si>
    <t>POI</t>
  </si>
  <si>
    <t>SLPO</t>
  </si>
  <si>
    <t>Capitan Nicolas Rojas Airport</t>
  </si>
  <si>
    <t>POJ</t>
  </si>
  <si>
    <t>SNPD</t>
  </si>
  <si>
    <t>Patos de Minas Airport</t>
  </si>
  <si>
    <t>POL</t>
  </si>
  <si>
    <t>FQPB</t>
  </si>
  <si>
    <t>POM</t>
  </si>
  <si>
    <t>AYPY</t>
  </si>
  <si>
    <t>Jacksons International Airport</t>
  </si>
  <si>
    <t>PON</t>
  </si>
  <si>
    <t>MGPP</t>
  </si>
  <si>
    <t>Poptún Airport</t>
  </si>
  <si>
    <t>POO</t>
  </si>
  <si>
    <t>SBPC</t>
  </si>
  <si>
    <t>Poços de Caldas Airport</t>
  </si>
  <si>
    <t>POP</t>
  </si>
  <si>
    <t>MDPP</t>
  </si>
  <si>
    <t>Puerto Plata Airport</t>
  </si>
  <si>
    <t>POR</t>
  </si>
  <si>
    <t>EFPO</t>
  </si>
  <si>
    <t>Pori Airport</t>
  </si>
  <si>
    <t>POS</t>
  </si>
  <si>
    <t>TTPP</t>
  </si>
  <si>
    <t>Piarco International Airport</t>
  </si>
  <si>
    <t>POT</t>
  </si>
  <si>
    <t>MKKJ</t>
  </si>
  <si>
    <t>Ken Jones Aerodrome</t>
  </si>
  <si>
    <t>POU</t>
  </si>
  <si>
    <t>KPOU</t>
  </si>
  <si>
    <t>Dutchess County Airport</t>
  </si>
  <si>
    <t>POV</t>
  </si>
  <si>
    <t>LZPW</t>
  </si>
  <si>
    <t>PreÅ¡ov Air Base</t>
  </si>
  <si>
    <t>POW</t>
  </si>
  <si>
    <t>LJPZ</t>
  </si>
  <si>
    <t>Portoro? Airport</t>
  </si>
  <si>
    <t>POX</t>
  </si>
  <si>
    <t>LFPT</t>
  </si>
  <si>
    <t>Pontoise Airport</t>
  </si>
  <si>
    <t>POY</t>
  </si>
  <si>
    <t>KPOY</t>
  </si>
  <si>
    <t>Powell Municipal Airport</t>
  </si>
  <si>
    <t>POZ</t>
  </si>
  <si>
    <t>EPPO</t>
  </si>
  <si>
    <t>Pozna?-?awica Airport</t>
  </si>
  <si>
    <t>PPA</t>
  </si>
  <si>
    <t>KPPA</t>
  </si>
  <si>
    <t>Perry Lefors Field</t>
  </si>
  <si>
    <t>PPB</t>
  </si>
  <si>
    <t>SBDN</t>
  </si>
  <si>
    <t>Presidente Prudente Airport</t>
  </si>
  <si>
    <t>PPC</t>
  </si>
  <si>
    <t>PAPR</t>
  </si>
  <si>
    <t>Prospect Creek Airport</t>
  </si>
  <si>
    <t>PPF</t>
  </si>
  <si>
    <t>KPPF</t>
  </si>
  <si>
    <t>Tri-City Airport</t>
  </si>
  <si>
    <t>PPG</t>
  </si>
  <si>
    <t>NSTU</t>
  </si>
  <si>
    <t>Pago Pago International Airport</t>
  </si>
  <si>
    <t>PPH</t>
  </si>
  <si>
    <t>SVPH</t>
  </si>
  <si>
    <t>Perai Tepuy Airport</t>
  </si>
  <si>
    <t>PPI</t>
  </si>
  <si>
    <t>YPIR</t>
  </si>
  <si>
    <t>Port Pirie Airport</t>
  </si>
  <si>
    <t>PPJ</t>
  </si>
  <si>
    <t>WIIG</t>
  </si>
  <si>
    <t>Pulau Panjang Airport</t>
  </si>
  <si>
    <t>PPK</t>
  </si>
  <si>
    <t>UACP</t>
  </si>
  <si>
    <t>Petropavlovsk Airport</t>
  </si>
  <si>
    <t>PPL</t>
  </si>
  <si>
    <t>VNPL</t>
  </si>
  <si>
    <t>Phaplu Airport</t>
  </si>
  <si>
    <t>PPM</t>
  </si>
  <si>
    <t>KPMP</t>
  </si>
  <si>
    <t>Pompano Beach Airpark</t>
  </si>
  <si>
    <t>PPN</t>
  </si>
  <si>
    <t>SKPP</t>
  </si>
  <si>
    <t>Guillermo León Valencia Airport</t>
  </si>
  <si>
    <t>PPO</t>
  </si>
  <si>
    <t>KPPO</t>
  </si>
  <si>
    <t>La Porte Municipal Airport</t>
  </si>
  <si>
    <t>PPP</t>
  </si>
  <si>
    <t>YBPN</t>
  </si>
  <si>
    <t>Whitsunday Coast Airport</t>
  </si>
  <si>
    <t>PPQ</t>
  </si>
  <si>
    <t>NZPP</t>
  </si>
  <si>
    <t>Paraparaumu Airport</t>
  </si>
  <si>
    <t>KPPQ</t>
  </si>
  <si>
    <t>Pittsfield Penstone Municipal Airport</t>
  </si>
  <si>
    <t>PPR</t>
  </si>
  <si>
    <t>WIDE</t>
  </si>
  <si>
    <t>Pasir Pangaraan Airport</t>
  </si>
  <si>
    <t>PPS</t>
  </si>
  <si>
    <t>RPVP</t>
  </si>
  <si>
    <t>Puerto Princesa Airport</t>
  </si>
  <si>
    <t>PPT</t>
  </si>
  <si>
    <t>NTAA</t>
  </si>
  <si>
    <t>Faa'a International Airport</t>
  </si>
  <si>
    <t>PPU</t>
  </si>
  <si>
    <t>VYPP</t>
  </si>
  <si>
    <t>Hpapun Airport</t>
  </si>
  <si>
    <t>PPW</t>
  </si>
  <si>
    <t>EGEP</t>
  </si>
  <si>
    <t>Papa Westray Airport</t>
  </si>
  <si>
    <t>PPY</t>
  </si>
  <si>
    <t>SNZA</t>
  </si>
  <si>
    <t>Pouso Alegre Airport</t>
  </si>
  <si>
    <t>PQC</t>
  </si>
  <si>
    <t>VVPQ</t>
  </si>
  <si>
    <t>Phu Quoc Airport</t>
  </si>
  <si>
    <t>PQE</t>
  </si>
  <si>
    <t>SKPQ</t>
  </si>
  <si>
    <t>German Olano Air Base</t>
  </si>
  <si>
    <t>PQI</t>
  </si>
  <si>
    <t>KPQI</t>
  </si>
  <si>
    <t>Northern Maine Regional Airport at Presque Isle</t>
  </si>
  <si>
    <t>PQL</t>
  </si>
  <si>
    <t>KPQL</t>
  </si>
  <si>
    <t>Trent Lott International Airport</t>
  </si>
  <si>
    <t>PQM</t>
  </si>
  <si>
    <t>MMPQ</t>
  </si>
  <si>
    <t>Palenque International Airport</t>
  </si>
  <si>
    <t>PQN</t>
  </si>
  <si>
    <t>KPQN</t>
  </si>
  <si>
    <t>Pipestone Municipal Airport</t>
  </si>
  <si>
    <t>PQQ</t>
  </si>
  <si>
    <t>YPMQ</t>
  </si>
  <si>
    <t>Port Macquarie Airport</t>
  </si>
  <si>
    <t>PRA</t>
  </si>
  <si>
    <t>SAAP</t>
  </si>
  <si>
    <t>General Justo José de Urquiza Airport</t>
  </si>
  <si>
    <t>PRB</t>
  </si>
  <si>
    <t>KPRB</t>
  </si>
  <si>
    <t>Paso Robles Municipal Airport</t>
  </si>
  <si>
    <t>PRC</t>
  </si>
  <si>
    <t>KPRC</t>
  </si>
  <si>
    <t>Ernest A. Love Field</t>
  </si>
  <si>
    <t>PRD</t>
  </si>
  <si>
    <t>YPDO</t>
  </si>
  <si>
    <t>Pardoo Airport</t>
  </si>
  <si>
    <t>PRG</t>
  </si>
  <si>
    <t>LKPR</t>
  </si>
  <si>
    <t>Václav Havel Airport Prague</t>
  </si>
  <si>
    <t>KPRG</t>
  </si>
  <si>
    <t>Edgar County Airport</t>
  </si>
  <si>
    <t>PRH</t>
  </si>
  <si>
    <t>VTCP</t>
  </si>
  <si>
    <t>Phrae Airport</t>
  </si>
  <si>
    <t>PRK</t>
  </si>
  <si>
    <t>FAPK</t>
  </si>
  <si>
    <t>Prieska Airport</t>
  </si>
  <si>
    <t>PRM</t>
  </si>
  <si>
    <t>LPPM</t>
  </si>
  <si>
    <t>Portimao Airport</t>
  </si>
  <si>
    <t>PRN</t>
  </si>
  <si>
    <t>BKPR</t>
  </si>
  <si>
    <t>Pristina International Airport</t>
  </si>
  <si>
    <t>PRO</t>
  </si>
  <si>
    <t>KPRO</t>
  </si>
  <si>
    <t>Perry Municipal Airport</t>
  </si>
  <si>
    <t>PRP</t>
  </si>
  <si>
    <t>LFKO</t>
  </si>
  <si>
    <t>Propriano Airport</t>
  </si>
  <si>
    <t>PRQ</t>
  </si>
  <si>
    <t>SARS</t>
  </si>
  <si>
    <t>Presidencia Roque Sáenz Peña Airport</t>
  </si>
  <si>
    <t>PRR</t>
  </si>
  <si>
    <t>SYPR</t>
  </si>
  <si>
    <t>Paruima Airport</t>
  </si>
  <si>
    <t>PRS</t>
  </si>
  <si>
    <t>AGGP</t>
  </si>
  <si>
    <t>Parasi Airport</t>
  </si>
  <si>
    <t>PRU</t>
  </si>
  <si>
    <t>VYPY</t>
  </si>
  <si>
    <t>Pyay Airport</t>
  </si>
  <si>
    <t>PRV</t>
  </si>
  <si>
    <t>LKPO</t>
  </si>
  <si>
    <t>PÅ™erov Air Base</t>
  </si>
  <si>
    <t>PRX</t>
  </si>
  <si>
    <t>KPRX</t>
  </si>
  <si>
    <t>Cox Field</t>
  </si>
  <si>
    <t>PRY</t>
  </si>
  <si>
    <t>FAWB</t>
  </si>
  <si>
    <t>Wonderboom Airport</t>
  </si>
  <si>
    <t>PRZ</t>
  </si>
  <si>
    <t>KPRZ</t>
  </si>
  <si>
    <t>Portales Municipal Airport</t>
  </si>
  <si>
    <t>PSA</t>
  </si>
  <si>
    <t>LIRP</t>
  </si>
  <si>
    <t>Galileo Galilei Airport</t>
  </si>
  <si>
    <t>PSB</t>
  </si>
  <si>
    <t>KPSB</t>
  </si>
  <si>
    <t>Mid-State Airport</t>
  </si>
  <si>
    <t>PSC</t>
  </si>
  <si>
    <t>KPSC</t>
  </si>
  <si>
    <t>Tri-Cities Airport</t>
  </si>
  <si>
    <t>PSD</t>
  </si>
  <si>
    <t>HEPS</t>
  </si>
  <si>
    <t>Port Said Airport</t>
  </si>
  <si>
    <t>PSE</t>
  </si>
  <si>
    <t>TJPS</t>
  </si>
  <si>
    <t>Mercedita Airport</t>
  </si>
  <si>
    <t>PSF</t>
  </si>
  <si>
    <t>KPSF</t>
  </si>
  <si>
    <t>Pittsfield Municipal Airport</t>
  </si>
  <si>
    <t>PSG</t>
  </si>
  <si>
    <t>PAPG</t>
  </si>
  <si>
    <t>Petersburg James A. Johnson Airport</t>
  </si>
  <si>
    <t>PSH</t>
  </si>
  <si>
    <t>EDXO</t>
  </si>
  <si>
    <t>St. Peter-Ording Airport</t>
  </si>
  <si>
    <t>PSI</t>
  </si>
  <si>
    <t>OPPI</t>
  </si>
  <si>
    <t>Pasni Airport</t>
  </si>
  <si>
    <t>PSJ</t>
  </si>
  <si>
    <t>WAMP</t>
  </si>
  <si>
    <t>Kasiguncu Airport</t>
  </si>
  <si>
    <t>PSK</t>
  </si>
  <si>
    <t>KPSK</t>
  </si>
  <si>
    <t>New River Valley Airport</t>
  </si>
  <si>
    <t>PSL</t>
  </si>
  <si>
    <t>EGPT</t>
  </si>
  <si>
    <t>PSM</t>
  </si>
  <si>
    <t>KPSM</t>
  </si>
  <si>
    <t>Portsmouth International Airport at Pease</t>
  </si>
  <si>
    <t>PSN</t>
  </si>
  <si>
    <t>KPSN</t>
  </si>
  <si>
    <t>Palestine Municipal Airport</t>
  </si>
  <si>
    <t>PSO</t>
  </si>
  <si>
    <t>SKPS</t>
  </si>
  <si>
    <t>Antonio Nariño Airport</t>
  </si>
  <si>
    <t>PSP</t>
  </si>
  <si>
    <t>KPSP</t>
  </si>
  <si>
    <t>Palm Springs International Airport</t>
  </si>
  <si>
    <t>PSR</t>
  </si>
  <si>
    <t>LIBP</t>
  </si>
  <si>
    <t>Pescara Airport</t>
  </si>
  <si>
    <t>PSS</t>
  </si>
  <si>
    <t>SARP</t>
  </si>
  <si>
    <t>Libertador General José de San Martín Airport</t>
  </si>
  <si>
    <t>PSU</t>
  </si>
  <si>
    <t>WIOP</t>
  </si>
  <si>
    <t>Pangsuma Airport</t>
  </si>
  <si>
    <t>PSW</t>
  </si>
  <si>
    <t>SNOS</t>
  </si>
  <si>
    <t>Municipal José Figueiredo Airport</t>
  </si>
  <si>
    <t>PSX</t>
  </si>
  <si>
    <t>KPSX</t>
  </si>
  <si>
    <t>Palacios Municipal Airport</t>
  </si>
  <si>
    <t>PSY</t>
  </si>
  <si>
    <t>SFAL</t>
  </si>
  <si>
    <t>Stanley Airport</t>
  </si>
  <si>
    <t>PSZ</t>
  </si>
  <si>
    <t>SLPS</t>
  </si>
  <si>
    <t>Puerto Suárez International Airport</t>
  </si>
  <si>
    <t>PTB</t>
  </si>
  <si>
    <t>KPTB</t>
  </si>
  <si>
    <t>Dinwiddie County Airport</t>
  </si>
  <si>
    <t>PTD</t>
  </si>
  <si>
    <t>KPTD</t>
  </si>
  <si>
    <t>Potsdam Municipal Airport (Damon Field)</t>
  </si>
  <si>
    <t>PTF</t>
  </si>
  <si>
    <t>NFFO</t>
  </si>
  <si>
    <t>Malolo Lailai Island Airport</t>
  </si>
  <si>
    <t>PTG</t>
  </si>
  <si>
    <t>FAPI</t>
  </si>
  <si>
    <t>Pietersburg Municipal Airport</t>
  </si>
  <si>
    <t>FAPP</t>
  </si>
  <si>
    <t>Polokwane International Airport</t>
  </si>
  <si>
    <t>PTH</t>
  </si>
  <si>
    <t>PAPH</t>
  </si>
  <si>
    <t>Port Heiden Airport</t>
  </si>
  <si>
    <t>PTJ</t>
  </si>
  <si>
    <t>YPOD</t>
  </si>
  <si>
    <t>Portland Airport</t>
  </si>
  <si>
    <t>PTK</t>
  </si>
  <si>
    <t>KPTK</t>
  </si>
  <si>
    <t>Oakland County International Airport</t>
  </si>
  <si>
    <t>PTM</t>
  </si>
  <si>
    <t>SVPT</t>
  </si>
  <si>
    <t>Palmarito Airport</t>
  </si>
  <si>
    <t>PTN</t>
  </si>
  <si>
    <t>KPTN</t>
  </si>
  <si>
    <t>Harry P. Williams Memorial Airport</t>
  </si>
  <si>
    <t>PTO</t>
  </si>
  <si>
    <t>SSPB</t>
  </si>
  <si>
    <t>Pato Branco Airport</t>
  </si>
  <si>
    <t>PTP</t>
  </si>
  <si>
    <t>TFFR</t>
  </si>
  <si>
    <t>Pointe-à-Pitre International Airport</t>
  </si>
  <si>
    <t>PTQ</t>
  </si>
  <si>
    <t>SNMZ</t>
  </si>
  <si>
    <t>Porto de Moz Airport</t>
  </si>
  <si>
    <t>PTS</t>
  </si>
  <si>
    <t>KPTS</t>
  </si>
  <si>
    <t>Atkinson Municipal Airport</t>
  </si>
  <si>
    <t>PTT</t>
  </si>
  <si>
    <t>KPTT</t>
  </si>
  <si>
    <t>Pratt Industrial Airport</t>
  </si>
  <si>
    <t>PTU</t>
  </si>
  <si>
    <t>PAPM</t>
  </si>
  <si>
    <t>Platinum Airport</t>
  </si>
  <si>
    <t>PTV</t>
  </si>
  <si>
    <t>KPTV</t>
  </si>
  <si>
    <t>Porterville Municipal Airport</t>
  </si>
  <si>
    <t>PTW</t>
  </si>
  <si>
    <t>KPTW</t>
  </si>
  <si>
    <t>Pottstown Limerick Airport</t>
  </si>
  <si>
    <t>PTX</t>
  </si>
  <si>
    <t>SKPI</t>
  </si>
  <si>
    <t>Pitalito Airport</t>
  </si>
  <si>
    <t>PTY</t>
  </si>
  <si>
    <t>MPTO</t>
  </si>
  <si>
    <t>Tocumen International Airport</t>
  </si>
  <si>
    <t>PTZ</t>
  </si>
  <si>
    <t>SEPA</t>
  </si>
  <si>
    <t>Rio Amazonas Airport</t>
  </si>
  <si>
    <t>SESM</t>
  </si>
  <si>
    <t>PUB</t>
  </si>
  <si>
    <t>KPUB</t>
  </si>
  <si>
    <t>Pueblo Memorial Airport</t>
  </si>
  <si>
    <t>PUC</t>
  </si>
  <si>
    <t>KPUC</t>
  </si>
  <si>
    <t>Carbon County Airport</t>
  </si>
  <si>
    <t>PUD</t>
  </si>
  <si>
    <t>SAWD</t>
  </si>
  <si>
    <t>Puerto deseado Airport</t>
  </si>
  <si>
    <t>PUF</t>
  </si>
  <si>
    <t>LFBP</t>
  </si>
  <si>
    <t>Pyrenees Airport</t>
  </si>
  <si>
    <t>PUG</t>
  </si>
  <si>
    <t>YPAG</t>
  </si>
  <si>
    <t>Port Augusta Airport</t>
  </si>
  <si>
    <t>PUI</t>
  </si>
  <si>
    <t>VEPU</t>
  </si>
  <si>
    <t>Purnea Airport</t>
  </si>
  <si>
    <t>PUJ</t>
  </si>
  <si>
    <t>MDPC</t>
  </si>
  <si>
    <t>Punta Cana International Airport</t>
  </si>
  <si>
    <t>PUK</t>
  </si>
  <si>
    <t>NTGQ</t>
  </si>
  <si>
    <t>Pukarua Airport</t>
  </si>
  <si>
    <t>PUN</t>
  </si>
  <si>
    <t>FZOP</t>
  </si>
  <si>
    <t>Punia Airport</t>
  </si>
  <si>
    <t>PUP</t>
  </si>
  <si>
    <t>DFCP</t>
  </si>
  <si>
    <t>Po Airport</t>
  </si>
  <si>
    <t>PUQ</t>
  </si>
  <si>
    <t>SCCI</t>
  </si>
  <si>
    <t>Carlos Ibanez Del Campo International Airport</t>
  </si>
  <si>
    <t>PUR</t>
  </si>
  <si>
    <t>SLPR</t>
  </si>
  <si>
    <t>Puerto Rico Airport</t>
  </si>
  <si>
    <t>PUS</t>
  </si>
  <si>
    <t>RKPK</t>
  </si>
  <si>
    <t>Gimhae International Airport</t>
  </si>
  <si>
    <t>RKPP</t>
  </si>
  <si>
    <t>PUU</t>
  </si>
  <si>
    <t>SKAS</t>
  </si>
  <si>
    <t>Tres de Mayo Airport</t>
  </si>
  <si>
    <t>PUV</t>
  </si>
  <si>
    <t>NWWP</t>
  </si>
  <si>
    <t>Poum Airport</t>
  </si>
  <si>
    <t>PUW</t>
  </si>
  <si>
    <t>KPUW</t>
  </si>
  <si>
    <t>Pullman-Moscow Regional Airport</t>
  </si>
  <si>
    <t>PUX</t>
  </si>
  <si>
    <t>SCPV</t>
  </si>
  <si>
    <t>El Mirador Airport</t>
  </si>
  <si>
    <t>PUY</t>
  </si>
  <si>
    <t>LDPL</t>
  </si>
  <si>
    <t>Pula Airport</t>
  </si>
  <si>
    <t>PUZ</t>
  </si>
  <si>
    <t>MNPC</t>
  </si>
  <si>
    <t>Puerto Cabezas Airport</t>
  </si>
  <si>
    <t>PVA</t>
  </si>
  <si>
    <t>SKPV</t>
  </si>
  <si>
    <t>El Embrujo Airport Providencia Island, Colombia</t>
  </si>
  <si>
    <t>PVB</t>
  </si>
  <si>
    <t>KPVB</t>
  </si>
  <si>
    <t>Platteville Municipal Airport</t>
  </si>
  <si>
    <t>PVC</t>
  </si>
  <si>
    <t>KPVC</t>
  </si>
  <si>
    <t>Provincetown Municipal Airport</t>
  </si>
  <si>
    <t>PVD</t>
  </si>
  <si>
    <t>KPVD</t>
  </si>
  <si>
    <t>Theodore Francis Green State Airport</t>
  </si>
  <si>
    <t>PVF</t>
  </si>
  <si>
    <t>KPVF</t>
  </si>
  <si>
    <t>Placerville Airport</t>
  </si>
  <si>
    <t>PVG</t>
  </si>
  <si>
    <t>ZSPD</t>
  </si>
  <si>
    <t>Shanghai Pudong International Airport</t>
  </si>
  <si>
    <t>PVH</t>
  </si>
  <si>
    <t>SBPV</t>
  </si>
  <si>
    <t>Governador Jorge Teixeira de Oliveira International Airport</t>
  </si>
  <si>
    <t>PVI</t>
  </si>
  <si>
    <t>SSPI</t>
  </si>
  <si>
    <t>Paranavaí Airport</t>
  </si>
  <si>
    <t>PVJ</t>
  </si>
  <si>
    <t>KPVJ</t>
  </si>
  <si>
    <t>Pauls Valley Municipal Airport</t>
  </si>
  <si>
    <t>PVK</t>
  </si>
  <si>
    <t>LGPZ</t>
  </si>
  <si>
    <t>Aktion Airport</t>
  </si>
  <si>
    <t>PVN</t>
  </si>
  <si>
    <t>LBPL</t>
  </si>
  <si>
    <t>Dolna Mitropoliya Air Base</t>
  </si>
  <si>
    <t>PVO</t>
  </si>
  <si>
    <t>SEPV</t>
  </si>
  <si>
    <t>Reales Tamarindos Airport</t>
  </si>
  <si>
    <t>PVR</t>
  </si>
  <si>
    <t>MMPR</t>
  </si>
  <si>
    <t>Puerto Vallarta International Airport</t>
  </si>
  <si>
    <t>PVS</t>
  </si>
  <si>
    <t>UHMD</t>
  </si>
  <si>
    <t>Provideniya Bay Airport</t>
  </si>
  <si>
    <t>PVU</t>
  </si>
  <si>
    <t>KPVU</t>
  </si>
  <si>
    <t>Provo Municipal Airport</t>
  </si>
  <si>
    <t>PVW</t>
  </si>
  <si>
    <t>KPVW</t>
  </si>
  <si>
    <t>Hale County Airport</t>
  </si>
  <si>
    <t>PWA</t>
  </si>
  <si>
    <t>KPWA</t>
  </si>
  <si>
    <t>Wiley Post Airport</t>
  </si>
  <si>
    <t>PWC</t>
  </si>
  <si>
    <t>KPWC</t>
  </si>
  <si>
    <t>Pine River Regional Airport</t>
  </si>
  <si>
    <t>PWD</t>
  </si>
  <si>
    <t>KPWD</t>
  </si>
  <si>
    <t>Sher-Wood Airport</t>
  </si>
  <si>
    <t>PWE</t>
  </si>
  <si>
    <t>UHMP</t>
  </si>
  <si>
    <t>Pevek Airport</t>
  </si>
  <si>
    <t>PWG</t>
  </si>
  <si>
    <t>KPWG</t>
  </si>
  <si>
    <t>McGregor Executive Airport</t>
  </si>
  <si>
    <t>PWK</t>
  </si>
  <si>
    <t>KPWK</t>
  </si>
  <si>
    <t>Chicago Executive Airport</t>
  </si>
  <si>
    <t>PWL</t>
  </si>
  <si>
    <t>WIAP</t>
  </si>
  <si>
    <t>Purwokerto Airport</t>
  </si>
  <si>
    <t>PWM</t>
  </si>
  <si>
    <t>KPWM</t>
  </si>
  <si>
    <t>Portland International Jetport (formerly Portland-Westbrook</t>
  </si>
  <si>
    <t>PWN</t>
  </si>
  <si>
    <t>MYCP</t>
  </si>
  <si>
    <t>Pitts Town Airport</t>
  </si>
  <si>
    <t>PWO</t>
  </si>
  <si>
    <t>FZQC</t>
  </si>
  <si>
    <t>Pweto Airport</t>
  </si>
  <si>
    <t>PWQ</t>
  </si>
  <si>
    <t>UASP</t>
  </si>
  <si>
    <t>Pavlodar Airport</t>
  </si>
  <si>
    <t>PWT</t>
  </si>
  <si>
    <t>KPWT</t>
  </si>
  <si>
    <t>Bremerton National Airport</t>
  </si>
  <si>
    <t>PXE</t>
  </si>
  <si>
    <t>KPXE</t>
  </si>
  <si>
    <t>Perry-Houston County Airport</t>
  </si>
  <si>
    <t>PXK</t>
  </si>
  <si>
    <t>PAXK</t>
  </si>
  <si>
    <t>Paxson Airport</t>
  </si>
  <si>
    <t>PXM</t>
  </si>
  <si>
    <t>MMPS</t>
  </si>
  <si>
    <t>Puerto Escondido International Airport</t>
  </si>
  <si>
    <t>PXO</t>
  </si>
  <si>
    <t>LPPS</t>
  </si>
  <si>
    <t>Porto Santo Airport</t>
  </si>
  <si>
    <t>PXU</t>
  </si>
  <si>
    <t>VVPK</t>
  </si>
  <si>
    <t>Pleiku Airport</t>
  </si>
  <si>
    <t>PYB</t>
  </si>
  <si>
    <t>VEJP</t>
  </si>
  <si>
    <t>Jeypore Airport</t>
  </si>
  <si>
    <t>PYE</t>
  </si>
  <si>
    <t>NCPY</t>
  </si>
  <si>
    <t>Tongareva Airport</t>
  </si>
  <si>
    <t>PYG</t>
  </si>
  <si>
    <t>VEPY</t>
  </si>
  <si>
    <t>Pakyong Airport</t>
  </si>
  <si>
    <t>PYH</t>
  </si>
  <si>
    <t>SVPA</t>
  </si>
  <si>
    <t>Cacique Aramare Airport</t>
  </si>
  <si>
    <t>PYJ</t>
  </si>
  <si>
    <t>UERP</t>
  </si>
  <si>
    <t>Polyarny Airport</t>
  </si>
  <si>
    <t>PYM</t>
  </si>
  <si>
    <t>KPYM</t>
  </si>
  <si>
    <t>PYN</t>
  </si>
  <si>
    <t>KPYN</t>
  </si>
  <si>
    <t>Piedmont Municipal Airport</t>
  </si>
  <si>
    <t>PYO</t>
  </si>
  <si>
    <t>SEPT</t>
  </si>
  <si>
    <t>Putumayo Airport</t>
  </si>
  <si>
    <t>PYR</t>
  </si>
  <si>
    <t>LGAD</t>
  </si>
  <si>
    <t>Andravida Airport</t>
  </si>
  <si>
    <t>PYX</t>
  </si>
  <si>
    <t>KPYX</t>
  </si>
  <si>
    <t>Perryton Ochiltree County Airport</t>
  </si>
  <si>
    <t>PYY</t>
  </si>
  <si>
    <t>VTCI</t>
  </si>
  <si>
    <t>PZA</t>
  </si>
  <si>
    <t>SKPZ</t>
  </si>
  <si>
    <t>Paz De Ariporo Airport</t>
  </si>
  <si>
    <t>PZB</t>
  </si>
  <si>
    <t>FAPM</t>
  </si>
  <si>
    <t>Pietermaritzburg Airport</t>
  </si>
  <si>
    <t>PZH</t>
  </si>
  <si>
    <t>OPZB</t>
  </si>
  <si>
    <t>Zhob Airport</t>
  </si>
  <si>
    <t>PZL</t>
  </si>
  <si>
    <t>FADQ</t>
  </si>
  <si>
    <t>Zulu Inyala Airport</t>
  </si>
  <si>
    <t>PZO</t>
  </si>
  <si>
    <t>SVPR</t>
  </si>
  <si>
    <t>General Manuel Carlos Piar International Airport</t>
  </si>
  <si>
    <t>PZQ</t>
  </si>
  <si>
    <t>KPZQ</t>
  </si>
  <si>
    <t>Presque Isle County Airport</t>
  </si>
  <si>
    <t>PZU</t>
  </si>
  <si>
    <t>HSPN</t>
  </si>
  <si>
    <t>Port Sudan New International Airport</t>
  </si>
  <si>
    <t>PZY</t>
  </si>
  <si>
    <t>LZPP</t>
  </si>
  <si>
    <t>Piestany Airport</t>
  </si>
  <si>
    <t>QAC</t>
  </si>
  <si>
    <t>SSQT</t>
  </si>
  <si>
    <t>Castro Airport</t>
  </si>
  <si>
    <t>QAK</t>
  </si>
  <si>
    <t>SBBQ</t>
  </si>
  <si>
    <t>Major Brigadeiro Doorgal Borges Airport</t>
  </si>
  <si>
    <t>QAM</t>
  </si>
  <si>
    <t>LFAY</t>
  </si>
  <si>
    <t>Amiens-Glisy Airport</t>
  </si>
  <si>
    <t>QAR</t>
  </si>
  <si>
    <t>EHDL</t>
  </si>
  <si>
    <t>Deelen Air Base</t>
  </si>
  <si>
    <t>QAS</t>
  </si>
  <si>
    <t>DAOI</t>
  </si>
  <si>
    <t>Ech Cheliff Airport</t>
  </si>
  <si>
    <t>QBA</t>
  </si>
  <si>
    <t>QBC</t>
  </si>
  <si>
    <t>CYBD</t>
  </si>
  <si>
    <t>Bella Coola Airport</t>
  </si>
  <si>
    <t>QBQ</t>
  </si>
  <si>
    <t>LFSA</t>
  </si>
  <si>
    <t>Besançon Thise Airport</t>
  </si>
  <si>
    <t>QBX</t>
  </si>
  <si>
    <t>SNOB</t>
  </si>
  <si>
    <t>Sobral Airport</t>
  </si>
  <si>
    <t>QCH</t>
  </si>
  <si>
    <t>SNCX</t>
  </si>
  <si>
    <t>Colatina Airport</t>
  </si>
  <si>
    <t>QCJ</t>
  </si>
  <si>
    <t>SDBK</t>
  </si>
  <si>
    <t>Botucatu Airport</t>
  </si>
  <si>
    <t>QCN</t>
  </si>
  <si>
    <t>SSCN</t>
  </si>
  <si>
    <t>Canela Airport</t>
  </si>
  <si>
    <t>QCO</t>
  </si>
  <si>
    <t>MUCO</t>
  </si>
  <si>
    <t>Colón Airport</t>
  </si>
  <si>
    <t>QCP</t>
  </si>
  <si>
    <t>SNKN</t>
  </si>
  <si>
    <t>Currais Novos Airport</t>
  </si>
  <si>
    <t>QCR</t>
  </si>
  <si>
    <t>SSKU</t>
  </si>
  <si>
    <t>Curitibanos Airport</t>
  </si>
  <si>
    <t>QCY</t>
  </si>
  <si>
    <t>EGXC</t>
  </si>
  <si>
    <t>RAF Coningsby</t>
  </si>
  <si>
    <t>QDB</t>
  </si>
  <si>
    <t>SSKS</t>
  </si>
  <si>
    <t>Cachoeira do Sul Airport</t>
  </si>
  <si>
    <t>QDC</t>
  </si>
  <si>
    <t>SDDR</t>
  </si>
  <si>
    <t>Dracena Airport</t>
  </si>
  <si>
    <t>QDF</t>
  </si>
  <si>
    <t>SNKF</t>
  </si>
  <si>
    <t>Conselheiro Lafaiete Airport</t>
  </si>
  <si>
    <t>QEF</t>
  </si>
  <si>
    <t>EDFE</t>
  </si>
  <si>
    <t>Frankfurt Egelsbach Airport</t>
  </si>
  <si>
    <t>QEO</t>
  </si>
  <si>
    <t>EPKW</t>
  </si>
  <si>
    <t>Bielsko-Bialo Kaniow Airfield</t>
  </si>
  <si>
    <t>QFD</t>
  </si>
  <si>
    <t>DAAK</t>
  </si>
  <si>
    <t>Boufarik Airport</t>
  </si>
  <si>
    <t>QFO</t>
  </si>
  <si>
    <t>EGSU</t>
  </si>
  <si>
    <t>Duxford Airport</t>
  </si>
  <si>
    <t>QFR</t>
  </si>
  <si>
    <t>LIRH</t>
  </si>
  <si>
    <t>Frosinone Military Airport</t>
  </si>
  <si>
    <t>QGA</t>
  </si>
  <si>
    <t>SSGY</t>
  </si>
  <si>
    <t>Guaíra Airport</t>
  </si>
  <si>
    <t>QGB</t>
  </si>
  <si>
    <t>SDYM</t>
  </si>
  <si>
    <t>Limeira Airport</t>
  </si>
  <si>
    <t>QGC</t>
  </si>
  <si>
    <t>SDLP</t>
  </si>
  <si>
    <t>Lençóis Paulista Airport</t>
  </si>
  <si>
    <t>QGF</t>
  </si>
  <si>
    <t>SSNG</t>
  </si>
  <si>
    <t>Montenegro Airport</t>
  </si>
  <si>
    <t>QGP</t>
  </si>
  <si>
    <t>SNGN</t>
  </si>
  <si>
    <t>Garanhuns, Pernambuco, Brazil</t>
  </si>
  <si>
    <t>QGS</t>
  </si>
  <si>
    <t>SDUO</t>
  </si>
  <si>
    <t>Alagoinhas Airport</t>
  </si>
  <si>
    <t>QGU</t>
  </si>
  <si>
    <t>RJNG</t>
  </si>
  <si>
    <t>Gifu Air Base</t>
  </si>
  <si>
    <t>QGY</t>
  </si>
  <si>
    <t>LHPR</t>
  </si>
  <si>
    <t>Győr-Pér International Airport</t>
  </si>
  <si>
    <t>QHA</t>
  </si>
  <si>
    <t>EBZH</t>
  </si>
  <si>
    <t>Kiewit Airfield</t>
  </si>
  <si>
    <t>QHB</t>
  </si>
  <si>
    <t>SDPW</t>
  </si>
  <si>
    <t>Piracicaba Airport</t>
  </si>
  <si>
    <t>QHD</t>
  </si>
  <si>
    <t>ETIE</t>
  </si>
  <si>
    <t>Heidelberg AAF</t>
  </si>
  <si>
    <t>QHN</t>
  </si>
  <si>
    <t>SWTY</t>
  </si>
  <si>
    <t>Taguatinga Airport</t>
  </si>
  <si>
    <t>QHP</t>
  </si>
  <si>
    <t>SBTA</t>
  </si>
  <si>
    <t>Base de Aviação de Taubaté Airport</t>
  </si>
  <si>
    <t>QHR</t>
  </si>
  <si>
    <t>HAHM</t>
  </si>
  <si>
    <t>Harar Meda Airport</t>
  </si>
  <si>
    <t>QHV</t>
  </si>
  <si>
    <t>SSNH</t>
  </si>
  <si>
    <t>Novo Hamburgo Airport</t>
  </si>
  <si>
    <t>QID</t>
  </si>
  <si>
    <t>SNVI</t>
  </si>
  <si>
    <t>Mélio Viana Airport</t>
  </si>
  <si>
    <t>QIE</t>
  </si>
  <si>
    <t>LFMI</t>
  </si>
  <si>
    <t>Istres Le Tubé/Istres Air Base (BA 125) Airport</t>
  </si>
  <si>
    <t>QIG</t>
  </si>
  <si>
    <t>SNIG</t>
  </si>
  <si>
    <t>Iguatu Airport</t>
  </si>
  <si>
    <t>QIQ</t>
  </si>
  <si>
    <t>SDRK</t>
  </si>
  <si>
    <t>Rio Claro Airport</t>
  </si>
  <si>
    <t>QIT</t>
  </si>
  <si>
    <t>SNIP</t>
  </si>
  <si>
    <t>Itapetinga Airport</t>
  </si>
  <si>
    <t>QJB</t>
  </si>
  <si>
    <t>OEJB</t>
  </si>
  <si>
    <t>Jubail Airport</t>
  </si>
  <si>
    <t>QJD</t>
  </si>
  <si>
    <t>YJIN</t>
  </si>
  <si>
    <t>Jindabyne Airport</t>
  </si>
  <si>
    <t>QKF</t>
  </si>
  <si>
    <t>EDLK</t>
  </si>
  <si>
    <t>Krefeld-Egelsberg Airport</t>
  </si>
  <si>
    <t>QKX</t>
  </si>
  <si>
    <t>ENKA</t>
  </si>
  <si>
    <t>Kautokeino Air Base</t>
  </si>
  <si>
    <t>QLA</t>
  </si>
  <si>
    <t>EGHL</t>
  </si>
  <si>
    <t>Lasham Airfield</t>
  </si>
  <si>
    <t>QLC</t>
  </si>
  <si>
    <t>EPGL</t>
  </si>
  <si>
    <t>Gliwice Glider Airport</t>
  </si>
  <si>
    <t>QLD</t>
  </si>
  <si>
    <t>DAAB</t>
  </si>
  <si>
    <t>Blida Airport</t>
  </si>
  <si>
    <t>QLF</t>
  </si>
  <si>
    <t>EFLA</t>
  </si>
  <si>
    <t>Lahti Vesivehmaa Airport</t>
  </si>
  <si>
    <t>QLT</t>
  </si>
  <si>
    <t>LIRL</t>
  </si>
  <si>
    <t>Latina Airport</t>
  </si>
  <si>
    <t>QLU</t>
  </si>
  <si>
    <t>EPLR</t>
  </si>
  <si>
    <t>Lublin Radwiec Airport</t>
  </si>
  <si>
    <t>QMF</t>
  </si>
  <si>
    <t>SSMF</t>
  </si>
  <si>
    <t>Mafra Airport</t>
  </si>
  <si>
    <t>QMJ</t>
  </si>
  <si>
    <t>OIAI</t>
  </si>
  <si>
    <t>Shahid Asyaee Airport</t>
  </si>
  <si>
    <t>QMM</t>
  </si>
  <si>
    <t>LILQ</t>
  </si>
  <si>
    <t>Massa Cinquale Airport</t>
  </si>
  <si>
    <t>QMZ</t>
  </si>
  <si>
    <t>EDFZ</t>
  </si>
  <si>
    <t>Mainz-Finthen Airport</t>
  </si>
  <si>
    <t>QNC</t>
  </si>
  <si>
    <t>LSGN</t>
  </si>
  <si>
    <t>Neuchatel Airport</t>
  </si>
  <si>
    <t>QND</t>
  </si>
  <si>
    <t>LYNS</t>
  </si>
  <si>
    <t>Cenej Airport</t>
  </si>
  <si>
    <t>QNJ</t>
  </si>
  <si>
    <t>LFLI</t>
  </si>
  <si>
    <t>Annemasse Airport</t>
  </si>
  <si>
    <t>QNM</t>
  </si>
  <si>
    <t>EBNM</t>
  </si>
  <si>
    <t>Suarlée Airport</t>
  </si>
  <si>
    <t>QNS</t>
  </si>
  <si>
    <t>SBCO</t>
  </si>
  <si>
    <t>Canoas Airport</t>
  </si>
  <si>
    <t>QNV</t>
  </si>
  <si>
    <t>SDNY</t>
  </si>
  <si>
    <t>Aeroclube Airport</t>
  </si>
  <si>
    <t>QNX</t>
  </si>
  <si>
    <t>LFLM</t>
  </si>
  <si>
    <t>Mâcon-Charnay Airport</t>
  </si>
  <si>
    <t>QOA</t>
  </si>
  <si>
    <t>SDKK</t>
  </si>
  <si>
    <t>Mococa Airport</t>
  </si>
  <si>
    <t>QOB</t>
  </si>
  <si>
    <t>EDQF</t>
  </si>
  <si>
    <t>Ansbach-Petersdorf Airport</t>
  </si>
  <si>
    <t>QOE</t>
  </si>
  <si>
    <t>ETNN</t>
  </si>
  <si>
    <t>Norvenich Airport</t>
  </si>
  <si>
    <t>QOJ</t>
  </si>
  <si>
    <t>SSSB</t>
  </si>
  <si>
    <t>São Borja Airport</t>
  </si>
  <si>
    <t>QOW</t>
  </si>
  <si>
    <t>DNIM</t>
  </si>
  <si>
    <t>Sam Mbakwe International Cargo Airport</t>
  </si>
  <si>
    <t>QPA</t>
  </si>
  <si>
    <t>LIPU</t>
  </si>
  <si>
    <t>Padova Airport</t>
  </si>
  <si>
    <t>QPD</t>
  </si>
  <si>
    <t>MUPR</t>
  </si>
  <si>
    <t>Pinar Del Rio Airport</t>
  </si>
  <si>
    <t>QPG</t>
  </si>
  <si>
    <t>WSAP</t>
  </si>
  <si>
    <t>Paya Lebar Airbase, Paya Lebar, Singapore</t>
  </si>
  <si>
    <t>QPH</t>
  </si>
  <si>
    <t>FBPY</t>
  </si>
  <si>
    <t>Palapye Airport</t>
  </si>
  <si>
    <t>QPM</t>
  </si>
  <si>
    <t>EPOP</t>
  </si>
  <si>
    <t>Opole-Polska Nowa Wieś Airport</t>
  </si>
  <si>
    <t>QPS</t>
  </si>
  <si>
    <t>SBYS</t>
  </si>
  <si>
    <t>Campo Fontenelle (military)</t>
  </si>
  <si>
    <t>QPZ</t>
  </si>
  <si>
    <t>LIMS</t>
  </si>
  <si>
    <t>Piacenza Airport</t>
  </si>
  <si>
    <t>QRA</t>
  </si>
  <si>
    <t>FAGM</t>
  </si>
  <si>
    <t>Rand Airport</t>
  </si>
  <si>
    <t>QRC</t>
  </si>
  <si>
    <t>SCRG</t>
  </si>
  <si>
    <t>De La Independencia Airport</t>
  </si>
  <si>
    <t>QRE</t>
  </si>
  <si>
    <t>SSKZ</t>
  </si>
  <si>
    <t>Carazinho Airport</t>
  </si>
  <si>
    <t>QRM</t>
  </si>
  <si>
    <t>YNRM</t>
  </si>
  <si>
    <t>Narromine Airport</t>
  </si>
  <si>
    <t>QRO</t>
  </si>
  <si>
    <t>MMQT</t>
  </si>
  <si>
    <t>Querétaro International Airport</t>
  </si>
  <si>
    <t>QRR</t>
  </si>
  <si>
    <t>YWRN</t>
  </si>
  <si>
    <t>Warren Airport</t>
  </si>
  <si>
    <t>LIQN</t>
  </si>
  <si>
    <t>Rieti Airport</t>
  </si>
  <si>
    <t>QRZ</t>
  </si>
  <si>
    <t>SDRS</t>
  </si>
  <si>
    <t>Resende Airport</t>
  </si>
  <si>
    <t>QSA</t>
  </si>
  <si>
    <t>LELL</t>
  </si>
  <si>
    <t>Sabadell Airport</t>
  </si>
  <si>
    <t>QSC</t>
  </si>
  <si>
    <t>SDSC</t>
  </si>
  <si>
    <t>São Carlos Airport</t>
  </si>
  <si>
    <t>QSF</t>
  </si>
  <si>
    <t>DAAS</t>
  </si>
  <si>
    <t>Ain Arnat Airport</t>
  </si>
  <si>
    <t>QSI</t>
  </si>
  <si>
    <t>HTMS</t>
  </si>
  <si>
    <t>Moshi Airport</t>
  </si>
  <si>
    <t>QSN</t>
  </si>
  <si>
    <t>MUNB</t>
  </si>
  <si>
    <t>San Nicolas De Bari Airport</t>
  </si>
  <si>
    <t>QSR</t>
  </si>
  <si>
    <t>LIRI</t>
  </si>
  <si>
    <t>Salerno Airport</t>
  </si>
  <si>
    <t>QSX</t>
  </si>
  <si>
    <t>SYNA</t>
  </si>
  <si>
    <t>New Amsterdam Airport</t>
  </si>
  <si>
    <t>QTJ</t>
  </si>
  <si>
    <t>LFOR</t>
  </si>
  <si>
    <t>Chartres Champhol Airport</t>
  </si>
  <si>
    <t>QUG</t>
  </si>
  <si>
    <t>EGHR</t>
  </si>
  <si>
    <t>Goodwood Airfield</t>
  </si>
  <si>
    <t>QUN</t>
  </si>
  <si>
    <t>RKNC</t>
  </si>
  <si>
    <t>A-306 Airport</t>
  </si>
  <si>
    <t>QUS</t>
  </si>
  <si>
    <t>DNGU</t>
  </si>
  <si>
    <t>Gusau Airport</t>
  </si>
  <si>
    <t>QUT</t>
  </si>
  <si>
    <t>RJTU</t>
  </si>
  <si>
    <t>Utsunomiya Air Field</t>
  </si>
  <si>
    <t>QUY</t>
  </si>
  <si>
    <t>EGUY</t>
  </si>
  <si>
    <t>RAF Wyton</t>
  </si>
  <si>
    <t>QVA</t>
  </si>
  <si>
    <t>LILN</t>
  </si>
  <si>
    <t>Varese / Venegono Airport</t>
  </si>
  <si>
    <t>QVB</t>
  </si>
  <si>
    <t>SSUV</t>
  </si>
  <si>
    <t>União da Vitória Airport</t>
  </si>
  <si>
    <t>QVE</t>
  </si>
  <si>
    <t>EFFO</t>
  </si>
  <si>
    <t>Forssa Airport</t>
  </si>
  <si>
    <t>QVP</t>
  </si>
  <si>
    <t>SDRR</t>
  </si>
  <si>
    <t>Avaré-Arandu Airport</t>
  </si>
  <si>
    <t>QWS</t>
  </si>
  <si>
    <t>EPNT</t>
  </si>
  <si>
    <t>Nowy Targ Airport</t>
  </si>
  <si>
    <t>QXB</t>
  </si>
  <si>
    <t>LFMA</t>
  </si>
  <si>
    <t>Aix Les Milles Airport</t>
  </si>
  <si>
    <t>QXC</t>
  </si>
  <si>
    <t>SNXS</t>
  </si>
  <si>
    <t>Fazenda São Braz Airport</t>
  </si>
  <si>
    <t>QXD</t>
  </si>
  <si>
    <t>SNKI</t>
  </si>
  <si>
    <t>Cachoeiro do Itapemirim Airport</t>
  </si>
  <si>
    <t>QYD</t>
  </si>
  <si>
    <t>EPOK</t>
  </si>
  <si>
    <t>Gdynia-Babie Doły Air Base</t>
  </si>
  <si>
    <t>QYR</t>
  </si>
  <si>
    <t>LFQB</t>
  </si>
  <si>
    <t>Barberey Airport</t>
  </si>
  <si>
    <t>QYY</t>
  </si>
  <si>
    <t>EPBK</t>
  </si>
  <si>
    <t>Białystok-Krywlany Airport</t>
  </si>
  <si>
    <t>QZD</t>
  </si>
  <si>
    <t>LHUD</t>
  </si>
  <si>
    <t>Szeged Glider Airport</t>
  </si>
  <si>
    <t>QZN</t>
  </si>
  <si>
    <t>DAAZ</t>
  </si>
  <si>
    <t>Relizane Airport</t>
  </si>
  <si>
    <t>QZO</t>
  </si>
  <si>
    <t>LIQB</t>
  </si>
  <si>
    <t>Arezzo Airport</t>
  </si>
  <si>
    <t>RAB</t>
  </si>
  <si>
    <t>AYRB</t>
  </si>
  <si>
    <t>Rabaul Airport, Rabaul, Papua New Guinea</t>
  </si>
  <si>
    <t>AYTK</t>
  </si>
  <si>
    <t>Tokua Airport</t>
  </si>
  <si>
    <t>KRAC</t>
  </si>
  <si>
    <t>John H. Batten Airport</t>
  </si>
  <si>
    <t>RAE</t>
  </si>
  <si>
    <t>OERR</t>
  </si>
  <si>
    <t>Arar Domestic Airport</t>
  </si>
  <si>
    <t>RAG</t>
  </si>
  <si>
    <t>NZRA</t>
  </si>
  <si>
    <t>Raglan Airfield</t>
  </si>
  <si>
    <t>RAH</t>
  </si>
  <si>
    <t>OERF</t>
  </si>
  <si>
    <t>Rafha Domestic Airport</t>
  </si>
  <si>
    <t>RAI</t>
  </si>
  <si>
    <t>GVFM</t>
  </si>
  <si>
    <t>Praia International Airport</t>
  </si>
  <si>
    <t>GVNP</t>
  </si>
  <si>
    <t>RAJ</t>
  </si>
  <si>
    <t>VARK</t>
  </si>
  <si>
    <t>Rajkot Airport</t>
  </si>
  <si>
    <t>RAK</t>
  </si>
  <si>
    <t>GMMX</t>
  </si>
  <si>
    <t>Menara International Airport</t>
  </si>
  <si>
    <t>RAL</t>
  </si>
  <si>
    <t>KRAL</t>
  </si>
  <si>
    <t>Riverside Municipal Airport</t>
  </si>
  <si>
    <t>RAM</t>
  </si>
  <si>
    <t>YRNG</t>
  </si>
  <si>
    <t>Ramingining Airport</t>
  </si>
  <si>
    <t>RAN</t>
  </si>
  <si>
    <t>LIDR</t>
  </si>
  <si>
    <t>Ravenna Airport</t>
  </si>
  <si>
    <t>RAO</t>
  </si>
  <si>
    <t>SBRP</t>
  </si>
  <si>
    <t>Leite Lopes Airport</t>
  </si>
  <si>
    <t>RAP</t>
  </si>
  <si>
    <t>KRAP</t>
  </si>
  <si>
    <t>Rapid City Regional Airport</t>
  </si>
  <si>
    <t>RAR</t>
  </si>
  <si>
    <t>NCRG</t>
  </si>
  <si>
    <t>Rarotonga International Airport</t>
  </si>
  <si>
    <t>RAS</t>
  </si>
  <si>
    <t>OIGG</t>
  </si>
  <si>
    <t>Rasht Airport</t>
  </si>
  <si>
    <t>KRAS</t>
  </si>
  <si>
    <t>Mustang Beach Airport</t>
  </si>
  <si>
    <t>RAV</t>
  </si>
  <si>
    <t>SKCN</t>
  </si>
  <si>
    <t>Cravo Norte Airport</t>
  </si>
  <si>
    <t>RAW</t>
  </si>
  <si>
    <t>KRAW</t>
  </si>
  <si>
    <t>Warsaw Municipal Airport</t>
  </si>
  <si>
    <t>RAZ</t>
  </si>
  <si>
    <t>OPRT</t>
  </si>
  <si>
    <t>Rawalakot Airport</t>
  </si>
  <si>
    <t>RBA</t>
  </si>
  <si>
    <t>GMME</t>
  </si>
  <si>
    <t>Sale Airport</t>
  </si>
  <si>
    <t>RBB</t>
  </si>
  <si>
    <t>SWBR</t>
  </si>
  <si>
    <t>Borba Airport</t>
  </si>
  <si>
    <t>RBC</t>
  </si>
  <si>
    <t>YROI</t>
  </si>
  <si>
    <t>Robinvale Airport</t>
  </si>
  <si>
    <t>RBD</t>
  </si>
  <si>
    <t>KRBD</t>
  </si>
  <si>
    <t>Dallas Executive Airport</t>
  </si>
  <si>
    <t>RBE</t>
  </si>
  <si>
    <t>VDRK</t>
  </si>
  <si>
    <t>Ratanakiri Airport</t>
  </si>
  <si>
    <t>KRBE</t>
  </si>
  <si>
    <t>Rock County Airport</t>
  </si>
  <si>
    <t>RBG</t>
  </si>
  <si>
    <t>KRBG</t>
  </si>
  <si>
    <t>Roseburg Regional Airport</t>
  </si>
  <si>
    <t>RBJ</t>
  </si>
  <si>
    <t>RJCR</t>
  </si>
  <si>
    <t>Rebun Airport</t>
  </si>
  <si>
    <t>RBL</t>
  </si>
  <si>
    <t>KRBL</t>
  </si>
  <si>
    <t>Red Bluff Municipal Airport</t>
  </si>
  <si>
    <t>RBM</t>
  </si>
  <si>
    <t>EDMS</t>
  </si>
  <si>
    <t>Straubing Airport</t>
  </si>
  <si>
    <t>KRBM</t>
  </si>
  <si>
    <t>Robinson AAF/NG</t>
  </si>
  <si>
    <t>RBO</t>
  </si>
  <si>
    <t>SLRB</t>
  </si>
  <si>
    <t>Roboré Airport</t>
  </si>
  <si>
    <t>KRBO</t>
  </si>
  <si>
    <t>Nueces County Airport</t>
  </si>
  <si>
    <t>RBQ</t>
  </si>
  <si>
    <t>SLRQ</t>
  </si>
  <si>
    <t>Rurrenabaque Airport</t>
  </si>
  <si>
    <t>RBR</t>
  </si>
  <si>
    <t>SBRB</t>
  </si>
  <si>
    <t>Presidente Medici International Airport</t>
  </si>
  <si>
    <t>RBS</t>
  </si>
  <si>
    <t>YORB</t>
  </si>
  <si>
    <t>Orbost Airport</t>
  </si>
  <si>
    <t>RBT</t>
  </si>
  <si>
    <t>HKMB</t>
  </si>
  <si>
    <t>Segel Airport</t>
  </si>
  <si>
    <t>RBU</t>
  </si>
  <si>
    <t>YROE</t>
  </si>
  <si>
    <t>Roebourne Airport</t>
  </si>
  <si>
    <t>RBV</t>
  </si>
  <si>
    <t>AGRM</t>
  </si>
  <si>
    <t>Ramata Airport</t>
  </si>
  <si>
    <t>RBW</t>
  </si>
  <si>
    <t>KRBW</t>
  </si>
  <si>
    <t>Lowcountry Regional Airport</t>
  </si>
  <si>
    <t>RBY</t>
  </si>
  <si>
    <t>PARY</t>
  </si>
  <si>
    <t>Ruby Airport</t>
  </si>
  <si>
    <t>RCA</t>
  </si>
  <si>
    <t>KRCA</t>
  </si>
  <si>
    <t>Ellsworth AFB</t>
  </si>
  <si>
    <t>RCB</t>
  </si>
  <si>
    <t>FARB</t>
  </si>
  <si>
    <t>Richards Bay Airport</t>
  </si>
  <si>
    <t>RCH</t>
  </si>
  <si>
    <t>SKRH</t>
  </si>
  <si>
    <t>Almirante Padilla Airport</t>
  </si>
  <si>
    <t>RCK</t>
  </si>
  <si>
    <t>KRCK</t>
  </si>
  <si>
    <t>H. H. Coffield Regional Airport</t>
  </si>
  <si>
    <t>NVSR</t>
  </si>
  <si>
    <t>Redcliffe Airport</t>
  </si>
  <si>
    <t>YRMD</t>
  </si>
  <si>
    <t>Richmond Airport</t>
  </si>
  <si>
    <t>RCO</t>
  </si>
  <si>
    <t>LFDN</t>
  </si>
  <si>
    <t>Rochefort-Saint-Agnant (BA 721) Airport</t>
  </si>
  <si>
    <t>RCQ</t>
  </si>
  <si>
    <t>SATR</t>
  </si>
  <si>
    <t>Reconquista Airport</t>
  </si>
  <si>
    <t>RCR</t>
  </si>
  <si>
    <t>KRCR</t>
  </si>
  <si>
    <t>Fulton County Airport</t>
  </si>
  <si>
    <t>RCS</t>
  </si>
  <si>
    <t>EGTO</t>
  </si>
  <si>
    <t>Rochester Airport</t>
  </si>
  <si>
    <t>RCT</t>
  </si>
  <si>
    <t>KRCT</t>
  </si>
  <si>
    <t>Nartron Field</t>
  </si>
  <si>
    <t>RCU</t>
  </si>
  <si>
    <t>SAOC</t>
  </si>
  <si>
    <t>Area De Material Airport</t>
  </si>
  <si>
    <t>KRCX</t>
  </si>
  <si>
    <t>Rusk County Airport</t>
  </si>
  <si>
    <t>RCY</t>
  </si>
  <si>
    <t>MYRP</t>
  </si>
  <si>
    <t>Rum Cay Airport</t>
  </si>
  <si>
    <t>RDC</t>
  </si>
  <si>
    <t>SNDC</t>
  </si>
  <si>
    <t>Redenção Airport</t>
  </si>
  <si>
    <t>RDD</t>
  </si>
  <si>
    <t>KRDD</t>
  </si>
  <si>
    <t>Redding Municipal Airport</t>
  </si>
  <si>
    <t>RDE</t>
  </si>
  <si>
    <t>WASM</t>
  </si>
  <si>
    <t>Merdei Airport</t>
  </si>
  <si>
    <t>RDG</t>
  </si>
  <si>
    <t>KRDG</t>
  </si>
  <si>
    <t>Reading Regional Airport (Carl A. Spaatz Field)</t>
  </si>
  <si>
    <t>RDK</t>
  </si>
  <si>
    <t>KRDK</t>
  </si>
  <si>
    <t>Red Oak Municipal Airport</t>
  </si>
  <si>
    <t>RDM</t>
  </si>
  <si>
    <t>KRDM</t>
  </si>
  <si>
    <t>Roberts Field</t>
  </si>
  <si>
    <t>RDN</t>
  </si>
  <si>
    <t>WMPR</t>
  </si>
  <si>
    <t>LTS Pulau Redang Airport</t>
  </si>
  <si>
    <t>RDR</t>
  </si>
  <si>
    <t>KRDR</t>
  </si>
  <si>
    <t>Grand Forks AFB</t>
  </si>
  <si>
    <t>SAHS</t>
  </si>
  <si>
    <t>Rincon De Los Sauces Airport</t>
  </si>
  <si>
    <t>RDT</t>
  </si>
  <si>
    <t>GOSR</t>
  </si>
  <si>
    <t>Richard Toll Airport</t>
  </si>
  <si>
    <t>RDU</t>
  </si>
  <si>
    <t>KRDU</t>
  </si>
  <si>
    <t>Raleigh-Durham International Airport</t>
  </si>
  <si>
    <t>RDZ</t>
  </si>
  <si>
    <t>LFCR</t>
  </si>
  <si>
    <t>Rodez-Marcillac Airport</t>
  </si>
  <si>
    <t>REA</t>
  </si>
  <si>
    <t>NTGE</t>
  </si>
  <si>
    <t>Reao Airport</t>
  </si>
  <si>
    <t>REC</t>
  </si>
  <si>
    <t>SBRF</t>
  </si>
  <si>
    <t>Guararapes International Airport</t>
  </si>
  <si>
    <t>RED</t>
  </si>
  <si>
    <t>KRED</t>
  </si>
  <si>
    <t>Red Lodge Airport</t>
  </si>
  <si>
    <t>REG</t>
  </si>
  <si>
    <t>LICR</t>
  </si>
  <si>
    <t>Reggio Calabria Airport</t>
  </si>
  <si>
    <t>REI</t>
  </si>
  <si>
    <t>SOOR</t>
  </si>
  <si>
    <t>Regina Airport</t>
  </si>
  <si>
    <t>REK</t>
  </si>
  <si>
    <t>BIRK</t>
  </si>
  <si>
    <t>Reykjavík Airport</t>
  </si>
  <si>
    <t>REL</t>
  </si>
  <si>
    <t>SAVT</t>
  </si>
  <si>
    <t>Almirante Zar Airport</t>
  </si>
  <si>
    <t>REN</t>
  </si>
  <si>
    <t>UWOO</t>
  </si>
  <si>
    <t>Orenburg Tsentralny Airport</t>
  </si>
  <si>
    <t>REO</t>
  </si>
  <si>
    <t>KREO</t>
  </si>
  <si>
    <t>Rome State Airport</t>
  </si>
  <si>
    <t>REP</t>
  </si>
  <si>
    <t>VDSR</t>
  </si>
  <si>
    <t>Angkor International Airport</t>
  </si>
  <si>
    <t>SPQN</t>
  </si>
  <si>
    <t>Requena Airport</t>
  </si>
  <si>
    <t>RER</t>
  </si>
  <si>
    <t>MGRT</t>
  </si>
  <si>
    <t>Retalhuleu Airport</t>
  </si>
  <si>
    <t>RES</t>
  </si>
  <si>
    <t>SARE</t>
  </si>
  <si>
    <t>Resistencia International Airport</t>
  </si>
  <si>
    <t>RET</t>
  </si>
  <si>
    <t>ENRS</t>
  </si>
  <si>
    <t>Røst Airport</t>
  </si>
  <si>
    <t>REU</t>
  </si>
  <si>
    <t>LERS</t>
  </si>
  <si>
    <t>Reus Airport</t>
  </si>
  <si>
    <t>MMRX</t>
  </si>
  <si>
    <t>General Lucio Blanco International Airport</t>
  </si>
  <si>
    <t>REY</t>
  </si>
  <si>
    <t>SLRY</t>
  </si>
  <si>
    <t>Reyes Airport</t>
  </si>
  <si>
    <t>RFA</t>
  </si>
  <si>
    <t>FEGR</t>
  </si>
  <si>
    <t>Rafaï Airport</t>
  </si>
  <si>
    <t>RFD</t>
  </si>
  <si>
    <t>KRFD</t>
  </si>
  <si>
    <t>Chicago Rockford International Airport</t>
  </si>
  <si>
    <t>KRFG</t>
  </si>
  <si>
    <t>Rooke Field</t>
  </si>
  <si>
    <t>RFN</t>
  </si>
  <si>
    <t>BIRG</t>
  </si>
  <si>
    <t>Raufarhöfn Airport</t>
  </si>
  <si>
    <t>RFP</t>
  </si>
  <si>
    <t>NTTR</t>
  </si>
  <si>
    <t>Raiatea Airport</t>
  </si>
  <si>
    <t>RFR</t>
  </si>
  <si>
    <t>MRRF</t>
  </si>
  <si>
    <t>Rio Frio / Progreso Airport</t>
  </si>
  <si>
    <t>MNRT</t>
  </si>
  <si>
    <t>Rosita Airport</t>
  </si>
  <si>
    <t>RGA</t>
  </si>
  <si>
    <t>SAWE</t>
  </si>
  <si>
    <t>Hermes Quijada International Airport</t>
  </si>
  <si>
    <t>RGB</t>
  </si>
  <si>
    <t>KRGB</t>
  </si>
  <si>
    <t>RGH</t>
  </si>
  <si>
    <t>VEBG</t>
  </si>
  <si>
    <t>Balurghat Airport</t>
  </si>
  <si>
    <t>RGI</t>
  </si>
  <si>
    <t>NTTG</t>
  </si>
  <si>
    <t>Rangiroa Airport</t>
  </si>
  <si>
    <t>RGK</t>
  </si>
  <si>
    <t>KRGK</t>
  </si>
  <si>
    <t>Red Wing Regional Airport</t>
  </si>
  <si>
    <t>RGL</t>
  </si>
  <si>
    <t>SAWG</t>
  </si>
  <si>
    <t>Piloto Civil Norberto Fernández International Airport</t>
  </si>
  <si>
    <t>RGN</t>
  </si>
  <si>
    <t>VYYY</t>
  </si>
  <si>
    <t>Yangon International Airport</t>
  </si>
  <si>
    <t>RGS</t>
  </si>
  <si>
    <t>LEBG</t>
  </si>
  <si>
    <t>Burgos Airport</t>
  </si>
  <si>
    <t>RGT</t>
  </si>
  <si>
    <t>WIPR</t>
  </si>
  <si>
    <t>Japura Airport</t>
  </si>
  <si>
    <t>RHA</t>
  </si>
  <si>
    <t>BIRE</t>
  </si>
  <si>
    <t>Reykhólar Airport</t>
  </si>
  <si>
    <t>RHD</t>
  </si>
  <si>
    <t>SANH</t>
  </si>
  <si>
    <t>Las Termas Airport</t>
  </si>
  <si>
    <t>RHE</t>
  </si>
  <si>
    <t>LFSR</t>
  </si>
  <si>
    <t>Reims-Champagne (BA 112) Airport</t>
  </si>
  <si>
    <t>RHI</t>
  </si>
  <si>
    <t>KRHI</t>
  </si>
  <si>
    <t>Rhinelander-Oneida County Airport</t>
  </si>
  <si>
    <t>RHL</t>
  </si>
  <si>
    <t>YRYH</t>
  </si>
  <si>
    <t>Roy Hill Station Airport</t>
  </si>
  <si>
    <t>RHO</t>
  </si>
  <si>
    <t>LGRP</t>
  </si>
  <si>
    <t>Rhodes International Airport, "Diagoras"</t>
  </si>
  <si>
    <t>RHP</t>
  </si>
  <si>
    <t>VNRC</t>
  </si>
  <si>
    <t>Ramechhap Airport</t>
  </si>
  <si>
    <t>KRHP</t>
  </si>
  <si>
    <t>Andrews-Murphy Airport</t>
  </si>
  <si>
    <t>RHV</t>
  </si>
  <si>
    <t>KRHV</t>
  </si>
  <si>
    <t>Reid-Hillview Airport of Santa Clara County</t>
  </si>
  <si>
    <t>RIA</t>
  </si>
  <si>
    <t>SBSM</t>
  </si>
  <si>
    <t>RIB</t>
  </si>
  <si>
    <t>SLRI</t>
  </si>
  <si>
    <t>Riberalta Airport</t>
  </si>
  <si>
    <t>RIC</t>
  </si>
  <si>
    <t>KRIC</t>
  </si>
  <si>
    <t>Richmond International Airport</t>
  </si>
  <si>
    <t>RID</t>
  </si>
  <si>
    <t>KRID</t>
  </si>
  <si>
    <t>Richmond Municipal Airport</t>
  </si>
  <si>
    <t>RIF</t>
  </si>
  <si>
    <t>KRIF</t>
  </si>
  <si>
    <t>Richfield Municipal Airport</t>
  </si>
  <si>
    <t>RIJ</t>
  </si>
  <si>
    <t>SPJA</t>
  </si>
  <si>
    <t>Juan Simons Vela Airport</t>
  </si>
  <si>
    <t>RIK</t>
  </si>
  <si>
    <t>MRCR</t>
  </si>
  <si>
    <t>Carrillo Airport</t>
  </si>
  <si>
    <t>RIL</t>
  </si>
  <si>
    <t>KRIL</t>
  </si>
  <si>
    <t>Garfield County Regional Airport</t>
  </si>
  <si>
    <t>RIM</t>
  </si>
  <si>
    <t>SPLN</t>
  </si>
  <si>
    <t>San Nicolas Airport</t>
  </si>
  <si>
    <t>RIN</t>
  </si>
  <si>
    <t>AGRC</t>
  </si>
  <si>
    <t>Ringi Cove Airport</t>
  </si>
  <si>
    <t>RIR</t>
  </si>
  <si>
    <t>KRIR</t>
  </si>
  <si>
    <t>Flabob Airport</t>
  </si>
  <si>
    <t>RJER</t>
  </si>
  <si>
    <t>Rishiri Airport</t>
  </si>
  <si>
    <t>RIU</t>
  </si>
  <si>
    <t>KRIU</t>
  </si>
  <si>
    <t>Rancho Murieta Airport</t>
  </si>
  <si>
    <t>RIV</t>
  </si>
  <si>
    <t>KRIV</t>
  </si>
  <si>
    <t>March ARB</t>
  </si>
  <si>
    <t>RIW</t>
  </si>
  <si>
    <t>KRIW</t>
  </si>
  <si>
    <t>Riverton Regional Airport</t>
  </si>
  <si>
    <t>RIX</t>
  </si>
  <si>
    <t>EVRA</t>
  </si>
  <si>
    <t>Riga International Airport</t>
  </si>
  <si>
    <t>RIY</t>
  </si>
  <si>
    <t>OYRN</t>
  </si>
  <si>
    <t>Mukalla International Airport</t>
  </si>
  <si>
    <t>RJA</t>
  </si>
  <si>
    <t>VORY</t>
  </si>
  <si>
    <t>Rajahmundry Airport</t>
  </si>
  <si>
    <t>RJB</t>
  </si>
  <si>
    <t>VNRB</t>
  </si>
  <si>
    <t>Rajbiraj Airport</t>
  </si>
  <si>
    <t>RJD</t>
  </si>
  <si>
    <t>KRJD</t>
  </si>
  <si>
    <t>Ridgely Airpark</t>
  </si>
  <si>
    <t>RJH</t>
  </si>
  <si>
    <t>VGRJ</t>
  </si>
  <si>
    <t>Shah Makhdum Airport</t>
  </si>
  <si>
    <t>RJK</t>
  </si>
  <si>
    <t>LDRI</t>
  </si>
  <si>
    <t>Riviera Kvarner Airport</t>
  </si>
  <si>
    <t>RJL</t>
  </si>
  <si>
    <t>LELO</t>
  </si>
  <si>
    <t>Logroño-Agoncillo Airport</t>
  </si>
  <si>
    <t>RJN</t>
  </si>
  <si>
    <t>OIKR</t>
  </si>
  <si>
    <t>Rafsanjan Airport</t>
  </si>
  <si>
    <t>RKC</t>
  </si>
  <si>
    <t>K1O5</t>
  </si>
  <si>
    <t>Montague-Yreka Rohrer Field</t>
  </si>
  <si>
    <t>RKD</t>
  </si>
  <si>
    <t>KRKD</t>
  </si>
  <si>
    <t>Knox County Regional Airport</t>
  </si>
  <si>
    <t>RKE</t>
  </si>
  <si>
    <t>EKRK</t>
  </si>
  <si>
    <t>Roskilde Airport</t>
  </si>
  <si>
    <t>RKO</t>
  </si>
  <si>
    <t>WIBR</t>
  </si>
  <si>
    <t>Rokot Airport</t>
  </si>
  <si>
    <t>RKP</t>
  </si>
  <si>
    <t>KRKP</t>
  </si>
  <si>
    <t>Aransas County Airport</t>
  </si>
  <si>
    <t>RKR</t>
  </si>
  <si>
    <t>KRKR</t>
  </si>
  <si>
    <t>Robert S. Kerr Airport</t>
  </si>
  <si>
    <t>RKS</t>
  </si>
  <si>
    <t>KRKS</t>
  </si>
  <si>
    <t>Rock Springs-Sweetwater County Airport</t>
  </si>
  <si>
    <t>RKT</t>
  </si>
  <si>
    <t>OMRK</t>
  </si>
  <si>
    <t>Ras Al Khaimah International Airport</t>
  </si>
  <si>
    <t>RKW</t>
  </si>
  <si>
    <t>KRKW</t>
  </si>
  <si>
    <t>Rockwood Municipal Airport</t>
  </si>
  <si>
    <t>RLA</t>
  </si>
  <si>
    <t>K07</t>
  </si>
  <si>
    <t>Rolla Downtown Airport</t>
  </si>
  <si>
    <t>RLD</t>
  </si>
  <si>
    <t>KRLD</t>
  </si>
  <si>
    <t>Richland Airport</t>
  </si>
  <si>
    <t>RLG</t>
  </si>
  <si>
    <t>ETNL</t>
  </si>
  <si>
    <t>Rostock Laage Airport</t>
  </si>
  <si>
    <t>RLO</t>
  </si>
  <si>
    <t>SAOS</t>
  </si>
  <si>
    <t>Valle Del Conlara International Airport</t>
  </si>
  <si>
    <t>RMA</t>
  </si>
  <si>
    <t>YROM</t>
  </si>
  <si>
    <t>Roma Airport</t>
  </si>
  <si>
    <t>RMB</t>
  </si>
  <si>
    <t>OOBR</t>
  </si>
  <si>
    <t>Buraimi Airport</t>
  </si>
  <si>
    <t>RME</t>
  </si>
  <si>
    <t>KRME</t>
  </si>
  <si>
    <t>Griffiss Airpark</t>
  </si>
  <si>
    <t>RMF</t>
  </si>
  <si>
    <t>HEMA</t>
  </si>
  <si>
    <t>Marsa Alam International Airport</t>
  </si>
  <si>
    <t>RMG</t>
  </si>
  <si>
    <t>KRMG</t>
  </si>
  <si>
    <t>Richard B. Russell Airport</t>
  </si>
  <si>
    <t>RMI</t>
  </si>
  <si>
    <t>LIPR</t>
  </si>
  <si>
    <t>Federico Fellini International Airport</t>
  </si>
  <si>
    <t>RMK</t>
  </si>
  <si>
    <t>YREN</t>
  </si>
  <si>
    <t>Renmark Airport</t>
  </si>
  <si>
    <t>RML</t>
  </si>
  <si>
    <t>VCCC</t>
  </si>
  <si>
    <t>Ratmalana Airport</t>
  </si>
  <si>
    <t>RMN</t>
  </si>
  <si>
    <t>KRMN</t>
  </si>
  <si>
    <t>Stafford Regional Airport</t>
  </si>
  <si>
    <t>RMQ</t>
  </si>
  <si>
    <t>RCMQ</t>
  </si>
  <si>
    <t>Taichung International Airport</t>
  </si>
  <si>
    <t>RMS</t>
  </si>
  <si>
    <t>ETAR</t>
  </si>
  <si>
    <t>Ramstein Air Base</t>
  </si>
  <si>
    <t>RMY</t>
  </si>
  <si>
    <t>KRMY</t>
  </si>
  <si>
    <t>Brooks Field</t>
  </si>
  <si>
    <t>RNA</t>
  </si>
  <si>
    <t>AGAR</t>
  </si>
  <si>
    <t>Ulawa Airport</t>
  </si>
  <si>
    <t>RNB</t>
  </si>
  <si>
    <t>ESDF</t>
  </si>
  <si>
    <t>Ronneby Airport</t>
  </si>
  <si>
    <t>RNC</t>
  </si>
  <si>
    <t>KRNC</t>
  </si>
  <si>
    <t>Warren County Memorial Airport</t>
  </si>
  <si>
    <t>RND</t>
  </si>
  <si>
    <t>KRND</t>
  </si>
  <si>
    <t>Randolph AFB</t>
  </si>
  <si>
    <t>RNE</t>
  </si>
  <si>
    <t>LFLO</t>
  </si>
  <si>
    <t>Roanne-Renaison Airport</t>
  </si>
  <si>
    <t>RNH</t>
  </si>
  <si>
    <t>KRNH</t>
  </si>
  <si>
    <t>New Richmond Regional Airport</t>
  </si>
  <si>
    <t>RNI</t>
  </si>
  <si>
    <t>MNCI</t>
  </si>
  <si>
    <t>Corn Island Airport</t>
  </si>
  <si>
    <t>RNJ</t>
  </si>
  <si>
    <t>RORY</t>
  </si>
  <si>
    <t>Yoron Airport</t>
  </si>
  <si>
    <t>RNL</t>
  </si>
  <si>
    <t>AGGR</t>
  </si>
  <si>
    <t>Rennell/Tingoa Airport</t>
  </si>
  <si>
    <t>RNM</t>
  </si>
  <si>
    <t>KRNM</t>
  </si>
  <si>
    <t>Ramona Airport</t>
  </si>
  <si>
    <t>RNN</t>
  </si>
  <si>
    <t>EKRN</t>
  </si>
  <si>
    <t>Bornholm Airport</t>
  </si>
  <si>
    <t>RNO</t>
  </si>
  <si>
    <t>KRNO</t>
  </si>
  <si>
    <t>Reno-Tahoe International Airport</t>
  </si>
  <si>
    <t>RNP</t>
  </si>
  <si>
    <t>KRNP</t>
  </si>
  <si>
    <t>Owosso Community Airport</t>
  </si>
  <si>
    <t>RNS</t>
  </si>
  <si>
    <t>LFRN</t>
  </si>
  <si>
    <t>St. Jacques Airport</t>
  </si>
  <si>
    <t>RNT</t>
  </si>
  <si>
    <t>KRNT</t>
  </si>
  <si>
    <t>Renton Municipal Airport</t>
  </si>
  <si>
    <t>RNU</t>
  </si>
  <si>
    <t>WBKR</t>
  </si>
  <si>
    <t>Ranau Airport</t>
  </si>
  <si>
    <t>RNV</t>
  </si>
  <si>
    <t>KRNV</t>
  </si>
  <si>
    <t>Cleveland Municipal Airport</t>
  </si>
  <si>
    <t>ROA</t>
  </si>
  <si>
    <t>KROA</t>
  </si>
  <si>
    <t>Roanoke Regional Airport (Woodrum Field)</t>
  </si>
  <si>
    <t>ROB</t>
  </si>
  <si>
    <t>GLRB</t>
  </si>
  <si>
    <t>Roberts International Airport</t>
  </si>
  <si>
    <t>ROC</t>
  </si>
  <si>
    <t>KROC</t>
  </si>
  <si>
    <t>Greater Rochester International Airport</t>
  </si>
  <si>
    <t>ROD</t>
  </si>
  <si>
    <t>FARS</t>
  </si>
  <si>
    <t>Robertson Airport</t>
  </si>
  <si>
    <t>ROG</t>
  </si>
  <si>
    <t>KROG</t>
  </si>
  <si>
    <t>Rogers Municipal Airport (Carter Field)</t>
  </si>
  <si>
    <t>ROH</t>
  </si>
  <si>
    <t>YROB</t>
  </si>
  <si>
    <t>Robinhood Airport</t>
  </si>
  <si>
    <t>ROI</t>
  </si>
  <si>
    <t>VTUV</t>
  </si>
  <si>
    <t>Roi Et Airport</t>
  </si>
  <si>
    <t>ROK</t>
  </si>
  <si>
    <t>YBRK</t>
  </si>
  <si>
    <t>Rockhampton Airport</t>
  </si>
  <si>
    <t>KBRK</t>
  </si>
  <si>
    <t>ROO</t>
  </si>
  <si>
    <t>SWRD</t>
  </si>
  <si>
    <t>Rondonópolis Airport</t>
  </si>
  <si>
    <t>PGRO</t>
  </si>
  <si>
    <t>Rota International Airport</t>
  </si>
  <si>
    <t>ROR</t>
  </si>
  <si>
    <t>PTRO</t>
  </si>
  <si>
    <t>Babelthuap Airport</t>
  </si>
  <si>
    <t>ROS</t>
  </si>
  <si>
    <t>SAAR</t>
  </si>
  <si>
    <t>Rosario - Islas Malvinas International Airport</t>
  </si>
  <si>
    <t>ROT</t>
  </si>
  <si>
    <t>NZRO</t>
  </si>
  <si>
    <t>Rotorua Airport</t>
  </si>
  <si>
    <t>ROU</t>
  </si>
  <si>
    <t>LBRS</t>
  </si>
  <si>
    <t>Rousse Airport</t>
  </si>
  <si>
    <t>ROV</t>
  </si>
  <si>
    <t>URRR</t>
  </si>
  <si>
    <t>Rostov-on-Don Airport</t>
  </si>
  <si>
    <t>ROW</t>
  </si>
  <si>
    <t>KROW</t>
  </si>
  <si>
    <t>Roswell International Air Center</t>
  </si>
  <si>
    <t>KROX</t>
  </si>
  <si>
    <t>Roseau Municipal Airport (Rudy Billberg Field)</t>
  </si>
  <si>
    <t>ROY</t>
  </si>
  <si>
    <t>SAWM</t>
  </si>
  <si>
    <t>Rio Mayo Airport</t>
  </si>
  <si>
    <t>KRPB</t>
  </si>
  <si>
    <t>Belleville Municipal Airport</t>
  </si>
  <si>
    <t>RPH</t>
  </si>
  <si>
    <t>KRPH</t>
  </si>
  <si>
    <t>Graham Municipal Airport</t>
  </si>
  <si>
    <t>RPJ</t>
  </si>
  <si>
    <t>KRPJ</t>
  </si>
  <si>
    <t>Rochelle Municipal Airport (Koritz Field)</t>
  </si>
  <si>
    <t>RPM</t>
  </si>
  <si>
    <t>YNGU</t>
  </si>
  <si>
    <t>Ngukurr Airport</t>
  </si>
  <si>
    <t>RPN</t>
  </si>
  <si>
    <t>LLIB</t>
  </si>
  <si>
    <t>Rosh Pina Airport</t>
  </si>
  <si>
    <t>RPR</t>
  </si>
  <si>
    <t>VARP</t>
  </si>
  <si>
    <t>Raipur Airport</t>
  </si>
  <si>
    <t>RPX</t>
  </si>
  <si>
    <t>KRPX</t>
  </si>
  <si>
    <t>Roundup Airport</t>
  </si>
  <si>
    <t>RQB</t>
  </si>
  <si>
    <t>KRQB</t>
  </si>
  <si>
    <t>Roben-Hood Airport</t>
  </si>
  <si>
    <t>RQE</t>
  </si>
  <si>
    <t>KRQE</t>
  </si>
  <si>
    <t>Window Rock Airport</t>
  </si>
  <si>
    <t>RQO</t>
  </si>
  <si>
    <t>KRQO</t>
  </si>
  <si>
    <t>El Reno Regional Airport</t>
  </si>
  <si>
    <t>YMRE</t>
  </si>
  <si>
    <t>Marree Airport</t>
  </si>
  <si>
    <t>RRG</t>
  </si>
  <si>
    <t>FIMR</t>
  </si>
  <si>
    <t>Plaine Corail Airport</t>
  </si>
  <si>
    <t>RRK</t>
  </si>
  <si>
    <t>VERK</t>
  </si>
  <si>
    <t>Rourkela Airport</t>
  </si>
  <si>
    <t>RRL</t>
  </si>
  <si>
    <t>KRRL</t>
  </si>
  <si>
    <t>Merrill Municipal Airport</t>
  </si>
  <si>
    <t>RRQ</t>
  </si>
  <si>
    <t>KRRQ</t>
  </si>
  <si>
    <t>Rock Rapids Municipal Airport</t>
  </si>
  <si>
    <t>RRS</t>
  </si>
  <si>
    <t>ENRO</t>
  </si>
  <si>
    <t>Røros Airport</t>
  </si>
  <si>
    <t>RRT</t>
  </si>
  <si>
    <t>KRRT</t>
  </si>
  <si>
    <t>Warroad International Airport (Swede Carlson Field)</t>
  </si>
  <si>
    <t>RSA</t>
  </si>
  <si>
    <t>SAZR</t>
  </si>
  <si>
    <t>Santa Rosa Airport</t>
  </si>
  <si>
    <t>YRSB</t>
  </si>
  <si>
    <t>Roseberth Airport</t>
  </si>
  <si>
    <t>RSD</t>
  </si>
  <si>
    <t>MYER</t>
  </si>
  <si>
    <t>Rock Sound Airport</t>
  </si>
  <si>
    <t>RSH</t>
  </si>
  <si>
    <t>PARS</t>
  </si>
  <si>
    <t>Russian Mission Airport</t>
  </si>
  <si>
    <t>RSK</t>
  </si>
  <si>
    <t>WASC</t>
  </si>
  <si>
    <t>Abresso Airport</t>
  </si>
  <si>
    <t>RSL</t>
  </si>
  <si>
    <t>KRSL</t>
  </si>
  <si>
    <t>Russell Municipal Airport</t>
  </si>
  <si>
    <t>RSN</t>
  </si>
  <si>
    <t>KRSN</t>
  </si>
  <si>
    <t>Ruston Regional Airport</t>
  </si>
  <si>
    <t>RST</t>
  </si>
  <si>
    <t>KRST</t>
  </si>
  <si>
    <t>Rochester International Airport</t>
  </si>
  <si>
    <t>RSU</t>
  </si>
  <si>
    <t>RKJY</t>
  </si>
  <si>
    <t>Yeosu Airport</t>
  </si>
  <si>
    <t>RSV</t>
  </si>
  <si>
    <t>KRSV</t>
  </si>
  <si>
    <t>Robinson Municipal Airport</t>
  </si>
  <si>
    <t>RSW</t>
  </si>
  <si>
    <t>KRSW</t>
  </si>
  <si>
    <t>Southwest Florida International Airport</t>
  </si>
  <si>
    <t>RTA</t>
  </si>
  <si>
    <t>NFNR</t>
  </si>
  <si>
    <t>Rotuma Airport</t>
  </si>
  <si>
    <t>RTB</t>
  </si>
  <si>
    <t>MHRO</t>
  </si>
  <si>
    <t>Juan Manuel Gálvez International Airport</t>
  </si>
  <si>
    <t>RTC</t>
  </si>
  <si>
    <t>VARG</t>
  </si>
  <si>
    <t>Ratnagiri Airport</t>
  </si>
  <si>
    <t>RTG</t>
  </si>
  <si>
    <t>WATG</t>
  </si>
  <si>
    <t>Satar Tacik Airport</t>
  </si>
  <si>
    <t>RTM</t>
  </si>
  <si>
    <t>EHRD</t>
  </si>
  <si>
    <t>Rotterdam Airport</t>
  </si>
  <si>
    <t>RTN</t>
  </si>
  <si>
    <t>KRTN</t>
  </si>
  <si>
    <t>Raton Municipal Airport (Crews Field)</t>
  </si>
  <si>
    <t>RTP</t>
  </si>
  <si>
    <t>YRTP</t>
  </si>
  <si>
    <t>Rutland Plains Airport</t>
  </si>
  <si>
    <t>RTS</t>
  </si>
  <si>
    <t>YRTI</t>
  </si>
  <si>
    <t>Rottnest Island Airport</t>
  </si>
  <si>
    <t>RTW</t>
  </si>
  <si>
    <t>UWSS</t>
  </si>
  <si>
    <t>Saratov Tsentralny Airport</t>
  </si>
  <si>
    <t>RTY</t>
  </si>
  <si>
    <t>YMYT</t>
  </si>
  <si>
    <t>Merty Merty Airport</t>
  </si>
  <si>
    <t>RUA</t>
  </si>
  <si>
    <t>HUAR</t>
  </si>
  <si>
    <t>Arua Airport</t>
  </si>
  <si>
    <t>RUE</t>
  </si>
  <si>
    <t>KRUE</t>
  </si>
  <si>
    <t>Russellville Regional Airport</t>
  </si>
  <si>
    <t>RUG</t>
  </si>
  <si>
    <t>ZSRG</t>
  </si>
  <si>
    <t>Rugao Air Base</t>
  </si>
  <si>
    <t>KRUG</t>
  </si>
  <si>
    <t>Rugby Municipal Airport</t>
  </si>
  <si>
    <t>RUH</t>
  </si>
  <si>
    <t>OERK</t>
  </si>
  <si>
    <t>King Khalid International Airport</t>
  </si>
  <si>
    <t>RUK</t>
  </si>
  <si>
    <t>VNRK</t>
  </si>
  <si>
    <t>Rukumkot Airport</t>
  </si>
  <si>
    <t>RUM</t>
  </si>
  <si>
    <t>VNRT</t>
  </si>
  <si>
    <t>Rumjatar Airport</t>
  </si>
  <si>
    <t>RUN</t>
  </si>
  <si>
    <t>FMEE</t>
  </si>
  <si>
    <t>Roland Garros Airport</t>
  </si>
  <si>
    <t>RUP</t>
  </si>
  <si>
    <t>VERU</t>
  </si>
  <si>
    <t>Rupsi Airport</t>
  </si>
  <si>
    <t>RUQ</t>
  </si>
  <si>
    <t>KRUQ</t>
  </si>
  <si>
    <t>Rowan County Airport</t>
  </si>
  <si>
    <t>RUR</t>
  </si>
  <si>
    <t>NTAR</t>
  </si>
  <si>
    <t>Rurutu Airport</t>
  </si>
  <si>
    <t>RUS</t>
  </si>
  <si>
    <t>AGGU</t>
  </si>
  <si>
    <t>Marau Airport</t>
  </si>
  <si>
    <t>RUT</t>
  </si>
  <si>
    <t>KRUT</t>
  </si>
  <si>
    <t>Rutland State Airport</t>
  </si>
  <si>
    <t>RUV</t>
  </si>
  <si>
    <t>MGRB</t>
  </si>
  <si>
    <t>Rubelsanto Airport</t>
  </si>
  <si>
    <t>RUY</t>
  </si>
  <si>
    <t>MHRU</t>
  </si>
  <si>
    <t>Copan Ruinas Airport</t>
  </si>
  <si>
    <t>RVA</t>
  </si>
  <si>
    <t>FMSG</t>
  </si>
  <si>
    <t>Farafangana Airport</t>
  </si>
  <si>
    <t>RVD</t>
  </si>
  <si>
    <t>SWLC</t>
  </si>
  <si>
    <t>General Leite de Castro Airport</t>
  </si>
  <si>
    <t>RVE</t>
  </si>
  <si>
    <t>SKSA</t>
  </si>
  <si>
    <t>Los Colonizadores Airport</t>
  </si>
  <si>
    <t>RVJ</t>
  </si>
  <si>
    <t>KRVJ</t>
  </si>
  <si>
    <t>Reidsville Municipal Airport (Swinton Smith Field)</t>
  </si>
  <si>
    <t>RVK</t>
  </si>
  <si>
    <t>ENRM</t>
  </si>
  <si>
    <t>Rørvik Airport, Ryum</t>
  </si>
  <si>
    <t>RVL</t>
  </si>
  <si>
    <t>KRVL</t>
  </si>
  <si>
    <t>Mifflin County Airport</t>
  </si>
  <si>
    <t>RVN</t>
  </si>
  <si>
    <t>EFRN</t>
  </si>
  <si>
    <t>Rovaniemi Airport, Rovaniemi, Finland</t>
  </si>
  <si>
    <t>EFRO</t>
  </si>
  <si>
    <t>Rovaniemi Airport</t>
  </si>
  <si>
    <t>KRVN</t>
  </si>
  <si>
    <t>Hawkins County Airport</t>
  </si>
  <si>
    <t>RVO</t>
  </si>
  <si>
    <t>FARI</t>
  </si>
  <si>
    <t>Reivilo Airport</t>
  </si>
  <si>
    <t>RVS</t>
  </si>
  <si>
    <t>KRVS</t>
  </si>
  <si>
    <t>Richard Lloyd Jones Jr. Airport</t>
  </si>
  <si>
    <t>RVT</t>
  </si>
  <si>
    <t>YNRV</t>
  </si>
  <si>
    <t>Ravensthorpe Airport</t>
  </si>
  <si>
    <t>RVY</t>
  </si>
  <si>
    <t>SURV</t>
  </si>
  <si>
    <t>Presidente General Don Oscar D. Gestido International Airport</t>
  </si>
  <si>
    <t>RWF</t>
  </si>
  <si>
    <t>KRWF</t>
  </si>
  <si>
    <t>Redwood Falls Municipal Airport</t>
  </si>
  <si>
    <t>RWI</t>
  </si>
  <si>
    <t>KRWI</t>
  </si>
  <si>
    <t>Rocky Mount-Wilson Regional Airport</t>
  </si>
  <si>
    <t>RWL</t>
  </si>
  <si>
    <t>KRWL</t>
  </si>
  <si>
    <t>Rawlins Municipal Airport (Harvey Field)</t>
  </si>
  <si>
    <t>RWN</t>
  </si>
  <si>
    <t>UKLR</t>
  </si>
  <si>
    <t>Rivne International Airport</t>
  </si>
  <si>
    <t>KRWN</t>
  </si>
  <si>
    <t>Arens Field</t>
  </si>
  <si>
    <t>KRXE</t>
  </si>
  <si>
    <t>Rexburg-Madison County Airport</t>
  </si>
  <si>
    <t>RPVR</t>
  </si>
  <si>
    <t>Roxas Airport</t>
  </si>
  <si>
    <t>RYB</t>
  </si>
  <si>
    <t>UUBK</t>
  </si>
  <si>
    <t>Staroselye Airport</t>
  </si>
  <si>
    <t>RYG</t>
  </si>
  <si>
    <t>ENRY</t>
  </si>
  <si>
    <t>Rygge Airport/Rygge Air Station</t>
  </si>
  <si>
    <t>RYK</t>
  </si>
  <si>
    <t>OPRK</t>
  </si>
  <si>
    <t>Shaikh Zaid Airport</t>
  </si>
  <si>
    <t>RYM</t>
  </si>
  <si>
    <t>KRYM</t>
  </si>
  <si>
    <t>Ray S. Miller AAF/NG</t>
  </si>
  <si>
    <t>RYN</t>
  </si>
  <si>
    <t>LFCY</t>
  </si>
  <si>
    <t>Royan-Médis Airport</t>
  </si>
  <si>
    <t>KRYN</t>
  </si>
  <si>
    <t>Ryan Field</t>
  </si>
  <si>
    <t>RYO</t>
  </si>
  <si>
    <t>SAWT</t>
  </si>
  <si>
    <t>28 De Noviembre Airport</t>
  </si>
  <si>
    <t>RYV</t>
  </si>
  <si>
    <t>KRYV</t>
  </si>
  <si>
    <t>Watertown Municipal Airport, Watertown, Wisconsin, United St</t>
  </si>
  <si>
    <t>RYY</t>
  </si>
  <si>
    <t>KRYY</t>
  </si>
  <si>
    <t>Cobb County Airport (McCollum Field)</t>
  </si>
  <si>
    <t>RZA</t>
  </si>
  <si>
    <t>SAWU</t>
  </si>
  <si>
    <t>Santa Cruz Airport</t>
  </si>
  <si>
    <t>RZE</t>
  </si>
  <si>
    <t>EPRZ</t>
  </si>
  <si>
    <t>Rzeszów-Jasionka Airport</t>
  </si>
  <si>
    <t>RZL</t>
  </si>
  <si>
    <t>KRZL</t>
  </si>
  <si>
    <t>Jasper County Airport</t>
  </si>
  <si>
    <t>RZN</t>
  </si>
  <si>
    <t>UUWR</t>
  </si>
  <si>
    <t>Turlatovo Airport</t>
  </si>
  <si>
    <t>KRZN</t>
  </si>
  <si>
    <t>Burnett County Airport</t>
  </si>
  <si>
    <t>RZR</t>
  </si>
  <si>
    <t>OINR</t>
  </si>
  <si>
    <t>Ramsar Airport</t>
  </si>
  <si>
    <t>RZT</t>
  </si>
  <si>
    <t>KRZT</t>
  </si>
  <si>
    <t>Ross County Airport</t>
  </si>
  <si>
    <t>RZZ</t>
  </si>
  <si>
    <t>KRZZ</t>
  </si>
  <si>
    <t>Halifax County Airport</t>
  </si>
  <si>
    <t>SAA</t>
  </si>
  <si>
    <t>KSAA</t>
  </si>
  <si>
    <t>Shively Field</t>
  </si>
  <si>
    <t>SAB</t>
  </si>
  <si>
    <t>TNCS</t>
  </si>
  <si>
    <t>Juancho E. Yrausquin Airport</t>
  </si>
  <si>
    <t>SAC</t>
  </si>
  <si>
    <t>KSAC</t>
  </si>
  <si>
    <t>Sacramento Executive Airport</t>
  </si>
  <si>
    <t>SAD</t>
  </si>
  <si>
    <t>KSAD</t>
  </si>
  <si>
    <t>Safford Regional Airport</t>
  </si>
  <si>
    <t>SAF</t>
  </si>
  <si>
    <t>KSAF</t>
  </si>
  <si>
    <t>Santa Fe Municipal Airport</t>
  </si>
  <si>
    <t>SAH</t>
  </si>
  <si>
    <t>OYSN</t>
  </si>
  <si>
    <t>El Rahaba Airport (Sanaa International)</t>
  </si>
  <si>
    <t>SAK</t>
  </si>
  <si>
    <t>BIKR</t>
  </si>
  <si>
    <t>Sauðárkrókur Airport</t>
  </si>
  <si>
    <t>SAL</t>
  </si>
  <si>
    <t>MSLP</t>
  </si>
  <si>
    <t>Comalapa International Airport (El Salvador International)</t>
  </si>
  <si>
    <t>SAN</t>
  </si>
  <si>
    <t>KSAN</t>
  </si>
  <si>
    <t>San Diego International Airport</t>
  </si>
  <si>
    <t>SAO</t>
  </si>
  <si>
    <t>SBMT</t>
  </si>
  <si>
    <t>Campo de Marte Airport</t>
  </si>
  <si>
    <t>SAP</t>
  </si>
  <si>
    <t>MHLM</t>
  </si>
  <si>
    <t>La Mesa International Airport</t>
  </si>
  <si>
    <t>SAQ</t>
  </si>
  <si>
    <t>MYAN</t>
  </si>
  <si>
    <t>San Andros Airport</t>
  </si>
  <si>
    <t>SAR</t>
  </si>
  <si>
    <t>KSAR</t>
  </si>
  <si>
    <t>Sparta Community Airport (Hunter Field)</t>
  </si>
  <si>
    <t>SAS</t>
  </si>
  <si>
    <t>KSAS</t>
  </si>
  <si>
    <t>Salton Sea Airport</t>
  </si>
  <si>
    <t>SAT</t>
  </si>
  <si>
    <t>KSAT</t>
  </si>
  <si>
    <t>San Antonio International Airport</t>
  </si>
  <si>
    <t>SAU</t>
  </si>
  <si>
    <t>WRKS</t>
  </si>
  <si>
    <t>Sawu Airport</t>
  </si>
  <si>
    <t>SAV</t>
  </si>
  <si>
    <t>KSAV</t>
  </si>
  <si>
    <t>Savannah/Hilton Head International Airport</t>
  </si>
  <si>
    <t>SAW</t>
  </si>
  <si>
    <t>LTFJ</t>
  </si>
  <si>
    <t>Sabiha Gokcen International Airport</t>
  </si>
  <si>
    <t>SAY</t>
  </si>
  <si>
    <t>LIQS</t>
  </si>
  <si>
    <t>Siena Airport</t>
  </si>
  <si>
    <t>SAZ</t>
  </si>
  <si>
    <t>GLST</t>
  </si>
  <si>
    <t>Sasstown Airport</t>
  </si>
  <si>
    <t>KSAZ</t>
  </si>
  <si>
    <t>Staples Municipal Airport</t>
  </si>
  <si>
    <t>SBA</t>
  </si>
  <si>
    <t>KSBA</t>
  </si>
  <si>
    <t>Santa Barbara Municipal Airport</t>
  </si>
  <si>
    <t>SBB</t>
  </si>
  <si>
    <t>SVSB</t>
  </si>
  <si>
    <t>Santa Bárbara de Barinas Airport</t>
  </si>
  <si>
    <t>SBD</t>
  </si>
  <si>
    <t>KSBD</t>
  </si>
  <si>
    <t>San Bernardino International Airport</t>
  </si>
  <si>
    <t>SBF</t>
  </si>
  <si>
    <t>OADS</t>
  </si>
  <si>
    <t>Sardeh Band Airport</t>
  </si>
  <si>
    <t>SBG</t>
  </si>
  <si>
    <t>WITB</t>
  </si>
  <si>
    <t>Maimun Saleh Airport</t>
  </si>
  <si>
    <t>SBH</t>
  </si>
  <si>
    <t>TFFJ</t>
  </si>
  <si>
    <t>Gustaf III Airport</t>
  </si>
  <si>
    <t>SBI</t>
  </si>
  <si>
    <t>GUSB</t>
  </si>
  <si>
    <t>Sambailo Airport</t>
  </si>
  <si>
    <t>SBJ</t>
  </si>
  <si>
    <t>SNMX</t>
  </si>
  <si>
    <t>São Mateus Airport</t>
  </si>
  <si>
    <t>SBK</t>
  </si>
  <si>
    <t>LFRT</t>
  </si>
  <si>
    <t>Saint-Brieuc-Armor Airport</t>
  </si>
  <si>
    <t>SBL</t>
  </si>
  <si>
    <t>SLSA</t>
  </si>
  <si>
    <t>Santa Ana del Yacuma Airport</t>
  </si>
  <si>
    <t>SBM</t>
  </si>
  <si>
    <t>KSBM</t>
  </si>
  <si>
    <t>Sheboygan County Memorial Airport</t>
  </si>
  <si>
    <t>SBN</t>
  </si>
  <si>
    <t>KSBN</t>
  </si>
  <si>
    <t>South Bend Regional Airport</t>
  </si>
  <si>
    <t>SBO</t>
  </si>
  <si>
    <t>KSBO</t>
  </si>
  <si>
    <t>Emanuel County Airport</t>
  </si>
  <si>
    <t>SBP</t>
  </si>
  <si>
    <t>KSBP</t>
  </si>
  <si>
    <t>San Luis Obispo County Regional Airport</t>
  </si>
  <si>
    <t>SBQ</t>
  </si>
  <si>
    <t>OPSB</t>
  </si>
  <si>
    <t>Sibi Airport</t>
  </si>
  <si>
    <t>SBR</t>
  </si>
  <si>
    <t>YSII</t>
  </si>
  <si>
    <t>Saibai Island Airport</t>
  </si>
  <si>
    <t>SBS</t>
  </si>
  <si>
    <t>KSBS</t>
  </si>
  <si>
    <t>Steamboat Springs Airport (Bob Adams Field)</t>
  </si>
  <si>
    <t>SBU</t>
  </si>
  <si>
    <t>KSBU</t>
  </si>
  <si>
    <t>Blue Earth Municipal Airport</t>
  </si>
  <si>
    <t>FASB</t>
  </si>
  <si>
    <t>Springbok Airport</t>
  </si>
  <si>
    <t>SBW</t>
  </si>
  <si>
    <t>WBGS</t>
  </si>
  <si>
    <t>Sibu Airport</t>
  </si>
  <si>
    <t>SBX</t>
  </si>
  <si>
    <t>KSBX</t>
  </si>
  <si>
    <t>Shelby Airport</t>
  </si>
  <si>
    <t>SBY</t>
  </si>
  <si>
    <t>KSBY</t>
  </si>
  <si>
    <t>Salisbury-Ocean City Wicomico Regional Airport</t>
  </si>
  <si>
    <t>SBZ</t>
  </si>
  <si>
    <t>LRSB</t>
  </si>
  <si>
    <t>Sibiu International Airport</t>
  </si>
  <si>
    <t>SCB</t>
  </si>
  <si>
    <t>KSCB</t>
  </si>
  <si>
    <t>Scribner State Airport</t>
  </si>
  <si>
    <t>SCC</t>
  </si>
  <si>
    <t>PASC</t>
  </si>
  <si>
    <t>Deadhorse Airport</t>
  </si>
  <si>
    <t>SCD</t>
  </si>
  <si>
    <t>MHUL</t>
  </si>
  <si>
    <t>Sulaco Airport</t>
  </si>
  <si>
    <t>SCE</t>
  </si>
  <si>
    <t>KUNV</t>
  </si>
  <si>
    <t>University Park Airport</t>
  </si>
  <si>
    <t>SCF</t>
  </si>
  <si>
    <t>KSDL</t>
  </si>
  <si>
    <t>Scottsdale Airport</t>
  </si>
  <si>
    <t>SCG</t>
  </si>
  <si>
    <t>YSPK</t>
  </si>
  <si>
    <t>Spring Creek Airport</t>
  </si>
  <si>
    <t>SCH</t>
  </si>
  <si>
    <t>KSCH</t>
  </si>
  <si>
    <t>Schenectady County Airport</t>
  </si>
  <si>
    <t>SCI</t>
  </si>
  <si>
    <t>SVPM</t>
  </si>
  <si>
    <t>Paramillo Airport</t>
  </si>
  <si>
    <t>SCK</t>
  </si>
  <si>
    <t>KSCK</t>
  </si>
  <si>
    <t>Stockton Metropolitan Airport</t>
  </si>
  <si>
    <t>SCL</t>
  </si>
  <si>
    <t>SCEL</t>
  </si>
  <si>
    <t>Comodoro Arturo Merino Benitez International Airport</t>
  </si>
  <si>
    <t>SCN</t>
  </si>
  <si>
    <t>EDDR</t>
  </si>
  <si>
    <t>Saarbrücken Airport</t>
  </si>
  <si>
    <t>UATE</t>
  </si>
  <si>
    <t>Aktau Airport</t>
  </si>
  <si>
    <t>SCP</t>
  </si>
  <si>
    <t>LFNC</t>
  </si>
  <si>
    <t>Mont-Dauphin - St-Crépin Airport</t>
  </si>
  <si>
    <t>SCQ</t>
  </si>
  <si>
    <t>LEST</t>
  </si>
  <si>
    <t>Santiago de Compostela Airport</t>
  </si>
  <si>
    <t>SCS</t>
  </si>
  <si>
    <t>EGPM</t>
  </si>
  <si>
    <t>Scatsta Airport</t>
  </si>
  <si>
    <t>SCT</t>
  </si>
  <si>
    <t>OYSQ</t>
  </si>
  <si>
    <t>Socotra International Airport</t>
  </si>
  <si>
    <t>SCU</t>
  </si>
  <si>
    <t>MUCU</t>
  </si>
  <si>
    <t>Antonio Maceo International Airport</t>
  </si>
  <si>
    <t>SCV</t>
  </si>
  <si>
    <t>LRSV</t>
  </si>
  <si>
    <t>Suceava Airport</t>
  </si>
  <si>
    <t>SCW</t>
  </si>
  <si>
    <t>UUYY</t>
  </si>
  <si>
    <t>Syktyvkar Airport</t>
  </si>
  <si>
    <t>SCX</t>
  </si>
  <si>
    <t>KSCX</t>
  </si>
  <si>
    <t>Salina Cruz Airport</t>
  </si>
  <si>
    <t>SEST</t>
  </si>
  <si>
    <t>San Cristóbal Airport</t>
  </si>
  <si>
    <t>SCZ</t>
  </si>
  <si>
    <t>AGGL</t>
  </si>
  <si>
    <t>Santa Cruz/Graciosa Bay/Luova Airport</t>
  </si>
  <si>
    <t>SDA</t>
  </si>
  <si>
    <t>ORBI</t>
  </si>
  <si>
    <t>Baghdad International Airport (formerly ORBS/Saddam Internat</t>
  </si>
  <si>
    <t>KSDA</t>
  </si>
  <si>
    <t>Shenandoah Municipal Airport</t>
  </si>
  <si>
    <t>SDB</t>
  </si>
  <si>
    <t>FASD</t>
  </si>
  <si>
    <t>Saldanha /Vredenburg Airport</t>
  </si>
  <si>
    <t>SDD</t>
  </si>
  <si>
    <t>FNUB</t>
  </si>
  <si>
    <t>Lubango Airport</t>
  </si>
  <si>
    <t>SDE</t>
  </si>
  <si>
    <t>SANE</t>
  </si>
  <si>
    <t>Vicecomodoro Ángel de la Paz Aragonés Airport</t>
  </si>
  <si>
    <t>SDF</t>
  </si>
  <si>
    <t>KSDF</t>
  </si>
  <si>
    <t>Louisville International Airport (Standiford Field)</t>
  </si>
  <si>
    <t>SDG</t>
  </si>
  <si>
    <t>OICS</t>
  </si>
  <si>
    <t>Sanandaj Airport</t>
  </si>
  <si>
    <t>SDH</t>
  </si>
  <si>
    <t>MHRS</t>
  </si>
  <si>
    <t>Santa Rosa Copán Airport</t>
  </si>
  <si>
    <t>SDJ</t>
  </si>
  <si>
    <t>RJSS</t>
  </si>
  <si>
    <t>Sendai Airport</t>
  </si>
  <si>
    <t>SDK</t>
  </si>
  <si>
    <t>WBKS</t>
  </si>
  <si>
    <t>Sandakan Airport</t>
  </si>
  <si>
    <t>SDL</t>
  </si>
  <si>
    <t>ESNN</t>
  </si>
  <si>
    <t>Sundsvall-Härnösand Airport (Midlanda Airport)</t>
  </si>
  <si>
    <t>SDM</t>
  </si>
  <si>
    <t>KSDM</t>
  </si>
  <si>
    <t>Brown Field Municipal Airport</t>
  </si>
  <si>
    <t>SDN</t>
  </si>
  <si>
    <t>ENSD</t>
  </si>
  <si>
    <t>Sandane Airport, Anda</t>
  </si>
  <si>
    <t>SDP</t>
  </si>
  <si>
    <t>PASD</t>
  </si>
  <si>
    <t>Sand Point Airport</t>
  </si>
  <si>
    <t>SDQ</t>
  </si>
  <si>
    <t>MDSD</t>
  </si>
  <si>
    <t>Las Américas International Airport</t>
  </si>
  <si>
    <t>SDR</t>
  </si>
  <si>
    <t>LEXJ</t>
  </si>
  <si>
    <t>Santander - Parayas Airport</t>
  </si>
  <si>
    <t>SDS</t>
  </si>
  <si>
    <t>RJSD</t>
  </si>
  <si>
    <t>Sado Airport</t>
  </si>
  <si>
    <t>SDT</t>
  </si>
  <si>
    <t>OPSS</t>
  </si>
  <si>
    <t>Saidu Sharif Airport</t>
  </si>
  <si>
    <t>SDU</t>
  </si>
  <si>
    <t>SBRJ</t>
  </si>
  <si>
    <t>Santos Dumont Airport</t>
  </si>
  <si>
    <t>SDV</t>
  </si>
  <si>
    <t>LLSD</t>
  </si>
  <si>
    <t>Sde Dov Airport</t>
  </si>
  <si>
    <t>SDX</t>
  </si>
  <si>
    <t>KSEZ</t>
  </si>
  <si>
    <t>Sedona Airport</t>
  </si>
  <si>
    <t>SDY</t>
  </si>
  <si>
    <t>KSDY</t>
  </si>
  <si>
    <t>Sidney-Richland Municipal Airport</t>
  </si>
  <si>
    <t>SEA</t>
  </si>
  <si>
    <t>KSEA</t>
  </si>
  <si>
    <t>Seattle-Tacoma International Airport</t>
  </si>
  <si>
    <t>SEB</t>
  </si>
  <si>
    <t>HLLS</t>
  </si>
  <si>
    <t>Sabha Airport</t>
  </si>
  <si>
    <t>SEE</t>
  </si>
  <si>
    <t>KSEE</t>
  </si>
  <si>
    <t>Gillespie Field</t>
  </si>
  <si>
    <t>SEF</t>
  </si>
  <si>
    <t>KSEF</t>
  </si>
  <si>
    <t>Sebring Regional Airport</t>
  </si>
  <si>
    <t>SEG</t>
  </si>
  <si>
    <t>KSEG</t>
  </si>
  <si>
    <t>Penn Valley Airport</t>
  </si>
  <si>
    <t>SEH</t>
  </si>
  <si>
    <t>WAJS</t>
  </si>
  <si>
    <t>Senggeh Airport</t>
  </si>
  <si>
    <t>SEM</t>
  </si>
  <si>
    <t>KSEM</t>
  </si>
  <si>
    <t>Craig Field</t>
  </si>
  <si>
    <t>SEN</t>
  </si>
  <si>
    <t>EGMC</t>
  </si>
  <si>
    <t>London Southend Airport</t>
  </si>
  <si>
    <t>SEO</t>
  </si>
  <si>
    <t>DISG</t>
  </si>
  <si>
    <t>Seguela Airport</t>
  </si>
  <si>
    <t>SEP</t>
  </si>
  <si>
    <t>KSEP</t>
  </si>
  <si>
    <t>Clark Field Municipal Airport</t>
  </si>
  <si>
    <t>SEQ</t>
  </si>
  <si>
    <t>WIBS</t>
  </si>
  <si>
    <t>Sungai Pakning Bengkalis Airport</t>
  </si>
  <si>
    <t>KSEQ</t>
  </si>
  <si>
    <t>Randolph AFB Aux.</t>
  </si>
  <si>
    <t>SER</t>
  </si>
  <si>
    <t>KSER</t>
  </si>
  <si>
    <t>Freeman Municipal Airport</t>
  </si>
  <si>
    <t>SET</t>
  </si>
  <si>
    <t>KSET</t>
  </si>
  <si>
    <t>St. Charles County Smartt Airport</t>
  </si>
  <si>
    <t>SEU</t>
  </si>
  <si>
    <t>HTSN</t>
  </si>
  <si>
    <t>Seronera Airport</t>
  </si>
  <si>
    <t>SEV</t>
  </si>
  <si>
    <t>UKCS</t>
  </si>
  <si>
    <t>Sievierodonetsk Airport</t>
  </si>
  <si>
    <t>SEW</t>
  </si>
  <si>
    <t>HE24</t>
  </si>
  <si>
    <t>Siwa Oasis North Airport</t>
  </si>
  <si>
    <t>SEY</t>
  </si>
  <si>
    <t>GQNS</t>
  </si>
  <si>
    <t>Sélibaby Airport</t>
  </si>
  <si>
    <t>SEZ</t>
  </si>
  <si>
    <t>FSIA</t>
  </si>
  <si>
    <t>Seychelles International Airport</t>
  </si>
  <si>
    <t>SFA</t>
  </si>
  <si>
    <t>DTTX</t>
  </si>
  <si>
    <t>Sfax Thyna International Airport</t>
  </si>
  <si>
    <t>SFB</t>
  </si>
  <si>
    <t>KSFB</t>
  </si>
  <si>
    <t>Orlando Sanford International Airport</t>
  </si>
  <si>
    <t>SFC</t>
  </si>
  <si>
    <t>TFFC</t>
  </si>
  <si>
    <t>St-François Airport</t>
  </si>
  <si>
    <t>SFD</t>
  </si>
  <si>
    <t>KSFD</t>
  </si>
  <si>
    <t>Bob Wiley Field</t>
  </si>
  <si>
    <t>SVSR</t>
  </si>
  <si>
    <t>Las Flecheras Airport</t>
  </si>
  <si>
    <t>SFE</t>
  </si>
  <si>
    <t>RPUS</t>
  </si>
  <si>
    <t>SFF</t>
  </si>
  <si>
    <t>KSFF</t>
  </si>
  <si>
    <t>Felts Field</t>
  </si>
  <si>
    <t>SFG</t>
  </si>
  <si>
    <t>L'Espérance Airport</t>
  </si>
  <si>
    <t>SFH</t>
  </si>
  <si>
    <t>MMSF</t>
  </si>
  <si>
    <t>San Felipe International Airport</t>
  </si>
  <si>
    <t>SFI</t>
  </si>
  <si>
    <t>GMMS</t>
  </si>
  <si>
    <t>Safi Airport</t>
  </si>
  <si>
    <t>SFJ</t>
  </si>
  <si>
    <t>BGSF</t>
  </si>
  <si>
    <t>Kangerlussuaq Airport</t>
  </si>
  <si>
    <t>SFK</t>
  </si>
  <si>
    <t>SNSW</t>
  </si>
  <si>
    <t>Soure Airport</t>
  </si>
  <si>
    <t>SPIP</t>
  </si>
  <si>
    <t>Satipo Airport</t>
  </si>
  <si>
    <t>SFL</t>
  </si>
  <si>
    <t>GVSF</t>
  </si>
  <si>
    <t>São Filipe Airport</t>
  </si>
  <si>
    <t>SFM</t>
  </si>
  <si>
    <t>KSFM</t>
  </si>
  <si>
    <t>Sanford Regional Airport</t>
  </si>
  <si>
    <t>SFN</t>
  </si>
  <si>
    <t>SAAV</t>
  </si>
  <si>
    <t>Sauce Viejo Airport</t>
  </si>
  <si>
    <t>SFO</t>
  </si>
  <si>
    <t>KSFO</t>
  </si>
  <si>
    <t>San Francisco International Airport</t>
  </si>
  <si>
    <t>SFQ</t>
  </si>
  <si>
    <t>LTCH</t>
  </si>
  <si>
    <t>Şanlıurfa Airport</t>
  </si>
  <si>
    <t>KSFQ</t>
  </si>
  <si>
    <t>Suffolk Executive Airport</t>
  </si>
  <si>
    <t>SFS</t>
  </si>
  <si>
    <t>RPLB</t>
  </si>
  <si>
    <t>Subic Bay International Airport</t>
  </si>
  <si>
    <t>SFT</t>
  </si>
  <si>
    <t>ESNS</t>
  </si>
  <si>
    <t>Skellefteä Airport</t>
  </si>
  <si>
    <t>SFY</t>
  </si>
  <si>
    <t>KSFY</t>
  </si>
  <si>
    <t>Tri-Township Airport</t>
  </si>
  <si>
    <t>SFZ</t>
  </si>
  <si>
    <t>KSFZ</t>
  </si>
  <si>
    <t>North Central State Airport</t>
  </si>
  <si>
    <t>SGA</t>
  </si>
  <si>
    <t>OASN</t>
  </si>
  <si>
    <t>Sheghnan Airport</t>
  </si>
  <si>
    <t>SGC</t>
  </si>
  <si>
    <t>USRR</t>
  </si>
  <si>
    <t>Surgut Airport</t>
  </si>
  <si>
    <t>SGD</t>
  </si>
  <si>
    <t>EKSB</t>
  </si>
  <si>
    <t>Sønderborg Airport</t>
  </si>
  <si>
    <t>SGE</t>
  </si>
  <si>
    <t>EDGS</t>
  </si>
  <si>
    <t>Siegerland Airport</t>
  </si>
  <si>
    <t>SGF</t>
  </si>
  <si>
    <t>KSGF</t>
  </si>
  <si>
    <t>Springfield-Branson National Airport</t>
  </si>
  <si>
    <t>SGG</t>
  </si>
  <si>
    <t>WBGY</t>
  </si>
  <si>
    <t>Simanggang Airport</t>
  </si>
  <si>
    <t>SGH</t>
  </si>
  <si>
    <t>KSGH</t>
  </si>
  <si>
    <t>Springfield-Beckley Municipal Airport</t>
  </si>
  <si>
    <t>SGI</t>
  </si>
  <si>
    <t>OPSR</t>
  </si>
  <si>
    <t>Mushaf Air Base</t>
  </si>
  <si>
    <t>SGN</t>
  </si>
  <si>
    <t>VVTS</t>
  </si>
  <si>
    <t>Tan Son Nhat International Airport</t>
  </si>
  <si>
    <t>SGO</t>
  </si>
  <si>
    <t>YSGE</t>
  </si>
  <si>
    <t>SGP</t>
  </si>
  <si>
    <t>YSHG</t>
  </si>
  <si>
    <t>Shay Gap Airport</t>
  </si>
  <si>
    <t>SGQ</t>
  </si>
  <si>
    <t>WRLA</t>
  </si>
  <si>
    <t>Sanggata Airport</t>
  </si>
  <si>
    <t>SGR</t>
  </si>
  <si>
    <t>KSGR</t>
  </si>
  <si>
    <t>Sugar Land Regional Airport</t>
  </si>
  <si>
    <t>SGS</t>
  </si>
  <si>
    <t>RPMN</t>
  </si>
  <si>
    <t>Sanga Sanga Airport</t>
  </si>
  <si>
    <t>KSGS</t>
  </si>
  <si>
    <t>South St. Paul Municipal Airport (Richard E. Fleming Field)</t>
  </si>
  <si>
    <t>SGT</t>
  </si>
  <si>
    <t>KSGT</t>
  </si>
  <si>
    <t>Stuttgart Municipal Airport</t>
  </si>
  <si>
    <t>SGU</t>
  </si>
  <si>
    <t>KSGU</t>
  </si>
  <si>
    <t>St. George Municipal Airport</t>
  </si>
  <si>
    <t>SGV</t>
  </si>
  <si>
    <t>SAVS</t>
  </si>
  <si>
    <t>Sierra Grande Airport</t>
  </si>
  <si>
    <t>SGX</t>
  </si>
  <si>
    <t>HTSO</t>
  </si>
  <si>
    <t>Songea Airport</t>
  </si>
  <si>
    <t>SGY</t>
  </si>
  <si>
    <t>PAGY</t>
  </si>
  <si>
    <t>Skagway Airport</t>
  </si>
  <si>
    <t>SGZ</t>
  </si>
  <si>
    <t>VTSH</t>
  </si>
  <si>
    <t>Songkhla Airport</t>
  </si>
  <si>
    <t>SHA</t>
  </si>
  <si>
    <t>ZSSS</t>
  </si>
  <si>
    <t>Shanghai Hongqiao International Airport</t>
  </si>
  <si>
    <t>SHB</t>
  </si>
  <si>
    <t>RJCN</t>
  </si>
  <si>
    <t>Nakashibetsu Airport</t>
  </si>
  <si>
    <t>SHD</t>
  </si>
  <si>
    <t>KSHD</t>
  </si>
  <si>
    <t>Shenandoah Valley Regional Airport</t>
  </si>
  <si>
    <t>SHE</t>
  </si>
  <si>
    <t>ZYTX</t>
  </si>
  <si>
    <t>Shenyang Taoxian International Airport</t>
  </si>
  <si>
    <t>SHG</t>
  </si>
  <si>
    <t>PAHG</t>
  </si>
  <si>
    <t>Shungnak Airport</t>
  </si>
  <si>
    <t>SHH</t>
  </si>
  <si>
    <t>PASH</t>
  </si>
  <si>
    <t>Shishmaref Airport</t>
  </si>
  <si>
    <t>SHI</t>
  </si>
  <si>
    <t>RORS</t>
  </si>
  <si>
    <t>Shimojishima Airport</t>
  </si>
  <si>
    <t>SHJ</t>
  </si>
  <si>
    <t>OMSJ</t>
  </si>
  <si>
    <t>Sharjah International Airport</t>
  </si>
  <si>
    <t>SHK</t>
  </si>
  <si>
    <t>FXSH</t>
  </si>
  <si>
    <t>Sehonghong Airport</t>
  </si>
  <si>
    <t>VEBI</t>
  </si>
  <si>
    <t>Shillong Airport</t>
  </si>
  <si>
    <t>KSHL</t>
  </si>
  <si>
    <t>Sheldon Municipal Airport</t>
  </si>
  <si>
    <t>SHM</t>
  </si>
  <si>
    <t>RJBD</t>
  </si>
  <si>
    <t>Nanki-Shirahama Airport</t>
  </si>
  <si>
    <t>SHN</t>
  </si>
  <si>
    <t>KSHN</t>
  </si>
  <si>
    <t>Sanderson Field</t>
  </si>
  <si>
    <t>SHO</t>
  </si>
  <si>
    <t>RKND</t>
  </si>
  <si>
    <t>Sokcho Airport</t>
  </si>
  <si>
    <t>SHP</t>
  </si>
  <si>
    <t>ZBSH</t>
  </si>
  <si>
    <t>Shanhaiguan Airport</t>
  </si>
  <si>
    <t>SHQ</t>
  </si>
  <si>
    <t>YSPT</t>
  </si>
  <si>
    <t>Southport Airport</t>
  </si>
  <si>
    <t>KSHR</t>
  </si>
  <si>
    <t>Sheridan County Airport</t>
  </si>
  <si>
    <t>SHS</t>
  </si>
  <si>
    <t>ZHSS</t>
  </si>
  <si>
    <t>Shashi Airport</t>
  </si>
  <si>
    <t>SHT</t>
  </si>
  <si>
    <t>YSHT</t>
  </si>
  <si>
    <t>Shepparton Airport</t>
  </si>
  <si>
    <t>SHU</t>
  </si>
  <si>
    <t>YSMP</t>
  </si>
  <si>
    <t>Smith Point Airport</t>
  </si>
  <si>
    <t>SHV</t>
  </si>
  <si>
    <t>KSHV</t>
  </si>
  <si>
    <t>Shreveport Regional Airport</t>
  </si>
  <si>
    <t>SHW</t>
  </si>
  <si>
    <t>OESH</t>
  </si>
  <si>
    <t>Sharurah Airport</t>
  </si>
  <si>
    <t>SHY</t>
  </si>
  <si>
    <t>HTSY</t>
  </si>
  <si>
    <t>Shinyanga Airport</t>
  </si>
  <si>
    <t>SHZ</t>
  </si>
  <si>
    <t>FXSS</t>
  </si>
  <si>
    <t>Seshutes Airport</t>
  </si>
  <si>
    <t>SIA</t>
  </si>
  <si>
    <t>ZLSN</t>
  </si>
  <si>
    <t>Xiguan Airport</t>
  </si>
  <si>
    <t>SIB</t>
  </si>
  <si>
    <t>FCBS</t>
  </si>
  <si>
    <t>Sibiti Airport</t>
  </si>
  <si>
    <t>SIC</t>
  </si>
  <si>
    <t>LTCM</t>
  </si>
  <si>
    <t>Sinop Airport</t>
  </si>
  <si>
    <t>SID</t>
  </si>
  <si>
    <t>GVAC</t>
  </si>
  <si>
    <t>Amilcar Cabral International Airport</t>
  </si>
  <si>
    <t>SIE</t>
  </si>
  <si>
    <t>LPSI</t>
  </si>
  <si>
    <t>Sines Airport</t>
  </si>
  <si>
    <t>SIF</t>
  </si>
  <si>
    <t>VNSI</t>
  </si>
  <si>
    <t>Simara Airport</t>
  </si>
  <si>
    <t>SIG</t>
  </si>
  <si>
    <t>TJIG</t>
  </si>
  <si>
    <t>Fernando Luis Ribas Dominicci Airport</t>
  </si>
  <si>
    <t>SIH</t>
  </si>
  <si>
    <t>VNDT</t>
  </si>
  <si>
    <t>Doti Airport</t>
  </si>
  <si>
    <t>SII</t>
  </si>
  <si>
    <t>GMMF</t>
  </si>
  <si>
    <t>Sania Ramel Airport</t>
  </si>
  <si>
    <t>SIJ</t>
  </si>
  <si>
    <t>BISI</t>
  </si>
  <si>
    <t>Siglufjordur Airport</t>
  </si>
  <si>
    <t>SIK</t>
  </si>
  <si>
    <t>KSIK</t>
  </si>
  <si>
    <t>Sikeston Memorial Municipal Airport</t>
  </si>
  <si>
    <t>SIN</t>
  </si>
  <si>
    <t>WSSS</t>
  </si>
  <si>
    <t>Singapore Changi Airport</t>
  </si>
  <si>
    <t>SIO</t>
  </si>
  <si>
    <t>YSMI</t>
  </si>
  <si>
    <t>Smithton Airport</t>
  </si>
  <si>
    <t>SIP</t>
  </si>
  <si>
    <t>UKFF</t>
  </si>
  <si>
    <t>Simferopol International Airport</t>
  </si>
  <si>
    <t>SIQ</t>
  </si>
  <si>
    <t>WIDS</t>
  </si>
  <si>
    <t>Dabo Airport</t>
  </si>
  <si>
    <t>SIR</t>
  </si>
  <si>
    <t>LSGS</t>
  </si>
  <si>
    <t>Sion Airport</t>
  </si>
  <si>
    <t>SIS</t>
  </si>
  <si>
    <t>FASS</t>
  </si>
  <si>
    <t>Sishen Airport</t>
  </si>
  <si>
    <t>SIT</t>
  </si>
  <si>
    <t>PASI</t>
  </si>
  <si>
    <t>Sitka Rocky Gutierrez Airport</t>
  </si>
  <si>
    <t>SIU</t>
  </si>
  <si>
    <t>MNSI</t>
  </si>
  <si>
    <t>Siuna Airport</t>
  </si>
  <si>
    <t>SIV</t>
  </si>
  <si>
    <t>KSIV</t>
  </si>
  <si>
    <t>Sullivan County Airport</t>
  </si>
  <si>
    <t>SIX</t>
  </si>
  <si>
    <t>YSGT</t>
  </si>
  <si>
    <t>Singleton Airport</t>
  </si>
  <si>
    <t>SIY</t>
  </si>
  <si>
    <t>KSIY</t>
  </si>
  <si>
    <t>Siskiyou County Airport</t>
  </si>
  <si>
    <t>SJA</t>
  </si>
  <si>
    <t>SPJN</t>
  </si>
  <si>
    <t>San Juan de Marcona Airport</t>
  </si>
  <si>
    <t>SJB</t>
  </si>
  <si>
    <t>SLJO</t>
  </si>
  <si>
    <t>San Joaquín Airport</t>
  </si>
  <si>
    <t>SJC</t>
  </si>
  <si>
    <t>KSJC</t>
  </si>
  <si>
    <t>Norman Y. Mineta San José International Airport</t>
  </si>
  <si>
    <t>SJD</t>
  </si>
  <si>
    <t>MMSD</t>
  </si>
  <si>
    <t>Los Cabos International Airport</t>
  </si>
  <si>
    <t>SJE</t>
  </si>
  <si>
    <t>SKSJ</t>
  </si>
  <si>
    <t>Jorge Enrique González Airport</t>
  </si>
  <si>
    <t>SJI</t>
  </si>
  <si>
    <t>RPUH</t>
  </si>
  <si>
    <t>San Jose Airport</t>
  </si>
  <si>
    <t>SJJ</t>
  </si>
  <si>
    <t>LQSA</t>
  </si>
  <si>
    <t>Sarajevo International Airport</t>
  </si>
  <si>
    <t>SJK</t>
  </si>
  <si>
    <t>SBSJ</t>
  </si>
  <si>
    <t>São José dos Campos Regional Airport</t>
  </si>
  <si>
    <t>SJL</t>
  </si>
  <si>
    <t>SBUA</t>
  </si>
  <si>
    <t>São Gabriel da Cachoeira Airport</t>
  </si>
  <si>
    <t>SJN</t>
  </si>
  <si>
    <t>KSJN</t>
  </si>
  <si>
    <t>St. Johns Industrial Air Park</t>
  </si>
  <si>
    <t>SJO</t>
  </si>
  <si>
    <t>MROC</t>
  </si>
  <si>
    <t>Juan Santamaría International Airport</t>
  </si>
  <si>
    <t>SJP</t>
  </si>
  <si>
    <t>SBSR</t>
  </si>
  <si>
    <t>Prof. Eribel Manoel Reino State Airport</t>
  </si>
  <si>
    <t>SJQ</t>
  </si>
  <si>
    <t>FLSS</t>
  </si>
  <si>
    <t>Sesheke Airport</t>
  </si>
  <si>
    <t>SJS</t>
  </si>
  <si>
    <t>SLJE</t>
  </si>
  <si>
    <t>San José De Chiquitos Airport</t>
  </si>
  <si>
    <t>SJT</t>
  </si>
  <si>
    <t>KSJT</t>
  </si>
  <si>
    <t>San Angelo Regional Airport (Mathis Field)</t>
  </si>
  <si>
    <t>SJU</t>
  </si>
  <si>
    <t>TJSJ</t>
  </si>
  <si>
    <t>Luis Muñoz Marín International Airport</t>
  </si>
  <si>
    <t>SJV</t>
  </si>
  <si>
    <t>SLJV</t>
  </si>
  <si>
    <t>San Javier Airport</t>
  </si>
  <si>
    <t>SJW</t>
  </si>
  <si>
    <t>ZBSJ</t>
  </si>
  <si>
    <t>Shijiazhuang Daguocun International Airport</t>
  </si>
  <si>
    <t>SJX</t>
  </si>
  <si>
    <t>KSJX</t>
  </si>
  <si>
    <t>Beaver Island Airport</t>
  </si>
  <si>
    <t>SJY</t>
  </si>
  <si>
    <t>EFSI</t>
  </si>
  <si>
    <t>Seinäjoki Airport</t>
  </si>
  <si>
    <t>SJZ</t>
  </si>
  <si>
    <t>LPSJ</t>
  </si>
  <si>
    <t>São Jorge Airport</t>
  </si>
  <si>
    <t>SKA</t>
  </si>
  <si>
    <t>KSKA</t>
  </si>
  <si>
    <t>Fairchild AFB</t>
  </si>
  <si>
    <t>SKB</t>
  </si>
  <si>
    <t>TKPK</t>
  </si>
  <si>
    <t>Robert L. Bradshaw International Airport</t>
  </si>
  <si>
    <t>SKD</t>
  </si>
  <si>
    <t>UTSS</t>
  </si>
  <si>
    <t>Samarkand Airport</t>
  </si>
  <si>
    <t>SKE</t>
  </si>
  <si>
    <t>ENSN</t>
  </si>
  <si>
    <t>Skien Airport, Geiteryggen</t>
  </si>
  <si>
    <t>SKF</t>
  </si>
  <si>
    <t>KSKF</t>
  </si>
  <si>
    <t>Lackland AFB (Kelly Field Annex)</t>
  </si>
  <si>
    <t>SKG</t>
  </si>
  <si>
    <t>LGTS</t>
  </si>
  <si>
    <t>Makedonia Airport</t>
  </si>
  <si>
    <t>SKH</t>
  </si>
  <si>
    <t>VNSK</t>
  </si>
  <si>
    <t>Surkhet Airport</t>
  </si>
  <si>
    <t>SKI</t>
  </si>
  <si>
    <t>KSKI</t>
  </si>
  <si>
    <t>Sac City Municipal Airport</t>
  </si>
  <si>
    <t>SKL</t>
  </si>
  <si>
    <t>XBRO</t>
  </si>
  <si>
    <t>Skye Bridge Ashaig Airport</t>
  </si>
  <si>
    <t>SKN</t>
  </si>
  <si>
    <t>ENSK</t>
  </si>
  <si>
    <t>Stokmarknes Airport, Skagen</t>
  </si>
  <si>
    <t>SKO</t>
  </si>
  <si>
    <t>DNSO</t>
  </si>
  <si>
    <t>Sadiq Abubakar III International Airport</t>
  </si>
  <si>
    <t>SKP</t>
  </si>
  <si>
    <t>LWSK</t>
  </si>
  <si>
    <t>Skopje Airport</t>
  </si>
  <si>
    <t>SKQ</t>
  </si>
  <si>
    <t>FXSK</t>
  </si>
  <si>
    <t>Sekakes Airport</t>
  </si>
  <si>
    <t>SKS</t>
  </si>
  <si>
    <t>EKSP</t>
  </si>
  <si>
    <t>Skrydstrup Airport</t>
  </si>
  <si>
    <t>SKT</t>
  </si>
  <si>
    <t>OPST</t>
  </si>
  <si>
    <t>Sialkot International Airport</t>
  </si>
  <si>
    <t>SKU</t>
  </si>
  <si>
    <t>LGSY</t>
  </si>
  <si>
    <t>Skiros Airport</t>
  </si>
  <si>
    <t>SKV</t>
  </si>
  <si>
    <t>HESC</t>
  </si>
  <si>
    <t>St. Catherine International Airport</t>
  </si>
  <si>
    <t>SKW</t>
  </si>
  <si>
    <t>PASW</t>
  </si>
  <si>
    <t>Skwentna Airport</t>
  </si>
  <si>
    <t>SKX</t>
  </si>
  <si>
    <t>UWPS</t>
  </si>
  <si>
    <t>Saransk Airport</t>
  </si>
  <si>
    <t>KSKX</t>
  </si>
  <si>
    <t>Taos Regional Airport</t>
  </si>
  <si>
    <t>SKY</t>
  </si>
  <si>
    <t>KSKY</t>
  </si>
  <si>
    <t>Griffing Sandusky Airport</t>
  </si>
  <si>
    <t>SKZ</t>
  </si>
  <si>
    <t>OPSK</t>
  </si>
  <si>
    <t>Sukkur Airport</t>
  </si>
  <si>
    <t>SLA</t>
  </si>
  <si>
    <t>SASA</t>
  </si>
  <si>
    <t>Martín Miguel de Güemes International Airport</t>
  </si>
  <si>
    <t>SLB</t>
  </si>
  <si>
    <t>KSLB</t>
  </si>
  <si>
    <t>Storm Lake Municipal Airport</t>
  </si>
  <si>
    <t>SLC</t>
  </si>
  <si>
    <t>KSLC</t>
  </si>
  <si>
    <t>Salt Lake City International Airport</t>
  </si>
  <si>
    <t>SLD</t>
  </si>
  <si>
    <t>LZSL</t>
  </si>
  <si>
    <t>Sliač Airport</t>
  </si>
  <si>
    <t>SLE</t>
  </si>
  <si>
    <t>KSLE</t>
  </si>
  <si>
    <t>McNary Field</t>
  </si>
  <si>
    <t>SLF</t>
  </si>
  <si>
    <t>OESL</t>
  </si>
  <si>
    <t>Sulayel Airport</t>
  </si>
  <si>
    <t>SLG</t>
  </si>
  <si>
    <t>KSLG</t>
  </si>
  <si>
    <t>Smith Field</t>
  </si>
  <si>
    <t>SLH</t>
  </si>
  <si>
    <t>KSLH</t>
  </si>
  <si>
    <t>Cheboygan County Airport</t>
  </si>
  <si>
    <t>NVSC</t>
  </si>
  <si>
    <t>Sola Airport</t>
  </si>
  <si>
    <t>SLI</t>
  </si>
  <si>
    <t>KSLI</t>
  </si>
  <si>
    <t>Los Alamitos Army Airfield</t>
  </si>
  <si>
    <t>FLSW</t>
  </si>
  <si>
    <t>Solwesi Airport</t>
  </si>
  <si>
    <t>SLJ</t>
  </si>
  <si>
    <t>KSLJ</t>
  </si>
  <si>
    <t>Hagler Army Airfield</t>
  </si>
  <si>
    <t>SLK</t>
  </si>
  <si>
    <t>KSLK</t>
  </si>
  <si>
    <t>Adirondack Regional Airport</t>
  </si>
  <si>
    <t>SLL</t>
  </si>
  <si>
    <t>OOSA</t>
  </si>
  <si>
    <t>Salalah Airport</t>
  </si>
  <si>
    <t>SLM</t>
  </si>
  <si>
    <t>LESA</t>
  </si>
  <si>
    <t>Matacán Airport</t>
  </si>
  <si>
    <t>SLN</t>
  </si>
  <si>
    <t>KSLN</t>
  </si>
  <si>
    <t>Salina Municipal Airport</t>
  </si>
  <si>
    <t>SLO</t>
  </si>
  <si>
    <t>KSLO</t>
  </si>
  <si>
    <t>Salem-Leckrone Airport</t>
  </si>
  <si>
    <t>SLP</t>
  </si>
  <si>
    <t>MMSP</t>
  </si>
  <si>
    <t>Ponciano Arriaga International Airport</t>
  </si>
  <si>
    <t>SLQ</t>
  </si>
  <si>
    <t>PASL</t>
  </si>
  <si>
    <t>Sleetmute Airport</t>
  </si>
  <si>
    <t>SLR</t>
  </si>
  <si>
    <t>KSLR</t>
  </si>
  <si>
    <t>Sulphur Springs Municipal Airport</t>
  </si>
  <si>
    <t>SLS</t>
  </si>
  <si>
    <t>LBSS</t>
  </si>
  <si>
    <t>Silistra Polkovnik Lambrinovo Airfield</t>
  </si>
  <si>
    <t>SLU</t>
  </si>
  <si>
    <t>TLPC</t>
  </si>
  <si>
    <t>George F. L. Charles Airport</t>
  </si>
  <si>
    <t>SLV</t>
  </si>
  <si>
    <t>VISM</t>
  </si>
  <si>
    <t>Shimla Airport</t>
  </si>
  <si>
    <t>SLW</t>
  </si>
  <si>
    <t>MMIO</t>
  </si>
  <si>
    <t>Plan de Guadalupe International Airport</t>
  </si>
  <si>
    <t>SLX</t>
  </si>
  <si>
    <t>MBSY</t>
  </si>
  <si>
    <t>Salt Cay Airport</t>
  </si>
  <si>
    <t>SLY</t>
  </si>
  <si>
    <t>USDD</t>
  </si>
  <si>
    <t>Salekhard Airport</t>
  </si>
  <si>
    <t>SLZ</t>
  </si>
  <si>
    <t>SBSL</t>
  </si>
  <si>
    <t>Marechal Cunha Machado International Airport</t>
  </si>
  <si>
    <t>SMA</t>
  </si>
  <si>
    <t>LPAZ</t>
  </si>
  <si>
    <t>Aeroporto de Santa Maria</t>
  </si>
  <si>
    <t>SMB</t>
  </si>
  <si>
    <t>SCSB</t>
  </si>
  <si>
    <t>Franco Bianco Airport</t>
  </si>
  <si>
    <t>SMD</t>
  </si>
  <si>
    <t>KSMD</t>
  </si>
  <si>
    <t>SME</t>
  </si>
  <si>
    <t>KSME</t>
  </si>
  <si>
    <t>Somerset-Pulaski County Airport (J.T. Wilson Field)</t>
  </si>
  <si>
    <t>SMF</t>
  </si>
  <si>
    <t>KSMF</t>
  </si>
  <si>
    <t>Sacramento International Airport</t>
  </si>
  <si>
    <t>SMG</t>
  </si>
  <si>
    <t>SPMR</t>
  </si>
  <si>
    <t>SMI</t>
  </si>
  <si>
    <t>LGSM</t>
  </si>
  <si>
    <t>Samos International Airport "Aristarchos of Samos"</t>
  </si>
  <si>
    <t>SML</t>
  </si>
  <si>
    <t>MYLS</t>
  </si>
  <si>
    <t>Stella Maris Airport</t>
  </si>
  <si>
    <t>SMM</t>
  </si>
  <si>
    <t>WBKA</t>
  </si>
  <si>
    <t>Semporna Airport</t>
  </si>
  <si>
    <t>SMN</t>
  </si>
  <si>
    <t>KSMN</t>
  </si>
  <si>
    <t>Lemhi County Airport</t>
  </si>
  <si>
    <t>SMO</t>
  </si>
  <si>
    <t>KSMO</t>
  </si>
  <si>
    <t>Santa Monica Municipal Airport</t>
  </si>
  <si>
    <t>SMQ</t>
  </si>
  <si>
    <t>WAOS</t>
  </si>
  <si>
    <t>Sampit Airport</t>
  </si>
  <si>
    <t>SMR</t>
  </si>
  <si>
    <t>SKSM</t>
  </si>
  <si>
    <t>Simón Bolívar Airport</t>
  </si>
  <si>
    <t>SMS</t>
  </si>
  <si>
    <t>FMMS</t>
  </si>
  <si>
    <t>Sainte Marie Airport</t>
  </si>
  <si>
    <t>KSMS</t>
  </si>
  <si>
    <t>Sumter Airport</t>
  </si>
  <si>
    <t>SMU</t>
  </si>
  <si>
    <t>PASP</t>
  </si>
  <si>
    <t>Sheep Mountain Airport</t>
  </si>
  <si>
    <t>SMV</t>
  </si>
  <si>
    <t>LSZS</t>
  </si>
  <si>
    <t>St Moritz - Samedan Airport</t>
  </si>
  <si>
    <t>SMW</t>
  </si>
  <si>
    <t>GMMA</t>
  </si>
  <si>
    <t>Smara Airport</t>
  </si>
  <si>
    <t>SMX</t>
  </si>
  <si>
    <t>KSMX</t>
  </si>
  <si>
    <t>Santa Maria Public Airport (Capt. G. Allan Hancock Field)</t>
  </si>
  <si>
    <t>SMY</t>
  </si>
  <si>
    <t>GOTS</t>
  </si>
  <si>
    <t>Simenti Airport</t>
  </si>
  <si>
    <t>SMZ</t>
  </si>
  <si>
    <t>SMST</t>
  </si>
  <si>
    <t>Stoelmans Eiland Airport</t>
  </si>
  <si>
    <t>SNA</t>
  </si>
  <si>
    <t>KSNA</t>
  </si>
  <si>
    <t>SNB</t>
  </si>
  <si>
    <t>YSNB</t>
  </si>
  <si>
    <t>Snake Bay Airport</t>
  </si>
  <si>
    <t>SNC</t>
  </si>
  <si>
    <t>SESA</t>
  </si>
  <si>
    <t>General Ulpiano Paez Airport</t>
  </si>
  <si>
    <t>KSNC</t>
  </si>
  <si>
    <t>Chester Airport</t>
  </si>
  <si>
    <t>SNE</t>
  </si>
  <si>
    <t>GVSN</t>
  </si>
  <si>
    <t>Preguiça Airport</t>
  </si>
  <si>
    <t>SNF</t>
  </si>
  <si>
    <t>SVSP</t>
  </si>
  <si>
    <t>Sub Teniente Nestor Arias Airport</t>
  </si>
  <si>
    <t>SNG</t>
  </si>
  <si>
    <t>SLSI</t>
  </si>
  <si>
    <t>Capitán Av. Juan Cochamanidis S. Airport</t>
  </si>
  <si>
    <t>SNH</t>
  </si>
  <si>
    <t>YSPE</t>
  </si>
  <si>
    <t>Stanthorpe Airport</t>
  </si>
  <si>
    <t>KSNH</t>
  </si>
  <si>
    <t>Savannah-Hardin County Airport</t>
  </si>
  <si>
    <t>SNI</t>
  </si>
  <si>
    <t>GLGE</t>
  </si>
  <si>
    <t>Greenville Sinoe Airport</t>
  </si>
  <si>
    <t>SNJ</t>
  </si>
  <si>
    <t>MUSJ</t>
  </si>
  <si>
    <t>San Julian Air Base</t>
  </si>
  <si>
    <t>SNK</t>
  </si>
  <si>
    <t>KSNK</t>
  </si>
  <si>
    <t>Winston Field</t>
  </si>
  <si>
    <t>SNL</t>
  </si>
  <si>
    <t>KSNL</t>
  </si>
  <si>
    <t>Shawnee Regional Airport</t>
  </si>
  <si>
    <t>SNM</t>
  </si>
  <si>
    <t>SLSM</t>
  </si>
  <si>
    <t>San Ignacio de Moxos Airport</t>
  </si>
  <si>
    <t>SNN</t>
  </si>
  <si>
    <t>EINN</t>
  </si>
  <si>
    <t>Shannon International Airport</t>
  </si>
  <si>
    <t>SNO</t>
  </si>
  <si>
    <t>VTUI</t>
  </si>
  <si>
    <t>Sakon Nakhon Airport</t>
  </si>
  <si>
    <t>SNP</t>
  </si>
  <si>
    <t>PASN</t>
  </si>
  <si>
    <t>St. Paul Island Airport</t>
  </si>
  <si>
    <t>SNR</t>
  </si>
  <si>
    <t>LFRZ</t>
  </si>
  <si>
    <t>Saint-Nazaire-Montoir Airport</t>
  </si>
  <si>
    <t>SNS</t>
  </si>
  <si>
    <t>KSNS</t>
  </si>
  <si>
    <t>Salinas Municipal Airport</t>
  </si>
  <si>
    <t>SNU</t>
  </si>
  <si>
    <t>MUSC</t>
  </si>
  <si>
    <t>Abel Santamaria Airport</t>
  </si>
  <si>
    <t>SNV</t>
  </si>
  <si>
    <t>SVSE</t>
  </si>
  <si>
    <t>Santa Elena de Uairen Airport</t>
  </si>
  <si>
    <t>SNW</t>
  </si>
  <si>
    <t>VYTD</t>
  </si>
  <si>
    <t>Thandwe Airport</t>
  </si>
  <si>
    <t>SNX</t>
  </si>
  <si>
    <t>MDSB</t>
  </si>
  <si>
    <t>Sabana de Mar Airport</t>
  </si>
  <si>
    <t>KSNY</t>
  </si>
  <si>
    <t>Sidney Municipal Airport (Lloyd W. Carr Field)</t>
  </si>
  <si>
    <t>SNZ</t>
  </si>
  <si>
    <t>SBSC</t>
  </si>
  <si>
    <t>SOA</t>
  </si>
  <si>
    <t>KSOA</t>
  </si>
  <si>
    <t>Sonora Municipal Airport</t>
  </si>
  <si>
    <t>SOB</t>
  </si>
  <si>
    <t>LHSM</t>
  </si>
  <si>
    <t>Sármellék International Airport</t>
  </si>
  <si>
    <t>SOC</t>
  </si>
  <si>
    <t>WARQ</t>
  </si>
  <si>
    <t>Adi Sumarmo Wiryokusumo Airport</t>
  </si>
  <si>
    <t>SOD</t>
  </si>
  <si>
    <t>SDCO</t>
  </si>
  <si>
    <t>Sorocaba Airport</t>
  </si>
  <si>
    <t>SOE</t>
  </si>
  <si>
    <t>FCOS</t>
  </si>
  <si>
    <t>Souanke Airport</t>
  </si>
  <si>
    <t>SOF</t>
  </si>
  <si>
    <t>LBSF</t>
  </si>
  <si>
    <t>Sofia Airport</t>
  </si>
  <si>
    <t>SOG</t>
  </si>
  <si>
    <t>ENSG</t>
  </si>
  <si>
    <t>Sogndal Airport, Haukåsen</t>
  </si>
  <si>
    <t>SOJ</t>
  </si>
  <si>
    <t>ENSR</t>
  </si>
  <si>
    <t>Sørkjosen Airport</t>
  </si>
  <si>
    <t>SOK</t>
  </si>
  <si>
    <t>FXSM</t>
  </si>
  <si>
    <t>Semonkong Airport</t>
  </si>
  <si>
    <t>SOM</t>
  </si>
  <si>
    <t>SVST</t>
  </si>
  <si>
    <t>San Tomé Airport</t>
  </si>
  <si>
    <t>SON</t>
  </si>
  <si>
    <t>NVSS</t>
  </si>
  <si>
    <t>Santo Pekoa International Airport</t>
  </si>
  <si>
    <t>SOO</t>
  </si>
  <si>
    <t>ESNY</t>
  </si>
  <si>
    <t>Söderhamn Airport</t>
  </si>
  <si>
    <t>SOP</t>
  </si>
  <si>
    <t>KSOP</t>
  </si>
  <si>
    <t>Moore County Airport</t>
  </si>
  <si>
    <t>SOQ</t>
  </si>
  <si>
    <t>WASS</t>
  </si>
  <si>
    <t>Sorong (Jefman) Airport</t>
  </si>
  <si>
    <t>SOT</t>
  </si>
  <si>
    <t>EFSO</t>
  </si>
  <si>
    <t>Sodankyla Airport</t>
  </si>
  <si>
    <t>SOU</t>
  </si>
  <si>
    <t>EGHI</t>
  </si>
  <si>
    <t>Southampton Airport</t>
  </si>
  <si>
    <t>SOV</t>
  </si>
  <si>
    <t>PASO</t>
  </si>
  <si>
    <t>Seldovia Airport</t>
  </si>
  <si>
    <t>SOW</t>
  </si>
  <si>
    <t>KSOW</t>
  </si>
  <si>
    <t>Show Low Regional Airport</t>
  </si>
  <si>
    <t>SOX</t>
  </si>
  <si>
    <t>SKSO</t>
  </si>
  <si>
    <t>Alberto Lleras Camargo Airport</t>
  </si>
  <si>
    <t>SOY</t>
  </si>
  <si>
    <t>EGER</t>
  </si>
  <si>
    <t>Stronsay Airport</t>
  </si>
  <si>
    <t>KSOY</t>
  </si>
  <si>
    <t>Sioux Center Municipal Airport</t>
  </si>
  <si>
    <t>SOZ</t>
  </si>
  <si>
    <t>LFKS</t>
  </si>
  <si>
    <t>Solenzara (BA 126) Air Base</t>
  </si>
  <si>
    <t>SPA</t>
  </si>
  <si>
    <t>KSPA</t>
  </si>
  <si>
    <t>Spartanburg Downtown Memorial Airport</t>
  </si>
  <si>
    <t>SPC</t>
  </si>
  <si>
    <t>GCLA</t>
  </si>
  <si>
    <t>La Palma Airport</t>
  </si>
  <si>
    <t>SPD</t>
  </si>
  <si>
    <t>VGSD</t>
  </si>
  <si>
    <t>Saidpur Airport</t>
  </si>
  <si>
    <t>SPE</t>
  </si>
  <si>
    <t>WBKO</t>
  </si>
  <si>
    <t>Sepulot Airport</t>
  </si>
  <si>
    <t>KSPF</t>
  </si>
  <si>
    <t>Black Hills Airport (Clyde Ice Field)</t>
  </si>
  <si>
    <t>SPG</t>
  </si>
  <si>
    <t>KSPG</t>
  </si>
  <si>
    <t>Albert Whitted Airport</t>
  </si>
  <si>
    <t>SPH</t>
  </si>
  <si>
    <t>KSPH</t>
  </si>
  <si>
    <t>Springhill Airport</t>
  </si>
  <si>
    <t>SPI</t>
  </si>
  <si>
    <t>KSPI</t>
  </si>
  <si>
    <t>Abraham Lincoln Capital Airport</t>
  </si>
  <si>
    <t>SPJ</t>
  </si>
  <si>
    <t>LGSP</t>
  </si>
  <si>
    <t>Sparti Airport</t>
  </si>
  <si>
    <t>SPM</t>
  </si>
  <si>
    <t>ETAD</t>
  </si>
  <si>
    <t>Spangdahlem Air Base</t>
  </si>
  <si>
    <t>SPN</t>
  </si>
  <si>
    <t>PGSN</t>
  </si>
  <si>
    <t>Saipan International Airport</t>
  </si>
  <si>
    <t>SPP</t>
  </si>
  <si>
    <t>FNME</t>
  </si>
  <si>
    <t>Menongue Airport</t>
  </si>
  <si>
    <t>SPS</t>
  </si>
  <si>
    <t>KSPS</t>
  </si>
  <si>
    <t>Sheppard AFB / Wichita Falls Municipal Airport</t>
  </si>
  <si>
    <t>SPU</t>
  </si>
  <si>
    <t>LDSP</t>
  </si>
  <si>
    <t>Split Airport</t>
  </si>
  <si>
    <t>SPW</t>
  </si>
  <si>
    <t>KSPW</t>
  </si>
  <si>
    <t>Spencer Municipal Airport</t>
  </si>
  <si>
    <t>SPY</t>
  </si>
  <si>
    <t>DISP</t>
  </si>
  <si>
    <t>San Pedro Airport</t>
  </si>
  <si>
    <t>SPZ</t>
  </si>
  <si>
    <t>KASG</t>
  </si>
  <si>
    <t>Springdale Municipal Airport</t>
  </si>
  <si>
    <t>SQC</t>
  </si>
  <si>
    <t>YSCR</t>
  </si>
  <si>
    <t>Southern Cross Airport</t>
  </si>
  <si>
    <t>SQD</t>
  </si>
  <si>
    <t>SPSF</t>
  </si>
  <si>
    <t>San Francisco Airport</t>
  </si>
  <si>
    <t>SQG</t>
  </si>
  <si>
    <t>WIOS</t>
  </si>
  <si>
    <t>Sintang(Susilo) Airport</t>
  </si>
  <si>
    <t>SQH</t>
  </si>
  <si>
    <t>VVNS</t>
  </si>
  <si>
    <t>Na-San Airport</t>
  </si>
  <si>
    <t>SQI</t>
  </si>
  <si>
    <t>KSQI</t>
  </si>
  <si>
    <t>Whiteside County Airport (Jos. H. Bittorf Field)</t>
  </si>
  <si>
    <t>SQL</t>
  </si>
  <si>
    <t>KSQL</t>
  </si>
  <si>
    <t>San Carlos Airport</t>
  </si>
  <si>
    <t>SQM</t>
  </si>
  <si>
    <t>SWUA</t>
  </si>
  <si>
    <t>São Miguel do Araguaia Airport</t>
  </si>
  <si>
    <t>SQN</t>
  </si>
  <si>
    <t>WAPN</t>
  </si>
  <si>
    <t>Emalamo Sanana Airport</t>
  </si>
  <si>
    <t>SQO</t>
  </si>
  <si>
    <t>ESUD</t>
  </si>
  <si>
    <t>Storuman Airport</t>
  </si>
  <si>
    <t>SQQ</t>
  </si>
  <si>
    <t>EYSA</t>
  </si>
  <si>
    <t>Šiauliai International Airport</t>
  </si>
  <si>
    <t>SQR</t>
  </si>
  <si>
    <t>WAWS</t>
  </si>
  <si>
    <t>Soroako Airport</t>
  </si>
  <si>
    <t>SQU</t>
  </si>
  <si>
    <t>SPOA</t>
  </si>
  <si>
    <t>Saposoa Airport</t>
  </si>
  <si>
    <t>SQW</t>
  </si>
  <si>
    <t>EKSV</t>
  </si>
  <si>
    <t>Skive Airport</t>
  </si>
  <si>
    <t>SQX</t>
  </si>
  <si>
    <t>SSOE</t>
  </si>
  <si>
    <t>São Miguel do Oeste Airport</t>
  </si>
  <si>
    <t>SQY</t>
  </si>
  <si>
    <t>SSRU</t>
  </si>
  <si>
    <t>São Lourenço do Sul Airport</t>
  </si>
  <si>
    <t>SQZ</t>
  </si>
  <si>
    <t>EGXP</t>
  </si>
  <si>
    <t>RAF Scampton</t>
  </si>
  <si>
    <t>SRA</t>
  </si>
  <si>
    <t>SSZR</t>
  </si>
  <si>
    <t>SRB</t>
  </si>
  <si>
    <t>SLSR</t>
  </si>
  <si>
    <t>Santa Rosa De Yacuma Airport</t>
  </si>
  <si>
    <t>KSRB</t>
  </si>
  <si>
    <t>Upper Cumberland Regional Airport</t>
  </si>
  <si>
    <t>SRC</t>
  </si>
  <si>
    <t>KSRC</t>
  </si>
  <si>
    <t>Searcy Municipal Airport</t>
  </si>
  <si>
    <t>SRD</t>
  </si>
  <si>
    <t>SLRA</t>
  </si>
  <si>
    <t>San Ramón Airport</t>
  </si>
  <si>
    <t>SRE</t>
  </si>
  <si>
    <t>SLSU</t>
  </si>
  <si>
    <t>Juana Azurduy de Padilla International Airport</t>
  </si>
  <si>
    <t>KSRE</t>
  </si>
  <si>
    <t>Seminole Municipal Airport</t>
  </si>
  <si>
    <t>SRG</t>
  </si>
  <si>
    <t>WARS</t>
  </si>
  <si>
    <t>Achmad Yani International Airport</t>
  </si>
  <si>
    <t>SRH</t>
  </si>
  <si>
    <t>FTTA</t>
  </si>
  <si>
    <t>Sarh Airport</t>
  </si>
  <si>
    <t>SRI</t>
  </si>
  <si>
    <t>WALS</t>
  </si>
  <si>
    <t>Temindung Airport</t>
  </si>
  <si>
    <t>SRJ</t>
  </si>
  <si>
    <t>SLSB</t>
  </si>
  <si>
    <t>Capitán Germán Quiroga Guardia Airport</t>
  </si>
  <si>
    <t>SRN</t>
  </si>
  <si>
    <t>YSRN</t>
  </si>
  <si>
    <t>Strahan Airport</t>
  </si>
  <si>
    <t>SRP</t>
  </si>
  <si>
    <t>ENSA</t>
  </si>
  <si>
    <t>Stord Airport, Sørstokken</t>
  </si>
  <si>
    <t>ENSO</t>
  </si>
  <si>
    <t>Stord Airport</t>
  </si>
  <si>
    <t>SRQ</t>
  </si>
  <si>
    <t>KSRQ</t>
  </si>
  <si>
    <t>Sarasota-Bradenton International Airport</t>
  </si>
  <si>
    <t>SRR</t>
  </si>
  <si>
    <t>KSRR</t>
  </si>
  <si>
    <t>Sierra Blanca Regional Airport</t>
  </si>
  <si>
    <t>SRT</t>
  </si>
  <si>
    <t>HUSO</t>
  </si>
  <si>
    <t>Soroti Airport</t>
  </si>
  <si>
    <t>SRX</t>
  </si>
  <si>
    <t>HLGD</t>
  </si>
  <si>
    <t>Gardabya Airport</t>
  </si>
  <si>
    <t>SRY</t>
  </si>
  <si>
    <t>OINZ</t>
  </si>
  <si>
    <t>Sari, Iran</t>
  </si>
  <si>
    <t>SRZ</t>
  </si>
  <si>
    <t>SLET</t>
  </si>
  <si>
    <t>El Trompillo Airport</t>
  </si>
  <si>
    <t>SSA</t>
  </si>
  <si>
    <t>SBSV</t>
  </si>
  <si>
    <t>Deputado Luís Eduardo Magalhães International Airport</t>
  </si>
  <si>
    <t>SSC</t>
  </si>
  <si>
    <t>KSSC</t>
  </si>
  <si>
    <t>Shaw AFB</t>
  </si>
  <si>
    <t>SSD</t>
  </si>
  <si>
    <t>SCSF</t>
  </si>
  <si>
    <t>Víctor Lafón Airport</t>
  </si>
  <si>
    <t>SSE</t>
  </si>
  <si>
    <t>VASL</t>
  </si>
  <si>
    <t>Solapur Airport</t>
  </si>
  <si>
    <t>SSF</t>
  </si>
  <si>
    <t>KSSF</t>
  </si>
  <si>
    <t>Stinson Municipal Airport</t>
  </si>
  <si>
    <t>SSG</t>
  </si>
  <si>
    <t>FGSL</t>
  </si>
  <si>
    <t>Malabo International Airport (Saint Isabel Airport)</t>
  </si>
  <si>
    <t>SSH</t>
  </si>
  <si>
    <t>HESH</t>
  </si>
  <si>
    <t>Sharm El Sheikh International Airport</t>
  </si>
  <si>
    <t>SSI</t>
  </si>
  <si>
    <t>KSSI</t>
  </si>
  <si>
    <t>Malcolm McKinnon Airport</t>
  </si>
  <si>
    <t>SSJ</t>
  </si>
  <si>
    <t>ENST</t>
  </si>
  <si>
    <t>Sandnessjøen Airport, Stokka</t>
  </si>
  <si>
    <t>SSN</t>
  </si>
  <si>
    <t>RKSM</t>
  </si>
  <si>
    <t>Seoul Airbase</t>
  </si>
  <si>
    <t>SSO</t>
  </si>
  <si>
    <t>SNLO</t>
  </si>
  <si>
    <t>São Lourenço Airport</t>
  </si>
  <si>
    <t>SSQ</t>
  </si>
  <si>
    <t>CSR8</t>
  </si>
  <si>
    <t>La Sarre Airport</t>
  </si>
  <si>
    <t>KSSQ</t>
  </si>
  <si>
    <t>Shell Lake Municipal Airport</t>
  </si>
  <si>
    <t>SSR</t>
  </si>
  <si>
    <t>NVSH</t>
  </si>
  <si>
    <t>Sara Airport</t>
  </si>
  <si>
    <t>SST</t>
  </si>
  <si>
    <t>SAZL</t>
  </si>
  <si>
    <t>Santa Teresita Airport</t>
  </si>
  <si>
    <t>SSX</t>
  </si>
  <si>
    <t>LTAQ</t>
  </si>
  <si>
    <t>Samsun Samair Airport</t>
  </si>
  <si>
    <t>SSY</t>
  </si>
  <si>
    <t>FNBC</t>
  </si>
  <si>
    <t>Mbanza Congo Airport</t>
  </si>
  <si>
    <t>SSZ</t>
  </si>
  <si>
    <t>SBST</t>
  </si>
  <si>
    <t>Santos Air Base</t>
  </si>
  <si>
    <t>STA</t>
  </si>
  <si>
    <t>EKVJ</t>
  </si>
  <si>
    <t>Stauning Vestjylland Airport</t>
  </si>
  <si>
    <t>STB</t>
  </si>
  <si>
    <t>SVSZ</t>
  </si>
  <si>
    <t>Santa Bárbara del Zulia Airport</t>
  </si>
  <si>
    <t>STC</t>
  </si>
  <si>
    <t>KSTC</t>
  </si>
  <si>
    <t>St. Cloud Regional Airport</t>
  </si>
  <si>
    <t>STD</t>
  </si>
  <si>
    <t>SVSO</t>
  </si>
  <si>
    <t>Mayor Buenaventura Vivas Airport</t>
  </si>
  <si>
    <t>STE</t>
  </si>
  <si>
    <t>KSTE</t>
  </si>
  <si>
    <t>Stevens Point Municipal Airport</t>
  </si>
  <si>
    <t>STG</t>
  </si>
  <si>
    <t>St. George Airport</t>
  </si>
  <si>
    <t>STH</t>
  </si>
  <si>
    <t>YSMR</t>
  </si>
  <si>
    <t>Strathmore Airport</t>
  </si>
  <si>
    <t>STI</t>
  </si>
  <si>
    <t>MDST</t>
  </si>
  <si>
    <t>Cibao International Airport</t>
  </si>
  <si>
    <t>STJ</t>
  </si>
  <si>
    <t>KSTJ</t>
  </si>
  <si>
    <t>Rosecrans Memorial Airport</t>
  </si>
  <si>
    <t>STK</t>
  </si>
  <si>
    <t>KSTK</t>
  </si>
  <si>
    <t>Sterling Municipal Airport</t>
  </si>
  <si>
    <t>STL</t>
  </si>
  <si>
    <t>KSTL</t>
  </si>
  <si>
    <t>St. Louis Lambert International Airport</t>
  </si>
  <si>
    <t>STM</t>
  </si>
  <si>
    <t>SBSN</t>
  </si>
  <si>
    <t>Maestro Wilson Fonseca Airport</t>
  </si>
  <si>
    <t>STN</t>
  </si>
  <si>
    <t>EGSS</t>
  </si>
  <si>
    <t>London Stansted Airport</t>
  </si>
  <si>
    <t>STP</t>
  </si>
  <si>
    <t>KSTP</t>
  </si>
  <si>
    <t>St. Paul Downtown Airport (Holman Field)</t>
  </si>
  <si>
    <t>STQ</t>
  </si>
  <si>
    <t>KOYM</t>
  </si>
  <si>
    <t>St. Marys Municipal Airport</t>
  </si>
  <si>
    <t>STR</t>
  </si>
  <si>
    <t>EDDS</t>
  </si>
  <si>
    <t>Stuttgart Airport</t>
  </si>
  <si>
    <t>STS</t>
  </si>
  <si>
    <t>KSTS</t>
  </si>
  <si>
    <t>Charles M. Schulz Sonoma County Airport</t>
  </si>
  <si>
    <t>STT</t>
  </si>
  <si>
    <t>TIST</t>
  </si>
  <si>
    <t>Cyril E. King Airport</t>
  </si>
  <si>
    <t>STV</t>
  </si>
  <si>
    <t>VASU</t>
  </si>
  <si>
    <t>Surat Airport</t>
  </si>
  <si>
    <t>STW</t>
  </si>
  <si>
    <t>URMT</t>
  </si>
  <si>
    <t>Stavropol Shpakovskoye Airport</t>
  </si>
  <si>
    <t>STX</t>
  </si>
  <si>
    <t>TISX</t>
  </si>
  <si>
    <t>Henry E. Rohlsen Airport</t>
  </si>
  <si>
    <t>STY</t>
  </si>
  <si>
    <t>SUSO</t>
  </si>
  <si>
    <t>Nueva Hesperides International Airport</t>
  </si>
  <si>
    <t>STZ</t>
  </si>
  <si>
    <t>SWST</t>
  </si>
  <si>
    <t>SUA</t>
  </si>
  <si>
    <t>KSUA</t>
  </si>
  <si>
    <t>Witham Field</t>
  </si>
  <si>
    <t>SUB</t>
  </si>
  <si>
    <t>WARR</t>
  </si>
  <si>
    <t>Juanda International Airport</t>
  </si>
  <si>
    <t>SUD</t>
  </si>
  <si>
    <t>KSUD</t>
  </si>
  <si>
    <t>Stroud Municipal Airport</t>
  </si>
  <si>
    <t>SUE</t>
  </si>
  <si>
    <t>KSUE</t>
  </si>
  <si>
    <t>Door County Cherryland Airport</t>
  </si>
  <si>
    <t>SUF</t>
  </si>
  <si>
    <t>LICA</t>
  </si>
  <si>
    <t>Lamezia Terme International Airport</t>
  </si>
  <si>
    <t>SUG</t>
  </si>
  <si>
    <t>RPMS</t>
  </si>
  <si>
    <t>Surigao Airport</t>
  </si>
  <si>
    <t>SUH</t>
  </si>
  <si>
    <t>OOSR</t>
  </si>
  <si>
    <t>Sur Airport</t>
  </si>
  <si>
    <t>SUI</t>
  </si>
  <si>
    <t>UGSS</t>
  </si>
  <si>
    <t>Sukhumi Dranda Airport</t>
  </si>
  <si>
    <t>SUJ</t>
  </si>
  <si>
    <t>LRSM</t>
  </si>
  <si>
    <t>Satu Mare International Airport</t>
  </si>
  <si>
    <t>SUL</t>
  </si>
  <si>
    <t>OPSU</t>
  </si>
  <si>
    <t>Sui Airport</t>
  </si>
  <si>
    <t>SUN</t>
  </si>
  <si>
    <t>KSUN</t>
  </si>
  <si>
    <t>Friedman Memorial Airport</t>
  </si>
  <si>
    <t>SUP</t>
  </si>
  <si>
    <t>WART</t>
  </si>
  <si>
    <t>Trunojoyo Airport</t>
  </si>
  <si>
    <t>SUQ</t>
  </si>
  <si>
    <t>SESC</t>
  </si>
  <si>
    <t>Sucua Airport</t>
  </si>
  <si>
    <t>CJV7</t>
  </si>
  <si>
    <t>Summer Beaver Airport</t>
  </si>
  <si>
    <t>SUS</t>
  </si>
  <si>
    <t>KSUS</t>
  </si>
  <si>
    <t>Spirit of St. Louis Airport</t>
  </si>
  <si>
    <t>SUT</t>
  </si>
  <si>
    <t>HTSU</t>
  </si>
  <si>
    <t>Sumbawanga Airport</t>
  </si>
  <si>
    <t>KSUT</t>
  </si>
  <si>
    <t>Brunswick County Airport</t>
  </si>
  <si>
    <t>SUU</t>
  </si>
  <si>
    <t>KSUU</t>
  </si>
  <si>
    <t>Travis AFB</t>
  </si>
  <si>
    <t>SUV</t>
  </si>
  <si>
    <t>NFNA</t>
  </si>
  <si>
    <t>Nausori International Airport</t>
  </si>
  <si>
    <t>SUW</t>
  </si>
  <si>
    <t>KSUW</t>
  </si>
  <si>
    <t>Richard I. Bong Airport</t>
  </si>
  <si>
    <t>SUX</t>
  </si>
  <si>
    <t>KSUX</t>
  </si>
  <si>
    <t>Sioux Gateway Airport</t>
  </si>
  <si>
    <t>SVA</t>
  </si>
  <si>
    <t>PASA</t>
  </si>
  <si>
    <t>Savoonga Airport</t>
  </si>
  <si>
    <t>SVB</t>
  </si>
  <si>
    <t>FMNS</t>
  </si>
  <si>
    <t>Sambava Airport</t>
  </si>
  <si>
    <t>SVC</t>
  </si>
  <si>
    <t>KSVC</t>
  </si>
  <si>
    <t>Grant County Airport</t>
  </si>
  <si>
    <t>SVD</t>
  </si>
  <si>
    <t>TVSV</t>
  </si>
  <si>
    <t>E.T. Joshua Airport</t>
  </si>
  <si>
    <t>SVE</t>
  </si>
  <si>
    <t>KSVE</t>
  </si>
  <si>
    <t>Susanville Municipal Airport</t>
  </si>
  <si>
    <t>SVF</t>
  </si>
  <si>
    <t>DBBS</t>
  </si>
  <si>
    <t>Savé Airport</t>
  </si>
  <si>
    <t>SVG</t>
  </si>
  <si>
    <t>ENZV</t>
  </si>
  <si>
    <t>Stavanger Airport, Sola</t>
  </si>
  <si>
    <t>SVH</t>
  </si>
  <si>
    <t>KSVH</t>
  </si>
  <si>
    <t>Statesville Regional Airport</t>
  </si>
  <si>
    <t>SVI</t>
  </si>
  <si>
    <t>SKSV</t>
  </si>
  <si>
    <t>Eduardo Falla Solano Airport</t>
  </si>
  <si>
    <t>SVJ</t>
  </si>
  <si>
    <t>ENSH</t>
  </si>
  <si>
    <t>Svolvær Airport, Helle</t>
  </si>
  <si>
    <t>SVL</t>
  </si>
  <si>
    <t>EFSA</t>
  </si>
  <si>
    <t>Savonlinna Airport</t>
  </si>
  <si>
    <t>SVN</t>
  </si>
  <si>
    <t>KSVN</t>
  </si>
  <si>
    <t>Hunter AAF</t>
  </si>
  <si>
    <t>SVO</t>
  </si>
  <si>
    <t>UUEE</t>
  </si>
  <si>
    <t>Sheremetyevo International Airport</t>
  </si>
  <si>
    <t>SVP</t>
  </si>
  <si>
    <t>FNKU</t>
  </si>
  <si>
    <t>Kuito Airport</t>
  </si>
  <si>
    <t>SVQ</t>
  </si>
  <si>
    <t>LEZL</t>
  </si>
  <si>
    <t>San Pablo Airport</t>
  </si>
  <si>
    <t>SVU</t>
  </si>
  <si>
    <t>NFNS</t>
  </si>
  <si>
    <t>Savusavu Airport</t>
  </si>
  <si>
    <t>SVW</t>
  </si>
  <si>
    <t>PASV</t>
  </si>
  <si>
    <t>Sparrevohn LRRS</t>
  </si>
  <si>
    <t>SVX</t>
  </si>
  <si>
    <t>USSS</t>
  </si>
  <si>
    <t>Koltsovo International Airport</t>
  </si>
  <si>
    <t>SVZ</t>
  </si>
  <si>
    <t>SVSA</t>
  </si>
  <si>
    <t>Juan Vicente Gómez International Airport</t>
  </si>
  <si>
    <t>SWA</t>
  </si>
  <si>
    <t>ZGOW</t>
  </si>
  <si>
    <t>Shantou Waisha Airport</t>
  </si>
  <si>
    <t>SWC</t>
  </si>
  <si>
    <t>YSWL</t>
  </si>
  <si>
    <t>Stawell Airport</t>
  </si>
  <si>
    <t>SWD</t>
  </si>
  <si>
    <t>PAWD</t>
  </si>
  <si>
    <t>Seward Airport</t>
  </si>
  <si>
    <t>SWF</t>
  </si>
  <si>
    <t>KSWF</t>
  </si>
  <si>
    <t>Stewart International Airport</t>
  </si>
  <si>
    <t>SWH</t>
  </si>
  <si>
    <t>YSWH</t>
  </si>
  <si>
    <t>Swan Hill Airport</t>
  </si>
  <si>
    <t>SWI</t>
  </si>
  <si>
    <t>KSWI</t>
  </si>
  <si>
    <t>Sherman Municipal Airport</t>
  </si>
  <si>
    <t>SWJ</t>
  </si>
  <si>
    <t>NVSX</t>
  </si>
  <si>
    <t>Southwest Bay Airport</t>
  </si>
  <si>
    <t>SWN</t>
  </si>
  <si>
    <t>OPSW</t>
  </si>
  <si>
    <t>Sahiwal Airport</t>
  </si>
  <si>
    <t>SWO</t>
  </si>
  <si>
    <t>KSWO</t>
  </si>
  <si>
    <t>Stillwater Regional Airport</t>
  </si>
  <si>
    <t>FYSM</t>
  </si>
  <si>
    <t>Swakopmund Airport</t>
  </si>
  <si>
    <t>SWQ</t>
  </si>
  <si>
    <t>WADS</t>
  </si>
  <si>
    <t>Sumbawa Besar Airport</t>
  </si>
  <si>
    <t>SWS</t>
  </si>
  <si>
    <t>EGFH</t>
  </si>
  <si>
    <t>Swansea Airport</t>
  </si>
  <si>
    <t>SWT</t>
  </si>
  <si>
    <t>KSWT</t>
  </si>
  <si>
    <t>Seward Municipal Airport</t>
  </si>
  <si>
    <t>SWU</t>
  </si>
  <si>
    <t>RKSW</t>
  </si>
  <si>
    <t>Suwon Airport</t>
  </si>
  <si>
    <t>SWW</t>
  </si>
  <si>
    <t>KSWW</t>
  </si>
  <si>
    <t>Avenger Field</t>
  </si>
  <si>
    <t>SWX</t>
  </si>
  <si>
    <t>FBSW</t>
  </si>
  <si>
    <t>Shakawe Airport</t>
  </si>
  <si>
    <t>SWY</t>
  </si>
  <si>
    <t>WMBA</t>
  </si>
  <si>
    <t>Sitiawan Airport</t>
  </si>
  <si>
    <t>SXB</t>
  </si>
  <si>
    <t>LFST</t>
  </si>
  <si>
    <t>Strasbourg Entzheim International Airport</t>
  </si>
  <si>
    <t>SXE</t>
  </si>
  <si>
    <t>YMES</t>
  </si>
  <si>
    <t>RAAF Base East Sale</t>
  </si>
  <si>
    <t>SXF</t>
  </si>
  <si>
    <t>EDDB</t>
  </si>
  <si>
    <t>Berlin-Schönefeld International Airport</t>
  </si>
  <si>
    <t>SXG</t>
  </si>
  <si>
    <t>FLSN</t>
  </si>
  <si>
    <t>Senanga Airport</t>
  </si>
  <si>
    <t>SXI</t>
  </si>
  <si>
    <t>OIBS</t>
  </si>
  <si>
    <t>Sirri Island Airport</t>
  </si>
  <si>
    <t>SXJ</t>
  </si>
  <si>
    <t>ZWSS</t>
  </si>
  <si>
    <t>Shanshan Airport</t>
  </si>
  <si>
    <t>SXK</t>
  </si>
  <si>
    <t>WAPI</t>
  </si>
  <si>
    <t>Saumlaki Airport</t>
  </si>
  <si>
    <t>SXL</t>
  </si>
  <si>
    <t>EISG</t>
  </si>
  <si>
    <t>Sligo Airport</t>
  </si>
  <si>
    <t>SXM</t>
  </si>
  <si>
    <t>TNCM</t>
  </si>
  <si>
    <t>Princess Juliana International Airport</t>
  </si>
  <si>
    <t>SXN</t>
  </si>
  <si>
    <t>FBSN</t>
  </si>
  <si>
    <t>Sua Pan Airport</t>
  </si>
  <si>
    <t>SXO</t>
  </si>
  <si>
    <t>SWFX</t>
  </si>
  <si>
    <t>São Félix do Araguaia Airport</t>
  </si>
  <si>
    <t>SXQ</t>
  </si>
  <si>
    <t>PASX</t>
  </si>
  <si>
    <t>Soldotna Airport</t>
  </si>
  <si>
    <t>SXR</t>
  </si>
  <si>
    <t>VISR</t>
  </si>
  <si>
    <t>Sheikh Ul Alam International Airport, Srinagar, India</t>
  </si>
  <si>
    <t>SXS</t>
  </si>
  <si>
    <t>WBKH</t>
  </si>
  <si>
    <t>Sahabat [Sahabat 16] Airport</t>
  </si>
  <si>
    <t>SXT</t>
  </si>
  <si>
    <t>WMAN</t>
  </si>
  <si>
    <t>Sungai Tiang Airport</t>
  </si>
  <si>
    <t>SXU</t>
  </si>
  <si>
    <t>HASD</t>
  </si>
  <si>
    <t>Soddu Airport</t>
  </si>
  <si>
    <t>SXV</t>
  </si>
  <si>
    <t>VOSM</t>
  </si>
  <si>
    <t>Salem Airport</t>
  </si>
  <si>
    <t>SXX</t>
  </si>
  <si>
    <t>SNFX</t>
  </si>
  <si>
    <t>São Félix do Xingu Airport</t>
  </si>
  <si>
    <t>SXZ</t>
  </si>
  <si>
    <t>LTCL</t>
  </si>
  <si>
    <t>Siirt Airport</t>
  </si>
  <si>
    <t>SYA</t>
  </si>
  <si>
    <t>PASY</t>
  </si>
  <si>
    <t>Eareckson AS</t>
  </si>
  <si>
    <t>SYC</t>
  </si>
  <si>
    <t>SPOV</t>
  </si>
  <si>
    <t>Shiringayoc/Hacienda Hda Mejia Airport</t>
  </si>
  <si>
    <t>SPSY</t>
  </si>
  <si>
    <t>Shiringayoc Airport</t>
  </si>
  <si>
    <t>SYD</t>
  </si>
  <si>
    <t>YSSY</t>
  </si>
  <si>
    <t>Sydney Airport</t>
  </si>
  <si>
    <t>SYE</t>
  </si>
  <si>
    <t>OYSH</t>
  </si>
  <si>
    <t>Sadah Airport</t>
  </si>
  <si>
    <t>SYF</t>
  </si>
  <si>
    <t>KSYF</t>
  </si>
  <si>
    <t>Cheyenne County Municipal Airport</t>
  </si>
  <si>
    <t>SYI</t>
  </si>
  <si>
    <t>KSYI</t>
  </si>
  <si>
    <t>Shelbyville Municipal Airport (Bomar Field)</t>
  </si>
  <si>
    <t>SYJ</t>
  </si>
  <si>
    <t>OIKY</t>
  </si>
  <si>
    <t>Sirjan Airport</t>
  </si>
  <si>
    <t>SYK</t>
  </si>
  <si>
    <t>BIST</t>
  </si>
  <si>
    <t>Stykkishólmur Airport</t>
  </si>
  <si>
    <t>SYL</t>
  </si>
  <si>
    <t>KSYL</t>
  </si>
  <si>
    <t>Roberts Army Heliport</t>
  </si>
  <si>
    <t>SYM</t>
  </si>
  <si>
    <t>ZPSM</t>
  </si>
  <si>
    <t>Simao Airport</t>
  </si>
  <si>
    <t>SYN</t>
  </si>
  <si>
    <t>KSYN</t>
  </si>
  <si>
    <t>Stanton Airfield</t>
  </si>
  <si>
    <t>SYO</t>
  </si>
  <si>
    <t>RJSY</t>
  </si>
  <si>
    <t>Shonai Airport</t>
  </si>
  <si>
    <t>SYP</t>
  </si>
  <si>
    <t>MPSA</t>
  </si>
  <si>
    <t>Ruben Cantu Airport</t>
  </si>
  <si>
    <t>SYQ</t>
  </si>
  <si>
    <t>MRPV</t>
  </si>
  <si>
    <t>Tobías Bolaños International Airport</t>
  </si>
  <si>
    <t>SYR</t>
  </si>
  <si>
    <t>KSYR</t>
  </si>
  <si>
    <t>Syracuse Hancock International Airport</t>
  </si>
  <si>
    <t>SYT</t>
  </si>
  <si>
    <t>LFLN</t>
  </si>
  <si>
    <t>Saint-Yan Airport</t>
  </si>
  <si>
    <t>SYU</t>
  </si>
  <si>
    <t>YWBS</t>
  </si>
  <si>
    <t>Warraber Island Airport</t>
  </si>
  <si>
    <t>SYV</t>
  </si>
  <si>
    <t>KSYV</t>
  </si>
  <si>
    <t>Sylvester Airport</t>
  </si>
  <si>
    <t>SYW</t>
  </si>
  <si>
    <t>OPSN</t>
  </si>
  <si>
    <t>Sehwan Sharif Airport</t>
  </si>
  <si>
    <t>SYX</t>
  </si>
  <si>
    <t>ZJSY</t>
  </si>
  <si>
    <t>Sanya Fenghuang International Airport</t>
  </si>
  <si>
    <t>SYY</t>
  </si>
  <si>
    <t>EGPO</t>
  </si>
  <si>
    <t>Stornoway Airport</t>
  </si>
  <si>
    <t>SYZ</t>
  </si>
  <si>
    <t>OISS</t>
  </si>
  <si>
    <t>Shiraz International Airport</t>
  </si>
  <si>
    <t>SZA</t>
  </si>
  <si>
    <t>FNSO</t>
  </si>
  <si>
    <t>Soyo Airport</t>
  </si>
  <si>
    <t>SZB</t>
  </si>
  <si>
    <t>WMSA</t>
  </si>
  <si>
    <t>Sultan Abdul Aziz Shah Airport</t>
  </si>
  <si>
    <t>SZD</t>
  </si>
  <si>
    <t>EGSY</t>
  </si>
  <si>
    <t>Sheffield City Airport</t>
  </si>
  <si>
    <t>SZF</t>
  </si>
  <si>
    <t>LTFH</t>
  </si>
  <si>
    <t>Carsamba Airport</t>
  </si>
  <si>
    <t>SZG</t>
  </si>
  <si>
    <t>LOWS</t>
  </si>
  <si>
    <t>Salzburg Airport</t>
  </si>
  <si>
    <t>SZJ</t>
  </si>
  <si>
    <t>MUSN</t>
  </si>
  <si>
    <t>Siguanea Airport</t>
  </si>
  <si>
    <t>SZK</t>
  </si>
  <si>
    <t>FASZ</t>
  </si>
  <si>
    <t>Skukuza Airport</t>
  </si>
  <si>
    <t>SZL</t>
  </si>
  <si>
    <t>KSZL</t>
  </si>
  <si>
    <t>Whiteman AFB</t>
  </si>
  <si>
    <t>SZN</t>
  </si>
  <si>
    <t>KSZN</t>
  </si>
  <si>
    <t>Santa Cruz Island Airport</t>
  </si>
  <si>
    <t>SZQ</t>
  </si>
  <si>
    <t>KSZP</t>
  </si>
  <si>
    <t>Saenz Peña Airport</t>
  </si>
  <si>
    <t>SZR</t>
  </si>
  <si>
    <t>LBSZ</t>
  </si>
  <si>
    <t>Stara Zagora Airport</t>
  </si>
  <si>
    <t>SZS</t>
  </si>
  <si>
    <t>NZRC</t>
  </si>
  <si>
    <t>Ryans Creek Aerodrome</t>
  </si>
  <si>
    <t>SZT</t>
  </si>
  <si>
    <t>MMSC</t>
  </si>
  <si>
    <t>San Cristobal De Las Casas Airport</t>
  </si>
  <si>
    <t>KSZT</t>
  </si>
  <si>
    <t>Sandpoint Airport</t>
  </si>
  <si>
    <t>SZV</t>
  </si>
  <si>
    <t>ZSSZ</t>
  </si>
  <si>
    <t>Guangfu Airport</t>
  </si>
  <si>
    <t>SZW</t>
  </si>
  <si>
    <t>EDOP</t>
  </si>
  <si>
    <t>Schwerin Parchim Airport</t>
  </si>
  <si>
    <t>SZX</t>
  </si>
  <si>
    <t>ZGSZ</t>
  </si>
  <si>
    <t>Shenzhen Bao'an International Airport</t>
  </si>
  <si>
    <t>SZY</t>
  </si>
  <si>
    <t>EPSY</t>
  </si>
  <si>
    <t>Szczytno-Snationalrt</t>
  </si>
  <si>
    <t>KSZY</t>
  </si>
  <si>
    <t>Robert Sibley Airport</t>
  </si>
  <si>
    <t>SZZ</t>
  </si>
  <si>
    <t>EPSC</t>
  </si>
  <si>
    <t>Solidarity Szczecin–Goleniów Airport</t>
  </si>
  <si>
    <t>TAB</t>
  </si>
  <si>
    <t>TTCP</t>
  </si>
  <si>
    <t>Crown Point International Airport</t>
  </si>
  <si>
    <t>TAC</t>
  </si>
  <si>
    <t>RPVA</t>
  </si>
  <si>
    <t>Daniel Z. Romualdez Airport</t>
  </si>
  <si>
    <t>TAD</t>
  </si>
  <si>
    <t>KTAD</t>
  </si>
  <si>
    <t>Perry Stokes Airport</t>
  </si>
  <si>
    <t>TAE</t>
  </si>
  <si>
    <t>RKTN</t>
  </si>
  <si>
    <t>Daegu International Airport</t>
  </si>
  <si>
    <t>TAF</t>
  </si>
  <si>
    <t>DAOL</t>
  </si>
  <si>
    <t>Tafaraoui Airport</t>
  </si>
  <si>
    <t>TAG</t>
  </si>
  <si>
    <t>RPVT</t>
  </si>
  <si>
    <t>Tagbilaran Airport</t>
  </si>
  <si>
    <t>TAH</t>
  </si>
  <si>
    <t>NVVW</t>
  </si>
  <si>
    <t>Tanna Airport</t>
  </si>
  <si>
    <t>TAI</t>
  </si>
  <si>
    <t>OYTZ</t>
  </si>
  <si>
    <t>Ta'izz International Airport</t>
  </si>
  <si>
    <t>TAK</t>
  </si>
  <si>
    <t>RJOT</t>
  </si>
  <si>
    <t>Takamatsu Airport</t>
  </si>
  <si>
    <t>TAL</t>
  </si>
  <si>
    <t>PATA</t>
  </si>
  <si>
    <t>Ralph M. Calhoun Memorial Airport</t>
  </si>
  <si>
    <t>TAM</t>
  </si>
  <si>
    <t>MMTM</t>
  </si>
  <si>
    <t>General Francisco Javier Mina International Airport</t>
  </si>
  <si>
    <t>TAN</t>
  </si>
  <si>
    <t>YTGA</t>
  </si>
  <si>
    <t>Tangalooma Airport</t>
  </si>
  <si>
    <t>KTAN</t>
  </si>
  <si>
    <t>Taunton Municipal Airport</t>
  </si>
  <si>
    <t>TAO</t>
  </si>
  <si>
    <t>ZSQD</t>
  </si>
  <si>
    <t>Qingdao Liuting International Airport</t>
  </si>
  <si>
    <t>TAP</t>
  </si>
  <si>
    <t>MMTP</t>
  </si>
  <si>
    <t>Tapachula International Airport</t>
  </si>
  <si>
    <t>TAQ</t>
  </si>
  <si>
    <t>YTAR</t>
  </si>
  <si>
    <t>Tarcoola Airport</t>
  </si>
  <si>
    <t>TAR</t>
  </si>
  <si>
    <t>LIBG</t>
  </si>
  <si>
    <t>Taranto / Grottaglie Airport</t>
  </si>
  <si>
    <t>TAS</t>
  </si>
  <si>
    <t>UTTT</t>
  </si>
  <si>
    <t>Yuzhny Airport</t>
  </si>
  <si>
    <t>TAT</t>
  </si>
  <si>
    <t>LZTT</t>
  </si>
  <si>
    <t>Poprad-Tatry Airport</t>
  </si>
  <si>
    <t>TAW</t>
  </si>
  <si>
    <t>SUTB</t>
  </si>
  <si>
    <t>Tacuarembo Airport</t>
  </si>
  <si>
    <t>TAX</t>
  </si>
  <si>
    <t>WAPT</t>
  </si>
  <si>
    <t>Taliabu Island Airport</t>
  </si>
  <si>
    <t>TAY</t>
  </si>
  <si>
    <t>EETU</t>
  </si>
  <si>
    <t>Tartu-Ülenurme Airport</t>
  </si>
  <si>
    <t>TAZ</t>
  </si>
  <si>
    <t>UTAT</t>
  </si>
  <si>
    <t>Daşoguz Airport</t>
  </si>
  <si>
    <t>KTAZ</t>
  </si>
  <si>
    <t>Taylorville Municipal Airport</t>
  </si>
  <si>
    <t>TBB</t>
  </si>
  <si>
    <t>VVTH</t>
  </si>
  <si>
    <t>Dong Tac Airport</t>
  </si>
  <si>
    <t>TBF</t>
  </si>
  <si>
    <t>NGTE</t>
  </si>
  <si>
    <t>Tabiteuea North Airport</t>
  </si>
  <si>
    <t>TBG</t>
  </si>
  <si>
    <t>AYTB</t>
  </si>
  <si>
    <t>Tabubil Airport</t>
  </si>
  <si>
    <t>TBH</t>
  </si>
  <si>
    <t>RPVU</t>
  </si>
  <si>
    <t>Romblon Airport</t>
  </si>
  <si>
    <t>TBJ</t>
  </si>
  <si>
    <t>DTKA</t>
  </si>
  <si>
    <t>Tabarka 7 Novembre Airport</t>
  </si>
  <si>
    <t>TBK</t>
  </si>
  <si>
    <t>YTBR</t>
  </si>
  <si>
    <t>Timber Creek Airport</t>
  </si>
  <si>
    <t>TBL</t>
  </si>
  <si>
    <t>YTAB</t>
  </si>
  <si>
    <t>Tableland Homestead Airport</t>
  </si>
  <si>
    <t>TBN</t>
  </si>
  <si>
    <t>KTBN</t>
  </si>
  <si>
    <t>Waynesville Regional Airport (Forney Field)</t>
  </si>
  <si>
    <t>TBO</t>
  </si>
  <si>
    <t>HTTB</t>
  </si>
  <si>
    <t>Tabora Airport</t>
  </si>
  <si>
    <t>TBP</t>
  </si>
  <si>
    <t>SPME</t>
  </si>
  <si>
    <t>Capitan FAP Pedro Canga Rodriguez Airport</t>
  </si>
  <si>
    <t>TBR</t>
  </si>
  <si>
    <t>KTBR</t>
  </si>
  <si>
    <t>Statesboro-Bulloch County Airport</t>
  </si>
  <si>
    <t>TBS</t>
  </si>
  <si>
    <t>UGTB</t>
  </si>
  <si>
    <t>Tbilisi International Airport</t>
  </si>
  <si>
    <t>TBT</t>
  </si>
  <si>
    <t>SBTT</t>
  </si>
  <si>
    <t>Tabatinga International Airport</t>
  </si>
  <si>
    <t>TBU</t>
  </si>
  <si>
    <t>SKTB</t>
  </si>
  <si>
    <t>Tibú Airport</t>
  </si>
  <si>
    <t>NFTF</t>
  </si>
  <si>
    <t>Fua?amotu International Airport</t>
  </si>
  <si>
    <t>TBW</t>
  </si>
  <si>
    <t>UUOT</t>
  </si>
  <si>
    <t>Donskoye Airport</t>
  </si>
  <si>
    <t>TBY</t>
  </si>
  <si>
    <t>FBTS</t>
  </si>
  <si>
    <t>Tshabong Airport</t>
  </si>
  <si>
    <t>TBZ</t>
  </si>
  <si>
    <t>OITT</t>
  </si>
  <si>
    <t>Tabriz International Airport</t>
  </si>
  <si>
    <t>TCA</t>
  </si>
  <si>
    <t>YTNK</t>
  </si>
  <si>
    <t>Tennant Creek Airport</t>
  </si>
  <si>
    <t>TCB</t>
  </si>
  <si>
    <t>MYAT</t>
  </si>
  <si>
    <t>Treasure Cay Airport</t>
  </si>
  <si>
    <t>TCC</t>
  </si>
  <si>
    <t>KTCC</t>
  </si>
  <si>
    <t>Tucumcari Municipal Airport</t>
  </si>
  <si>
    <t>TCE</t>
  </si>
  <si>
    <t>LRTC</t>
  </si>
  <si>
    <t>Tulcea Airport</t>
  </si>
  <si>
    <t>TCG</t>
  </si>
  <si>
    <t>ZWTC</t>
  </si>
  <si>
    <t>Tacheng Airport</t>
  </si>
  <si>
    <t>SPCH</t>
  </si>
  <si>
    <t>Tocache Airport</t>
  </si>
  <si>
    <t>TCH</t>
  </si>
  <si>
    <t>FOOT</t>
  </si>
  <si>
    <t>Tchibanga Airport</t>
  </si>
  <si>
    <t>TCL</t>
  </si>
  <si>
    <t>KTCL</t>
  </si>
  <si>
    <t>Tuscaloosa Regional Airport</t>
  </si>
  <si>
    <t>TCM</t>
  </si>
  <si>
    <t>KTCM</t>
  </si>
  <si>
    <t>McChord AFB</t>
  </si>
  <si>
    <t>TCN</t>
  </si>
  <si>
    <t>MMHC</t>
  </si>
  <si>
    <t>Tehuacán Airport</t>
  </si>
  <si>
    <t>TCO</t>
  </si>
  <si>
    <t>SKCO</t>
  </si>
  <si>
    <t>TCP</t>
  </si>
  <si>
    <t>HETB</t>
  </si>
  <si>
    <t>Taba International Airport</t>
  </si>
  <si>
    <t>TCQ</t>
  </si>
  <si>
    <t>SPTN</t>
  </si>
  <si>
    <t>Coronel FAP Carlos Ciriani Santa Rosa International Airport</t>
  </si>
  <si>
    <t>TCS</t>
  </si>
  <si>
    <t>KTCS</t>
  </si>
  <si>
    <t>Truth or Consequences Municipal Airport</t>
  </si>
  <si>
    <t>TCU</t>
  </si>
  <si>
    <t>FATN</t>
  </si>
  <si>
    <t>Thaba Nchu Tar Airport</t>
  </si>
  <si>
    <t>TCW</t>
  </si>
  <si>
    <t>YTOC</t>
  </si>
  <si>
    <t>Tocumwal Airport</t>
  </si>
  <si>
    <t>TCX</t>
  </si>
  <si>
    <t>OIMT</t>
  </si>
  <si>
    <t>Tabas Airport</t>
  </si>
  <si>
    <t>TCY</t>
  </si>
  <si>
    <t>KTCY</t>
  </si>
  <si>
    <t>Tracy Municipal Airport</t>
  </si>
  <si>
    <t>TCZ</t>
  </si>
  <si>
    <t>ZUTC</t>
  </si>
  <si>
    <t>Tengchong Tuofeng Airport</t>
  </si>
  <si>
    <t>TDA</t>
  </si>
  <si>
    <t>SKTD</t>
  </si>
  <si>
    <t>Trinidad Airport</t>
  </si>
  <si>
    <t>TDD</t>
  </si>
  <si>
    <t>SLTR</t>
  </si>
  <si>
    <t>Teniente Jorge Henrich Arauz Airport</t>
  </si>
  <si>
    <t>TDF</t>
  </si>
  <si>
    <t>KTDF</t>
  </si>
  <si>
    <t>Person County Airport</t>
  </si>
  <si>
    <t>TDG</t>
  </si>
  <si>
    <t>RPMW</t>
  </si>
  <si>
    <t>Tandag Airport</t>
  </si>
  <si>
    <t>TDJ</t>
  </si>
  <si>
    <t>HDTJ</t>
  </si>
  <si>
    <t>Tadjoura Airport</t>
  </si>
  <si>
    <t>TDK</t>
  </si>
  <si>
    <t>UAAT</t>
  </si>
  <si>
    <t>Taldykorgan Airport</t>
  </si>
  <si>
    <t>TDL</t>
  </si>
  <si>
    <t>SAZT</t>
  </si>
  <si>
    <t>Tandil Airport</t>
  </si>
  <si>
    <t>TDO</t>
  </si>
  <si>
    <t>KTDO</t>
  </si>
  <si>
    <t>South Lewis County Airport (Ed Carlson Memorial Field)</t>
  </si>
  <si>
    <t>TDR</t>
  </si>
  <si>
    <t>YTDR</t>
  </si>
  <si>
    <t>Theodore Airport</t>
  </si>
  <si>
    <t>TDV</t>
  </si>
  <si>
    <t>FMSN</t>
  </si>
  <si>
    <t>Samangoky Airport</t>
  </si>
  <si>
    <t>TDW</t>
  </si>
  <si>
    <t>KTDW</t>
  </si>
  <si>
    <t>Tradewind Airport</t>
  </si>
  <si>
    <t>TDX</t>
  </si>
  <si>
    <t>VTBO</t>
  </si>
  <si>
    <t>Trat Airport</t>
  </si>
  <si>
    <t>TDZ</t>
  </si>
  <si>
    <t>KTDZ</t>
  </si>
  <si>
    <t>Metcalf Field</t>
  </si>
  <si>
    <t>TEA</t>
  </si>
  <si>
    <t>MHTE</t>
  </si>
  <si>
    <t>Tela Airport</t>
  </si>
  <si>
    <t>TEB</t>
  </si>
  <si>
    <t>KTEB</t>
  </si>
  <si>
    <t>Teterboro Airport</t>
  </si>
  <si>
    <t>TEC</t>
  </si>
  <si>
    <t>SBTL</t>
  </si>
  <si>
    <t>Telêmaco Borba Airport</t>
  </si>
  <si>
    <t>TED</t>
  </si>
  <si>
    <t>EKTS</t>
  </si>
  <si>
    <t>Thisted Airport</t>
  </si>
  <si>
    <t>TEE</t>
  </si>
  <si>
    <t>DABS</t>
  </si>
  <si>
    <t>Cheikh Larbi Tébessi Airport</t>
  </si>
  <si>
    <t>TEF</t>
  </si>
  <si>
    <t>YTEF</t>
  </si>
  <si>
    <t>Telfer Airport</t>
  </si>
  <si>
    <t>TEG</t>
  </si>
  <si>
    <t>DFET</t>
  </si>
  <si>
    <t>Tenkodogo Airport</t>
  </si>
  <si>
    <t>TEI</t>
  </si>
  <si>
    <t>VETJ</t>
  </si>
  <si>
    <t>Tezu Airport</t>
  </si>
  <si>
    <t>TEL</t>
  </si>
  <si>
    <t>WBKE</t>
  </si>
  <si>
    <t>Telupid Airport</t>
  </si>
  <si>
    <t>KTEL</t>
  </si>
  <si>
    <t>Perry County Municipal Airport</t>
  </si>
  <si>
    <t>TEM</t>
  </si>
  <si>
    <t>YTEM</t>
  </si>
  <si>
    <t>Temora Airport</t>
  </si>
  <si>
    <t>TEN</t>
  </si>
  <si>
    <t>ZUTR</t>
  </si>
  <si>
    <t>Tongren Daxing Airport</t>
  </si>
  <si>
    <t>TEQ</t>
  </si>
  <si>
    <t>LTBU</t>
  </si>
  <si>
    <t>Çorlu Airport</t>
  </si>
  <si>
    <t>TER</t>
  </si>
  <si>
    <t>LPLA</t>
  </si>
  <si>
    <t>Lajes Airport</t>
  </si>
  <si>
    <t>TES</t>
  </si>
  <si>
    <t>HHTS</t>
  </si>
  <si>
    <t>Tessenei Airport</t>
  </si>
  <si>
    <t>TET</t>
  </si>
  <si>
    <t>FQTT</t>
  </si>
  <si>
    <t>Chingozi Airport</t>
  </si>
  <si>
    <t>TEU</t>
  </si>
  <si>
    <t>NZMO</t>
  </si>
  <si>
    <t>Manapouri Airport</t>
  </si>
  <si>
    <t>TEW</t>
  </si>
  <si>
    <t>KTEW</t>
  </si>
  <si>
    <t>Mason Jewett Field</t>
  </si>
  <si>
    <t>TEX</t>
  </si>
  <si>
    <t>KTEX</t>
  </si>
  <si>
    <t>Telluride Regional Airport</t>
  </si>
  <si>
    <t>TEY</t>
  </si>
  <si>
    <t>BITE</t>
  </si>
  <si>
    <t>Ãžingeyri Airport</t>
  </si>
  <si>
    <t>TEZ</t>
  </si>
  <si>
    <t>VETZ</t>
  </si>
  <si>
    <t>Tezpur Airport</t>
  </si>
  <si>
    <t>TFF</t>
  </si>
  <si>
    <t>SBTF</t>
  </si>
  <si>
    <t>Tefé Airport</t>
  </si>
  <si>
    <t>TFL</t>
  </si>
  <si>
    <t>SNTO</t>
  </si>
  <si>
    <t>Juscelino Kubitscheck Airport</t>
  </si>
  <si>
    <t>TFN</t>
  </si>
  <si>
    <t>GCXO</t>
  </si>
  <si>
    <t>Tenerife North Airport (Los Rodeos)</t>
  </si>
  <si>
    <t>TFS</t>
  </si>
  <si>
    <t>GCTS</t>
  </si>
  <si>
    <t>Tenerife South Airport (Reina Sofia)</t>
  </si>
  <si>
    <t>TFT</t>
  </si>
  <si>
    <t>OPTT</t>
  </si>
  <si>
    <t>Taftan Airport</t>
  </si>
  <si>
    <t>TGA</t>
  </si>
  <si>
    <t>WSAT</t>
  </si>
  <si>
    <t>Tengah Air Base</t>
  </si>
  <si>
    <t>TGC</t>
  </si>
  <si>
    <t>WBGT</t>
  </si>
  <si>
    <t>Tanjung Manis Airport</t>
  </si>
  <si>
    <t>KTGC</t>
  </si>
  <si>
    <t>Gibson County Airport</t>
  </si>
  <si>
    <t>TGD</t>
  </si>
  <si>
    <t>LYPG</t>
  </si>
  <si>
    <t>Podgorica Airport</t>
  </si>
  <si>
    <t>TGG</t>
  </si>
  <si>
    <t>WMKN</t>
  </si>
  <si>
    <t>Sultan Mahmud Airport</t>
  </si>
  <si>
    <t>TGH</t>
  </si>
  <si>
    <t>NVST</t>
  </si>
  <si>
    <t>Tongoa Island Airport</t>
  </si>
  <si>
    <t>TGI</t>
  </si>
  <si>
    <t>SPGM</t>
  </si>
  <si>
    <t>Tingo Maria Airport</t>
  </si>
  <si>
    <t>KTGI</t>
  </si>
  <si>
    <t>Tangier Island Airport</t>
  </si>
  <si>
    <t>TGJ</t>
  </si>
  <si>
    <t>NWWA</t>
  </si>
  <si>
    <t>Tiga Airport</t>
  </si>
  <si>
    <t>TGM</t>
  </si>
  <si>
    <t>MMTB</t>
  </si>
  <si>
    <t>Terán Air Base</t>
  </si>
  <si>
    <t>LRTM</t>
  </si>
  <si>
    <t>Târgu Mure? International Airport</t>
  </si>
  <si>
    <t>TGN</t>
  </si>
  <si>
    <t>YLTV</t>
  </si>
  <si>
    <t>Latrobe Valley Airport</t>
  </si>
  <si>
    <t>TGO</t>
  </si>
  <si>
    <t>ZBTL</t>
  </si>
  <si>
    <t>Tongliao Airport</t>
  </si>
  <si>
    <t>TGR</t>
  </si>
  <si>
    <t>DAUK</t>
  </si>
  <si>
    <t>Touggourt Sidi Madhi Airport</t>
  </si>
  <si>
    <t>TGT</t>
  </si>
  <si>
    <t>HTTG</t>
  </si>
  <si>
    <t>Tanga Airport</t>
  </si>
  <si>
    <t>TGU</t>
  </si>
  <si>
    <t>MHTG</t>
  </si>
  <si>
    <t>Toncontín International Airport</t>
  </si>
  <si>
    <t>TGZ</t>
  </si>
  <si>
    <t>MMTG</t>
  </si>
  <si>
    <t>Francisco Sarabia National Airport (Llano San Juan Airport)</t>
  </si>
  <si>
    <t>THA</t>
  </si>
  <si>
    <t>KTHA</t>
  </si>
  <si>
    <t>Tullahoma Regional Airport (William Northern Field)</t>
  </si>
  <si>
    <t>THB</t>
  </si>
  <si>
    <t>FXTA</t>
  </si>
  <si>
    <t>Thaba-Tseka Airport</t>
  </si>
  <si>
    <t>THC</t>
  </si>
  <si>
    <t>GLTN</t>
  </si>
  <si>
    <t>Tchien Airport</t>
  </si>
  <si>
    <t>THE</t>
  </si>
  <si>
    <t>SBTE</t>
  </si>
  <si>
    <t>Senador Petrônio Portella Regional Airport</t>
  </si>
  <si>
    <t>THF</t>
  </si>
  <si>
    <t>EDDI</t>
  </si>
  <si>
    <t>Tempelhof International Airport</t>
  </si>
  <si>
    <t>THG</t>
  </si>
  <si>
    <t>YTNG</t>
  </si>
  <si>
    <t>Thangool Airport</t>
  </si>
  <si>
    <t>THH</t>
  </si>
  <si>
    <t>NZTS</t>
  </si>
  <si>
    <t>Taharoa Aerodrome</t>
  </si>
  <si>
    <t>THI</t>
  </si>
  <si>
    <t>GQNC</t>
  </si>
  <si>
    <t>Tichitt Airport</t>
  </si>
  <si>
    <t>THK</t>
  </si>
  <si>
    <t>VLTK</t>
  </si>
  <si>
    <t>Thakhek Airport</t>
  </si>
  <si>
    <t>THL</t>
  </si>
  <si>
    <t>VYTL</t>
  </si>
  <si>
    <t>Tachilek Airport</t>
  </si>
  <si>
    <t>THM</t>
  </si>
  <si>
    <t>KTHM</t>
  </si>
  <si>
    <t>Thompson Falls Airport</t>
  </si>
  <si>
    <t>THN</t>
  </si>
  <si>
    <t>ESGT</t>
  </si>
  <si>
    <t>Trollhättan-Vänersborg Airport</t>
  </si>
  <si>
    <t>THO</t>
  </si>
  <si>
    <t>BITN</t>
  </si>
  <si>
    <t>Thorshofn Airport</t>
  </si>
  <si>
    <t>THP</t>
  </si>
  <si>
    <t>KTHP</t>
  </si>
  <si>
    <t>Hot Springs County-Thermopolis Municipal Airport</t>
  </si>
  <si>
    <t>THR</t>
  </si>
  <si>
    <t>OIII</t>
  </si>
  <si>
    <t>Mehrabad International Airport</t>
  </si>
  <si>
    <t>THS</t>
  </si>
  <si>
    <t>VTPO</t>
  </si>
  <si>
    <t>Sukhothai Airport</t>
  </si>
  <si>
    <t>THT</t>
  </si>
  <si>
    <t>GQNT</t>
  </si>
  <si>
    <t>Tamchakett Airport</t>
  </si>
  <si>
    <t>THU</t>
  </si>
  <si>
    <t>BGTL</t>
  </si>
  <si>
    <t>Thule Air Base</t>
  </si>
  <si>
    <t>THV</t>
  </si>
  <si>
    <t>KTHV</t>
  </si>
  <si>
    <t>York Airport</t>
  </si>
  <si>
    <t>THY</t>
  </si>
  <si>
    <t>FATH</t>
  </si>
  <si>
    <t>Thohoyandou Airport</t>
  </si>
  <si>
    <t>THZ</t>
  </si>
  <si>
    <t>DRRT</t>
  </si>
  <si>
    <t>Tahoua Airport</t>
  </si>
  <si>
    <t>TIA</t>
  </si>
  <si>
    <t>LATI</t>
  </si>
  <si>
    <t>Tirana International Airport</t>
  </si>
  <si>
    <t>TID</t>
  </si>
  <si>
    <t>DAOB</t>
  </si>
  <si>
    <t>Bou Chekif Airport</t>
  </si>
  <si>
    <t>TIE</t>
  </si>
  <si>
    <t>HATP</t>
  </si>
  <si>
    <t>Tippi Airport</t>
  </si>
  <si>
    <t>TIF</t>
  </si>
  <si>
    <t>OETF</t>
  </si>
  <si>
    <t>Taif Airport</t>
  </si>
  <si>
    <t>TIH</t>
  </si>
  <si>
    <t>NTGC</t>
  </si>
  <si>
    <t>Tikehau Airport</t>
  </si>
  <si>
    <t>TII</t>
  </si>
  <si>
    <t>OATN</t>
  </si>
  <si>
    <t>Tarin Kowt Airport</t>
  </si>
  <si>
    <t>TIJ</t>
  </si>
  <si>
    <t>MMTJ</t>
  </si>
  <si>
    <t>General Abelardo L. Rodríguez International Airport</t>
  </si>
  <si>
    <t>TIK</t>
  </si>
  <si>
    <t>KTIK</t>
  </si>
  <si>
    <t>Tinker AFB</t>
  </si>
  <si>
    <t>TIM</t>
  </si>
  <si>
    <t>WABP</t>
  </si>
  <si>
    <t>Moses Kilangin Airport</t>
  </si>
  <si>
    <t>TIN</t>
  </si>
  <si>
    <t>DAOF</t>
  </si>
  <si>
    <t>Tindouf Airport</t>
  </si>
  <si>
    <t>TIO</t>
  </si>
  <si>
    <t>VYHN</t>
  </si>
  <si>
    <t>Tilin Airport</t>
  </si>
  <si>
    <t>TIP</t>
  </si>
  <si>
    <t>HLLT</t>
  </si>
  <si>
    <t>Tripoli International Airport</t>
  </si>
  <si>
    <t>KTIP</t>
  </si>
  <si>
    <t>Rantoul National Aviation Center (Frank Elliott Field)</t>
  </si>
  <si>
    <t>TIQ</t>
  </si>
  <si>
    <t>PGWT</t>
  </si>
  <si>
    <t>Tinian International Airport</t>
  </si>
  <si>
    <t>TIR</t>
  </si>
  <si>
    <t>VOTP</t>
  </si>
  <si>
    <t>Tirupati Airport</t>
  </si>
  <si>
    <t>TIU</t>
  </si>
  <si>
    <t>NZTU</t>
  </si>
  <si>
    <t>Richard Pearse Airport</t>
  </si>
  <si>
    <t>TIV</t>
  </si>
  <si>
    <t>LYTV</t>
  </si>
  <si>
    <t>Tivat Airport</t>
  </si>
  <si>
    <t>TIW</t>
  </si>
  <si>
    <t>KTIW</t>
  </si>
  <si>
    <t>Tacoma Narrows Airport</t>
  </si>
  <si>
    <t>TIX</t>
  </si>
  <si>
    <t>KTIX</t>
  </si>
  <si>
    <t>Space Coast Regional Airport</t>
  </si>
  <si>
    <t>TIY</t>
  </si>
  <si>
    <t>GQND</t>
  </si>
  <si>
    <t>Tidjikja Airport</t>
  </si>
  <si>
    <t>TIZ</t>
  </si>
  <si>
    <t>AYTA</t>
  </si>
  <si>
    <t>Tari Airport</t>
  </si>
  <si>
    <t>TJ?</t>
  </si>
  <si>
    <t>USTR</t>
  </si>
  <si>
    <t>Roschino Airport</t>
  </si>
  <si>
    <t>TJA</t>
  </si>
  <si>
    <t>SLTJ</t>
  </si>
  <si>
    <t>Capitán Oriel Lea Plaza Airport</t>
  </si>
  <si>
    <t>TJB</t>
  </si>
  <si>
    <t>WIBT</t>
  </si>
  <si>
    <t>Tanjung Balai Airport</t>
  </si>
  <si>
    <t>TJG</t>
  </si>
  <si>
    <t>WAON</t>
  </si>
  <si>
    <t>Warukin Airport</t>
  </si>
  <si>
    <t>TJH</t>
  </si>
  <si>
    <t>RJBT</t>
  </si>
  <si>
    <t>Tajima Airport</t>
  </si>
  <si>
    <t>TJI</t>
  </si>
  <si>
    <t>MHTJ</t>
  </si>
  <si>
    <t>Trujillo Airport</t>
  </si>
  <si>
    <t>TJK</t>
  </si>
  <si>
    <t>LTAW</t>
  </si>
  <si>
    <t>Tokat Airport</t>
  </si>
  <si>
    <t>TJM</t>
  </si>
  <si>
    <t>Roshchino International Airport</t>
  </si>
  <si>
    <t>TJQ</t>
  </si>
  <si>
    <t>WIKD</t>
  </si>
  <si>
    <t>Buluh Tumbang Airport</t>
  </si>
  <si>
    <t>WIOD</t>
  </si>
  <si>
    <t>Buluh Tumbang (H A S Hanandjoeddin) Airport</t>
  </si>
  <si>
    <t>TJS</t>
  </si>
  <si>
    <t>WALG</t>
  </si>
  <si>
    <t>Tanjung Harapan Airport</t>
  </si>
  <si>
    <t>TJU</t>
  </si>
  <si>
    <t>UTDK</t>
  </si>
  <si>
    <t>Kulob Airport</t>
  </si>
  <si>
    <t>TJV</t>
  </si>
  <si>
    <t>VOTJ</t>
  </si>
  <si>
    <t>Tanjore Air Force Base</t>
  </si>
  <si>
    <t>TKA</t>
  </si>
  <si>
    <t>PATK</t>
  </si>
  <si>
    <t>Talkeetna Airport</t>
  </si>
  <si>
    <t>TKC</t>
  </si>
  <si>
    <t>FKKC</t>
  </si>
  <si>
    <t>Tiko Airport</t>
  </si>
  <si>
    <t>KTKC</t>
  </si>
  <si>
    <t>TKD</t>
  </si>
  <si>
    <t>DGTK</t>
  </si>
  <si>
    <t>Takoradi Airport</t>
  </si>
  <si>
    <t>TKG</t>
  </si>
  <si>
    <t>WIAT</t>
  </si>
  <si>
    <t>Radin Inten II (Branti) Airport</t>
  </si>
  <si>
    <t>TKH</t>
  </si>
  <si>
    <t>VTPI</t>
  </si>
  <si>
    <t>Takhli Airport</t>
  </si>
  <si>
    <t>TKI</t>
  </si>
  <si>
    <t>KTKI</t>
  </si>
  <si>
    <t>Collin County Regional Airport at McKinney</t>
  </si>
  <si>
    <t>TKJ</t>
  </si>
  <si>
    <t>PATJ</t>
  </si>
  <si>
    <t>Tok Airport</t>
  </si>
  <si>
    <t>TKK</t>
  </si>
  <si>
    <t>PTKK</t>
  </si>
  <si>
    <t>Chuuk International Airport</t>
  </si>
  <si>
    <t>TKN</t>
  </si>
  <si>
    <t>RJKN</t>
  </si>
  <si>
    <t>Tokunoshima Airport</t>
  </si>
  <si>
    <t>TKO</t>
  </si>
  <si>
    <t>FXTK</t>
  </si>
  <si>
    <t>Tlokoeng Airport</t>
  </si>
  <si>
    <t>KTKO</t>
  </si>
  <si>
    <t>Mankato Airport</t>
  </si>
  <si>
    <t>TKP</t>
  </si>
  <si>
    <t>NTGT</t>
  </si>
  <si>
    <t>Takapoto Airport</t>
  </si>
  <si>
    <t>TKQ</t>
  </si>
  <si>
    <t>HTKA</t>
  </si>
  <si>
    <t>Kigoma Airport</t>
  </si>
  <si>
    <t>TKR</t>
  </si>
  <si>
    <t>VGSG</t>
  </si>
  <si>
    <t>Thakurgaon Airport</t>
  </si>
  <si>
    <t>TKS</t>
  </si>
  <si>
    <t>RJOS</t>
  </si>
  <si>
    <t>Tokushima Airport</t>
  </si>
  <si>
    <t>TKT</t>
  </si>
  <si>
    <t>VTPT</t>
  </si>
  <si>
    <t>Tak Airport</t>
  </si>
  <si>
    <t>TKU</t>
  </si>
  <si>
    <t>EFTU</t>
  </si>
  <si>
    <t>Turku Airport</t>
  </si>
  <si>
    <t>TKV</t>
  </si>
  <si>
    <t>NTGO</t>
  </si>
  <si>
    <t>Tatakoto Airport</t>
  </si>
  <si>
    <t>KTKV</t>
  </si>
  <si>
    <t>Tomahawk Regional Airport</t>
  </si>
  <si>
    <t>TKX</t>
  </si>
  <si>
    <t>NTKR</t>
  </si>
  <si>
    <t>Takaroa Airport</t>
  </si>
  <si>
    <t>KTKX</t>
  </si>
  <si>
    <t>Kennett Memorial Airport</t>
  </si>
  <si>
    <t>TKY</t>
  </si>
  <si>
    <t>YTKY</t>
  </si>
  <si>
    <t>Turkey Creek Airport</t>
  </si>
  <si>
    <t>TKZ</t>
  </si>
  <si>
    <t>NZTO</t>
  </si>
  <si>
    <t>Tokoroa Airfield</t>
  </si>
  <si>
    <t>TLA</t>
  </si>
  <si>
    <t>PATE</t>
  </si>
  <si>
    <t>Teller Airport</t>
  </si>
  <si>
    <t>TLB</t>
  </si>
  <si>
    <t>OPTA</t>
  </si>
  <si>
    <t>Tarbela Dam Airport</t>
  </si>
  <si>
    <t>TLC</t>
  </si>
  <si>
    <t>MMTO</t>
  </si>
  <si>
    <t>Lic. Adolfo López Mateos International Airport</t>
  </si>
  <si>
    <t>TLD</t>
  </si>
  <si>
    <t>FBTL</t>
  </si>
  <si>
    <t>Limpopo Valley Airport</t>
  </si>
  <si>
    <t>TLE</t>
  </si>
  <si>
    <t>FMST</t>
  </si>
  <si>
    <t>Toliara Airport</t>
  </si>
  <si>
    <t>TLH</t>
  </si>
  <si>
    <t>KTLH</t>
  </si>
  <si>
    <t>Tallahassee Regional Airport</t>
  </si>
  <si>
    <t>TLI</t>
  </si>
  <si>
    <t>WAMI</t>
  </si>
  <si>
    <t>Toli Toli Airport</t>
  </si>
  <si>
    <t>TLJ</t>
  </si>
  <si>
    <t>PATL</t>
  </si>
  <si>
    <t>Tatalina LRRS</t>
  </si>
  <si>
    <t>TLL</t>
  </si>
  <si>
    <t>EETN</t>
  </si>
  <si>
    <t>Tallinn Airport</t>
  </si>
  <si>
    <t>TLM</t>
  </si>
  <si>
    <t>DAON</t>
  </si>
  <si>
    <t>Zenata â€“ Messali El Hadj Airport</t>
  </si>
  <si>
    <t>TLR</t>
  </si>
  <si>
    <t>KTLR</t>
  </si>
  <si>
    <t>Mefford Field</t>
  </si>
  <si>
    <t>TLS</t>
  </si>
  <si>
    <t>LFBO</t>
  </si>
  <si>
    <t>Toulouse Blagnac International Airport</t>
  </si>
  <si>
    <t>TLU</t>
  </si>
  <si>
    <t>SKTL</t>
  </si>
  <si>
    <t>Tolú Airport</t>
  </si>
  <si>
    <t>TLV</t>
  </si>
  <si>
    <t>LLBG</t>
  </si>
  <si>
    <t>Ben Gurion International Airport</t>
  </si>
  <si>
    <t>TLX</t>
  </si>
  <si>
    <t>SCTL</t>
  </si>
  <si>
    <t>Panguilemo Airport</t>
  </si>
  <si>
    <t>TLZ</t>
  </si>
  <si>
    <t>SWKT</t>
  </si>
  <si>
    <t>Catalão Airport</t>
  </si>
  <si>
    <t>TMA</t>
  </si>
  <si>
    <t>KTMA</t>
  </si>
  <si>
    <t>Henry Tift Myers Airport</t>
  </si>
  <si>
    <t>TMB</t>
  </si>
  <si>
    <t>KTMB</t>
  </si>
  <si>
    <t>Miami Executive Airport</t>
  </si>
  <si>
    <t>TMC</t>
  </si>
  <si>
    <t>WADT</t>
  </si>
  <si>
    <t>Tambolaka Airport</t>
  </si>
  <si>
    <t>TMD</t>
  </si>
  <si>
    <t>GQNH</t>
  </si>
  <si>
    <t>Timbedra Airport</t>
  </si>
  <si>
    <t>TME</t>
  </si>
  <si>
    <t>SKTM</t>
  </si>
  <si>
    <t>Gabriel Vargas Santos Airport</t>
  </si>
  <si>
    <t>TMG</t>
  </si>
  <si>
    <t>WBKM</t>
  </si>
  <si>
    <t>Tomanggong Airport</t>
  </si>
  <si>
    <t>TMH</t>
  </si>
  <si>
    <t>WAKT</t>
  </si>
  <si>
    <t>Tanah Merah Airport</t>
  </si>
  <si>
    <t>TMI</t>
  </si>
  <si>
    <t>VNTR</t>
  </si>
  <si>
    <t>Tumlingtar Airport</t>
  </si>
  <si>
    <t>TMJ</t>
  </si>
  <si>
    <t>UTST</t>
  </si>
  <si>
    <t>Termez Airport</t>
  </si>
  <si>
    <t>TML</t>
  </si>
  <si>
    <t>DGLE</t>
  </si>
  <si>
    <t>Tamale Airport</t>
  </si>
  <si>
    <t>TMM</t>
  </si>
  <si>
    <t>FMMT</t>
  </si>
  <si>
    <t>Toamasina Airport</t>
  </si>
  <si>
    <t>TMN</t>
  </si>
  <si>
    <t>NGTM</t>
  </si>
  <si>
    <t>Tamana Island Airport</t>
  </si>
  <si>
    <t>TMO</t>
  </si>
  <si>
    <t>SVTM</t>
  </si>
  <si>
    <t>Tumeremo Airport</t>
  </si>
  <si>
    <t>TMP</t>
  </si>
  <si>
    <t>EFTP</t>
  </si>
  <si>
    <t>Tampere-Pirkkala Airport</t>
  </si>
  <si>
    <t>TMQ</t>
  </si>
  <si>
    <t>DFEM</t>
  </si>
  <si>
    <t>Tambao Airport</t>
  </si>
  <si>
    <t>TMR</t>
  </si>
  <si>
    <t>DAAT</t>
  </si>
  <si>
    <t>Aguenar â€“ Hadj Bey Akhamok Airport</t>
  </si>
  <si>
    <t>TMS</t>
  </si>
  <si>
    <t>FPST</t>
  </si>
  <si>
    <t>São_Tomé_International_Airport</t>
  </si>
  <si>
    <t>TMT</t>
  </si>
  <si>
    <t>SBTB</t>
  </si>
  <si>
    <t>Trombetas Airport</t>
  </si>
  <si>
    <t>TMU</t>
  </si>
  <si>
    <t>MRTR</t>
  </si>
  <si>
    <t>Tambor Airport</t>
  </si>
  <si>
    <t>TMW</t>
  </si>
  <si>
    <t>YSTW</t>
  </si>
  <si>
    <t>Tamworth, New South Wales, Australia</t>
  </si>
  <si>
    <t>TMX</t>
  </si>
  <si>
    <t>DAUT</t>
  </si>
  <si>
    <t>Timimoun Airport</t>
  </si>
  <si>
    <t>TMZ</t>
  </si>
  <si>
    <t>NZTH</t>
  </si>
  <si>
    <t>Thames Aerodrome</t>
  </si>
  <si>
    <t>TNA</t>
  </si>
  <si>
    <t>ZSJN</t>
  </si>
  <si>
    <t>Yaoqiang Airport</t>
  </si>
  <si>
    <t>TNB</t>
  </si>
  <si>
    <t>WRLH</t>
  </si>
  <si>
    <t>Tanah Grogot Airport</t>
  </si>
  <si>
    <t>TNC</t>
  </si>
  <si>
    <t>PATC</t>
  </si>
  <si>
    <t>Tin City Long Range Radar Station</t>
  </si>
  <si>
    <t>TND</t>
  </si>
  <si>
    <t>MUTD</t>
  </si>
  <si>
    <t>Alberto Delgado Airport</t>
  </si>
  <si>
    <t>TNE</t>
  </si>
  <si>
    <t>RJFG</t>
  </si>
  <si>
    <t>New Tanegashima Airport</t>
  </si>
  <si>
    <t>TNF</t>
  </si>
  <si>
    <t>LFPN</t>
  </si>
  <si>
    <t>Toussus-le-Noble Airport</t>
  </si>
  <si>
    <t>TNG</t>
  </si>
  <si>
    <t>GMTT</t>
  </si>
  <si>
    <t>Ibn Batouta International Airport</t>
  </si>
  <si>
    <t>TNH</t>
  </si>
  <si>
    <t>ZYTN</t>
  </si>
  <si>
    <t>Tonghua Liuhe Airport</t>
  </si>
  <si>
    <t>TNI</t>
  </si>
  <si>
    <t>VIST</t>
  </si>
  <si>
    <t>Satna Airport</t>
  </si>
  <si>
    <t>TNJ</t>
  </si>
  <si>
    <t>WIDN</t>
  </si>
  <si>
    <t>Kijang Airport</t>
  </si>
  <si>
    <t>TNL</t>
  </si>
  <si>
    <t>UKLT</t>
  </si>
  <si>
    <t>Ternopil International Airport</t>
  </si>
  <si>
    <t>TNN</t>
  </si>
  <si>
    <t>RCNN</t>
  </si>
  <si>
    <t>Tainan Airport</t>
  </si>
  <si>
    <t>TNO</t>
  </si>
  <si>
    <t>MRCV</t>
  </si>
  <si>
    <t>Cabo Velas Airport</t>
  </si>
  <si>
    <t>MRTM</t>
  </si>
  <si>
    <t>Tamarindo Airport</t>
  </si>
  <si>
    <t>TNP</t>
  </si>
  <si>
    <t>KTNP</t>
  </si>
  <si>
    <t>Twentynine Palms Airport</t>
  </si>
  <si>
    <t>TNR</t>
  </si>
  <si>
    <t>FMMI</t>
  </si>
  <si>
    <t>Antananarivo Arivonimamo Airport</t>
  </si>
  <si>
    <t>TNT</t>
  </si>
  <si>
    <t>KTNT</t>
  </si>
  <si>
    <t>Dade-Collier Training and Transition Airport</t>
  </si>
  <si>
    <t>TNU</t>
  </si>
  <si>
    <t>KTNU</t>
  </si>
  <si>
    <t>Newton Municipal Airport</t>
  </si>
  <si>
    <t>TNV</t>
  </si>
  <si>
    <t>PLFA</t>
  </si>
  <si>
    <t>Tabuaeran Island Airport</t>
  </si>
  <si>
    <t>TNW</t>
  </si>
  <si>
    <t>PAFL</t>
  </si>
  <si>
    <t>Tin Creek Airport</t>
  </si>
  <si>
    <t>TNX</t>
  </si>
  <si>
    <t>VDST</t>
  </si>
  <si>
    <t>Stung Treng Airport</t>
  </si>
  <si>
    <t>TOA</t>
  </si>
  <si>
    <t>KTOA</t>
  </si>
  <si>
    <t>Zamperini Field</t>
  </si>
  <si>
    <t>TOB</t>
  </si>
  <si>
    <t>HLGN</t>
  </si>
  <si>
    <t>Gamal Abdel Nasser Airport</t>
  </si>
  <si>
    <t>KTOB</t>
  </si>
  <si>
    <t>Dodge Center Airport</t>
  </si>
  <si>
    <t>TOC</t>
  </si>
  <si>
    <t>KTOC</t>
  </si>
  <si>
    <t>Toccoa RG Letourneau Field</t>
  </si>
  <si>
    <t>TOD</t>
  </si>
  <si>
    <t>WMBT</t>
  </si>
  <si>
    <t>Pulau Tioman Airport</t>
  </si>
  <si>
    <t>TOE</t>
  </si>
  <si>
    <t>DTTZ</t>
  </si>
  <si>
    <t>Tozeur Nefta International Airport</t>
  </si>
  <si>
    <t>TOF</t>
  </si>
  <si>
    <t>UNTT</t>
  </si>
  <si>
    <t>Bogashevo Airport</t>
  </si>
  <si>
    <t>TOG</t>
  </si>
  <si>
    <t>PATG</t>
  </si>
  <si>
    <t>Togiak Airport</t>
  </si>
  <si>
    <t>TOH</t>
  </si>
  <si>
    <t>NVSD</t>
  </si>
  <si>
    <t>Torres Airstrip</t>
  </si>
  <si>
    <t>TOI</t>
  </si>
  <si>
    <t>KTOI</t>
  </si>
  <si>
    <t>Troy Municipal Airport</t>
  </si>
  <si>
    <t>TOJ</t>
  </si>
  <si>
    <t>LETO</t>
  </si>
  <si>
    <t>Madrid-Torrejón Airport</t>
  </si>
  <si>
    <t>TOL</t>
  </si>
  <si>
    <t>KTOL</t>
  </si>
  <si>
    <t>Toledo Express Airport</t>
  </si>
  <si>
    <t>TOM</t>
  </si>
  <si>
    <t>GATB</t>
  </si>
  <si>
    <t>Timbuktu Airport</t>
  </si>
  <si>
    <t>TOO</t>
  </si>
  <si>
    <t>MRSV</t>
  </si>
  <si>
    <t>San Vito De Java Airport</t>
  </si>
  <si>
    <t>TOP</t>
  </si>
  <si>
    <t>KTOP</t>
  </si>
  <si>
    <t>Philip Billard Municipal Airport</t>
  </si>
  <si>
    <t>TOQ</t>
  </si>
  <si>
    <t>SCBE</t>
  </si>
  <si>
    <t>Barriles Airport</t>
  </si>
  <si>
    <t>TOR</t>
  </si>
  <si>
    <t>KTOR</t>
  </si>
  <si>
    <t>Torrington Municipal Airport</t>
  </si>
  <si>
    <t>TOS</t>
  </si>
  <si>
    <t>ENTC</t>
  </si>
  <si>
    <t>Tromsø Airport</t>
  </si>
  <si>
    <t>TOT</t>
  </si>
  <si>
    <t>SMCD</t>
  </si>
  <si>
    <t>Coronie Airport</t>
  </si>
  <si>
    <t>SMCO</t>
  </si>
  <si>
    <t>Totness Airport</t>
  </si>
  <si>
    <t>TOU</t>
  </si>
  <si>
    <t>NWWU</t>
  </si>
  <si>
    <t>Touho Airport</t>
  </si>
  <si>
    <t>SBTD</t>
  </si>
  <si>
    <t>Toledo Airport</t>
  </si>
  <si>
    <t>TOX</t>
  </si>
  <si>
    <t>USTO</t>
  </si>
  <si>
    <t>Tobolsk Airport</t>
  </si>
  <si>
    <t>TOY</t>
  </si>
  <si>
    <t>RJNT</t>
  </si>
  <si>
    <t>Toyama Airport</t>
  </si>
  <si>
    <t>TPA</t>
  </si>
  <si>
    <t>KTPA</t>
  </si>
  <si>
    <t>Tampa International Airport</t>
  </si>
  <si>
    <t>TPC</t>
  </si>
  <si>
    <t>SETR</t>
  </si>
  <si>
    <t>Tarapoa Airport</t>
  </si>
  <si>
    <t>TPE</t>
  </si>
  <si>
    <t>RCTP</t>
  </si>
  <si>
    <t>Taoyuan International Airport</t>
  </si>
  <si>
    <t>TPF</t>
  </si>
  <si>
    <t>KTPF</t>
  </si>
  <si>
    <t>Peter O. Knight Airport</t>
  </si>
  <si>
    <t>TPG</t>
  </si>
  <si>
    <t>WMBI</t>
  </si>
  <si>
    <t>Taiping (Tekah) Airport</t>
  </si>
  <si>
    <t>TPH</t>
  </si>
  <si>
    <t>KTPH</t>
  </si>
  <si>
    <t>Tonopah Airport</t>
  </si>
  <si>
    <t>TPJ</t>
  </si>
  <si>
    <t>VNTJ</t>
  </si>
  <si>
    <t>Taplejung Airport</t>
  </si>
  <si>
    <t>TPK</t>
  </si>
  <si>
    <t>WITA</t>
  </si>
  <si>
    <t>Teuku Cut Ali Airport</t>
  </si>
  <si>
    <t>TPL</t>
  </si>
  <si>
    <t>KTPL</t>
  </si>
  <si>
    <t>Draughon-Miller Central Texas Regional Airport</t>
  </si>
  <si>
    <t>TPN</t>
  </si>
  <si>
    <t>SETI</t>
  </si>
  <si>
    <t>Tiputini Airport</t>
  </si>
  <si>
    <t>TPO</t>
  </si>
  <si>
    <t>PALJ</t>
  </si>
  <si>
    <t>Port Alsworth Airport</t>
  </si>
  <si>
    <t>TPP</t>
  </si>
  <si>
    <t>SPST</t>
  </si>
  <si>
    <t>Cadete FAP Guillermo Del Castillo Paredes Airport</t>
  </si>
  <si>
    <t>TPQ</t>
  </si>
  <si>
    <t>MMEP</t>
  </si>
  <si>
    <t>Amado Nervo National Airport</t>
  </si>
  <si>
    <t>TPR</t>
  </si>
  <si>
    <t>YTMP</t>
  </si>
  <si>
    <t>Tom Price Airport</t>
  </si>
  <si>
    <t>TPS</t>
  </si>
  <si>
    <t>LICT</t>
  </si>
  <si>
    <t>Trapani-Birgi Airport</t>
  </si>
  <si>
    <t>TQE</t>
  </si>
  <si>
    <t>KTQE</t>
  </si>
  <si>
    <t>Tekamah Municipal Airport</t>
  </si>
  <si>
    <t>TQH</t>
  </si>
  <si>
    <t>KTQH</t>
  </si>
  <si>
    <t>Tahlequah Municipal Airport</t>
  </si>
  <si>
    <t>TQK</t>
  </si>
  <si>
    <t>KTQK</t>
  </si>
  <si>
    <t>Scott City Municipal Airport</t>
  </si>
  <si>
    <t>TQN</t>
  </si>
  <si>
    <t>OATQ</t>
  </si>
  <si>
    <t>Taloqan Airport</t>
  </si>
  <si>
    <t>TQS</t>
  </si>
  <si>
    <t>SKTQ</t>
  </si>
  <si>
    <t>Tres Esquinas Air Base</t>
  </si>
  <si>
    <t>TRA</t>
  </si>
  <si>
    <t>RORT</t>
  </si>
  <si>
    <t>Tarama Airport</t>
  </si>
  <si>
    <t>TRB</t>
  </si>
  <si>
    <t>SKTU</t>
  </si>
  <si>
    <t>Gonzalo Mejía Airport</t>
  </si>
  <si>
    <t>TRC</t>
  </si>
  <si>
    <t>MMTC</t>
  </si>
  <si>
    <t>Francisco Sarabia International Airport (Torreon Internation</t>
  </si>
  <si>
    <t>TRD</t>
  </si>
  <si>
    <t>ENVA</t>
  </si>
  <si>
    <t>Trondheim Airport, Værnes</t>
  </si>
  <si>
    <t>TRE</t>
  </si>
  <si>
    <t>EGPU</t>
  </si>
  <si>
    <t>Tiree Airport</t>
  </si>
  <si>
    <t>TRF</t>
  </si>
  <si>
    <t>ENTO</t>
  </si>
  <si>
    <t>Sandefjord Airport, Torp</t>
  </si>
  <si>
    <t>TRG</t>
  </si>
  <si>
    <t>NZTG</t>
  </si>
  <si>
    <t>Tauranga Airport</t>
  </si>
  <si>
    <t>TRI</t>
  </si>
  <si>
    <t>KTRI</t>
  </si>
  <si>
    <t>Tri-Cities Regional Airport</t>
  </si>
  <si>
    <t>TRK</t>
  </si>
  <si>
    <t>WALR</t>
  </si>
  <si>
    <t>Juwata Airport</t>
  </si>
  <si>
    <t>KTRK</t>
  </si>
  <si>
    <t>Truckee-Tahoe Airport</t>
  </si>
  <si>
    <t>TRL</t>
  </si>
  <si>
    <t>KTRL</t>
  </si>
  <si>
    <t>Terrell Municipal Airport</t>
  </si>
  <si>
    <t>TRM</t>
  </si>
  <si>
    <t>KTRM</t>
  </si>
  <si>
    <t>Jacqueline Cochran Regional Airport</t>
  </si>
  <si>
    <t>TRN</t>
  </si>
  <si>
    <t>LIMF</t>
  </si>
  <si>
    <t>Turin International Airport</t>
  </si>
  <si>
    <t>TRO</t>
  </si>
  <si>
    <t>YTRE</t>
  </si>
  <si>
    <t>Taree Airport</t>
  </si>
  <si>
    <t>TRQ</t>
  </si>
  <si>
    <t>SBTK</t>
  </si>
  <si>
    <t>Tarauacá Airport</t>
  </si>
  <si>
    <t>TRR</t>
  </si>
  <si>
    <t>VCCT</t>
  </si>
  <si>
    <t>China Bay Airport</t>
  </si>
  <si>
    <t>TRS</t>
  </si>
  <si>
    <t>LIPQ</t>
  </si>
  <si>
    <t>Friuli Venezia Giulia Airport</t>
  </si>
  <si>
    <t>TRU</t>
  </si>
  <si>
    <t>SPRU</t>
  </si>
  <si>
    <t>Cap. FAP Carlos Martínez de Pinillos International Airport</t>
  </si>
  <si>
    <t>TRV</t>
  </si>
  <si>
    <t>VOTV</t>
  </si>
  <si>
    <t>Trivandrum International Airport</t>
  </si>
  <si>
    <t>TRW</t>
  </si>
  <si>
    <t>NGTA</t>
  </si>
  <si>
    <t>Bonriki International Airport</t>
  </si>
  <si>
    <t>TRX</t>
  </si>
  <si>
    <t>KTRX</t>
  </si>
  <si>
    <t>Trenton Municipal Airport</t>
  </si>
  <si>
    <t>TRY</t>
  </si>
  <si>
    <t>HUTO</t>
  </si>
  <si>
    <t>Tororo Airport</t>
  </si>
  <si>
    <t>TRZ</t>
  </si>
  <si>
    <t>VOTR</t>
  </si>
  <si>
    <t>Tiruchirapalli Airport</t>
  </si>
  <si>
    <t>TSA</t>
  </si>
  <si>
    <t>RCSS</t>
  </si>
  <si>
    <t>Taipei Songshan Airport</t>
  </si>
  <si>
    <t>TSB</t>
  </si>
  <si>
    <t>FYTM</t>
  </si>
  <si>
    <t>Tsumeb Airport</t>
  </si>
  <si>
    <t>TSC</t>
  </si>
  <si>
    <t>SETH</t>
  </si>
  <si>
    <t>Taisha Airport</t>
  </si>
  <si>
    <t>TSE</t>
  </si>
  <si>
    <t>UACC</t>
  </si>
  <si>
    <t>Astana Airport</t>
  </si>
  <si>
    <t>TSF</t>
  </si>
  <si>
    <t>LIPH</t>
  </si>
  <si>
    <t>Treviso Airport</t>
  </si>
  <si>
    <t>TSH</t>
  </si>
  <si>
    <t>FZUK</t>
  </si>
  <si>
    <t>Tshikapa Airport</t>
  </si>
  <si>
    <t>TSJ</t>
  </si>
  <si>
    <t>RJDT</t>
  </si>
  <si>
    <t>Tsushima Airport</t>
  </si>
  <si>
    <t>TSL</t>
  </si>
  <si>
    <t>MMTN</t>
  </si>
  <si>
    <t>Tamuín National Airport</t>
  </si>
  <si>
    <t>TSN</t>
  </si>
  <si>
    <t>ZBTJ</t>
  </si>
  <si>
    <t>Tianjin Binhai International Airport</t>
  </si>
  <si>
    <t>TSO</t>
  </si>
  <si>
    <t>KTSO</t>
  </si>
  <si>
    <t>Carroll County-Tolson Airport</t>
  </si>
  <si>
    <t>TSP</t>
  </si>
  <si>
    <t>KTSP</t>
  </si>
  <si>
    <t>Tehachapi Municipal Airport</t>
  </si>
  <si>
    <t>TSR</t>
  </si>
  <si>
    <t>LRTR</t>
  </si>
  <si>
    <t>Traian Vuia International Airport</t>
  </si>
  <si>
    <t>TST</t>
  </si>
  <si>
    <t>VTST</t>
  </si>
  <si>
    <t>Trang Airport</t>
  </si>
  <si>
    <t>TSU</t>
  </si>
  <si>
    <t>NGTS</t>
  </si>
  <si>
    <t>Tabiteuea South Airport</t>
  </si>
  <si>
    <t>TSV</t>
  </si>
  <si>
    <t>YBTL</t>
  </si>
  <si>
    <t>Townsville International Airport</t>
  </si>
  <si>
    <t>TSX</t>
  </si>
  <si>
    <t>WALT</t>
  </si>
  <si>
    <t>Tanjung Santan Airport</t>
  </si>
  <si>
    <t>TSY</t>
  </si>
  <si>
    <t>WIAM</t>
  </si>
  <si>
    <t>Tasikmalaya Airport</t>
  </si>
  <si>
    <t>Cibeureum Airport</t>
  </si>
  <si>
    <t>TSZ</t>
  </si>
  <si>
    <t>ZMTG</t>
  </si>
  <si>
    <t>Tsetserleg Airport</t>
  </si>
  <si>
    <t>TTA</t>
  </si>
  <si>
    <t>GMAT</t>
  </si>
  <si>
    <t>Tan Tan Airport {Plage Blanche Airport)</t>
  </si>
  <si>
    <t>TTB</t>
  </si>
  <si>
    <t>LIET</t>
  </si>
  <si>
    <t>Tortoli' / Arbatax Airport</t>
  </si>
  <si>
    <t>TTC</t>
  </si>
  <si>
    <t>SCTT</t>
  </si>
  <si>
    <t>Las Breas Airport</t>
  </si>
  <si>
    <t>TTD</t>
  </si>
  <si>
    <t>KTTD</t>
  </si>
  <si>
    <t>Portland-Troutdale Airport</t>
  </si>
  <si>
    <t>TTE</t>
  </si>
  <si>
    <t>WAMT</t>
  </si>
  <si>
    <t>Sultan Khairun Babullah Airport</t>
  </si>
  <si>
    <t>TTF</t>
  </si>
  <si>
    <t>KTTF</t>
  </si>
  <si>
    <t>Custer Airport</t>
  </si>
  <si>
    <t>TTG</t>
  </si>
  <si>
    <t>SAST</t>
  </si>
  <si>
    <t>Tartagal Airport</t>
  </si>
  <si>
    <t>TTH</t>
  </si>
  <si>
    <t>OOTH</t>
  </si>
  <si>
    <t>Thumrait Air Base</t>
  </si>
  <si>
    <t>TTI</t>
  </si>
  <si>
    <t>NTTE</t>
  </si>
  <si>
    <t>Tetiaroa Airport</t>
  </si>
  <si>
    <t>TTJ</t>
  </si>
  <si>
    <t>RJOR</t>
  </si>
  <si>
    <t>Tottori Airport</t>
  </si>
  <si>
    <t>TTN</t>
  </si>
  <si>
    <t>KTTN</t>
  </si>
  <si>
    <t>Trenton-Mercer Airport</t>
  </si>
  <si>
    <t>TTQ</t>
  </si>
  <si>
    <t>MRAO</t>
  </si>
  <si>
    <t>Tortuguero Airport</t>
  </si>
  <si>
    <t>TTR</t>
  </si>
  <si>
    <t>WAWT</t>
  </si>
  <si>
    <t>Pongtiku Airport</t>
  </si>
  <si>
    <t>TTS</t>
  </si>
  <si>
    <t>FMNT</t>
  </si>
  <si>
    <t>Tsaratanana Airport</t>
  </si>
  <si>
    <t>TTT</t>
  </si>
  <si>
    <t>RCFN</t>
  </si>
  <si>
    <t>Taitung Airport</t>
  </si>
  <si>
    <t>TTU</t>
  </si>
  <si>
    <t>GMTN</t>
  </si>
  <si>
    <t>Sania Ramel</t>
  </si>
  <si>
    <t>TTW</t>
  </si>
  <si>
    <t>PATW</t>
  </si>
  <si>
    <t>Cantwell Airport</t>
  </si>
  <si>
    <t>TUA</t>
  </si>
  <si>
    <t>SETU</t>
  </si>
  <si>
    <t>Teniente Coronel Luis a Mantilla International Airport</t>
  </si>
  <si>
    <t>TUB</t>
  </si>
  <si>
    <t>NTAT</t>
  </si>
  <si>
    <t>Tubuai Airport</t>
  </si>
  <si>
    <t>TUC</t>
  </si>
  <si>
    <t>SANT</t>
  </si>
  <si>
    <t>Teniente General Benjamín Matienzo International Airport</t>
  </si>
  <si>
    <t>TUD</t>
  </si>
  <si>
    <t>GOTT</t>
  </si>
  <si>
    <t>Tambacounda Airport</t>
  </si>
  <si>
    <t>TUF</t>
  </si>
  <si>
    <t>LFOT</t>
  </si>
  <si>
    <t>Tours Val de Loire Airport</t>
  </si>
  <si>
    <t>TUG</t>
  </si>
  <si>
    <t>RPUT</t>
  </si>
  <si>
    <t>Tuguegarao Airport</t>
  </si>
  <si>
    <t>TUI</t>
  </si>
  <si>
    <t>OETR</t>
  </si>
  <si>
    <t>Turaif Domestic Airport</t>
  </si>
  <si>
    <t>TUK</t>
  </si>
  <si>
    <t>OPTU</t>
  </si>
  <si>
    <t>Turbat International Airport</t>
  </si>
  <si>
    <t>TUL</t>
  </si>
  <si>
    <t>KTUL</t>
  </si>
  <si>
    <t>Tulsa International Airport</t>
  </si>
  <si>
    <t>TUM</t>
  </si>
  <si>
    <t>YTMU</t>
  </si>
  <si>
    <t>Tumut Airport</t>
  </si>
  <si>
    <t>TUN</t>
  </si>
  <si>
    <t>DTTA</t>
  </si>
  <si>
    <t>Tunis-Carthage International Airport</t>
  </si>
  <si>
    <t>TUO</t>
  </si>
  <si>
    <t>NZAP</t>
  </si>
  <si>
    <t>Taupo Airport</t>
  </si>
  <si>
    <t>TUP</t>
  </si>
  <si>
    <t>KTUP</t>
  </si>
  <si>
    <t>Tupelo Regional Airport</t>
  </si>
  <si>
    <t>TUQ</t>
  </si>
  <si>
    <t>DFOT</t>
  </si>
  <si>
    <t>Tougan Airport</t>
  </si>
  <si>
    <t>TUR</t>
  </si>
  <si>
    <t>SBTU</t>
  </si>
  <si>
    <t>Tucuruí Airport</t>
  </si>
  <si>
    <t>TUS</t>
  </si>
  <si>
    <t>KTUS</t>
  </si>
  <si>
    <t>Tucson International Airport</t>
  </si>
  <si>
    <t>TUU</t>
  </si>
  <si>
    <t>OETB</t>
  </si>
  <si>
    <t>Tabuk Regional Airport</t>
  </si>
  <si>
    <t>TUV</t>
  </si>
  <si>
    <t>SVTC</t>
  </si>
  <si>
    <t>Tucupita Airport</t>
  </si>
  <si>
    <t>TVA</t>
  </si>
  <si>
    <t>FMMR</t>
  </si>
  <si>
    <t>Morafenobe Airport</t>
  </si>
  <si>
    <t>TVB</t>
  </si>
  <si>
    <t>KTVB</t>
  </si>
  <si>
    <t>Cabool Memorial Airport</t>
  </si>
  <si>
    <t>TVC</t>
  </si>
  <si>
    <t>KTVC</t>
  </si>
  <si>
    <t>Cherry Capital Airport</t>
  </si>
  <si>
    <t>TVF</t>
  </si>
  <si>
    <t>KTVF</t>
  </si>
  <si>
    <t>Thief River Falls Regional Airport</t>
  </si>
  <si>
    <t>TVI</t>
  </si>
  <si>
    <t>KTVI</t>
  </si>
  <si>
    <t>Thomasville Regional Airport</t>
  </si>
  <si>
    <t>TVK</t>
  </si>
  <si>
    <t>KTVK</t>
  </si>
  <si>
    <t>TVL</t>
  </si>
  <si>
    <t>KTVL</t>
  </si>
  <si>
    <t>Lake Tahoe Airport</t>
  </si>
  <si>
    <t>TVR</t>
  </si>
  <si>
    <t>KTVR</t>
  </si>
  <si>
    <t>Vicksburg Tallulah Regional Airport</t>
  </si>
  <si>
    <t>TVU</t>
  </si>
  <si>
    <t>NFNM</t>
  </si>
  <si>
    <t>Matei Airport</t>
  </si>
  <si>
    <t>TVY</t>
  </si>
  <si>
    <t>VYDW</t>
  </si>
  <si>
    <t>Dawei Airport</t>
  </si>
  <si>
    <t>KTVY</t>
  </si>
  <si>
    <t>Tooele Valley Airport (Bolinder Field)</t>
  </si>
  <si>
    <t>TWB</t>
  </si>
  <si>
    <t>YTWB</t>
  </si>
  <si>
    <t>Toowoomba Airport</t>
  </si>
  <si>
    <t>TWF</t>
  </si>
  <si>
    <t>KTWF</t>
  </si>
  <si>
    <t>Joslin Field - Magic Valley Regional Airport</t>
  </si>
  <si>
    <t>TWM</t>
  </si>
  <si>
    <t>KTWM</t>
  </si>
  <si>
    <t>Richard B. Helgeson Airport</t>
  </si>
  <si>
    <t>TWU</t>
  </si>
  <si>
    <t>WBKW</t>
  </si>
  <si>
    <t>Tawau Airport</t>
  </si>
  <si>
    <t>TWZ</t>
  </si>
  <si>
    <t>NZUK</t>
  </si>
  <si>
    <t>Pukaki Airport</t>
  </si>
  <si>
    <t>TXG</t>
  </si>
  <si>
    <t>RCLG</t>
  </si>
  <si>
    <t>Taichung, Taiwan</t>
  </si>
  <si>
    <t>TXK</t>
  </si>
  <si>
    <t>KTXK</t>
  </si>
  <si>
    <t>Texarkana Regional Airport (Webb Field)</t>
  </si>
  <si>
    <t>TXL</t>
  </si>
  <si>
    <t>EDDT</t>
  </si>
  <si>
    <t>Tegel International Airport</t>
  </si>
  <si>
    <t>TXM</t>
  </si>
  <si>
    <t>WAST</t>
  </si>
  <si>
    <t>Teminabuan Airport</t>
  </si>
  <si>
    <t>TXN</t>
  </si>
  <si>
    <t>ZSTX</t>
  </si>
  <si>
    <t>Tunxi International Airport</t>
  </si>
  <si>
    <t>TXU</t>
  </si>
  <si>
    <t>DITB</t>
  </si>
  <si>
    <t>Tabou Airport</t>
  </si>
  <si>
    <t>TYB</t>
  </si>
  <si>
    <t>YTIB</t>
  </si>
  <si>
    <t>Tibooburra Airport</t>
  </si>
  <si>
    <t>TYD</t>
  </si>
  <si>
    <t>UHBW</t>
  </si>
  <si>
    <t>Tynda Airport</t>
  </si>
  <si>
    <t>TYF</t>
  </si>
  <si>
    <t>ESST</t>
  </si>
  <si>
    <t>Torsby Airport</t>
  </si>
  <si>
    <t>TYG</t>
  </si>
  <si>
    <t>YTHY</t>
  </si>
  <si>
    <t>Thylungra Airport</t>
  </si>
  <si>
    <t>TYL</t>
  </si>
  <si>
    <t>SPYL</t>
  </si>
  <si>
    <t>Capitan Montes Airport</t>
  </si>
  <si>
    <t>KTYL</t>
  </si>
  <si>
    <t>Taylor Airport</t>
  </si>
  <si>
    <t>TYM</t>
  </si>
  <si>
    <t>MYES</t>
  </si>
  <si>
    <t>Staniel Cay Airport</t>
  </si>
  <si>
    <t>TYN</t>
  </si>
  <si>
    <t>ZBYN</t>
  </si>
  <si>
    <t>Taiyuan Wusu Airport</t>
  </si>
  <si>
    <t>TYP</t>
  </si>
  <si>
    <t>YTMY</t>
  </si>
  <si>
    <t>Tobermorey Airport</t>
  </si>
  <si>
    <t>TYR</t>
  </si>
  <si>
    <t>KTYR</t>
  </si>
  <si>
    <t>Tyler Pounds Regional Airport</t>
  </si>
  <si>
    <t>TYS</t>
  </si>
  <si>
    <t>KTYS</t>
  </si>
  <si>
    <t>McGhee Tyson Airport</t>
  </si>
  <si>
    <t>TYT</t>
  </si>
  <si>
    <t>SUTR</t>
  </si>
  <si>
    <t>Treinta y Tres Airport</t>
  </si>
  <si>
    <t>TZL</t>
  </si>
  <si>
    <t>LQTZ</t>
  </si>
  <si>
    <t>Tuzla International Airport</t>
  </si>
  <si>
    <t>TZR</t>
  </si>
  <si>
    <t>LHTA</t>
  </si>
  <si>
    <t>Taszár Air Base</t>
  </si>
  <si>
    <t>KTZR</t>
  </si>
  <si>
    <t>Bolton Field</t>
  </si>
  <si>
    <t>TZT</t>
  </si>
  <si>
    <t>KTZT</t>
  </si>
  <si>
    <t>Belle Plaine Municipal Airport</t>
  </si>
  <si>
    <t>TZV</t>
  </si>
  <si>
    <t>KTZV</t>
  </si>
  <si>
    <t>Tompkinsville-Monroe County Airport</t>
  </si>
  <si>
    <t>TZX</t>
  </si>
  <si>
    <t>LTCG</t>
  </si>
  <si>
    <t>Trabzon Airport? Trabzon, Turkey</t>
  </si>
  <si>
    <t>UAB</t>
  </si>
  <si>
    <t>LTAG</t>
  </si>
  <si>
    <t>Incirlik Air Base</t>
  </si>
  <si>
    <t>UAC</t>
  </si>
  <si>
    <t>MM76</t>
  </si>
  <si>
    <t>San Luis Río Colorado Airport</t>
  </si>
  <si>
    <t>UAH</t>
  </si>
  <si>
    <t>NTMU</t>
  </si>
  <si>
    <t>Ua Huka Airport</t>
  </si>
  <si>
    <t>UAI</t>
  </si>
  <si>
    <t>WPDB</t>
  </si>
  <si>
    <t>Suai Airport</t>
  </si>
  <si>
    <t>UAK</t>
  </si>
  <si>
    <t>BGBW</t>
  </si>
  <si>
    <t>Narsarsuaq Airport</t>
  </si>
  <si>
    <t>UAL</t>
  </si>
  <si>
    <t>FNUA</t>
  </si>
  <si>
    <t>Luau Airport</t>
  </si>
  <si>
    <t>UAM</t>
  </si>
  <si>
    <t>PGUA</t>
  </si>
  <si>
    <t>Andersen Air Force Base</t>
  </si>
  <si>
    <t>UAO</t>
  </si>
  <si>
    <t>KUAO</t>
  </si>
  <si>
    <t>Aurora State Airport</t>
  </si>
  <si>
    <t>UAP</t>
  </si>
  <si>
    <t>NTMP</t>
  </si>
  <si>
    <t>Ua Pou Airport</t>
  </si>
  <si>
    <t>UAQ</t>
  </si>
  <si>
    <t>SANU</t>
  </si>
  <si>
    <t>Domingo Faustino Sarmiento Airport</t>
  </si>
  <si>
    <t>UAR</t>
  </si>
  <si>
    <t>GMFB</t>
  </si>
  <si>
    <t>Bouarfa Airport</t>
  </si>
  <si>
    <t>UAS</t>
  </si>
  <si>
    <t>HKSB</t>
  </si>
  <si>
    <t>Samburu South Airport</t>
  </si>
  <si>
    <t>UBA</t>
  </si>
  <si>
    <t>SBUR</t>
  </si>
  <si>
    <t>Uberaba Municipal Airport</t>
  </si>
  <si>
    <t>UBB</t>
  </si>
  <si>
    <t>YMAA</t>
  </si>
  <si>
    <t>Mabuiag Island Airport</t>
  </si>
  <si>
    <t>UBE</t>
  </si>
  <si>
    <t>KUBE</t>
  </si>
  <si>
    <t>Cumberland Municipal Airport</t>
  </si>
  <si>
    <t>UBJ</t>
  </si>
  <si>
    <t>RJDC</t>
  </si>
  <si>
    <t>Yamaguchi Ube Airport</t>
  </si>
  <si>
    <t>UBP</t>
  </si>
  <si>
    <t>VTUU</t>
  </si>
  <si>
    <t>Ubon Ratchathani Airport</t>
  </si>
  <si>
    <t>UBR</t>
  </si>
  <si>
    <t>WAJU</t>
  </si>
  <si>
    <t>Ubrub Airport</t>
  </si>
  <si>
    <t>UBS</t>
  </si>
  <si>
    <t>KUBS</t>
  </si>
  <si>
    <t>Columbus-Lowndes County Airport</t>
  </si>
  <si>
    <t>UBT</t>
  </si>
  <si>
    <t>SDUB</t>
  </si>
  <si>
    <t>Ubatuba Airport</t>
  </si>
  <si>
    <t>UBU</t>
  </si>
  <si>
    <t>YKAL</t>
  </si>
  <si>
    <t>Kalumburu Airport</t>
  </si>
  <si>
    <t>UBW</t>
  </si>
  <si>
    <t>PAKU</t>
  </si>
  <si>
    <t>Ugnu-Kuparuk Airport</t>
  </si>
  <si>
    <t>UBX</t>
  </si>
  <si>
    <t>KUBX</t>
  </si>
  <si>
    <t>Cuba Municipal Airport</t>
  </si>
  <si>
    <t>UCA</t>
  </si>
  <si>
    <t>KUCA</t>
  </si>
  <si>
    <t>Oneida County Airport</t>
  </si>
  <si>
    <t>UCK</t>
  </si>
  <si>
    <t>UKLC</t>
  </si>
  <si>
    <t>Lutsk Airport</t>
  </si>
  <si>
    <t>UCN</t>
  </si>
  <si>
    <t>GLBU</t>
  </si>
  <si>
    <t>Buchanan Airport</t>
  </si>
  <si>
    <t>GLLB</t>
  </si>
  <si>
    <t>Lamco Airport</t>
  </si>
  <si>
    <t>UCP</t>
  </si>
  <si>
    <t>KUCP</t>
  </si>
  <si>
    <t>New Castle Municipal Airport</t>
  </si>
  <si>
    <t>UCT</t>
  </si>
  <si>
    <t>UUYH</t>
  </si>
  <si>
    <t>Ukhta Airport</t>
  </si>
  <si>
    <t>UCY</t>
  </si>
  <si>
    <t>KUCY</t>
  </si>
  <si>
    <t>Everett-Stewart Airport</t>
  </si>
  <si>
    <t>UCZ</t>
  </si>
  <si>
    <t>SPIZ</t>
  </si>
  <si>
    <t>Uchiza Airport</t>
  </si>
  <si>
    <t>UDA</t>
  </si>
  <si>
    <t>YUDA</t>
  </si>
  <si>
    <t>Undara Airport</t>
  </si>
  <si>
    <t>UDD</t>
  </si>
  <si>
    <t>KUDD</t>
  </si>
  <si>
    <t>Bermuda Dunes Airport</t>
  </si>
  <si>
    <t>UDE</t>
  </si>
  <si>
    <t>EHVK</t>
  </si>
  <si>
    <t>Volkel Airport</t>
  </si>
  <si>
    <t>UDG</t>
  </si>
  <si>
    <t>KUDG</t>
  </si>
  <si>
    <t>Darlington County Jetport Airport</t>
  </si>
  <si>
    <t>UDI</t>
  </si>
  <si>
    <t>SBUL</t>
  </si>
  <si>
    <t>Ten. Cel. Av. César Bombonato Airport</t>
  </si>
  <si>
    <t>UDJ</t>
  </si>
  <si>
    <t>UKLU</t>
  </si>
  <si>
    <t>Uzhhorod International Airport</t>
  </si>
  <si>
    <t>UDN</t>
  </si>
  <si>
    <t>LIPD</t>
  </si>
  <si>
    <t>Udine / Campoformido Air Base</t>
  </si>
  <si>
    <t>UDR</t>
  </si>
  <si>
    <t>VAUD</t>
  </si>
  <si>
    <t>Maharana Pratap Airport</t>
  </si>
  <si>
    <t>UEE</t>
  </si>
  <si>
    <t>YQNS</t>
  </si>
  <si>
    <t>Queenstown Airport</t>
  </si>
  <si>
    <t>UEL</t>
  </si>
  <si>
    <t>FQQL</t>
  </si>
  <si>
    <t>Quelimane Airport</t>
  </si>
  <si>
    <t>UEN</t>
  </si>
  <si>
    <t>USDU</t>
  </si>
  <si>
    <t>Urengoy Airport</t>
  </si>
  <si>
    <t>UEO</t>
  </si>
  <si>
    <t>ROKJ</t>
  </si>
  <si>
    <t>Kumejima Airport</t>
  </si>
  <si>
    <t>UES</t>
  </si>
  <si>
    <t>KUES</t>
  </si>
  <si>
    <t>Waukesha County Airport</t>
  </si>
  <si>
    <t>UET</t>
  </si>
  <si>
    <t>OPQT</t>
  </si>
  <si>
    <t>Quetta International Airport</t>
  </si>
  <si>
    <t>UFA</t>
  </si>
  <si>
    <t>UWUU</t>
  </si>
  <si>
    <t>Ufa Airport</t>
  </si>
  <si>
    <t>UGA</t>
  </si>
  <si>
    <t>ZMBN</t>
  </si>
  <si>
    <t>Bulgan Airport</t>
  </si>
  <si>
    <t>UGB</t>
  </si>
  <si>
    <t>Ugashik Bay Airport</t>
  </si>
  <si>
    <t>UGC</t>
  </si>
  <si>
    <t>UTNU</t>
  </si>
  <si>
    <t>Urgench Airport</t>
  </si>
  <si>
    <t>UGN</t>
  </si>
  <si>
    <t>KUGN</t>
  </si>
  <si>
    <t>Waukegan National Airport</t>
  </si>
  <si>
    <t>UGO</t>
  </si>
  <si>
    <t>FNUG</t>
  </si>
  <si>
    <t>Uige Airport</t>
  </si>
  <si>
    <t>UGT</t>
  </si>
  <si>
    <t>ZMBR</t>
  </si>
  <si>
    <t>Bulagtai Resort Airport</t>
  </si>
  <si>
    <t>UHE</t>
  </si>
  <si>
    <t>LKKU</t>
  </si>
  <si>
    <t>Kunovice Airport</t>
  </si>
  <si>
    <t>UHF</t>
  </si>
  <si>
    <t>EGUA</t>
  </si>
  <si>
    <t>RAF Upper Heyford</t>
  </si>
  <si>
    <t>UIB</t>
  </si>
  <si>
    <t>SKUI</t>
  </si>
  <si>
    <t>El Caraño Airport</t>
  </si>
  <si>
    <t>UIH</t>
  </si>
  <si>
    <t>VVPC</t>
  </si>
  <si>
    <t>Phu Cat Airport</t>
  </si>
  <si>
    <t>UII</t>
  </si>
  <si>
    <t>MHUT</t>
  </si>
  <si>
    <t>Utila Airport</t>
  </si>
  <si>
    <t>UIK</t>
  </si>
  <si>
    <t>UIBS</t>
  </si>
  <si>
    <t>Ust-Ilimsk Airport</t>
  </si>
  <si>
    <t>UIL</t>
  </si>
  <si>
    <t>KUIL</t>
  </si>
  <si>
    <t>Quillayute Airport</t>
  </si>
  <si>
    <t>UIN</t>
  </si>
  <si>
    <t>KUIN</t>
  </si>
  <si>
    <t>Quincy Regional Airport (Baldwin Field)</t>
  </si>
  <si>
    <t>UIO</t>
  </si>
  <si>
    <t>SEQU</t>
  </si>
  <si>
    <t>Mariscal Sucre International Airport</t>
  </si>
  <si>
    <t>UIP</t>
  </si>
  <si>
    <t>LFRQ</t>
  </si>
  <si>
    <t>Quimper - Cornouaille Airport</t>
  </si>
  <si>
    <t>UIQ</t>
  </si>
  <si>
    <t>NVVQ</t>
  </si>
  <si>
    <t>Quion Hill Airport</t>
  </si>
  <si>
    <t>UIR</t>
  </si>
  <si>
    <t>YQDI</t>
  </si>
  <si>
    <t>Quirindi Airport</t>
  </si>
  <si>
    <t>UJE</t>
  </si>
  <si>
    <t>UJAP</t>
  </si>
  <si>
    <t>Ujae Atoll Airport</t>
  </si>
  <si>
    <t>UKA</t>
  </si>
  <si>
    <t>HKUK</t>
  </si>
  <si>
    <t>Ukunda Airstrip</t>
  </si>
  <si>
    <t>UKB</t>
  </si>
  <si>
    <t>RJBE</t>
  </si>
  <si>
    <t>Kobe Airport</t>
  </si>
  <si>
    <t>UKF</t>
  </si>
  <si>
    <t>KUKF</t>
  </si>
  <si>
    <t>Wilkes County Airport</t>
  </si>
  <si>
    <t>UKI</t>
  </si>
  <si>
    <t>KUKI</t>
  </si>
  <si>
    <t>Ukiah Municipal Airport</t>
  </si>
  <si>
    <t>UKK</t>
  </si>
  <si>
    <t>UASK</t>
  </si>
  <si>
    <t>Oskemen Airport</t>
  </si>
  <si>
    <t>UKL</t>
  </si>
  <si>
    <t>KUKL</t>
  </si>
  <si>
    <t>Coffey County Airport</t>
  </si>
  <si>
    <t>UKS</t>
  </si>
  <si>
    <t>UKFB</t>
  </si>
  <si>
    <t>Belbek Airport</t>
  </si>
  <si>
    <t>UKT</t>
  </si>
  <si>
    <t>KUKT</t>
  </si>
  <si>
    <t>Quakertown Airport</t>
  </si>
  <si>
    <t>UKX</t>
  </si>
  <si>
    <t>UITT</t>
  </si>
  <si>
    <t>Ust-Kut Airport</t>
  </si>
  <si>
    <t>ULA</t>
  </si>
  <si>
    <t>SAWJ</t>
  </si>
  <si>
    <t>Capitan D Daniel Vazquez Airport</t>
  </si>
  <si>
    <t>ULB</t>
  </si>
  <si>
    <t>NVSU</t>
  </si>
  <si>
    <t>Uléi Airport</t>
  </si>
  <si>
    <t>ULD</t>
  </si>
  <si>
    <t>FAUL</t>
  </si>
  <si>
    <t>Prince Mangosuthu Buthelezi Airport</t>
  </si>
  <si>
    <t>ULG</t>
  </si>
  <si>
    <t>ZMUL</t>
  </si>
  <si>
    <t>Ölgii Airport</t>
  </si>
  <si>
    <t>ULK</t>
  </si>
  <si>
    <t>UERL</t>
  </si>
  <si>
    <t>Lensk Airport</t>
  </si>
  <si>
    <t>ULM</t>
  </si>
  <si>
    <t>KULM</t>
  </si>
  <si>
    <t>New Ulm Municipal Airport</t>
  </si>
  <si>
    <t>ULN</t>
  </si>
  <si>
    <t>ZMUB</t>
  </si>
  <si>
    <t>Chinggis Khaan International Airport</t>
  </si>
  <si>
    <t>ULO</t>
  </si>
  <si>
    <t>ZMUG</t>
  </si>
  <si>
    <t>Ulaangom Airport</t>
  </si>
  <si>
    <t>ULP</t>
  </si>
  <si>
    <t>YQLP</t>
  </si>
  <si>
    <t>Quilpie Airport</t>
  </si>
  <si>
    <t>ULQ</t>
  </si>
  <si>
    <t>SKUL</t>
  </si>
  <si>
    <t>Farfan Airport</t>
  </si>
  <si>
    <t>ULS</t>
  </si>
  <si>
    <t>KULS</t>
  </si>
  <si>
    <t>Ulysses Airport</t>
  </si>
  <si>
    <t>ULU</t>
  </si>
  <si>
    <t>HUGU</t>
  </si>
  <si>
    <t>Gulu Airport</t>
  </si>
  <si>
    <t>ULV</t>
  </si>
  <si>
    <t>UWLL</t>
  </si>
  <si>
    <t>Ulyanovsk Baratayevka Airport</t>
  </si>
  <si>
    <t>ULY</t>
  </si>
  <si>
    <t>UWLW</t>
  </si>
  <si>
    <t>Ulyanovsk Vostochny Airport</t>
  </si>
  <si>
    <t>UMA</t>
  </si>
  <si>
    <t>MUMA</t>
  </si>
  <si>
    <t>Punta de Maisi Airport</t>
  </si>
  <si>
    <t>UME</t>
  </si>
  <si>
    <t>ESNU</t>
  </si>
  <si>
    <t>Alvik Airport</t>
  </si>
  <si>
    <t>UMI</t>
  </si>
  <si>
    <t>SPIL</t>
  </si>
  <si>
    <t>Quince Air Base</t>
  </si>
  <si>
    <t>UMM</t>
  </si>
  <si>
    <t>PAST</t>
  </si>
  <si>
    <t>Summit Airport (Alaska)</t>
  </si>
  <si>
    <t>UMP</t>
  </si>
  <si>
    <t>KUMP</t>
  </si>
  <si>
    <t>Indianapolis Metropolitan Airport</t>
  </si>
  <si>
    <t>UMR</t>
  </si>
  <si>
    <t>YPWR</t>
  </si>
  <si>
    <t>Woomera Airfield</t>
  </si>
  <si>
    <t>UMT</t>
  </si>
  <si>
    <t>PAUM</t>
  </si>
  <si>
    <t>Umiat Airport</t>
  </si>
  <si>
    <t>UMU</t>
  </si>
  <si>
    <t>SSUM</t>
  </si>
  <si>
    <t>Umuarama Airport</t>
  </si>
  <si>
    <t>UMY</t>
  </si>
  <si>
    <t>UKHS</t>
  </si>
  <si>
    <t>Sumy Airport</t>
  </si>
  <si>
    <t>UNA</t>
  </si>
  <si>
    <t>SBTC</t>
  </si>
  <si>
    <t>Hotel Transamérica Airport</t>
  </si>
  <si>
    <t>UND</t>
  </si>
  <si>
    <t>OAUZ</t>
  </si>
  <si>
    <t>Kunduz Airport</t>
  </si>
  <si>
    <t>UNE</t>
  </si>
  <si>
    <t>FXQN</t>
  </si>
  <si>
    <t>Qacha's Nek Airport</t>
  </si>
  <si>
    <t>UNG</t>
  </si>
  <si>
    <t>AYKI</t>
  </si>
  <si>
    <t>Kiunga Airport</t>
  </si>
  <si>
    <t>UNI</t>
  </si>
  <si>
    <t>TVSU</t>
  </si>
  <si>
    <t>Union Island Airport</t>
  </si>
  <si>
    <t>UNK</t>
  </si>
  <si>
    <t>PAUN</t>
  </si>
  <si>
    <t>Unalakleet Airport</t>
  </si>
  <si>
    <t>UNN</t>
  </si>
  <si>
    <t>VTSR</t>
  </si>
  <si>
    <t>Ranong Airport</t>
  </si>
  <si>
    <t>UNR</t>
  </si>
  <si>
    <t>ZMUH</t>
  </si>
  <si>
    <t>Öndörkhaan Airport</t>
  </si>
  <si>
    <t>UNT</t>
  </si>
  <si>
    <t>EGPW</t>
  </si>
  <si>
    <t>Unst Airport</t>
  </si>
  <si>
    <t>UNU</t>
  </si>
  <si>
    <t>KUNU</t>
  </si>
  <si>
    <t>Dodge County Airport</t>
  </si>
  <si>
    <t>UOL</t>
  </si>
  <si>
    <t>WAMY</t>
  </si>
  <si>
    <t>Buol Airport</t>
  </si>
  <si>
    <t>UOS</t>
  </si>
  <si>
    <t>KUOS</t>
  </si>
  <si>
    <t>UOX</t>
  </si>
  <si>
    <t>KUOX</t>
  </si>
  <si>
    <t>University-Oxford Airport</t>
  </si>
  <si>
    <t>UPB</t>
  </si>
  <si>
    <t>MUPB</t>
  </si>
  <si>
    <t>Playa Baracoa Airport</t>
  </si>
  <si>
    <t>UPG</t>
  </si>
  <si>
    <t>WAAA</t>
  </si>
  <si>
    <t>Hasanuddin International Airport</t>
  </si>
  <si>
    <t>UPL</t>
  </si>
  <si>
    <t>MRUP</t>
  </si>
  <si>
    <t>Upala Airport</t>
  </si>
  <si>
    <t>UPN</t>
  </si>
  <si>
    <t>MMPN</t>
  </si>
  <si>
    <t>Lic. y Gen. Ignacio López Rayón International Airport</t>
  </si>
  <si>
    <t>UPP</t>
  </si>
  <si>
    <t>PHUP</t>
  </si>
  <si>
    <t>Upolu Airport</t>
  </si>
  <si>
    <t>URA</t>
  </si>
  <si>
    <t>UARR</t>
  </si>
  <si>
    <t>Oral Ak Zhol Airport</t>
  </si>
  <si>
    <t>URC</t>
  </si>
  <si>
    <t>ZWWW</t>
  </si>
  <si>
    <t>Diwopu Airport</t>
  </si>
  <si>
    <t>URE</t>
  </si>
  <si>
    <t>EEKE</t>
  </si>
  <si>
    <t>Kuressaare Airport</t>
  </si>
  <si>
    <t>URG</t>
  </si>
  <si>
    <t>SBUG</t>
  </si>
  <si>
    <t>Aeroporto Internacional Rubem Berta</t>
  </si>
  <si>
    <t>URJ</t>
  </si>
  <si>
    <t>USHU</t>
  </si>
  <si>
    <t>Uray Airport</t>
  </si>
  <si>
    <t>URM</t>
  </si>
  <si>
    <t>SVUM</t>
  </si>
  <si>
    <t>Uriman Airport</t>
  </si>
  <si>
    <t>URO</t>
  </si>
  <si>
    <t>LFOP</t>
  </si>
  <si>
    <t>Rouen Airport</t>
  </si>
  <si>
    <t>URR</t>
  </si>
  <si>
    <t>SKUR</t>
  </si>
  <si>
    <t>Urrao Airport</t>
  </si>
  <si>
    <t>URS</t>
  </si>
  <si>
    <t>UUOK</t>
  </si>
  <si>
    <t>Kursk East Airport</t>
  </si>
  <si>
    <t>URT</t>
  </si>
  <si>
    <t>VTSB</t>
  </si>
  <si>
    <t>Surat Thani Airport</t>
  </si>
  <si>
    <t>URY</t>
  </si>
  <si>
    <t>OEGT</t>
  </si>
  <si>
    <t>Guriat Domestic Airport</t>
  </si>
  <si>
    <t>USE</t>
  </si>
  <si>
    <t>KUSE</t>
  </si>
  <si>
    <t>USH</t>
  </si>
  <si>
    <t>SAWH</t>
  </si>
  <si>
    <t>Ushuaia - Malvinas Argentinas International Airport</t>
  </si>
  <si>
    <t>USI</t>
  </si>
  <si>
    <t>SYMB</t>
  </si>
  <si>
    <t>Mabaruma Airport</t>
  </si>
  <si>
    <t>USK</t>
  </si>
  <si>
    <t>UUYS</t>
  </si>
  <si>
    <t>Usinsk Airport</t>
  </si>
  <si>
    <t>USL</t>
  </si>
  <si>
    <t>YUSL</t>
  </si>
  <si>
    <t>Useless Loop Airport</t>
  </si>
  <si>
    <t>USM</t>
  </si>
  <si>
    <t>VTSM</t>
  </si>
  <si>
    <t>Samui Airport</t>
  </si>
  <si>
    <t>USN</t>
  </si>
  <si>
    <t>RKPU</t>
  </si>
  <si>
    <t>Ulsan Airport</t>
  </si>
  <si>
    <t>USQ</t>
  </si>
  <si>
    <t>LTBO</t>
  </si>
  <si>
    <t>U?ak Airport</t>
  </si>
  <si>
    <t>USS</t>
  </si>
  <si>
    <t>MUSS</t>
  </si>
  <si>
    <t>Sancti Spiritus Airport</t>
  </si>
  <si>
    <t>UST</t>
  </si>
  <si>
    <t>KSGJ</t>
  </si>
  <si>
    <t>St. Augustine Airport</t>
  </si>
  <si>
    <t>USU</t>
  </si>
  <si>
    <t>RPVV</t>
  </si>
  <si>
    <t>Francisco B. Reyes Airport</t>
  </si>
  <si>
    <t>UTA</t>
  </si>
  <si>
    <t>KUTA</t>
  </si>
  <si>
    <t>Tunica Municipal Airport</t>
  </si>
  <si>
    <t>FVMU</t>
  </si>
  <si>
    <t>Mutare Airport</t>
  </si>
  <si>
    <t>UTB</t>
  </si>
  <si>
    <t>YMTB</t>
  </si>
  <si>
    <t>Muttaburra Airport</t>
  </si>
  <si>
    <t>UTE</t>
  </si>
  <si>
    <t>FABU</t>
  </si>
  <si>
    <t>Butterworth Airport</t>
  </si>
  <si>
    <t>UTG</t>
  </si>
  <si>
    <t>FXQG</t>
  </si>
  <si>
    <t>Quthing Airport</t>
  </si>
  <si>
    <t>UTH</t>
  </si>
  <si>
    <t>VTUD</t>
  </si>
  <si>
    <t>Udon Thani Airport</t>
  </si>
  <si>
    <t>UTI</t>
  </si>
  <si>
    <t>EFUT</t>
  </si>
  <si>
    <t>Utti Air Base</t>
  </si>
  <si>
    <t>UTK</t>
  </si>
  <si>
    <t>03N</t>
  </si>
  <si>
    <t>Utirik Airport</t>
  </si>
  <si>
    <t>UTN</t>
  </si>
  <si>
    <t>FAUP</t>
  </si>
  <si>
    <t>Upington Airport</t>
  </si>
  <si>
    <t>UTO</t>
  </si>
  <si>
    <t>PAIM</t>
  </si>
  <si>
    <t>Indian Mountain LRRS</t>
  </si>
  <si>
    <t>UTP</t>
  </si>
  <si>
    <t>VTBU</t>
  </si>
  <si>
    <t>U-Tapao International Airport</t>
  </si>
  <si>
    <t>UTR</t>
  </si>
  <si>
    <t>VTPU</t>
  </si>
  <si>
    <t>Uttaradit Airport</t>
  </si>
  <si>
    <t>UTS</t>
  </si>
  <si>
    <t>UUYX</t>
  </si>
  <si>
    <t>Ust-Tsylma Airport</t>
  </si>
  <si>
    <t>KUTS</t>
  </si>
  <si>
    <t>Huntsville Municipal Airport</t>
  </si>
  <si>
    <t>UTT</t>
  </si>
  <si>
    <t>FAUT</t>
  </si>
  <si>
    <t>K. D. Matanzima Airport</t>
  </si>
  <si>
    <t>UTW</t>
  </si>
  <si>
    <t>FAQT</t>
  </si>
  <si>
    <t>UUA</t>
  </si>
  <si>
    <t>UWKB</t>
  </si>
  <si>
    <t>Bugulma Airport</t>
  </si>
  <si>
    <t>UUD</t>
  </si>
  <si>
    <t>UIUU</t>
  </si>
  <si>
    <t>Ulan-Ude Airport (Mukhino)</t>
  </si>
  <si>
    <t>UUN</t>
  </si>
  <si>
    <t>ZMBU</t>
  </si>
  <si>
    <t>Baruun Urt Airport</t>
  </si>
  <si>
    <t>UUO</t>
  </si>
  <si>
    <t>PAUO</t>
  </si>
  <si>
    <t>Willow Airport</t>
  </si>
  <si>
    <t>UUS</t>
  </si>
  <si>
    <t>UHSS</t>
  </si>
  <si>
    <t>Yuzhno-Sakhalinsk Airport</t>
  </si>
  <si>
    <t>UUU</t>
  </si>
  <si>
    <t>KUUU</t>
  </si>
  <si>
    <t>Newport State Airport (Rhode Island)</t>
  </si>
  <si>
    <t>UUV</t>
  </si>
  <si>
    <t>KUUV</t>
  </si>
  <si>
    <t>Sullivan Regional Airport</t>
  </si>
  <si>
    <t>UVA</t>
  </si>
  <si>
    <t>KUVA</t>
  </si>
  <si>
    <t>Garner Field</t>
  </si>
  <si>
    <t>UVE</t>
  </si>
  <si>
    <t>NWWV</t>
  </si>
  <si>
    <t>Ouvéa Airport</t>
  </si>
  <si>
    <t>UVF</t>
  </si>
  <si>
    <t>TLPL</t>
  </si>
  <si>
    <t>Hewanorra International Airport</t>
  </si>
  <si>
    <t>UVL</t>
  </si>
  <si>
    <t>HEKG</t>
  </si>
  <si>
    <t>El Kharga Airport</t>
  </si>
  <si>
    <t>UWL</t>
  </si>
  <si>
    <t>KUWL</t>
  </si>
  <si>
    <t>New Castle-Henry County Municipal Airport</t>
  </si>
  <si>
    <t>UYF</t>
  </si>
  <si>
    <t>KUYF</t>
  </si>
  <si>
    <t>Madison County Airport</t>
  </si>
  <si>
    <t>UYL</t>
  </si>
  <si>
    <t>HSNN</t>
  </si>
  <si>
    <t>Nyala Airport</t>
  </si>
  <si>
    <t>UYN</t>
  </si>
  <si>
    <t>ZLYL</t>
  </si>
  <si>
    <t>Yulin Airport</t>
  </si>
  <si>
    <t>UYU</t>
  </si>
  <si>
    <t>SLUY</t>
  </si>
  <si>
    <t>Uyuni Airport</t>
  </si>
  <si>
    <t>UZA</t>
  </si>
  <si>
    <t>KUZA</t>
  </si>
  <si>
    <t>Rock Hill/York County Airport (Bryant Field)</t>
  </si>
  <si>
    <t>UZC</t>
  </si>
  <si>
    <t>LY88</t>
  </si>
  <si>
    <t>Ponikve Airport</t>
  </si>
  <si>
    <t>LYUZ</t>
  </si>
  <si>
    <t>U?ice-Ponikve Airport</t>
  </si>
  <si>
    <t>UZU</t>
  </si>
  <si>
    <t>SATU</t>
  </si>
  <si>
    <t>Curuzu Cuatia Airport</t>
  </si>
  <si>
    <t>VAA</t>
  </si>
  <si>
    <t>EFVA</t>
  </si>
  <si>
    <t>Vaasa Airport</t>
  </si>
  <si>
    <t>VAC</t>
  </si>
  <si>
    <t>EDWU</t>
  </si>
  <si>
    <t>Varrelbusch Airport</t>
  </si>
  <si>
    <t>VAD</t>
  </si>
  <si>
    <t>KVAD</t>
  </si>
  <si>
    <t>Moody AFB</t>
  </si>
  <si>
    <t>VAF</t>
  </si>
  <si>
    <t>LFLU</t>
  </si>
  <si>
    <t>Valence-Chabeuil Airport</t>
  </si>
  <si>
    <t>VAG</t>
  </si>
  <si>
    <t>SBVG</t>
  </si>
  <si>
    <t>Major Brigadeiro Trompowsky Airport</t>
  </si>
  <si>
    <t>VAH</t>
  </si>
  <si>
    <t>SLVG</t>
  </si>
  <si>
    <t>Capitán Av. Vidal Villagomez Toledo Airport</t>
  </si>
  <si>
    <t>VAI</t>
  </si>
  <si>
    <t>AYVN</t>
  </si>
  <si>
    <t>Vanimo Airport</t>
  </si>
  <si>
    <t>VAK</t>
  </si>
  <si>
    <t>PAVA</t>
  </si>
  <si>
    <t>Chevak Airport</t>
  </si>
  <si>
    <t>SNVB</t>
  </si>
  <si>
    <t>Valença Airport</t>
  </si>
  <si>
    <t>VAM</t>
  </si>
  <si>
    <t>VRMV</t>
  </si>
  <si>
    <t>Villa Airport</t>
  </si>
  <si>
    <t>VAN</t>
  </si>
  <si>
    <t>LTCI</t>
  </si>
  <si>
    <t>Ferit Melen Airport</t>
  </si>
  <si>
    <t>VAO</t>
  </si>
  <si>
    <t>AGGV</t>
  </si>
  <si>
    <t>Suavanao Airport</t>
  </si>
  <si>
    <t>VAP</t>
  </si>
  <si>
    <t>SCRD</t>
  </si>
  <si>
    <t>Rodelillo Airport</t>
  </si>
  <si>
    <t>VAR</t>
  </si>
  <si>
    <t>LBWN</t>
  </si>
  <si>
    <t>Varna Airport</t>
  </si>
  <si>
    <t>VAS</t>
  </si>
  <si>
    <t>LTAR</t>
  </si>
  <si>
    <t>Sivas Airport</t>
  </si>
  <si>
    <t>VAT</t>
  </si>
  <si>
    <t>FMMY</t>
  </si>
  <si>
    <t>Vatomandry Airport</t>
  </si>
  <si>
    <t>VAU</t>
  </si>
  <si>
    <t>NFNV</t>
  </si>
  <si>
    <t>Vatukoula Airport</t>
  </si>
  <si>
    <t>VAV</t>
  </si>
  <si>
    <t>NFTV</t>
  </si>
  <si>
    <t>Vava'u International Airport</t>
  </si>
  <si>
    <t>VAW</t>
  </si>
  <si>
    <t>ENSS</t>
  </si>
  <si>
    <t>Vardø Airport, Svartnes</t>
  </si>
  <si>
    <t>VBG</t>
  </si>
  <si>
    <t>KVBG</t>
  </si>
  <si>
    <t>Vandenberg AFB</t>
  </si>
  <si>
    <t>VBS</t>
  </si>
  <si>
    <t>LIPO</t>
  </si>
  <si>
    <t>Brescia Montichiari International Airport</t>
  </si>
  <si>
    <t>VBT</t>
  </si>
  <si>
    <t>KVBT</t>
  </si>
  <si>
    <t>Bentonville Municipal Airport (Louise M. Thaden Field)</t>
  </si>
  <si>
    <t>VBV</t>
  </si>
  <si>
    <t>NFVB</t>
  </si>
  <si>
    <t>Vanua Balavu Airport</t>
  </si>
  <si>
    <t>VBW</t>
  </si>
  <si>
    <t>KVBW</t>
  </si>
  <si>
    <t>Bridgewater Air Park Airport</t>
  </si>
  <si>
    <t>VBY</t>
  </si>
  <si>
    <t>ESSV</t>
  </si>
  <si>
    <t>Visby Airport</t>
  </si>
  <si>
    <t>VCA</t>
  </si>
  <si>
    <t>VVCT</t>
  </si>
  <si>
    <t>Tra Noc International Airport</t>
  </si>
  <si>
    <t>VCB</t>
  </si>
  <si>
    <t>KVCB</t>
  </si>
  <si>
    <t>Nut Tree Airport</t>
  </si>
  <si>
    <t>VCD</t>
  </si>
  <si>
    <t>YVRD</t>
  </si>
  <si>
    <t>Victoria River Downs Airport</t>
  </si>
  <si>
    <t>VCE</t>
  </si>
  <si>
    <t>LIPZ</t>
  </si>
  <si>
    <t>Marco Polo International Airport</t>
  </si>
  <si>
    <t>VCH</t>
  </si>
  <si>
    <t>SUVO</t>
  </si>
  <si>
    <t>Vichadero Airport</t>
  </si>
  <si>
    <t>VCL</t>
  </si>
  <si>
    <t>VVCA</t>
  </si>
  <si>
    <t>Chu Lai International Airport</t>
  </si>
  <si>
    <t>VCP</t>
  </si>
  <si>
    <t>SBKP</t>
  </si>
  <si>
    <t>Viracopos-Campinas International Airport</t>
  </si>
  <si>
    <t>VCR</t>
  </si>
  <si>
    <t>SVCO</t>
  </si>
  <si>
    <t>Carora Airport</t>
  </si>
  <si>
    <t>VCS</t>
  </si>
  <si>
    <t>VVCS</t>
  </si>
  <si>
    <t>Co Ong Airport</t>
  </si>
  <si>
    <t>VCT</t>
  </si>
  <si>
    <t>KVCT</t>
  </si>
  <si>
    <t>Victoria Regional Airport</t>
  </si>
  <si>
    <t>VCV</t>
  </si>
  <si>
    <t>KVCV</t>
  </si>
  <si>
    <t>Southern California Logistics Airport</t>
  </si>
  <si>
    <t>VDA</t>
  </si>
  <si>
    <t>LLOV</t>
  </si>
  <si>
    <t>Ovda International Airport</t>
  </si>
  <si>
    <t>VDB</t>
  </si>
  <si>
    <t>ENFG</t>
  </si>
  <si>
    <t>Fagernes Airport, Leirin</t>
  </si>
  <si>
    <t>VDC</t>
  </si>
  <si>
    <t>SBQV</t>
  </si>
  <si>
    <t>Vitória da Conquista Airport</t>
  </si>
  <si>
    <t>VDE</t>
  </si>
  <si>
    <t>GCHI</t>
  </si>
  <si>
    <t>Hierro Airport</t>
  </si>
  <si>
    <t>VDI</t>
  </si>
  <si>
    <t>KVDI</t>
  </si>
  <si>
    <t>Vidalia Regional Airport</t>
  </si>
  <si>
    <t>VDM</t>
  </si>
  <si>
    <t>SAVV</t>
  </si>
  <si>
    <t>Gobernador Edgardo Castello Airport</t>
  </si>
  <si>
    <t>VDP</t>
  </si>
  <si>
    <t>EKVD</t>
  </si>
  <si>
    <t>Vamdrup Airport</t>
  </si>
  <si>
    <t>SVVP</t>
  </si>
  <si>
    <t>Valle de La Pascua Airport</t>
  </si>
  <si>
    <t>VDR</t>
  </si>
  <si>
    <t>SAOD</t>
  </si>
  <si>
    <t>Villa Dolores Airport</t>
  </si>
  <si>
    <t>VDS</t>
  </si>
  <si>
    <t>ENVD</t>
  </si>
  <si>
    <t>Vadsø Airport</t>
  </si>
  <si>
    <t>VDY</t>
  </si>
  <si>
    <t>VOJV</t>
  </si>
  <si>
    <t>Vijayanagar Aerodrome (JSW)</t>
  </si>
  <si>
    <t>VDZ</t>
  </si>
  <si>
    <t>PAVD</t>
  </si>
  <si>
    <t>Valdez Pioneer Field</t>
  </si>
  <si>
    <t>VEL</t>
  </si>
  <si>
    <t>KVEL</t>
  </si>
  <si>
    <t>Vernal Airport</t>
  </si>
  <si>
    <t>VER</t>
  </si>
  <si>
    <t>MMVR</t>
  </si>
  <si>
    <t>General Heriberto Jara International Airport</t>
  </si>
  <si>
    <t>VES</t>
  </si>
  <si>
    <t>KVES</t>
  </si>
  <si>
    <t>Darke County Airport</t>
  </si>
  <si>
    <t>VEV</t>
  </si>
  <si>
    <t>AGBA</t>
  </si>
  <si>
    <t>Barakoma Airport</t>
  </si>
  <si>
    <t>VEY</t>
  </si>
  <si>
    <t>BIVM</t>
  </si>
  <si>
    <t>Vestmannaeyjar Airport</t>
  </si>
  <si>
    <t>VFA</t>
  </si>
  <si>
    <t>FVFA</t>
  </si>
  <si>
    <t>Victoria Falls Airport</t>
  </si>
  <si>
    <t>VGA</t>
  </si>
  <si>
    <t>VOBZ</t>
  </si>
  <si>
    <t>Vijayawada Airport</t>
  </si>
  <si>
    <t>VGD</t>
  </si>
  <si>
    <t>ULWW</t>
  </si>
  <si>
    <t>Vologda Airport</t>
  </si>
  <si>
    <t>VGO</t>
  </si>
  <si>
    <t>LEVX</t>
  </si>
  <si>
    <t>Vigo-Peinador Airport</t>
  </si>
  <si>
    <t>VGT</t>
  </si>
  <si>
    <t>KVGT</t>
  </si>
  <si>
    <t>North Las Vegas Airport</t>
  </si>
  <si>
    <t>VGZ</t>
  </si>
  <si>
    <t>SKVG</t>
  </si>
  <si>
    <t>Villa Garzón Airport</t>
  </si>
  <si>
    <t>VHC</t>
  </si>
  <si>
    <t>FNSA</t>
  </si>
  <si>
    <t>Saurimo Airport</t>
  </si>
  <si>
    <t>VHM</t>
  </si>
  <si>
    <t>ESNV</t>
  </si>
  <si>
    <t>Vilhelmina Airport</t>
  </si>
  <si>
    <t>VHN</t>
  </si>
  <si>
    <t>KVHN</t>
  </si>
  <si>
    <t>Culberson County Airport</t>
  </si>
  <si>
    <t>VHY</t>
  </si>
  <si>
    <t>LFLV</t>
  </si>
  <si>
    <t>Vichy-Charmeil Airport</t>
  </si>
  <si>
    <t>VHZ</t>
  </si>
  <si>
    <t>NTUV</t>
  </si>
  <si>
    <t>Vahitahi Airport</t>
  </si>
  <si>
    <t>VIA</t>
  </si>
  <si>
    <t>SSVI</t>
  </si>
  <si>
    <t>Videira Airport</t>
  </si>
  <si>
    <t>VIC</t>
  </si>
  <si>
    <t>LIPT</t>
  </si>
  <si>
    <t>Vicenza Airport</t>
  </si>
  <si>
    <t>VID</t>
  </si>
  <si>
    <t>LBVD</t>
  </si>
  <si>
    <t>Vidin Smurdan Airfield</t>
  </si>
  <si>
    <t>VIE</t>
  </si>
  <si>
    <t>LOWW</t>
  </si>
  <si>
    <t>Vienna International Airport</t>
  </si>
  <si>
    <t>VIG</t>
  </si>
  <si>
    <t>SVVG</t>
  </si>
  <si>
    <t>Juan Pablo Perez Alfonso Airport? El Vigía, Venezuela</t>
  </si>
  <si>
    <t>VIH</t>
  </si>
  <si>
    <t>KVIH</t>
  </si>
  <si>
    <t>Rolla National Airport</t>
  </si>
  <si>
    <t>VII</t>
  </si>
  <si>
    <t>VVVH</t>
  </si>
  <si>
    <t>Vinh Airport</t>
  </si>
  <si>
    <t>VIJ</t>
  </si>
  <si>
    <t>TUPW</t>
  </si>
  <si>
    <t>Virgin Gorda Airport</t>
  </si>
  <si>
    <t>VIL</t>
  </si>
  <si>
    <t>GMMH</t>
  </si>
  <si>
    <t>Dakhla Airport</t>
  </si>
  <si>
    <t>VIN</t>
  </si>
  <si>
    <t>UKWW</t>
  </si>
  <si>
    <t>Vinnytsia/Gavyryshivka Airport</t>
  </si>
  <si>
    <t>VIQ</t>
  </si>
  <si>
    <t>WPVQ</t>
  </si>
  <si>
    <t>Viqueque Airport</t>
  </si>
  <si>
    <t>KVIQ</t>
  </si>
  <si>
    <t>Neillsville Municipal Airport</t>
  </si>
  <si>
    <t>VIR</t>
  </si>
  <si>
    <t>FAVG</t>
  </si>
  <si>
    <t>Virginia Airport</t>
  </si>
  <si>
    <t>VIS</t>
  </si>
  <si>
    <t>KVIS</t>
  </si>
  <si>
    <t>Visalia Municipal Airport</t>
  </si>
  <si>
    <t>VIT</t>
  </si>
  <si>
    <t>LEVT</t>
  </si>
  <si>
    <t>Vitoria Foronda International Airport</t>
  </si>
  <si>
    <t>VIX</t>
  </si>
  <si>
    <t>SBVT</t>
  </si>
  <si>
    <t>Goiabeiras Airport</t>
  </si>
  <si>
    <t>VIY</t>
  </si>
  <si>
    <t>LFPV</t>
  </si>
  <si>
    <t>Villacoublay-Vélizy (BA 107) Air Base</t>
  </si>
  <si>
    <t>VJB</t>
  </si>
  <si>
    <t>FQXA</t>
  </si>
  <si>
    <t>Xai-Xai Airport</t>
  </si>
  <si>
    <t>VJI</t>
  </si>
  <si>
    <t>KVJI</t>
  </si>
  <si>
    <t>Virginia Highlands Airport</t>
  </si>
  <si>
    <t>VKG</t>
  </si>
  <si>
    <t>VVRG</t>
  </si>
  <si>
    <t>Rach Gia Airport</t>
  </si>
  <si>
    <t>VKO</t>
  </si>
  <si>
    <t>UUWW</t>
  </si>
  <si>
    <t>Vnukovo International Airport</t>
  </si>
  <si>
    <t>VKS</t>
  </si>
  <si>
    <t>KVKS</t>
  </si>
  <si>
    <t>Vicksburg Municipal Airport</t>
  </si>
  <si>
    <t>VKT</t>
  </si>
  <si>
    <t>UUYW</t>
  </si>
  <si>
    <t>Vorkuta Airport</t>
  </si>
  <si>
    <t>VLA</t>
  </si>
  <si>
    <t>KVLA</t>
  </si>
  <si>
    <t>Vandalia Municipal Airport</t>
  </si>
  <si>
    <t>VLC</t>
  </si>
  <si>
    <t>LEVC</t>
  </si>
  <si>
    <t>Valencia Airport</t>
  </si>
  <si>
    <t>VLD</t>
  </si>
  <si>
    <t>KVLD</t>
  </si>
  <si>
    <t>Valdosta Regional Airport</t>
  </si>
  <si>
    <t>VLG</t>
  </si>
  <si>
    <t>SAZV</t>
  </si>
  <si>
    <t>Villa Gesell - Pinamar International Airport</t>
  </si>
  <si>
    <t>VLI</t>
  </si>
  <si>
    <t>NVVV</t>
  </si>
  <si>
    <t>Bauerfield International Airport</t>
  </si>
  <si>
    <t>VLL</t>
  </si>
  <si>
    <t>LEVD</t>
  </si>
  <si>
    <t>Valladolid Airport</t>
  </si>
  <si>
    <t>VLM</t>
  </si>
  <si>
    <t>SLVM</t>
  </si>
  <si>
    <t>Teniente Coronel Rafael Pabón Airport</t>
  </si>
  <si>
    <t>VLN</t>
  </si>
  <si>
    <t>SVVA</t>
  </si>
  <si>
    <t>Arturo Michelena International Airport</t>
  </si>
  <si>
    <t>VLP</t>
  </si>
  <si>
    <t>SWVC</t>
  </si>
  <si>
    <t>Vila Rica Airport</t>
  </si>
  <si>
    <t>VLR</t>
  </si>
  <si>
    <t>SCLL</t>
  </si>
  <si>
    <t>Vallenar Airport</t>
  </si>
  <si>
    <t>VLS</t>
  </si>
  <si>
    <t>NVSV</t>
  </si>
  <si>
    <t>Valesdir Airport</t>
  </si>
  <si>
    <t>VLU</t>
  </si>
  <si>
    <t>ULOL</t>
  </si>
  <si>
    <t>Velikiye Luki Airport</t>
  </si>
  <si>
    <t>VLV</t>
  </si>
  <si>
    <t>SVVL</t>
  </si>
  <si>
    <t>Dr. Antonio Nicolás Briceno Airport</t>
  </si>
  <si>
    <t>VME</t>
  </si>
  <si>
    <t>SAOR</t>
  </si>
  <si>
    <t>Villa Reynolds Airport</t>
  </si>
  <si>
    <t>VMR</t>
  </si>
  <si>
    <t>KVMR</t>
  </si>
  <si>
    <t>Harold Davidson Field</t>
  </si>
  <si>
    <t>VNA</t>
  </si>
  <si>
    <t>VLSV</t>
  </si>
  <si>
    <t>Saravane Airport</t>
  </si>
  <si>
    <t>VNC</t>
  </si>
  <si>
    <t>KVNC</t>
  </si>
  <si>
    <t>Venice Municipal Airport</t>
  </si>
  <si>
    <t>VNE</t>
  </si>
  <si>
    <t>LFRV</t>
  </si>
  <si>
    <t>Vannes-Meucon Airport</t>
  </si>
  <si>
    <t>VNO</t>
  </si>
  <si>
    <t>EYVI</t>
  </si>
  <si>
    <t>Vilnius International Airport</t>
  </si>
  <si>
    <t>VNR</t>
  </si>
  <si>
    <t>YVRS</t>
  </si>
  <si>
    <t>Vanrook Station Airport</t>
  </si>
  <si>
    <t>VNS</t>
  </si>
  <si>
    <t>VIBN</t>
  </si>
  <si>
    <t>Varanasi Airport</t>
  </si>
  <si>
    <t>VNT</t>
  </si>
  <si>
    <t>EVVA</t>
  </si>
  <si>
    <t>Ventspils International Airport</t>
  </si>
  <si>
    <t>VNW</t>
  </si>
  <si>
    <t>KVNW</t>
  </si>
  <si>
    <t>Van Wert County Airport</t>
  </si>
  <si>
    <t>VNX</t>
  </si>
  <si>
    <t>FQVL</t>
  </si>
  <si>
    <t>Vilankulo Airport</t>
  </si>
  <si>
    <t>VNY</t>
  </si>
  <si>
    <t>KVNY</t>
  </si>
  <si>
    <t>Van Nuys Airport</t>
  </si>
  <si>
    <t>VOG</t>
  </si>
  <si>
    <t>URWW</t>
  </si>
  <si>
    <t>Gumrak Airport</t>
  </si>
  <si>
    <t>VOH</t>
  </si>
  <si>
    <t>FMNV</t>
  </si>
  <si>
    <t>Vohimarina Airport</t>
  </si>
  <si>
    <t>VOI</t>
  </si>
  <si>
    <t>GLVA</t>
  </si>
  <si>
    <t>Voinjama Airport</t>
  </si>
  <si>
    <t>VOK</t>
  </si>
  <si>
    <t>KVOK</t>
  </si>
  <si>
    <t>Volk Field</t>
  </si>
  <si>
    <t>LGBL</t>
  </si>
  <si>
    <t>International Airport of Central Greece</t>
  </si>
  <si>
    <t>VOT</t>
  </si>
  <si>
    <t>SDVG</t>
  </si>
  <si>
    <t>Votuporanga Airport</t>
  </si>
  <si>
    <t>VOZ</t>
  </si>
  <si>
    <t>UUOO</t>
  </si>
  <si>
    <t>Voronezh International Airport</t>
  </si>
  <si>
    <t>VPC</t>
  </si>
  <si>
    <t>KVPC</t>
  </si>
  <si>
    <t>Cartersville Airport</t>
  </si>
  <si>
    <t>VPE</t>
  </si>
  <si>
    <t>FNGI</t>
  </si>
  <si>
    <t>Ngjiva Pereira Airport</t>
  </si>
  <si>
    <t>VPN</t>
  </si>
  <si>
    <t>BIVO</t>
  </si>
  <si>
    <t>Vopnafjörður Airport</t>
  </si>
  <si>
    <t>VPS</t>
  </si>
  <si>
    <t>KVPS</t>
  </si>
  <si>
    <t>Okaloosa Regional Airport / Eglin AFB</t>
  </si>
  <si>
    <t>VPY</t>
  </si>
  <si>
    <t>FQCH</t>
  </si>
  <si>
    <t>Chimoio Airport</t>
  </si>
  <si>
    <t>VPZ</t>
  </si>
  <si>
    <t>KVPZ</t>
  </si>
  <si>
    <t>Porter County Municipal Airport</t>
  </si>
  <si>
    <t>VQS</t>
  </si>
  <si>
    <t>TJCG</t>
  </si>
  <si>
    <t>Vieques Airport</t>
  </si>
  <si>
    <t>TJVQ</t>
  </si>
  <si>
    <t>Antonio Rivera Rodriguez Airport</t>
  </si>
  <si>
    <t>VRA</t>
  </si>
  <si>
    <t>MUVR</t>
  </si>
  <si>
    <t>Juan Gualberto Gómez Airport</t>
  </si>
  <si>
    <t>VRB</t>
  </si>
  <si>
    <t>KVRB</t>
  </si>
  <si>
    <t>Vero Beach Municipal Airport</t>
  </si>
  <si>
    <t>VRC</t>
  </si>
  <si>
    <t>RPUV</t>
  </si>
  <si>
    <t>Virac Airport</t>
  </si>
  <si>
    <t>VRE</t>
  </si>
  <si>
    <t>FAVR</t>
  </si>
  <si>
    <t>Vredendal Airport</t>
  </si>
  <si>
    <t>VRK</t>
  </si>
  <si>
    <t>EFVR</t>
  </si>
  <si>
    <t>Varkaus Airport</t>
  </si>
  <si>
    <t>VRL</t>
  </si>
  <si>
    <t>LPVR</t>
  </si>
  <si>
    <t>Vila Real Airport</t>
  </si>
  <si>
    <t>VRN</t>
  </si>
  <si>
    <t>LIPX</t>
  </si>
  <si>
    <t>Verona / Villafranca Airport</t>
  </si>
  <si>
    <t>VRO</t>
  </si>
  <si>
    <t>MUKW</t>
  </si>
  <si>
    <t>Kawama Airport</t>
  </si>
  <si>
    <t>VRU</t>
  </si>
  <si>
    <t>FAVB</t>
  </si>
  <si>
    <t>Vryburg Airport</t>
  </si>
  <si>
    <t>VRY</t>
  </si>
  <si>
    <t>ENVR</t>
  </si>
  <si>
    <t>Værøy Heliport</t>
  </si>
  <si>
    <t>VSA</t>
  </si>
  <si>
    <t>MMVA</t>
  </si>
  <si>
    <t>Carlos Rovirosa Pérez International Airport</t>
  </si>
  <si>
    <t>VSE</t>
  </si>
  <si>
    <t>LPVZ</t>
  </si>
  <si>
    <t>Viseu Airport</t>
  </si>
  <si>
    <t>VSF</t>
  </si>
  <si>
    <t>KVSF</t>
  </si>
  <si>
    <t>Hartness State (Springfield) Airport</t>
  </si>
  <si>
    <t>VSG</t>
  </si>
  <si>
    <t>UKCW</t>
  </si>
  <si>
    <t>Luhansk Airport</t>
  </si>
  <si>
    <t>VSK</t>
  </si>
  <si>
    <t>KS98</t>
  </si>
  <si>
    <t>Vista Field</t>
  </si>
  <si>
    <t>VST</t>
  </si>
  <si>
    <t>ESOW</t>
  </si>
  <si>
    <t>Stockholm-Västerås Airport</t>
  </si>
  <si>
    <t>VTA</t>
  </si>
  <si>
    <t>KVTA</t>
  </si>
  <si>
    <t>Newark-Heath Airport</t>
  </si>
  <si>
    <t>VTB</t>
  </si>
  <si>
    <t>UMII</t>
  </si>
  <si>
    <t>Vitebsk East Airport</t>
  </si>
  <si>
    <t>VTE</t>
  </si>
  <si>
    <t>VLVT</t>
  </si>
  <si>
    <t>Wattay International Airport</t>
  </si>
  <si>
    <t>VTF</t>
  </si>
  <si>
    <t>NFVL</t>
  </si>
  <si>
    <t>Vatulele Airport</t>
  </si>
  <si>
    <t>VTG</t>
  </si>
  <si>
    <t>VVVT</t>
  </si>
  <si>
    <t>Vung Tau Airport</t>
  </si>
  <si>
    <t>VTI</t>
  </si>
  <si>
    <t>KVTI</t>
  </si>
  <si>
    <t>Vinton Veterans Memorial Airpark</t>
  </si>
  <si>
    <t>VTL</t>
  </si>
  <si>
    <t>LFSZ</t>
  </si>
  <si>
    <t>Vittel Champ De Course Airport</t>
  </si>
  <si>
    <t>VTN</t>
  </si>
  <si>
    <t>KVTN</t>
  </si>
  <si>
    <t>Miller Field</t>
  </si>
  <si>
    <t>VTU</t>
  </si>
  <si>
    <t>MUVT</t>
  </si>
  <si>
    <t>Hermanos Ameijeiras Airport</t>
  </si>
  <si>
    <t>VTZ</t>
  </si>
  <si>
    <t>VEVZ</t>
  </si>
  <si>
    <t>Vishakhapatnam Airport</t>
  </si>
  <si>
    <t>VUJ</t>
  </si>
  <si>
    <t>KVUJ</t>
  </si>
  <si>
    <t>Stanly County Airport</t>
  </si>
  <si>
    <t>VUO</t>
  </si>
  <si>
    <t>KVUO</t>
  </si>
  <si>
    <t>Pearson Field</t>
  </si>
  <si>
    <t>VUP</t>
  </si>
  <si>
    <t>SKVP</t>
  </si>
  <si>
    <t>Alfonso López Pumarejo Airport</t>
  </si>
  <si>
    <t>VUS</t>
  </si>
  <si>
    <t>ULWU</t>
  </si>
  <si>
    <t>Velikiy Ustyug Airport</t>
  </si>
  <si>
    <t>VVB</t>
  </si>
  <si>
    <t>FMMH</t>
  </si>
  <si>
    <t>Mahanoro Airport</t>
  </si>
  <si>
    <t>VVC</t>
  </si>
  <si>
    <t>SKVV</t>
  </si>
  <si>
    <t>Vanguardia Airport</t>
  </si>
  <si>
    <t>VVI</t>
  </si>
  <si>
    <t>SLVR</t>
  </si>
  <si>
    <t>Viru Viru International Airport</t>
  </si>
  <si>
    <t>VVK</t>
  </si>
  <si>
    <t>ESSW</t>
  </si>
  <si>
    <t>Västervik Airport</t>
  </si>
  <si>
    <t>VVO</t>
  </si>
  <si>
    <t>UHWW</t>
  </si>
  <si>
    <t>Vladivostok International Airport (Kievichi Airport)</t>
  </si>
  <si>
    <t>VVS</t>
  </si>
  <si>
    <t>KVVS</t>
  </si>
  <si>
    <t>Connellsville Airport</t>
  </si>
  <si>
    <t>VVV</t>
  </si>
  <si>
    <t>KVVV</t>
  </si>
  <si>
    <t>Ortonville Municipal Airport (Martinson Field)</t>
  </si>
  <si>
    <t>VVZ</t>
  </si>
  <si>
    <t>DAAP</t>
  </si>
  <si>
    <t>Illizi Takhamalt Airport</t>
  </si>
  <si>
    <t>VWU</t>
  </si>
  <si>
    <t>KVWU</t>
  </si>
  <si>
    <t>Waskish Municipal Airport</t>
  </si>
  <si>
    <t>VXC</t>
  </si>
  <si>
    <t>FQLC</t>
  </si>
  <si>
    <t>Lichinga Airport</t>
  </si>
  <si>
    <t>VXE</t>
  </si>
  <si>
    <t>GVSV</t>
  </si>
  <si>
    <t>Sao Pedro Airport</t>
  </si>
  <si>
    <t>VXO</t>
  </si>
  <si>
    <t>ESMX</t>
  </si>
  <si>
    <t>Växjö Airport</t>
  </si>
  <si>
    <t>VYD</t>
  </si>
  <si>
    <t>FAVY</t>
  </si>
  <si>
    <t>Vryheid Airport</t>
  </si>
  <si>
    <t>VYS</t>
  </si>
  <si>
    <t>KVYS</t>
  </si>
  <si>
    <t>Illinois Valley Regional Airport (Walter A. Duncan Field)</t>
  </si>
  <si>
    <t>WAA</t>
  </si>
  <si>
    <t>PAIW</t>
  </si>
  <si>
    <t>Wales Airport</t>
  </si>
  <si>
    <t>WAC</t>
  </si>
  <si>
    <t>HAWC</t>
  </si>
  <si>
    <t>Waca Airport</t>
  </si>
  <si>
    <t>WAF</t>
  </si>
  <si>
    <t>OPWN</t>
  </si>
  <si>
    <t>Wana Airport</t>
  </si>
  <si>
    <t>WAG</t>
  </si>
  <si>
    <t>NZWU</t>
  </si>
  <si>
    <t>Wanganui Airport</t>
  </si>
  <si>
    <t>WAI</t>
  </si>
  <si>
    <t>FMNW</t>
  </si>
  <si>
    <t>Ambalabe Airport</t>
  </si>
  <si>
    <t>WAK</t>
  </si>
  <si>
    <t>FMSZ</t>
  </si>
  <si>
    <t>Ankazoabo Airport</t>
  </si>
  <si>
    <t>WAL</t>
  </si>
  <si>
    <t>KWAL</t>
  </si>
  <si>
    <t>Wallops Flight Facility Airport</t>
  </si>
  <si>
    <t>WAM</t>
  </si>
  <si>
    <t>FMMZ</t>
  </si>
  <si>
    <t>Ambatondrazaka Airport</t>
  </si>
  <si>
    <t>WAP</t>
  </si>
  <si>
    <t>SCAP</t>
  </si>
  <si>
    <t>Alto Palena Airport</t>
  </si>
  <si>
    <t>WAQ</t>
  </si>
  <si>
    <t>FMMG</t>
  </si>
  <si>
    <t>Antsalova Airport</t>
  </si>
  <si>
    <t>WAR</t>
  </si>
  <si>
    <t>WAJR</t>
  </si>
  <si>
    <t>Waris Airport</t>
  </si>
  <si>
    <t>WAT</t>
  </si>
  <si>
    <t>EIWF</t>
  </si>
  <si>
    <t>Waterford Airport</t>
  </si>
  <si>
    <t>WAV</t>
  </si>
  <si>
    <t>YWAV</t>
  </si>
  <si>
    <t>Wave Hill Airport</t>
  </si>
  <si>
    <t>WAW</t>
  </si>
  <si>
    <t>EPWA</t>
  </si>
  <si>
    <t>Warsaw Chopin Airport</t>
  </si>
  <si>
    <t>WAX</t>
  </si>
  <si>
    <t>HLZW</t>
  </si>
  <si>
    <t>Zwara Airport</t>
  </si>
  <si>
    <t>WAY</t>
  </si>
  <si>
    <t>KWAY</t>
  </si>
  <si>
    <t>Greene County Airport</t>
  </si>
  <si>
    <t>WAZ</t>
  </si>
  <si>
    <t>YWCK</t>
  </si>
  <si>
    <t>Warwick Airport</t>
  </si>
  <si>
    <t>WBD</t>
  </si>
  <si>
    <t>FMNF</t>
  </si>
  <si>
    <t>Avaratra Airport</t>
  </si>
  <si>
    <t>WBG</t>
  </si>
  <si>
    <t>ETNS</t>
  </si>
  <si>
    <t>Schleswig Airport</t>
  </si>
  <si>
    <t>WBM</t>
  </si>
  <si>
    <t>AYWD</t>
  </si>
  <si>
    <t>Wapenamanda Airport</t>
  </si>
  <si>
    <t>WBO</t>
  </si>
  <si>
    <t>FMSB</t>
  </si>
  <si>
    <t>Antsoa Airport</t>
  </si>
  <si>
    <t>WBQ</t>
  </si>
  <si>
    <t>PAWB</t>
  </si>
  <si>
    <t>Beaver Airport</t>
  </si>
  <si>
    <t>WBU</t>
  </si>
  <si>
    <t>KBDU</t>
  </si>
  <si>
    <t>Boulder Municipal Airport</t>
  </si>
  <si>
    <t>WBW</t>
  </si>
  <si>
    <t>KWBW</t>
  </si>
  <si>
    <t>Wilkes-Barre Wyoming Valley Airport</t>
  </si>
  <si>
    <t>WCA</t>
  </si>
  <si>
    <t>SCST</t>
  </si>
  <si>
    <t>Gamboa Airport</t>
  </si>
  <si>
    <t>WCH</t>
  </si>
  <si>
    <t>SCTN</t>
  </si>
  <si>
    <t>Chaitén Airport</t>
  </si>
  <si>
    <t>WCR</t>
  </si>
  <si>
    <t>PALR</t>
  </si>
  <si>
    <t>Chandalar Lake Airport</t>
  </si>
  <si>
    <t>WDG</t>
  </si>
  <si>
    <t>KWDG</t>
  </si>
  <si>
    <t>Enid Woodring Regional Airport</t>
  </si>
  <si>
    <t>WDH</t>
  </si>
  <si>
    <t>FYWH</t>
  </si>
  <si>
    <t>Windhoek Hosea Kutako International Airport</t>
  </si>
  <si>
    <t>WDI</t>
  </si>
  <si>
    <t>YWND</t>
  </si>
  <si>
    <t>Wondai Airport</t>
  </si>
  <si>
    <t>WDR</t>
  </si>
  <si>
    <t>KWDR</t>
  </si>
  <si>
    <t>Winder-Barrow Airport</t>
  </si>
  <si>
    <t>WEA</t>
  </si>
  <si>
    <t>KWEA</t>
  </si>
  <si>
    <t>Parker County Airport</t>
  </si>
  <si>
    <t>WEF</t>
  </si>
  <si>
    <t>ZSWF</t>
  </si>
  <si>
    <t>Weifang Airport</t>
  </si>
  <si>
    <t>WEH</t>
  </si>
  <si>
    <t>ZSWH</t>
  </si>
  <si>
    <t>Weihai Airport</t>
  </si>
  <si>
    <t>WEI</t>
  </si>
  <si>
    <t>YBWP</t>
  </si>
  <si>
    <t>Weipa Airport</t>
  </si>
  <si>
    <t>WEL</t>
  </si>
  <si>
    <t>FAWM</t>
  </si>
  <si>
    <t>Welkom Airport</t>
  </si>
  <si>
    <t>WABG</t>
  </si>
  <si>
    <t>Wagethe Airport</t>
  </si>
  <si>
    <t>WEW</t>
  </si>
  <si>
    <t>YWWA</t>
  </si>
  <si>
    <t>Wee Waa Airport</t>
  </si>
  <si>
    <t>WEX</t>
  </si>
  <si>
    <t>EICD</t>
  </si>
  <si>
    <t>Castlebridge Airport</t>
  </si>
  <si>
    <t>WFI</t>
  </si>
  <si>
    <t>FMSF</t>
  </si>
  <si>
    <t>Fianarantsoa Airport</t>
  </si>
  <si>
    <t>WGA</t>
  </si>
  <si>
    <t>YSWG</t>
  </si>
  <si>
    <t>Wagga Wagga Airport</t>
  </si>
  <si>
    <t>WGB</t>
  </si>
  <si>
    <t>OPBR</t>
  </si>
  <si>
    <t>Bahawalnagar Airport</t>
  </si>
  <si>
    <t>WGC</t>
  </si>
  <si>
    <t>VOWA</t>
  </si>
  <si>
    <t>Warangal Airport</t>
  </si>
  <si>
    <t>WGE</t>
  </si>
  <si>
    <t>YWLG</t>
  </si>
  <si>
    <t>Walgett Airport</t>
  </si>
  <si>
    <t>WGP</t>
  </si>
  <si>
    <t>WADW</t>
  </si>
  <si>
    <t>Waingapu Airport</t>
  </si>
  <si>
    <t>WRRW</t>
  </si>
  <si>
    <t>WGT</t>
  </si>
  <si>
    <t>YWGT</t>
  </si>
  <si>
    <t>Wangaratta Airport</t>
  </si>
  <si>
    <t>WHF</t>
  </si>
  <si>
    <t>HSSW</t>
  </si>
  <si>
    <t>Wadi Halfa Airport</t>
  </si>
  <si>
    <t>KWHF</t>
  </si>
  <si>
    <t>WHK</t>
  </si>
  <si>
    <t>NZWK</t>
  </si>
  <si>
    <t>Whakatane Airport</t>
  </si>
  <si>
    <t>WHO</t>
  </si>
  <si>
    <t>NZFJ</t>
  </si>
  <si>
    <t>Franz Josef Aerodrome</t>
  </si>
  <si>
    <t>WHP</t>
  </si>
  <si>
    <t>KWHP</t>
  </si>
  <si>
    <t>Whiteman Airport</t>
  </si>
  <si>
    <t>WHS</t>
  </si>
  <si>
    <t>EGEH</t>
  </si>
  <si>
    <t>Whalsay Airport</t>
  </si>
  <si>
    <t>WHU</t>
  </si>
  <si>
    <t>ZSWU</t>
  </si>
  <si>
    <t>Wuhu Air Base</t>
  </si>
  <si>
    <t>WIC</t>
  </si>
  <si>
    <t>EGPC</t>
  </si>
  <si>
    <t>Wick Airport</t>
  </si>
  <si>
    <t>WIE</t>
  </si>
  <si>
    <t>ETOU</t>
  </si>
  <si>
    <t>Wiesbaden Army Airfield</t>
  </si>
  <si>
    <t>WIK</t>
  </si>
  <si>
    <t>NZKE</t>
  </si>
  <si>
    <t>Waiheke Reeve Airport</t>
  </si>
  <si>
    <t>WIL</t>
  </si>
  <si>
    <t>HKNW</t>
  </si>
  <si>
    <t>Wilson Airport</t>
  </si>
  <si>
    <t>WIN</t>
  </si>
  <si>
    <t>YWTN</t>
  </si>
  <si>
    <t>Winton Airport</t>
  </si>
  <si>
    <t>WIO</t>
  </si>
  <si>
    <t>YWCA</t>
  </si>
  <si>
    <t>Wilcannia Airport</t>
  </si>
  <si>
    <t>WIR</t>
  </si>
  <si>
    <t>NZWO</t>
  </si>
  <si>
    <t>Wairoa Airport</t>
  </si>
  <si>
    <t>WIT</t>
  </si>
  <si>
    <t>YWIT</t>
  </si>
  <si>
    <t>Wittenoom Airport</t>
  </si>
  <si>
    <t>WIX</t>
  </si>
  <si>
    <t>MMTX</t>
  </si>
  <si>
    <t>Tuxpan Airport</t>
  </si>
  <si>
    <t>WJF</t>
  </si>
  <si>
    <t>KWJF</t>
  </si>
  <si>
    <t>General William J. Fox Airfield</t>
  </si>
  <si>
    <t>WJR</t>
  </si>
  <si>
    <t>HKWJ</t>
  </si>
  <si>
    <t>Wajir Airport</t>
  </si>
  <si>
    <t>WJU</t>
  </si>
  <si>
    <t>RKNW</t>
  </si>
  <si>
    <t>Wonju Airport</t>
  </si>
  <si>
    <t>WKA</t>
  </si>
  <si>
    <t>NZWF</t>
  </si>
  <si>
    <t>Wanaka Airport</t>
  </si>
  <si>
    <t>WKB</t>
  </si>
  <si>
    <t>YWKB</t>
  </si>
  <si>
    <t>Warracknabeal Airport</t>
  </si>
  <si>
    <t>WKI</t>
  </si>
  <si>
    <t>FVWT</t>
  </si>
  <si>
    <t>Hwange Airport</t>
  </si>
  <si>
    <t>WKJ</t>
  </si>
  <si>
    <t>RJCW</t>
  </si>
  <si>
    <t>Wakkanai Airport</t>
  </si>
  <si>
    <t>WKK</t>
  </si>
  <si>
    <t>5A8</t>
  </si>
  <si>
    <t>Aleknagik / New Airport</t>
  </si>
  <si>
    <t>WKR</t>
  </si>
  <si>
    <t>MYAW</t>
  </si>
  <si>
    <t>Abaco I Walker C Airport</t>
  </si>
  <si>
    <t>WLA</t>
  </si>
  <si>
    <t>YWAL</t>
  </si>
  <si>
    <t>Wallal Airport</t>
  </si>
  <si>
    <t>WLC</t>
  </si>
  <si>
    <t>YWCH</t>
  </si>
  <si>
    <t>Walcha Airport</t>
  </si>
  <si>
    <t>WLD</t>
  </si>
  <si>
    <t>KWLD</t>
  </si>
  <si>
    <t>Strother Field</t>
  </si>
  <si>
    <t>WLG</t>
  </si>
  <si>
    <t>NZWN</t>
  </si>
  <si>
    <t>Wellington International Airport</t>
  </si>
  <si>
    <t>WLH</t>
  </si>
  <si>
    <t>NVSW</t>
  </si>
  <si>
    <t>Walaha Airport</t>
  </si>
  <si>
    <t>WLK</t>
  </si>
  <si>
    <t>PASK</t>
  </si>
  <si>
    <t>Selawik Airport</t>
  </si>
  <si>
    <t>WLO</t>
  </si>
  <si>
    <t>YWTL</t>
  </si>
  <si>
    <t>Waterloo Airport</t>
  </si>
  <si>
    <t>WLS</t>
  </si>
  <si>
    <t>NLWW</t>
  </si>
  <si>
    <t>Hihifo Airport</t>
  </si>
  <si>
    <t>WLW</t>
  </si>
  <si>
    <t>KWLW</t>
  </si>
  <si>
    <t>Willows-Glenn County Airport</t>
  </si>
  <si>
    <t>WMA</t>
  </si>
  <si>
    <t>FMNX</t>
  </si>
  <si>
    <t>Mandritsara Airport</t>
  </si>
  <si>
    <t>WMB</t>
  </si>
  <si>
    <t>YWBL</t>
  </si>
  <si>
    <t>Warrnambool Airport</t>
  </si>
  <si>
    <t>WMC</t>
  </si>
  <si>
    <t>KWMC</t>
  </si>
  <si>
    <t>Winnemucca Municipal Airport</t>
  </si>
  <si>
    <t>WMD</t>
  </si>
  <si>
    <t>FMSC</t>
  </si>
  <si>
    <t>Mandabe Airport</t>
  </si>
  <si>
    <t>WME</t>
  </si>
  <si>
    <t>YMNE</t>
  </si>
  <si>
    <t>Mount Keith Airport</t>
  </si>
  <si>
    <t>WML</t>
  </si>
  <si>
    <t>FMMC</t>
  </si>
  <si>
    <t>Malaimbandy Airport</t>
  </si>
  <si>
    <t>WMN</t>
  </si>
  <si>
    <t>FMNR</t>
  </si>
  <si>
    <t>Maroantsetra Airport</t>
  </si>
  <si>
    <t>WMP</t>
  </si>
  <si>
    <t>FMNP</t>
  </si>
  <si>
    <t>Mampikony Airport</t>
  </si>
  <si>
    <t>WMR</t>
  </si>
  <si>
    <t>FMNC</t>
  </si>
  <si>
    <t>Mananara Nord Airport</t>
  </si>
  <si>
    <t>WMX</t>
  </si>
  <si>
    <t>WAJW</t>
  </si>
  <si>
    <t>Wamena Airport</t>
  </si>
  <si>
    <t>WNA</t>
  </si>
  <si>
    <t>PANA</t>
  </si>
  <si>
    <t>Napakiak Airport</t>
  </si>
  <si>
    <t>WND</t>
  </si>
  <si>
    <t>YWDA</t>
  </si>
  <si>
    <t>Windarra Airport</t>
  </si>
  <si>
    <t>WNN</t>
  </si>
  <si>
    <t>CKL3</t>
  </si>
  <si>
    <t>Wunnumin Lake Airport</t>
  </si>
  <si>
    <t>WNP</t>
  </si>
  <si>
    <t>RPUN</t>
  </si>
  <si>
    <t>Naga Airport</t>
  </si>
  <si>
    <t>WNR</t>
  </si>
  <si>
    <t>YWDH</t>
  </si>
  <si>
    <t>Windorah Airport</t>
  </si>
  <si>
    <t>WNS</t>
  </si>
  <si>
    <t>OPNH</t>
  </si>
  <si>
    <t>Nawabshah Airport</t>
  </si>
  <si>
    <t>WNZ</t>
  </si>
  <si>
    <t>ZSWZ</t>
  </si>
  <si>
    <t>Wenzhou Yongqiang Airport</t>
  </si>
  <si>
    <t>WOE</t>
  </si>
  <si>
    <t>WOL</t>
  </si>
  <si>
    <t>YWOL</t>
  </si>
  <si>
    <t>Illawarra Regional Airport</t>
  </si>
  <si>
    <t>WOT</t>
  </si>
  <si>
    <t>RCWA</t>
  </si>
  <si>
    <t>Wang-an Airport</t>
  </si>
  <si>
    <t>WPA</t>
  </si>
  <si>
    <t>SCAS</t>
  </si>
  <si>
    <t>Cabo 1Â° Juan Román Airport</t>
  </si>
  <si>
    <t>WPB</t>
  </si>
  <si>
    <t>FMNG</t>
  </si>
  <si>
    <t>Port Bergé Airport</t>
  </si>
  <si>
    <t>WPK</t>
  </si>
  <si>
    <t>YWMP</t>
  </si>
  <si>
    <t>Wrotham Park Airport</t>
  </si>
  <si>
    <t>WPR</t>
  </si>
  <si>
    <t>SCFM</t>
  </si>
  <si>
    <t>Capitan Fuentes Martinez Airport Airport</t>
  </si>
  <si>
    <t>WPU</t>
  </si>
  <si>
    <t>SCGZ</t>
  </si>
  <si>
    <t>Guardiamarina Zañartu Airport</t>
  </si>
  <si>
    <t>WRB</t>
  </si>
  <si>
    <t>KWRB</t>
  </si>
  <si>
    <t>Robins AFB</t>
  </si>
  <si>
    <t>WRE</t>
  </si>
  <si>
    <t>NZWR</t>
  </si>
  <si>
    <t>Whangarei Airport</t>
  </si>
  <si>
    <t>WRG</t>
  </si>
  <si>
    <t>PAWG</t>
  </si>
  <si>
    <t>Wrangell Airport</t>
  </si>
  <si>
    <t>WRI</t>
  </si>
  <si>
    <t>KWRI</t>
  </si>
  <si>
    <t>McGuire Air Force Base</t>
  </si>
  <si>
    <t>WRL</t>
  </si>
  <si>
    <t>KWRL</t>
  </si>
  <si>
    <t>Worland Municipal Airport</t>
  </si>
  <si>
    <t>WRO</t>
  </si>
  <si>
    <t>EPWR</t>
  </si>
  <si>
    <t>Copernicus Airport Wroc?aw</t>
  </si>
  <si>
    <t>WRW</t>
  </si>
  <si>
    <t>YWWG</t>
  </si>
  <si>
    <t>Warrawagine Airport</t>
  </si>
  <si>
    <t>WRY</t>
  </si>
  <si>
    <t>EGEW</t>
  </si>
  <si>
    <t>Westray Airport</t>
  </si>
  <si>
    <t>WRZ</t>
  </si>
  <si>
    <t>VCCW</t>
  </si>
  <si>
    <t>Weerawila International Airport (New airport)</t>
  </si>
  <si>
    <t>WSD</t>
  </si>
  <si>
    <t>KWSD</t>
  </si>
  <si>
    <t>Condron AAF</t>
  </si>
  <si>
    <t>WSG</t>
  </si>
  <si>
    <t>KAFJ</t>
  </si>
  <si>
    <t>Washington County Airport</t>
  </si>
  <si>
    <t>WSP</t>
  </si>
  <si>
    <t>MNWP</t>
  </si>
  <si>
    <t>Waspam Airport</t>
  </si>
  <si>
    <t>WSR</t>
  </si>
  <si>
    <t>WASW</t>
  </si>
  <si>
    <t>Wasior Airport</t>
  </si>
  <si>
    <t>WST</t>
  </si>
  <si>
    <t>KWST</t>
  </si>
  <si>
    <t>Westerly State Airport</t>
  </si>
  <si>
    <t>WSZ</t>
  </si>
  <si>
    <t>NZWS</t>
  </si>
  <si>
    <t>Westport Airport</t>
  </si>
  <si>
    <t>WTA</t>
  </si>
  <si>
    <t>FMMU</t>
  </si>
  <si>
    <t>Tambohorano Airport</t>
  </si>
  <si>
    <t>WTD</t>
  </si>
  <si>
    <t>MYGW</t>
  </si>
  <si>
    <t>West End Airport</t>
  </si>
  <si>
    <t>WTK</t>
  </si>
  <si>
    <t>PAWN</t>
  </si>
  <si>
    <t>Noatak Airport</t>
  </si>
  <si>
    <t>WTN</t>
  </si>
  <si>
    <t>EGXW</t>
  </si>
  <si>
    <t>RAF Waddington</t>
  </si>
  <si>
    <t>WTR</t>
  </si>
  <si>
    <t>KE24</t>
  </si>
  <si>
    <t>Whiteriver Airport</t>
  </si>
  <si>
    <t>WTS</t>
  </si>
  <si>
    <t>Tsiroanomandidy Airport</t>
  </si>
  <si>
    <t>FMMX</t>
  </si>
  <si>
    <t>WTZ</t>
  </si>
  <si>
    <t>NZWT</t>
  </si>
  <si>
    <t>Whitianga Airport</t>
  </si>
  <si>
    <t>WUD</t>
  </si>
  <si>
    <t>YWUD</t>
  </si>
  <si>
    <t>Wudinna Airport</t>
  </si>
  <si>
    <t>WUH</t>
  </si>
  <si>
    <t>ZHHH</t>
  </si>
  <si>
    <t>Tianhe Airport</t>
  </si>
  <si>
    <t>WUN</t>
  </si>
  <si>
    <t>YWLU</t>
  </si>
  <si>
    <t>Wiluna Airport</t>
  </si>
  <si>
    <t>WUS</t>
  </si>
  <si>
    <t>ZSWY</t>
  </si>
  <si>
    <t>Nanping Wuyishan Airport</t>
  </si>
  <si>
    <t>WUU</t>
  </si>
  <si>
    <t>HSWW</t>
  </si>
  <si>
    <t>Wau Airport</t>
  </si>
  <si>
    <t>WUX</t>
  </si>
  <si>
    <t>ZSWX</t>
  </si>
  <si>
    <t>Sunan Shuofang International Airport</t>
  </si>
  <si>
    <t>WUZ</t>
  </si>
  <si>
    <t>ZGWZ</t>
  </si>
  <si>
    <t>Wuzhou Changzhoudao Airport</t>
  </si>
  <si>
    <t>WVB</t>
  </si>
  <si>
    <t>FYWB</t>
  </si>
  <si>
    <t>Walvis Bay Airport</t>
  </si>
  <si>
    <t>WVI</t>
  </si>
  <si>
    <t>KWVI</t>
  </si>
  <si>
    <t>Watsonville Municipal Airport</t>
  </si>
  <si>
    <t>WVK</t>
  </si>
  <si>
    <t>FMSK</t>
  </si>
  <si>
    <t>Manakara Airport</t>
  </si>
  <si>
    <t>WVL</t>
  </si>
  <si>
    <t>KWVL</t>
  </si>
  <si>
    <t>Waterville Robert LaFleur Airport</t>
  </si>
  <si>
    <t>WVN</t>
  </si>
  <si>
    <t>EDWI</t>
  </si>
  <si>
    <t>Wilhelmshaven-Mariensiel Airport</t>
  </si>
  <si>
    <t>WWD</t>
  </si>
  <si>
    <t>KWWD</t>
  </si>
  <si>
    <t>Cape May Airport</t>
  </si>
  <si>
    <t>WWI</t>
  </si>
  <si>
    <t>YWWI</t>
  </si>
  <si>
    <t>Woodie Woodie Airport</t>
  </si>
  <si>
    <t>WWK</t>
  </si>
  <si>
    <t>AYWK</t>
  </si>
  <si>
    <t>Wewak International Airport</t>
  </si>
  <si>
    <t>WWR</t>
  </si>
  <si>
    <t>KWWR</t>
  </si>
  <si>
    <t>West Woodward Airport</t>
  </si>
  <si>
    <t>WWY</t>
  </si>
  <si>
    <t>YWWL</t>
  </si>
  <si>
    <t>West Wyalong Airport</t>
  </si>
  <si>
    <t>WXF</t>
  </si>
  <si>
    <t>EGVT</t>
  </si>
  <si>
    <t>Wethersfield Airport</t>
  </si>
  <si>
    <t>WXN</t>
  </si>
  <si>
    <t>ZUWX</t>
  </si>
  <si>
    <t>Wanxian Airport</t>
  </si>
  <si>
    <t>WYA</t>
  </si>
  <si>
    <t>YWHA</t>
  </si>
  <si>
    <t>Whyalla Airport</t>
  </si>
  <si>
    <t>WYN</t>
  </si>
  <si>
    <t>YWYM</t>
  </si>
  <si>
    <t>Wyndham Airport</t>
  </si>
  <si>
    <t>WYS</t>
  </si>
  <si>
    <t>KWYS</t>
  </si>
  <si>
    <t>Yellowstone Airport</t>
  </si>
  <si>
    <t>XAB</t>
  </si>
  <si>
    <t>LFOI</t>
  </si>
  <si>
    <t>Abbeville - Buigny-Saint-Maclou Aerodrome</t>
  </si>
  <si>
    <t>XAC</t>
  </si>
  <si>
    <t>LFCH</t>
  </si>
  <si>
    <t>La Teste-de-Buch Airport</t>
  </si>
  <si>
    <t>XAN</t>
  </si>
  <si>
    <t>LFOF</t>
  </si>
  <si>
    <t>Alençon Valframbert Airport</t>
  </si>
  <si>
    <t>XAP</t>
  </si>
  <si>
    <t>SBCH</t>
  </si>
  <si>
    <t>Chapecó Airport</t>
  </si>
  <si>
    <t>XAR</t>
  </si>
  <si>
    <t>DFOY</t>
  </si>
  <si>
    <t>Aribinda Airport</t>
  </si>
  <si>
    <t>XAS</t>
  </si>
  <si>
    <t>LFMS</t>
  </si>
  <si>
    <t>Alès-Deaux Airport</t>
  </si>
  <si>
    <t>XAU</t>
  </si>
  <si>
    <t>SOOS</t>
  </si>
  <si>
    <t>Saúl Airport</t>
  </si>
  <si>
    <t>XBE</t>
  </si>
  <si>
    <t>CNE3</t>
  </si>
  <si>
    <t>Bearskin Lake Airport</t>
  </si>
  <si>
    <t>XBG</t>
  </si>
  <si>
    <t>DFEB</t>
  </si>
  <si>
    <t>Bogande Airport</t>
  </si>
  <si>
    <t>XBJ</t>
  </si>
  <si>
    <t>OIMB</t>
  </si>
  <si>
    <t>Birjand Airport</t>
  </si>
  <si>
    <t>XBK</t>
  </si>
  <si>
    <t>LFHS</t>
  </si>
  <si>
    <t>Bourg - Ceyzériat Airport</t>
  </si>
  <si>
    <t>XBO</t>
  </si>
  <si>
    <t>DFEA</t>
  </si>
  <si>
    <t>Boulsa Airport</t>
  </si>
  <si>
    <t>XBQ</t>
  </si>
  <si>
    <t>LFOQ</t>
  </si>
  <si>
    <t>Blois-Le Breuil Airport</t>
  </si>
  <si>
    <t>XBV</t>
  </si>
  <si>
    <t>LFGF</t>
  </si>
  <si>
    <t>Beaune-Challanges Airport</t>
  </si>
  <si>
    <t>XCB</t>
  </si>
  <si>
    <t>LFQI</t>
  </si>
  <si>
    <t>Cambrai-Épinoy (BA 103) Air Base</t>
  </si>
  <si>
    <t>XCH</t>
  </si>
  <si>
    <t>YPXM</t>
  </si>
  <si>
    <t>Christmas Island Airport</t>
  </si>
  <si>
    <t>XCO</t>
  </si>
  <si>
    <t>YOLA</t>
  </si>
  <si>
    <t>Colac Airport</t>
  </si>
  <si>
    <t>XCP</t>
  </si>
  <si>
    <t>LFAD</t>
  </si>
  <si>
    <t>Compiègne Margny Airport</t>
  </si>
  <si>
    <t>XCR</t>
  </si>
  <si>
    <t>LFOK</t>
  </si>
  <si>
    <t>Châlons-Vatry Air Base</t>
  </si>
  <si>
    <t>XCX</t>
  </si>
  <si>
    <t>LFCA</t>
  </si>
  <si>
    <t>Châtellerault Airport</t>
  </si>
  <si>
    <t>XCZ</t>
  </si>
  <si>
    <t>LFQV</t>
  </si>
  <si>
    <t>Charleville-Mézières Airport</t>
  </si>
  <si>
    <t>XDA</t>
  </si>
  <si>
    <t>LFBY</t>
  </si>
  <si>
    <t>Seyresse Airport</t>
  </si>
  <si>
    <t>XDE</t>
  </si>
  <si>
    <t>DFOU</t>
  </si>
  <si>
    <t>Diebougou Airport</t>
  </si>
  <si>
    <t>XDJ</t>
  </si>
  <si>
    <t>DFCJ</t>
  </si>
  <si>
    <t>Djibo Airport</t>
  </si>
  <si>
    <t>XDK</t>
  </si>
  <si>
    <t>LFAK</t>
  </si>
  <si>
    <t>Dunkerque les Moeres Airport</t>
  </si>
  <si>
    <t>XEP</t>
  </si>
  <si>
    <t>LFSW</t>
  </si>
  <si>
    <t>Plivot Airport</t>
  </si>
  <si>
    <t>XFN</t>
  </si>
  <si>
    <t>ZHXF</t>
  </si>
  <si>
    <t>Xiangfan Airport</t>
  </si>
  <si>
    <t>XFW</t>
  </si>
  <si>
    <t>EDHI</t>
  </si>
  <si>
    <t>Hamburg Finkenwerder Airport</t>
  </si>
  <si>
    <t>XGA</t>
  </si>
  <si>
    <t>DFOG</t>
  </si>
  <si>
    <t>Gaoua Airport</t>
  </si>
  <si>
    <t>XGG</t>
  </si>
  <si>
    <t>DFEG</t>
  </si>
  <si>
    <t>Gorom-Gorom Airport</t>
  </si>
  <si>
    <t>XGN</t>
  </si>
  <si>
    <t>FNXA</t>
  </si>
  <si>
    <t>Xangongo Airport</t>
  </si>
  <si>
    <t>XGR</t>
  </si>
  <si>
    <t>CYLU</t>
  </si>
  <si>
    <t>Kangiqsualujjuaq (Georges River) Airport</t>
  </si>
  <si>
    <t>XGT</t>
  </si>
  <si>
    <t>LFCE</t>
  </si>
  <si>
    <t>Guéret St Laurent Airport</t>
  </si>
  <si>
    <t>XHE</t>
  </si>
  <si>
    <t>LFTH</t>
  </si>
  <si>
    <t>Toulon-Hyères Airport</t>
  </si>
  <si>
    <t>XIC</t>
  </si>
  <si>
    <t>ZUXC</t>
  </si>
  <si>
    <t>Xichang Qingshan Airport</t>
  </si>
  <si>
    <t>XIL</t>
  </si>
  <si>
    <t>ZBXH</t>
  </si>
  <si>
    <t>Xilinhot Airport</t>
  </si>
  <si>
    <t>XIN</t>
  </si>
  <si>
    <t>ZGXN</t>
  </si>
  <si>
    <t>Xingning Airport</t>
  </si>
  <si>
    <t>XIY</t>
  </si>
  <si>
    <t>ZLXY</t>
  </si>
  <si>
    <t>Xi'an Xianyang International Airport</t>
  </si>
  <si>
    <t>XJM</t>
  </si>
  <si>
    <t>OPMA</t>
  </si>
  <si>
    <t>Mangla Airport</t>
  </si>
  <si>
    <t>XKA</t>
  </si>
  <si>
    <t>DFEL</t>
  </si>
  <si>
    <t>Kantchari Airport</t>
  </si>
  <si>
    <t>XKH</t>
  </si>
  <si>
    <t>VLXK</t>
  </si>
  <si>
    <t>Xieng Khouang Airport</t>
  </si>
  <si>
    <t>XKS</t>
  </si>
  <si>
    <t>CYAQ</t>
  </si>
  <si>
    <t>Kasabonika Airport</t>
  </si>
  <si>
    <t>XKY</t>
  </si>
  <si>
    <t>DFCA</t>
  </si>
  <si>
    <t>Kaya Airport</t>
  </si>
  <si>
    <t>XLN</t>
  </si>
  <si>
    <t>LFAF</t>
  </si>
  <si>
    <t>Laon - Chambry Airport</t>
  </si>
  <si>
    <t>XLR</t>
  </si>
  <si>
    <t>LFDI</t>
  </si>
  <si>
    <t>Libourne-Artigues-de-Lussac Airport</t>
  </si>
  <si>
    <t>XLS</t>
  </si>
  <si>
    <t>GOSS</t>
  </si>
  <si>
    <t>Saint Louis Airport</t>
  </si>
  <si>
    <t>XLU</t>
  </si>
  <si>
    <t>DFCL</t>
  </si>
  <si>
    <t>Leo Airport</t>
  </si>
  <si>
    <t>XLW</t>
  </si>
  <si>
    <t>EDWD</t>
  </si>
  <si>
    <t>Lemwerder Airport</t>
  </si>
  <si>
    <t>XMC</t>
  </si>
  <si>
    <t>YMCO</t>
  </si>
  <si>
    <t>Mallacoota Airport</t>
  </si>
  <si>
    <t>XMD</t>
  </si>
  <si>
    <t>KMDS</t>
  </si>
  <si>
    <t>XME</t>
  </si>
  <si>
    <t>LFQJ</t>
  </si>
  <si>
    <t>Maubeuge-Élesmes Airport</t>
  </si>
  <si>
    <t>XMF</t>
  </si>
  <si>
    <t>LFSM</t>
  </si>
  <si>
    <t>Montbéliard-Courcelles Airport</t>
  </si>
  <si>
    <t>XMG</t>
  </si>
  <si>
    <t>VNMN</t>
  </si>
  <si>
    <t>Mahendranagar Airport</t>
  </si>
  <si>
    <t>XMH</t>
  </si>
  <si>
    <t>NTGI</t>
  </si>
  <si>
    <t>Manihi Airport</t>
  </si>
  <si>
    <t>XMI</t>
  </si>
  <si>
    <t>HTMI</t>
  </si>
  <si>
    <t>Masasi Airport</t>
  </si>
  <si>
    <t>XMJ</t>
  </si>
  <si>
    <t>LFBM</t>
  </si>
  <si>
    <t>Mont-de-Marsan (BA 118) Air Base</t>
  </si>
  <si>
    <t>XMK</t>
  </si>
  <si>
    <t>LFLQ</t>
  </si>
  <si>
    <t>Montélimar - Ancéne Airport</t>
  </si>
  <si>
    <t>XML</t>
  </si>
  <si>
    <t>YMIN</t>
  </si>
  <si>
    <t>Minlaton Airport</t>
  </si>
  <si>
    <t>XMN</t>
  </si>
  <si>
    <t>ZSAM</t>
  </si>
  <si>
    <t>Xiamen Gaoqi International Airport</t>
  </si>
  <si>
    <t>XMS</t>
  </si>
  <si>
    <t>SEMC</t>
  </si>
  <si>
    <t>Macas Airport</t>
  </si>
  <si>
    <t>XMU</t>
  </si>
  <si>
    <t>LFHY</t>
  </si>
  <si>
    <t>Montbeugny Airport</t>
  </si>
  <si>
    <t>XMW</t>
  </si>
  <si>
    <t>LFDB</t>
  </si>
  <si>
    <t>Montauban Airport</t>
  </si>
  <si>
    <t>XMY</t>
  </si>
  <si>
    <t>YYMI</t>
  </si>
  <si>
    <t>Yam Island Airport</t>
  </si>
  <si>
    <t>XNA</t>
  </si>
  <si>
    <t>KXNA</t>
  </si>
  <si>
    <t>Northwest Arkansas Regional Airport</t>
  </si>
  <si>
    <t>XNN</t>
  </si>
  <si>
    <t>ZLXN</t>
  </si>
  <si>
    <t>Xining Caojiabu Airport</t>
  </si>
  <si>
    <t>XNU</t>
  </si>
  <si>
    <t>DFON</t>
  </si>
  <si>
    <t>Nouna Airport</t>
  </si>
  <si>
    <t>XOG</t>
  </si>
  <si>
    <t>LFMO</t>
  </si>
  <si>
    <t>Orange-Caritat Air Base</t>
  </si>
  <si>
    <t>XPA</t>
  </si>
  <si>
    <t>DFEP</t>
  </si>
  <si>
    <t>Pama Airport</t>
  </si>
  <si>
    <t>XPK</t>
  </si>
  <si>
    <t>CZFG</t>
  </si>
  <si>
    <t>Pukatawagan Airport</t>
  </si>
  <si>
    <t>XPL</t>
  </si>
  <si>
    <t>MHSC</t>
  </si>
  <si>
    <t>Coronel Enrique Soto Cano Air Base</t>
  </si>
  <si>
    <t>XQP</t>
  </si>
  <si>
    <t>MRQP</t>
  </si>
  <si>
    <t>Quepos Managua Airport</t>
  </si>
  <si>
    <t>XRY</t>
  </si>
  <si>
    <t>LEJR</t>
  </si>
  <si>
    <t>Jerez Airport</t>
  </si>
  <si>
    <t>XSC</t>
  </si>
  <si>
    <t>MBSC</t>
  </si>
  <si>
    <t>South Caicos Airport</t>
  </si>
  <si>
    <t>XSD</t>
  </si>
  <si>
    <t>KTNX</t>
  </si>
  <si>
    <t>Tonopah Test Range Airport</t>
  </si>
  <si>
    <t>XSE</t>
  </si>
  <si>
    <t>DFES</t>
  </si>
  <si>
    <t>Sebba Airport</t>
  </si>
  <si>
    <t>XSJ</t>
  </si>
  <si>
    <t>LFAG</t>
  </si>
  <si>
    <t>Péronne-Saint-Quentin Airport</t>
  </si>
  <si>
    <t>XSL</t>
  </si>
  <si>
    <t>LFDS</t>
  </si>
  <si>
    <t>Sarlat Domme Airport</t>
  </si>
  <si>
    <t>XSP</t>
  </si>
  <si>
    <t>WSSL</t>
  </si>
  <si>
    <t>Seletar Airport</t>
  </si>
  <si>
    <t>XSU</t>
  </si>
  <si>
    <t>LFOD</t>
  </si>
  <si>
    <t>Saumur-Saint-Florent Airport</t>
  </si>
  <si>
    <t>XTA</t>
  </si>
  <si>
    <t>KXTA</t>
  </si>
  <si>
    <t>Area 51</t>
  </si>
  <si>
    <t>XTB</t>
  </si>
  <si>
    <t>LFDT</t>
  </si>
  <si>
    <t>Tarbes Laloubère Airport</t>
  </si>
  <si>
    <t>XTG</t>
  </si>
  <si>
    <t>YTGM</t>
  </si>
  <si>
    <t>Thargomindah Airport</t>
  </si>
  <si>
    <t>XTL</t>
  </si>
  <si>
    <t>CYBQ</t>
  </si>
  <si>
    <t>Tadoule Lake Airport</t>
  </si>
  <si>
    <t>XTO</t>
  </si>
  <si>
    <t>YTAM</t>
  </si>
  <si>
    <t>Taroom Airport</t>
  </si>
  <si>
    <t>XTR</t>
  </si>
  <si>
    <t>YTAA</t>
  </si>
  <si>
    <t>Tara Airport</t>
  </si>
  <si>
    <t>XUZ</t>
  </si>
  <si>
    <t>ZSXZ</t>
  </si>
  <si>
    <t>Xuzhou Guanyin Airport</t>
  </si>
  <si>
    <t>XVN</t>
  </si>
  <si>
    <t>LFGW</t>
  </si>
  <si>
    <t>Verdun-Le Rozelier Airport</t>
  </si>
  <si>
    <t>XVO</t>
  </si>
  <si>
    <t>LFQW</t>
  </si>
  <si>
    <t>Vesoul-Frotey Airport</t>
  </si>
  <si>
    <t>XVS</t>
  </si>
  <si>
    <t>LFAV</t>
  </si>
  <si>
    <t>Valenciennes-Denain Airport</t>
  </si>
  <si>
    <t>XWP</t>
  </si>
  <si>
    <t>ESFA</t>
  </si>
  <si>
    <t>Hässleholm Bokeberg Airport</t>
  </si>
  <si>
    <t>XXB</t>
  </si>
  <si>
    <t>EGCD</t>
  </si>
  <si>
    <t>Manchester Woodford Airport</t>
  </si>
  <si>
    <t>XXN</t>
  </si>
  <si>
    <t>OERY</t>
  </si>
  <si>
    <t>Riyadh Air Base</t>
  </si>
  <si>
    <t>XYE</t>
  </si>
  <si>
    <t>VYYE</t>
  </si>
  <si>
    <t>Ye Airport</t>
  </si>
  <si>
    <t>XYT</t>
  </si>
  <si>
    <t>LFIO</t>
  </si>
  <si>
    <t>Montaudran Airport</t>
  </si>
  <si>
    <t>XZA</t>
  </si>
  <si>
    <t>DFEZ</t>
  </si>
  <si>
    <t>Zabre Airport</t>
  </si>
  <si>
    <t>YAA</t>
  </si>
  <si>
    <t>CAJ4</t>
  </si>
  <si>
    <t>Anahim Lake Airport</t>
  </si>
  <si>
    <t>YAC</t>
  </si>
  <si>
    <t>CYAC</t>
  </si>
  <si>
    <t>Cat Lake Airport</t>
  </si>
  <si>
    <t>YAG</t>
  </si>
  <si>
    <t>CYAG</t>
  </si>
  <si>
    <t>Fort Frances Municipal Airport</t>
  </si>
  <si>
    <t>YAH</t>
  </si>
  <si>
    <t>CYAH</t>
  </si>
  <si>
    <t>La Grande-4 Airport</t>
  </si>
  <si>
    <t>YAI</t>
  </si>
  <si>
    <t>SCCH</t>
  </si>
  <si>
    <t>General Bernardo O'Higgins Airport</t>
  </si>
  <si>
    <t>YAK</t>
  </si>
  <si>
    <t>PAYA</t>
  </si>
  <si>
    <t>Yakutat Airport</t>
  </si>
  <si>
    <t>YAL</t>
  </si>
  <si>
    <t>CYAL</t>
  </si>
  <si>
    <t>Alert Bay Airport</t>
  </si>
  <si>
    <t>YAM</t>
  </si>
  <si>
    <t>CYAM</t>
  </si>
  <si>
    <t>Sault Ste. Marie Airport</t>
  </si>
  <si>
    <t>YAN</t>
  </si>
  <si>
    <t>FZIR</t>
  </si>
  <si>
    <t>Yangambi Airport</t>
  </si>
  <si>
    <t>YAO</t>
  </si>
  <si>
    <t>FKKY</t>
  </si>
  <si>
    <t>Yaoundé Airport</t>
  </si>
  <si>
    <t>YAP</t>
  </si>
  <si>
    <t>PTYA</t>
  </si>
  <si>
    <t>Yap International Airport</t>
  </si>
  <si>
    <t>YAS</t>
  </si>
  <si>
    <t>NFSW</t>
  </si>
  <si>
    <t>Yasawa Island Airport</t>
  </si>
  <si>
    <t>YAT</t>
  </si>
  <si>
    <t>CYAT</t>
  </si>
  <si>
    <t>Attawapiskat Airport</t>
  </si>
  <si>
    <t>YAU</t>
  </si>
  <si>
    <t>CTP9</t>
  </si>
  <si>
    <t>Donaldson Airport</t>
  </si>
  <si>
    <t>CYAU</t>
  </si>
  <si>
    <t>Liverpool Airport/South Shore Regional</t>
  </si>
  <si>
    <t>YAV</t>
  </si>
  <si>
    <t>CYAV</t>
  </si>
  <si>
    <t>Winnipeg/St. Andrews Airport</t>
  </si>
  <si>
    <t>YAW</t>
  </si>
  <si>
    <t>CYAW</t>
  </si>
  <si>
    <t>Halifax/Shearwater Airport</t>
  </si>
  <si>
    <t>YAX</t>
  </si>
  <si>
    <t>CKB6</t>
  </si>
  <si>
    <t>Wapekeka Airport</t>
  </si>
  <si>
    <t>CYAX</t>
  </si>
  <si>
    <t>Lac Du Bonnet Airport</t>
  </si>
  <si>
    <t>YAY</t>
  </si>
  <si>
    <t>CYAY</t>
  </si>
  <si>
    <t>St. Anthony Airport</t>
  </si>
  <si>
    <t>YAZ</t>
  </si>
  <si>
    <t>CYAZ</t>
  </si>
  <si>
    <t>Tofino Airport</t>
  </si>
  <si>
    <t>YBB</t>
  </si>
  <si>
    <t>CYBB</t>
  </si>
  <si>
    <t>Kugaaruk Airport</t>
  </si>
  <si>
    <t>YBC</t>
  </si>
  <si>
    <t>CYBC</t>
  </si>
  <si>
    <t>Baie-Comeau Airport</t>
  </si>
  <si>
    <t>YBE</t>
  </si>
  <si>
    <t>CYBE</t>
  </si>
  <si>
    <t>Uranium City Airport</t>
  </si>
  <si>
    <t>YBG</t>
  </si>
  <si>
    <t>CYBG</t>
  </si>
  <si>
    <t>Bagotville Airport</t>
  </si>
  <si>
    <t>YBK</t>
  </si>
  <si>
    <t>CYBK</t>
  </si>
  <si>
    <t>Baker Lake Airport</t>
  </si>
  <si>
    <t>YBL</t>
  </si>
  <si>
    <t>CYBL</t>
  </si>
  <si>
    <t>Campbell River Airport</t>
  </si>
  <si>
    <t>YBP</t>
  </si>
  <si>
    <t>ZUYB</t>
  </si>
  <si>
    <t>Yibin Airport</t>
  </si>
  <si>
    <t>YBR</t>
  </si>
  <si>
    <t>CYBR</t>
  </si>
  <si>
    <t>Brandon Municipal Airport</t>
  </si>
  <si>
    <t>YBT</t>
  </si>
  <si>
    <t>CYBT</t>
  </si>
  <si>
    <t>Brochet Airport</t>
  </si>
  <si>
    <t>YBV</t>
  </si>
  <si>
    <t>CYBV</t>
  </si>
  <si>
    <t>Berens River Airport</t>
  </si>
  <si>
    <t>YBX</t>
  </si>
  <si>
    <t>CYBX</t>
  </si>
  <si>
    <t>Lourdes-de-Blanc-Sablon Airport</t>
  </si>
  <si>
    <t>YBY</t>
  </si>
  <si>
    <t>CYBF</t>
  </si>
  <si>
    <t>Bonnyville Airport</t>
  </si>
  <si>
    <t>YCA</t>
  </si>
  <si>
    <t>CAH3</t>
  </si>
  <si>
    <t>Courtenay Airpark</t>
  </si>
  <si>
    <t>YCB</t>
  </si>
  <si>
    <t>CYCB</t>
  </si>
  <si>
    <t>Cambridge Bay Airport</t>
  </si>
  <si>
    <t>YCC</t>
  </si>
  <si>
    <t>CYCC</t>
  </si>
  <si>
    <t>Cornwall Regional Airport</t>
  </si>
  <si>
    <t>YCD</t>
  </si>
  <si>
    <t>CYCD</t>
  </si>
  <si>
    <t>Nanaimo Airport</t>
  </si>
  <si>
    <t>YCE</t>
  </si>
  <si>
    <t>CYCE</t>
  </si>
  <si>
    <t>Centralia/Huron Airpark</t>
  </si>
  <si>
    <t>YCG</t>
  </si>
  <si>
    <t>CYCG</t>
  </si>
  <si>
    <t>Castlegar Airport</t>
  </si>
  <si>
    <t>YCH</t>
  </si>
  <si>
    <t>CYCH</t>
  </si>
  <si>
    <t>Miramichi Airport</t>
  </si>
  <si>
    <t>YCK</t>
  </si>
  <si>
    <t>CEB3</t>
  </si>
  <si>
    <t>Colville Lake Airport</t>
  </si>
  <si>
    <t>YCL</t>
  </si>
  <si>
    <t>CYCL</t>
  </si>
  <si>
    <t>Charlo Airport</t>
  </si>
  <si>
    <t>YCM</t>
  </si>
  <si>
    <t>CYSN</t>
  </si>
  <si>
    <t>Niagara District Airport</t>
  </si>
  <si>
    <t>YCN</t>
  </si>
  <si>
    <t>CYCN</t>
  </si>
  <si>
    <t>St. Catharines/Niagara District Airport</t>
  </si>
  <si>
    <t>YCO</t>
  </si>
  <si>
    <t>CYCO</t>
  </si>
  <si>
    <t>Kugluktuk Airport</t>
  </si>
  <si>
    <t>YCQ</t>
  </si>
  <si>
    <t>CYCQ</t>
  </si>
  <si>
    <t>Chetwynd Airport</t>
  </si>
  <si>
    <t>YCR</t>
  </si>
  <si>
    <t>CYCR</t>
  </si>
  <si>
    <t>Cross Lake (Charlie Sinclair Memorial) Airport</t>
  </si>
  <si>
    <t>YCS</t>
  </si>
  <si>
    <t>CYCS</t>
  </si>
  <si>
    <t>Chesterfield Inlet Airport</t>
  </si>
  <si>
    <t>YCU</t>
  </si>
  <si>
    <t>ZBYC</t>
  </si>
  <si>
    <t>Yuncheng Guangong Airport</t>
  </si>
  <si>
    <t>YCY</t>
  </si>
  <si>
    <t>CYCY</t>
  </si>
  <si>
    <t>Clyde River Airport</t>
  </si>
  <si>
    <t>YCZ</t>
  </si>
  <si>
    <t>CYCZ</t>
  </si>
  <si>
    <t>Fairmont Hot Springs Airport</t>
  </si>
  <si>
    <t>YDA</t>
  </si>
  <si>
    <t>CYDA</t>
  </si>
  <si>
    <t>Dawson City Airport</t>
  </si>
  <si>
    <t>YDB</t>
  </si>
  <si>
    <t>CYDB</t>
  </si>
  <si>
    <t>Burwash Airport</t>
  </si>
  <si>
    <t>YDF</t>
  </si>
  <si>
    <t>CYDF</t>
  </si>
  <si>
    <t>Deer Lake Airport</t>
  </si>
  <si>
    <t>YDG</t>
  </si>
  <si>
    <t>CYID</t>
  </si>
  <si>
    <t>Digby / Annapolis Regional Airport</t>
  </si>
  <si>
    <t>YDM</t>
  </si>
  <si>
    <t>CYDM</t>
  </si>
  <si>
    <t>Ross River Airport</t>
  </si>
  <si>
    <t>YDN</t>
  </si>
  <si>
    <t>CYDN</t>
  </si>
  <si>
    <t>Dauphin (Lt. Col W.G. (Billy) Barker VC Airport)</t>
  </si>
  <si>
    <t>YDO</t>
  </si>
  <si>
    <t>CYDO</t>
  </si>
  <si>
    <t>Dolbeau-St-Félicien Airport</t>
  </si>
  <si>
    <t>YDP</t>
  </si>
  <si>
    <t>CYDP</t>
  </si>
  <si>
    <t>Nain Airport</t>
  </si>
  <si>
    <t>YDQ</t>
  </si>
  <si>
    <t>CYDQ</t>
  </si>
  <si>
    <t>Dawson Creek Airport</t>
  </si>
  <si>
    <t>YDT</t>
  </si>
  <si>
    <t>CZBA</t>
  </si>
  <si>
    <t>Burlington Executive</t>
  </si>
  <si>
    <t>CZBB</t>
  </si>
  <si>
    <t>Boundary Bay Airport</t>
  </si>
  <si>
    <t>YDW</t>
  </si>
  <si>
    <t>CKV4</t>
  </si>
  <si>
    <t>Obre Lake/North of Sixty Airport</t>
  </si>
  <si>
    <t>YEB</t>
  </si>
  <si>
    <t>CPF2</t>
  </si>
  <si>
    <t>Bar River Airport</t>
  </si>
  <si>
    <t>YEC</t>
  </si>
  <si>
    <t>RKTY</t>
  </si>
  <si>
    <t>Yecheon Airport</t>
  </si>
  <si>
    <t>YEE</t>
  </si>
  <si>
    <t>CYEE</t>
  </si>
  <si>
    <t>Midland/Huronia Airport</t>
  </si>
  <si>
    <t>YEG</t>
  </si>
  <si>
    <t>CYEG</t>
  </si>
  <si>
    <t>Edmonton International Airport</t>
  </si>
  <si>
    <t>YEH</t>
  </si>
  <si>
    <t>OIBP</t>
  </si>
  <si>
    <t>Persian Gulf International Airport</t>
  </si>
  <si>
    <t>YEI</t>
  </si>
  <si>
    <t>LTBR</t>
  </si>
  <si>
    <t>Bursa Yenisehir Airport</t>
  </si>
  <si>
    <t>YEK</t>
  </si>
  <si>
    <t>CYEK</t>
  </si>
  <si>
    <t>Arviat Airport</t>
  </si>
  <si>
    <t>YEL</t>
  </si>
  <si>
    <t>CYEL</t>
  </si>
  <si>
    <t>Elliot Lake Municipal Airport</t>
  </si>
  <si>
    <t>YEM</t>
  </si>
  <si>
    <t>CYEM</t>
  </si>
  <si>
    <t>Manitowaning/Manitoulin East Municipal Airport</t>
  </si>
  <si>
    <t>YEN</t>
  </si>
  <si>
    <t>CYEN</t>
  </si>
  <si>
    <t>Estevan Airport</t>
  </si>
  <si>
    <t>YEO</t>
  </si>
  <si>
    <t>EGDY</t>
  </si>
  <si>
    <t>RNAS Yeovilton</t>
  </si>
  <si>
    <t>YER</t>
  </si>
  <si>
    <t>CYER</t>
  </si>
  <si>
    <t>Fort Severn Airport</t>
  </si>
  <si>
    <t>YET</t>
  </si>
  <si>
    <t>CYET</t>
  </si>
  <si>
    <t>Edson Airport</t>
  </si>
  <si>
    <t>YEU</t>
  </si>
  <si>
    <t>CYEU</t>
  </si>
  <si>
    <t>YEV</t>
  </si>
  <si>
    <t>CYEV</t>
  </si>
  <si>
    <t>Inuvik (Mike Zubko) Airport</t>
  </si>
  <si>
    <t>YEY</t>
  </si>
  <si>
    <t>CYEY</t>
  </si>
  <si>
    <t>Amos/Magny Airport</t>
  </si>
  <si>
    <t>YFA</t>
  </si>
  <si>
    <t>CYFA</t>
  </si>
  <si>
    <t>Fort Albany Airport</t>
  </si>
  <si>
    <t>YFB</t>
  </si>
  <si>
    <t>CYFB</t>
  </si>
  <si>
    <t>Iqaluit Airport</t>
  </si>
  <si>
    <t>YFC</t>
  </si>
  <si>
    <t>CYFC</t>
  </si>
  <si>
    <t>Fredericton Airport</t>
  </si>
  <si>
    <t>YFE</t>
  </si>
  <si>
    <t>CYFE</t>
  </si>
  <si>
    <t>Forestville Airport</t>
  </si>
  <si>
    <t>YFH</t>
  </si>
  <si>
    <t>CYFH</t>
  </si>
  <si>
    <t>Fort Hope Airport</t>
  </si>
  <si>
    <t>YFI</t>
  </si>
  <si>
    <t>CFG6</t>
  </si>
  <si>
    <t>Fort Mackay / Firebag</t>
  </si>
  <si>
    <t>YFO</t>
  </si>
  <si>
    <t>CYFO</t>
  </si>
  <si>
    <t>Flin Flon Airport</t>
  </si>
  <si>
    <t>YFR</t>
  </si>
  <si>
    <t>CYFR</t>
  </si>
  <si>
    <t>Fort Resolution Airport</t>
  </si>
  <si>
    <t>YFS</t>
  </si>
  <si>
    <t>CYFS</t>
  </si>
  <si>
    <t>Fort Simpson Airport</t>
  </si>
  <si>
    <t>YFX</t>
  </si>
  <si>
    <t>CCK4</t>
  </si>
  <si>
    <t>St. Lewis (Fox Harbour) Airport</t>
  </si>
  <si>
    <t>YGB</t>
  </si>
  <si>
    <t>CYGB</t>
  </si>
  <si>
    <t>Texada/Gillies Bay Airport</t>
  </si>
  <si>
    <t>YGD</t>
  </si>
  <si>
    <t>CYGD</t>
  </si>
  <si>
    <t>Goderich Airport</t>
  </si>
  <si>
    <t>YGH</t>
  </si>
  <si>
    <t>CYGH</t>
  </si>
  <si>
    <t>Fort Good Hope Airport</t>
  </si>
  <si>
    <t>YGJ</t>
  </si>
  <si>
    <t>RJOH</t>
  </si>
  <si>
    <t>Miho-Yonago Airport</t>
  </si>
  <si>
    <t>YGK</t>
  </si>
  <si>
    <t>CYGK</t>
  </si>
  <si>
    <t>Kingston Airport</t>
  </si>
  <si>
    <t>YGL</t>
  </si>
  <si>
    <t>CYGL</t>
  </si>
  <si>
    <t>La Grande Rivière Airport</t>
  </si>
  <si>
    <t>YGM</t>
  </si>
  <si>
    <t>CYGM</t>
  </si>
  <si>
    <t>Gimli Industrial Park Airport</t>
  </si>
  <si>
    <t>YGO</t>
  </si>
  <si>
    <t>CYGO</t>
  </si>
  <si>
    <t>Gods Lake Narrows Airport</t>
  </si>
  <si>
    <t>YGP</t>
  </si>
  <si>
    <t>CYGP</t>
  </si>
  <si>
    <t>Gaspé Airport</t>
  </si>
  <si>
    <t>YGQ</t>
  </si>
  <si>
    <t>CYGQ</t>
  </si>
  <si>
    <t>Geraldton (Greenstone Regional) Airport</t>
  </si>
  <si>
    <t>YGR</t>
  </si>
  <si>
    <t>CYGR</t>
  </si>
  <si>
    <t>Îles-de-la-Madeleine Airport</t>
  </si>
  <si>
    <t>YGT</t>
  </si>
  <si>
    <t>CYGT</t>
  </si>
  <si>
    <t>Igloolik Airport</t>
  </si>
  <si>
    <t>YGV</t>
  </si>
  <si>
    <t>CYGV</t>
  </si>
  <si>
    <t>Havre St-Pierre Airport</t>
  </si>
  <si>
    <t>YGW</t>
  </si>
  <si>
    <t>CYGW</t>
  </si>
  <si>
    <t>Kuujjuarapik Airport</t>
  </si>
  <si>
    <t>YGX</t>
  </si>
  <si>
    <t>CYGX</t>
  </si>
  <si>
    <t>Gillam Airport</t>
  </si>
  <si>
    <t>YGZ</t>
  </si>
  <si>
    <t>CYGZ</t>
  </si>
  <si>
    <t>Grise Fiord Airport</t>
  </si>
  <si>
    <t>YHA</t>
  </si>
  <si>
    <t>CCP4</t>
  </si>
  <si>
    <t>Port Hope Simpson Airport</t>
  </si>
  <si>
    <t>YHD</t>
  </si>
  <si>
    <t>CYHD</t>
  </si>
  <si>
    <t>Dryden Regional Airport</t>
  </si>
  <si>
    <t>YHE</t>
  </si>
  <si>
    <t>CYHE</t>
  </si>
  <si>
    <t>Hope Airport</t>
  </si>
  <si>
    <t>YHF</t>
  </si>
  <si>
    <t>CYHF</t>
  </si>
  <si>
    <t>Hearst (René Fontaine) Municipal Airport</t>
  </si>
  <si>
    <t>YHI</t>
  </si>
  <si>
    <t>CYHI</t>
  </si>
  <si>
    <t>Ulukhaktok/Holman Airport</t>
  </si>
  <si>
    <t>YHK</t>
  </si>
  <si>
    <t>CYHK</t>
  </si>
  <si>
    <t>Gjoa Haven Airport</t>
  </si>
  <si>
    <t>YHM</t>
  </si>
  <si>
    <t>CYHM</t>
  </si>
  <si>
    <t>YHN</t>
  </si>
  <si>
    <t>CYHN</t>
  </si>
  <si>
    <t>Hornepayne Municipal Airport</t>
  </si>
  <si>
    <t>YHO</t>
  </si>
  <si>
    <t>CYHO</t>
  </si>
  <si>
    <t>Hopedale Airport</t>
  </si>
  <si>
    <t>YHP</t>
  </si>
  <si>
    <t>CPV7</t>
  </si>
  <si>
    <t>Poplar Hill Airport</t>
  </si>
  <si>
    <t>CYHP</t>
  </si>
  <si>
    <t>YHR</t>
  </si>
  <si>
    <t>CYHR</t>
  </si>
  <si>
    <t>Chevery Airport</t>
  </si>
  <si>
    <t>YHT</t>
  </si>
  <si>
    <t>CYHT</t>
  </si>
  <si>
    <t>Haines Junction Airport</t>
  </si>
  <si>
    <t>YHU</t>
  </si>
  <si>
    <t>CYHU</t>
  </si>
  <si>
    <t>Montréal/St-Hubert Airport</t>
  </si>
  <si>
    <t>YHY</t>
  </si>
  <si>
    <t>CYHY</t>
  </si>
  <si>
    <t>Hay River Airport</t>
  </si>
  <si>
    <t>YHZ</t>
  </si>
  <si>
    <t>CYHZ</t>
  </si>
  <si>
    <t>Halifax Stanfield International Airport</t>
  </si>
  <si>
    <t>YIB</t>
  </si>
  <si>
    <t>CYIB</t>
  </si>
  <si>
    <t>Atikokan Municipal Airport</t>
  </si>
  <si>
    <t>YIF</t>
  </si>
  <si>
    <t>CYIF</t>
  </si>
  <si>
    <t>Saint-Augustin Airport</t>
  </si>
  <si>
    <t>YIH</t>
  </si>
  <si>
    <t>ZHYC</t>
  </si>
  <si>
    <t>Yichang Airport</t>
  </si>
  <si>
    <t>YIK</t>
  </si>
  <si>
    <t>CYIK</t>
  </si>
  <si>
    <t>Ivujivik Airport</t>
  </si>
  <si>
    <t>YIN</t>
  </si>
  <si>
    <t>ZWYN</t>
  </si>
  <si>
    <t>Yining Airport</t>
  </si>
  <si>
    <t>YIO</t>
  </si>
  <si>
    <t>CYIO</t>
  </si>
  <si>
    <t>Pond Inlet Airport</t>
  </si>
  <si>
    <t>YIP</t>
  </si>
  <si>
    <t>KYIP</t>
  </si>
  <si>
    <t>Willow Run Airport</t>
  </si>
  <si>
    <t>YIV</t>
  </si>
  <si>
    <t>CYIV</t>
  </si>
  <si>
    <t>Island Lake Airport</t>
  </si>
  <si>
    <t>YIW</t>
  </si>
  <si>
    <t>ZSYW</t>
  </si>
  <si>
    <t>Yiwu Airport</t>
  </si>
  <si>
    <t>YJF</t>
  </si>
  <si>
    <t>CYJF</t>
  </si>
  <si>
    <t>Fort Liard Airport</t>
  </si>
  <si>
    <t>YJN</t>
  </si>
  <si>
    <t>CYJN</t>
  </si>
  <si>
    <t>St-Jean Airport</t>
  </si>
  <si>
    <t>YJT</t>
  </si>
  <si>
    <t>CYJT</t>
  </si>
  <si>
    <t>Stephenville Airport</t>
  </si>
  <si>
    <t>YKA</t>
  </si>
  <si>
    <t>CYKA</t>
  </si>
  <si>
    <t>Kamloops Airport</t>
  </si>
  <si>
    <t>YKF</t>
  </si>
  <si>
    <t>CYKF</t>
  </si>
  <si>
    <t>Kitchener/Waterloo Regional Airport</t>
  </si>
  <si>
    <t>YKG</t>
  </si>
  <si>
    <t>CYAS</t>
  </si>
  <si>
    <t>Kangirsuk Airport</t>
  </si>
  <si>
    <t>YKJ</t>
  </si>
  <si>
    <t>CYKJ</t>
  </si>
  <si>
    <t>Key Lake Airport</t>
  </si>
  <si>
    <t>YKL</t>
  </si>
  <si>
    <t>CYKL</t>
  </si>
  <si>
    <t>Schefferville Airport</t>
  </si>
  <si>
    <t>YKM</t>
  </si>
  <si>
    <t>KYKM</t>
  </si>
  <si>
    <t>Yakima Air Terminal (McAllister Field)</t>
  </si>
  <si>
    <t>YKN</t>
  </si>
  <si>
    <t>KYKN</t>
  </si>
  <si>
    <t>Chan Gurney Municipal Airport</t>
  </si>
  <si>
    <t>YKQ</t>
  </si>
  <si>
    <t>CYKQ</t>
  </si>
  <si>
    <t>Waskaganish Airport</t>
  </si>
  <si>
    <t>YKS</t>
  </si>
  <si>
    <t>UEEE</t>
  </si>
  <si>
    <t>Yakutsk Airport</t>
  </si>
  <si>
    <t>YKU</t>
  </si>
  <si>
    <t>CSU2</t>
  </si>
  <si>
    <t>Chisasibi Airport</t>
  </si>
  <si>
    <t>YKX</t>
  </si>
  <si>
    <t>CYKX</t>
  </si>
  <si>
    <t>Kirkland Lake Airport</t>
  </si>
  <si>
    <t>YKY</t>
  </si>
  <si>
    <t>CYKY</t>
  </si>
  <si>
    <t>Kindersley Airport</t>
  </si>
  <si>
    <t>YKZ</t>
  </si>
  <si>
    <t>CYKZ</t>
  </si>
  <si>
    <t>Toronto/Buttonville Municipal Airport</t>
  </si>
  <si>
    <t>YLC</t>
  </si>
  <si>
    <t>CYLC</t>
  </si>
  <si>
    <t>Kimmirut Airport</t>
  </si>
  <si>
    <t>YLD</t>
  </si>
  <si>
    <t>CYLD</t>
  </si>
  <si>
    <t>Chapleau Airport</t>
  </si>
  <si>
    <t>YLE</t>
  </si>
  <si>
    <t>CEM3</t>
  </si>
  <si>
    <t>WhatÃ¬ Airport</t>
  </si>
  <si>
    <t>YLG</t>
  </si>
  <si>
    <t>YYAL</t>
  </si>
  <si>
    <t>Yalgoo Airport</t>
  </si>
  <si>
    <t>YLH</t>
  </si>
  <si>
    <t>CYLH</t>
  </si>
  <si>
    <t>Lansdowne House Airport</t>
  </si>
  <si>
    <t>YLI</t>
  </si>
  <si>
    <t>EFYL</t>
  </si>
  <si>
    <t>Ylivieska Airport</t>
  </si>
  <si>
    <t>YLJ</t>
  </si>
  <si>
    <t>CYLJ</t>
  </si>
  <si>
    <t>Meadow Lake Airport</t>
  </si>
  <si>
    <t>YLL</t>
  </si>
  <si>
    <t>CYLL</t>
  </si>
  <si>
    <t>Lloydminster Airport</t>
  </si>
  <si>
    <t>YLR</t>
  </si>
  <si>
    <t>CYLR</t>
  </si>
  <si>
    <t>Leaf Rapids Airport</t>
  </si>
  <si>
    <t>YLT</t>
  </si>
  <si>
    <t>CYLT</t>
  </si>
  <si>
    <t>Alert Airport</t>
  </si>
  <si>
    <t>YLW</t>
  </si>
  <si>
    <t>CYLW</t>
  </si>
  <si>
    <t>Kelowna Airport</t>
  </si>
  <si>
    <t>YMA</t>
  </si>
  <si>
    <t>CYMA</t>
  </si>
  <si>
    <t>Mayo Airport</t>
  </si>
  <si>
    <t>YME</t>
  </si>
  <si>
    <t>CYME</t>
  </si>
  <si>
    <t>Matane Airport</t>
  </si>
  <si>
    <t>YMG</t>
  </si>
  <si>
    <t>CYMG</t>
  </si>
  <si>
    <t>Manitouwadge Airport</t>
  </si>
  <si>
    <t>YMH</t>
  </si>
  <si>
    <t>CYMH</t>
  </si>
  <si>
    <t>Mary's Harbour Airport</t>
  </si>
  <si>
    <t>YMJ</t>
  </si>
  <si>
    <t>CYMJ</t>
  </si>
  <si>
    <t>Moose Jaw Air Vice Marshal C. M. McEwen Airport</t>
  </si>
  <si>
    <t>YMK</t>
  </si>
  <si>
    <t>USDK</t>
  </si>
  <si>
    <t>Mys Kamenny Airport</t>
  </si>
  <si>
    <t>YML</t>
  </si>
  <si>
    <t>CYML</t>
  </si>
  <si>
    <t>Charlevoix Airport</t>
  </si>
  <si>
    <t>YMM</t>
  </si>
  <si>
    <t>CYMM</t>
  </si>
  <si>
    <t>Fort McMurray Airport</t>
  </si>
  <si>
    <t>YMN</t>
  </si>
  <si>
    <t>CYFT</t>
  </si>
  <si>
    <t>Makkovik Airport</t>
  </si>
  <si>
    <t>YMO</t>
  </si>
  <si>
    <t>CYMO</t>
  </si>
  <si>
    <t>Moosonee Airport</t>
  </si>
  <si>
    <t>YMS</t>
  </si>
  <si>
    <t>SPMS</t>
  </si>
  <si>
    <t>Moises Benzaquen Rengifo Airport</t>
  </si>
  <si>
    <t>YMT</t>
  </si>
  <si>
    <t>CYMT</t>
  </si>
  <si>
    <t>Chibougamau/Chapais Airport</t>
  </si>
  <si>
    <t>YMX</t>
  </si>
  <si>
    <t>CYMX</t>
  </si>
  <si>
    <t>Montréal-Mirabel International Airport</t>
  </si>
  <si>
    <t>YNA</t>
  </si>
  <si>
    <t>CYNA</t>
  </si>
  <si>
    <t>Natashquan Airport</t>
  </si>
  <si>
    <t>YNB</t>
  </si>
  <si>
    <t>OEYN</t>
  </si>
  <si>
    <t>Yenbo Airport</t>
  </si>
  <si>
    <t>YNC</t>
  </si>
  <si>
    <t>CYNC</t>
  </si>
  <si>
    <t>Wemindji Airport</t>
  </si>
  <si>
    <t>YND</t>
  </si>
  <si>
    <t>CYND</t>
  </si>
  <si>
    <t>Ottawa / Gatineau Airport</t>
  </si>
  <si>
    <t>YNE</t>
  </si>
  <si>
    <t>CYNE</t>
  </si>
  <si>
    <t>Norway House Airport</t>
  </si>
  <si>
    <t>YNG</t>
  </si>
  <si>
    <t>KYNG</t>
  </si>
  <si>
    <t>Youngstown-Warren Regional Airport</t>
  </si>
  <si>
    <t>YNJ</t>
  </si>
  <si>
    <t>ZYYJ</t>
  </si>
  <si>
    <t>Yanji Chaoyangchuan Airport</t>
  </si>
  <si>
    <t>YNL</t>
  </si>
  <si>
    <t>CYNL</t>
  </si>
  <si>
    <t>Points North Landing Airport</t>
  </si>
  <si>
    <t>YNM</t>
  </si>
  <si>
    <t>CYNM</t>
  </si>
  <si>
    <t>Matagami Airport</t>
  </si>
  <si>
    <t>YNN</t>
  </si>
  <si>
    <t>CYNN</t>
  </si>
  <si>
    <t>Nejanilini Lake Airport</t>
  </si>
  <si>
    <t>YNO</t>
  </si>
  <si>
    <t>CKQ3</t>
  </si>
  <si>
    <t>North Spirit Lake Airport</t>
  </si>
  <si>
    <t>YNS</t>
  </si>
  <si>
    <t>CYHH</t>
  </si>
  <si>
    <t>Nemiscau Airport</t>
  </si>
  <si>
    <t>YNT</t>
  </si>
  <si>
    <t>ZSYT</t>
  </si>
  <si>
    <t>Yantai Laishan International Airport</t>
  </si>
  <si>
    <t>YNX</t>
  </si>
  <si>
    <t>CSK6</t>
  </si>
  <si>
    <t>Snap Lake Airport</t>
  </si>
  <si>
    <t>YNY</t>
  </si>
  <si>
    <t>RKNY</t>
  </si>
  <si>
    <t>Yangyang International Airport</t>
  </si>
  <si>
    <t>YNZ</t>
  </si>
  <si>
    <t>ZSYN</t>
  </si>
  <si>
    <t>Yancheng Airport</t>
  </si>
  <si>
    <t>YOA</t>
  </si>
  <si>
    <t>CYOA</t>
  </si>
  <si>
    <t>Ekati Airport</t>
  </si>
  <si>
    <t>YOC</t>
  </si>
  <si>
    <t>CYOC</t>
  </si>
  <si>
    <t>Old Crow Airport</t>
  </si>
  <si>
    <t>YOD</t>
  </si>
  <si>
    <t>CYOD</t>
  </si>
  <si>
    <t>Cold Lake Airport</t>
  </si>
  <si>
    <t>YOG</t>
  </si>
  <si>
    <t>CNT3</t>
  </si>
  <si>
    <t>Ogoki Post Airport</t>
  </si>
  <si>
    <t>YOH</t>
  </si>
  <si>
    <t>CYOH</t>
  </si>
  <si>
    <t>Oxford House Airport</t>
  </si>
  <si>
    <t>YOJ</t>
  </si>
  <si>
    <t>CYOJ</t>
  </si>
  <si>
    <t>High Level Airport</t>
  </si>
  <si>
    <t>YOL</t>
  </si>
  <si>
    <t>DNYO</t>
  </si>
  <si>
    <t>Yola Airport</t>
  </si>
  <si>
    <t>YON</t>
  </si>
  <si>
    <t>VQTY</t>
  </si>
  <si>
    <t>Yongphulla Airport</t>
  </si>
  <si>
    <t>YOO</t>
  </si>
  <si>
    <t>CYOO</t>
  </si>
  <si>
    <t>Oshawa Airport</t>
  </si>
  <si>
    <t>YOP</t>
  </si>
  <si>
    <t>CYOP</t>
  </si>
  <si>
    <t>Rainbow Lake Airport</t>
  </si>
  <si>
    <t>YOS</t>
  </si>
  <si>
    <t>CYOS</t>
  </si>
  <si>
    <t>Owen Sound/Billy Bishop Regional Airport</t>
  </si>
  <si>
    <t>YOT</t>
  </si>
  <si>
    <t>LLYT</t>
  </si>
  <si>
    <t>Yotvata Airfield</t>
  </si>
  <si>
    <t>YOW</t>
  </si>
  <si>
    <t>CYOW</t>
  </si>
  <si>
    <t>Ottawa/Macdonald-Cartier International Airport</t>
  </si>
  <si>
    <t>YPA</t>
  </si>
  <si>
    <t>CYPA</t>
  </si>
  <si>
    <t>Prince Albert (Glass Field) Airport</t>
  </si>
  <si>
    <t>YPC</t>
  </si>
  <si>
    <t>CYPC</t>
  </si>
  <si>
    <t>Paulatuk Airport</t>
  </si>
  <si>
    <t>YPE</t>
  </si>
  <si>
    <t>CYPE</t>
  </si>
  <si>
    <t>Peace River Airport</t>
  </si>
  <si>
    <t>YPG</t>
  </si>
  <si>
    <t>CYPG</t>
  </si>
  <si>
    <t>Portage La Prairie/Southport Airport</t>
  </si>
  <si>
    <t>YPH</t>
  </si>
  <si>
    <t>CYPH</t>
  </si>
  <si>
    <t>Inukjuak Airport</t>
  </si>
  <si>
    <t>YPJ</t>
  </si>
  <si>
    <t>CYLA</t>
  </si>
  <si>
    <t>Aupaluk Airport</t>
  </si>
  <si>
    <t>YPL</t>
  </si>
  <si>
    <t>CYPL</t>
  </si>
  <si>
    <t>Pickle Lake Airport</t>
  </si>
  <si>
    <t>YPM</t>
  </si>
  <si>
    <t>CYPM</t>
  </si>
  <si>
    <t>Pikangikum Airport</t>
  </si>
  <si>
    <t>YPN</t>
  </si>
  <si>
    <t>CYPN</t>
  </si>
  <si>
    <t>Port-Menier Airport</t>
  </si>
  <si>
    <t>YPO</t>
  </si>
  <si>
    <t>CYPO</t>
  </si>
  <si>
    <t>Peawanuck Airport</t>
  </si>
  <si>
    <t>YPQ</t>
  </si>
  <si>
    <t>CYPQ</t>
  </si>
  <si>
    <t>Peterborough Airport</t>
  </si>
  <si>
    <t>YPR</t>
  </si>
  <si>
    <t>CYPR</t>
  </si>
  <si>
    <t>Prince Rupert Airport</t>
  </si>
  <si>
    <t>YPS</t>
  </si>
  <si>
    <t>CYPD</t>
  </si>
  <si>
    <t>Port Hawkesbury Airport</t>
  </si>
  <si>
    <t>YPW</t>
  </si>
  <si>
    <t>CYPW</t>
  </si>
  <si>
    <t>Powell River Airport</t>
  </si>
  <si>
    <t>YPX</t>
  </si>
  <si>
    <t>CYPX</t>
  </si>
  <si>
    <t>Puvirnituq Airport</t>
  </si>
  <si>
    <t>YPY</t>
  </si>
  <si>
    <t>CYPY</t>
  </si>
  <si>
    <t>Fort Chipewyan Airport</t>
  </si>
  <si>
    <t>YQA</t>
  </si>
  <si>
    <t>CYQA</t>
  </si>
  <si>
    <t>Muskoka Airport</t>
  </si>
  <si>
    <t>YQB</t>
  </si>
  <si>
    <t>CYQB</t>
  </si>
  <si>
    <t>Québec/Jean Lesage International Airport</t>
  </si>
  <si>
    <t>YQC</t>
  </si>
  <si>
    <t>CYHA</t>
  </si>
  <si>
    <t>Quaqtaq Airport</t>
  </si>
  <si>
    <t>YQD</t>
  </si>
  <si>
    <t>CYQD</t>
  </si>
  <si>
    <t>The Pas Airport</t>
  </si>
  <si>
    <t>YQF</t>
  </si>
  <si>
    <t>CYQF</t>
  </si>
  <si>
    <t>Red Deer Regional Airport</t>
  </si>
  <si>
    <t>YQG</t>
  </si>
  <si>
    <t>CYQG</t>
  </si>
  <si>
    <t>Windsor Airport</t>
  </si>
  <si>
    <t>YQH</t>
  </si>
  <si>
    <t>CYQH</t>
  </si>
  <si>
    <t>Watson Lake Airport</t>
  </si>
  <si>
    <t>YQI</t>
  </si>
  <si>
    <t>CYQI</t>
  </si>
  <si>
    <t>Yarmouth Airport</t>
  </si>
  <si>
    <t>YQK</t>
  </si>
  <si>
    <t>CYQK</t>
  </si>
  <si>
    <t>Kenora Airport</t>
  </si>
  <si>
    <t>YQL</t>
  </si>
  <si>
    <t>CYQL</t>
  </si>
  <si>
    <t>Lethbridge County Airport</t>
  </si>
  <si>
    <t>YQM</t>
  </si>
  <si>
    <t>CYQM</t>
  </si>
  <si>
    <t>Greater Moncton International Airport</t>
  </si>
  <si>
    <t>YQN</t>
  </si>
  <si>
    <t>CYQN</t>
  </si>
  <si>
    <t>Nakina Airport</t>
  </si>
  <si>
    <t>YQQ</t>
  </si>
  <si>
    <t>CYQQ</t>
  </si>
  <si>
    <t>Comox Airport</t>
  </si>
  <si>
    <t>YQR</t>
  </si>
  <si>
    <t>CYQR</t>
  </si>
  <si>
    <t>Regina International Airport</t>
  </si>
  <si>
    <t>YQS</t>
  </si>
  <si>
    <t>CYQS</t>
  </si>
  <si>
    <t>St. Thomas Municipal Airport</t>
  </si>
  <si>
    <t>YQT</t>
  </si>
  <si>
    <t>CYQT</t>
  </si>
  <si>
    <t>Thunder Bay Airport</t>
  </si>
  <si>
    <t>YQU</t>
  </si>
  <si>
    <t>CYQU</t>
  </si>
  <si>
    <t>Grande Prairie Airport</t>
  </si>
  <si>
    <t>YQV</t>
  </si>
  <si>
    <t>CYQV</t>
  </si>
  <si>
    <t>Yorkton Municipal Airport</t>
  </si>
  <si>
    <t>YQW</t>
  </si>
  <si>
    <t>CYQW</t>
  </si>
  <si>
    <t>North Battleford (Cameron McIntosh) Airport</t>
  </si>
  <si>
    <t>YQX</t>
  </si>
  <si>
    <t>CYQX</t>
  </si>
  <si>
    <t>Gander International Airport</t>
  </si>
  <si>
    <t>YQY</t>
  </si>
  <si>
    <t>CYQY</t>
  </si>
  <si>
    <t>Sydney Airport (Nova Scotia)</t>
  </si>
  <si>
    <t>YQZ</t>
  </si>
  <si>
    <t>CYQZ</t>
  </si>
  <si>
    <t>Quesnel Airport</t>
  </si>
  <si>
    <t>YRA</t>
  </si>
  <si>
    <t>CYRA</t>
  </si>
  <si>
    <t>Gamètì/Rae Lakes Airport</t>
  </si>
  <si>
    <t>YRB</t>
  </si>
  <si>
    <t>CYRB</t>
  </si>
  <si>
    <t>Resolute Bay Airport</t>
  </si>
  <si>
    <t>YRC</t>
  </si>
  <si>
    <t>CYRC</t>
  </si>
  <si>
    <t>Chicoutimi/St-Honore Airport</t>
  </si>
  <si>
    <t>YRF</t>
  </si>
  <si>
    <t>CYCA</t>
  </si>
  <si>
    <t>Cartwright Airport</t>
  </si>
  <si>
    <t>YRG</t>
  </si>
  <si>
    <t>CCZ2</t>
  </si>
  <si>
    <t>Rigolet Airport</t>
  </si>
  <si>
    <t>YRI</t>
  </si>
  <si>
    <t>CYRI</t>
  </si>
  <si>
    <t>Rivière-du-Loup Airport</t>
  </si>
  <si>
    <t>YRJ</t>
  </si>
  <si>
    <t>CYRJ</t>
  </si>
  <si>
    <t>Roberval Airport</t>
  </si>
  <si>
    <t>YRL</t>
  </si>
  <si>
    <t>CYRL</t>
  </si>
  <si>
    <t>Red Lake Airport</t>
  </si>
  <si>
    <t>YRO</t>
  </si>
  <si>
    <t>CYRO</t>
  </si>
  <si>
    <t>Ottawa/Rockcliffe Airport</t>
  </si>
  <si>
    <t>YRP</t>
  </si>
  <si>
    <t>CYRP</t>
  </si>
  <si>
    <t>Ottawa/Carp Airport</t>
  </si>
  <si>
    <t>YRQ</t>
  </si>
  <si>
    <t>CYRQ</t>
  </si>
  <si>
    <t>Trois-Rivières Airport</t>
  </si>
  <si>
    <t>YRS</t>
  </si>
  <si>
    <t>CYRS</t>
  </si>
  <si>
    <t>Red Sucker Lake Airport</t>
  </si>
  <si>
    <t>YRT</t>
  </si>
  <si>
    <t>CYRT</t>
  </si>
  <si>
    <t>Rankin Inlet Airport</t>
  </si>
  <si>
    <t>YRV</t>
  </si>
  <si>
    <t>CYRV</t>
  </si>
  <si>
    <t>Revelstoke Airport</t>
  </si>
  <si>
    <t>YSB</t>
  </si>
  <si>
    <t>CYSB</t>
  </si>
  <si>
    <t>Sudbury Airport</t>
  </si>
  <si>
    <t>YSC</t>
  </si>
  <si>
    <t>CYSC</t>
  </si>
  <si>
    <t>Sherbrooke Airport</t>
  </si>
  <si>
    <t>YSF</t>
  </si>
  <si>
    <t>CYSF</t>
  </si>
  <si>
    <t>Stony Rapids Airport</t>
  </si>
  <si>
    <t>YSG</t>
  </si>
  <si>
    <t>CYLK</t>
  </si>
  <si>
    <t>Lutselk'e Airport</t>
  </si>
  <si>
    <t>YSH</t>
  </si>
  <si>
    <t>CYSH</t>
  </si>
  <si>
    <t>Smiths Falls-Montague Airport</t>
  </si>
  <si>
    <t>YSJ</t>
  </si>
  <si>
    <t>CYSJ</t>
  </si>
  <si>
    <t>Saint John Airport</t>
  </si>
  <si>
    <t>YSK</t>
  </si>
  <si>
    <t>CYSK</t>
  </si>
  <si>
    <t>Sanikiluaq Airport</t>
  </si>
  <si>
    <t>YSL</t>
  </si>
  <si>
    <t>CYSL</t>
  </si>
  <si>
    <t>St. Leonard Airport</t>
  </si>
  <si>
    <t>YSM</t>
  </si>
  <si>
    <t>CYSM</t>
  </si>
  <si>
    <t>Fort Smith Airport</t>
  </si>
  <si>
    <t>YSN</t>
  </si>
  <si>
    <t>CZAM</t>
  </si>
  <si>
    <t>Salmon Arm Airport</t>
  </si>
  <si>
    <t>YSP</t>
  </si>
  <si>
    <t>CYSP</t>
  </si>
  <si>
    <t>Marathon Airport</t>
  </si>
  <si>
    <t>YSR</t>
  </si>
  <si>
    <t>CYSR</t>
  </si>
  <si>
    <t>Nanisivik Airport</t>
  </si>
  <si>
    <t>YST</t>
  </si>
  <si>
    <t>CYST</t>
  </si>
  <si>
    <t>St. Theresa Point Airport</t>
  </si>
  <si>
    <t>YSU</t>
  </si>
  <si>
    <t>CYSU</t>
  </si>
  <si>
    <t>Summerside Airport</t>
  </si>
  <si>
    <t>YSY</t>
  </si>
  <si>
    <t>CYSY</t>
  </si>
  <si>
    <t>Sachs Harbour Airport</t>
  </si>
  <si>
    <t>YTA</t>
  </si>
  <si>
    <t>CYTA</t>
  </si>
  <si>
    <t>Pembroke Airport</t>
  </si>
  <si>
    <t>YTD</t>
  </si>
  <si>
    <t>CZLQ</t>
  </si>
  <si>
    <t>Thicket Portage Airport</t>
  </si>
  <si>
    <t>YTE</t>
  </si>
  <si>
    <t>CYTE</t>
  </si>
  <si>
    <t>Cape Dorset Airport</t>
  </si>
  <si>
    <t>YTF</t>
  </si>
  <si>
    <t>CYTF</t>
  </si>
  <si>
    <t>Alma Airport</t>
  </si>
  <si>
    <t>YTH</t>
  </si>
  <si>
    <t>CYTH</t>
  </si>
  <si>
    <t>Thompson Airport</t>
  </si>
  <si>
    <t>YTJ</t>
  </si>
  <si>
    <t>CYTJ</t>
  </si>
  <si>
    <t>Terrace Bay Airport</t>
  </si>
  <si>
    <t>YTL</t>
  </si>
  <si>
    <t>CYTL</t>
  </si>
  <si>
    <t>Big Trout Lake Airport</t>
  </si>
  <si>
    <t>YTM</t>
  </si>
  <si>
    <t>CYFJ</t>
  </si>
  <si>
    <t>Rivière Rouge/Mont-Tremblant International Inc Airport</t>
  </si>
  <si>
    <t>YTQ</t>
  </si>
  <si>
    <t>CYTQ</t>
  </si>
  <si>
    <t>Tasiujaq Airport</t>
  </si>
  <si>
    <t>YTR</t>
  </si>
  <si>
    <t>CYTR</t>
  </si>
  <si>
    <t>Trenton Airport</t>
  </si>
  <si>
    <t>YTS</t>
  </si>
  <si>
    <t>CYTS</t>
  </si>
  <si>
    <t>Timmins Airport</t>
  </si>
  <si>
    <t>YTZ</t>
  </si>
  <si>
    <t>CYTZ</t>
  </si>
  <si>
    <t>Toronto/City Centre Airport</t>
  </si>
  <si>
    <t>YUB</t>
  </si>
  <si>
    <t>CYUB</t>
  </si>
  <si>
    <t>Tuktoyaktuk Airport</t>
  </si>
  <si>
    <t>YUD</t>
  </si>
  <si>
    <t>CYMU</t>
  </si>
  <si>
    <t>Umiujaq Airport</t>
  </si>
  <si>
    <t>YUE</t>
  </si>
  <si>
    <t>YYND</t>
  </si>
  <si>
    <t>Yuendumu Airport</t>
  </si>
  <si>
    <t>YUL</t>
  </si>
  <si>
    <t>CYUL</t>
  </si>
  <si>
    <t>Montréal-Pierre Elliott Trudeau International Airport</t>
  </si>
  <si>
    <t>YUM</t>
  </si>
  <si>
    <t>KNYL</t>
  </si>
  <si>
    <t>Yuma MCAS/Yuma International Airport</t>
  </si>
  <si>
    <t>KYUM</t>
  </si>
  <si>
    <t>Yuma International Airport / MCAS Yuma</t>
  </si>
  <si>
    <t>YUS</t>
  </si>
  <si>
    <t>ZYLS</t>
  </si>
  <si>
    <t>Yushu Batang Airport</t>
  </si>
  <si>
    <t>YUT</t>
  </si>
  <si>
    <t>CYUT</t>
  </si>
  <si>
    <t>Repulse Bay Airport</t>
  </si>
  <si>
    <t>YUX</t>
  </si>
  <si>
    <t>CYUX</t>
  </si>
  <si>
    <t>Hall Beach Airport</t>
  </si>
  <si>
    <t>YUY</t>
  </si>
  <si>
    <t>CYUY</t>
  </si>
  <si>
    <t>Rouyn-Noranda Airport</t>
  </si>
  <si>
    <t>YVA</t>
  </si>
  <si>
    <t>FMCN</t>
  </si>
  <si>
    <t>Iconi Airport</t>
  </si>
  <si>
    <t>YVB</t>
  </si>
  <si>
    <t>CYVB</t>
  </si>
  <si>
    <t>Bonaventure Airport</t>
  </si>
  <si>
    <t>YVC</t>
  </si>
  <si>
    <t>CYVC</t>
  </si>
  <si>
    <t>La Ronge (Barber Field) Airport</t>
  </si>
  <si>
    <t>YVD</t>
  </si>
  <si>
    <t>CYVD</t>
  </si>
  <si>
    <t>Virden/R.J. (Bob) Andrew Field Regional Aerodrome</t>
  </si>
  <si>
    <t>YVE</t>
  </si>
  <si>
    <t>CYVK</t>
  </si>
  <si>
    <t>Vernon Airport</t>
  </si>
  <si>
    <t>YVG</t>
  </si>
  <si>
    <t>CYVG</t>
  </si>
  <si>
    <t>Vermilion Airport</t>
  </si>
  <si>
    <t>YVM</t>
  </si>
  <si>
    <t>CYVM</t>
  </si>
  <si>
    <t>Qikiqtarjuaq Airport</t>
  </si>
  <si>
    <t>YVO</t>
  </si>
  <si>
    <t>CYVO</t>
  </si>
  <si>
    <t>Val-d'Or Airport</t>
  </si>
  <si>
    <t>YVP</t>
  </si>
  <si>
    <t>CYVP</t>
  </si>
  <si>
    <t>Kuujjuaq Airport</t>
  </si>
  <si>
    <t>YVQ</t>
  </si>
  <si>
    <t>CYVQ</t>
  </si>
  <si>
    <t>Norman Wells Airport</t>
  </si>
  <si>
    <t>YVR</t>
  </si>
  <si>
    <t>CYVR</t>
  </si>
  <si>
    <t>Vancouver International Airport</t>
  </si>
  <si>
    <t>YVT</t>
  </si>
  <si>
    <t>CYVT</t>
  </si>
  <si>
    <t>Buffalo Narrows Airport</t>
  </si>
  <si>
    <t>YVV</t>
  </si>
  <si>
    <t>CYVV</t>
  </si>
  <si>
    <t>Wiarton Airport</t>
  </si>
  <si>
    <t>YVZ</t>
  </si>
  <si>
    <t>CYVZ</t>
  </si>
  <si>
    <t>YWA</t>
  </si>
  <si>
    <t>CYWA</t>
  </si>
  <si>
    <t>Petawawa Airport</t>
  </si>
  <si>
    <t>YWG</t>
  </si>
  <si>
    <t>CYWG</t>
  </si>
  <si>
    <t>Winnipeg James Armstrong Richardson International Airport</t>
  </si>
  <si>
    <t>YWH</t>
  </si>
  <si>
    <t>CYWH</t>
  </si>
  <si>
    <t>Victoria Inner Harbour Airport</t>
  </si>
  <si>
    <t>YWJ</t>
  </si>
  <si>
    <t>CYWJ</t>
  </si>
  <si>
    <t>Deline Airport</t>
  </si>
  <si>
    <t>YWK</t>
  </si>
  <si>
    <t>CYWK</t>
  </si>
  <si>
    <t>Wabush Airport</t>
  </si>
  <si>
    <t>YWL</t>
  </si>
  <si>
    <t>CYWL</t>
  </si>
  <si>
    <t>Williams Lake Airport</t>
  </si>
  <si>
    <t>YWM</t>
  </si>
  <si>
    <t>CCA6</t>
  </si>
  <si>
    <t>Williams Harbour Airport</t>
  </si>
  <si>
    <t>YWP</t>
  </si>
  <si>
    <t>CYWP</t>
  </si>
  <si>
    <t>Webequie Airport</t>
  </si>
  <si>
    <t>YWV</t>
  </si>
  <si>
    <t>CYWV</t>
  </si>
  <si>
    <t>YWY</t>
  </si>
  <si>
    <t>CYWY</t>
  </si>
  <si>
    <t>Wrigley Airport</t>
  </si>
  <si>
    <t>YXC</t>
  </si>
  <si>
    <t>CYXC</t>
  </si>
  <si>
    <t>Cranbrook/Canadian Rockies International Airport</t>
  </si>
  <si>
    <t>YXD</t>
  </si>
  <si>
    <t>CYXD</t>
  </si>
  <si>
    <t>Edmonton City Centre (Blatchford Field) Airport</t>
  </si>
  <si>
    <t>YXE</t>
  </si>
  <si>
    <t>CYXE</t>
  </si>
  <si>
    <t>Saskatoon/John G. Diefenbaker International Airport</t>
  </si>
  <si>
    <t>YXH</t>
  </si>
  <si>
    <t>CYXH</t>
  </si>
  <si>
    <t>Medicine Hat Airport</t>
  </si>
  <si>
    <t>YXJ</t>
  </si>
  <si>
    <t>CYXJ</t>
  </si>
  <si>
    <t>Fort St. John Airport</t>
  </si>
  <si>
    <t>YXK</t>
  </si>
  <si>
    <t>CYXK</t>
  </si>
  <si>
    <t>Rimouski Airport</t>
  </si>
  <si>
    <t>YXL</t>
  </si>
  <si>
    <t>CYXL</t>
  </si>
  <si>
    <t>Sioux Lookout Airport</t>
  </si>
  <si>
    <t>YXN</t>
  </si>
  <si>
    <t>CYXN</t>
  </si>
  <si>
    <t>Whale Cove Airport</t>
  </si>
  <si>
    <t>YXP</t>
  </si>
  <si>
    <t>CYXP</t>
  </si>
  <si>
    <t>Pangnirtung Airport</t>
  </si>
  <si>
    <t>YXQ</t>
  </si>
  <si>
    <t>CYXQ</t>
  </si>
  <si>
    <t>Beaver Creek Airport</t>
  </si>
  <si>
    <t>YXR</t>
  </si>
  <si>
    <t>CYXR</t>
  </si>
  <si>
    <t>Earlton (Timiskaming Regional) Airport</t>
  </si>
  <si>
    <t>YXS</t>
  </si>
  <si>
    <t>CYXS</t>
  </si>
  <si>
    <t>Prince George Airport</t>
  </si>
  <si>
    <t>YXT</t>
  </si>
  <si>
    <t>CYXT</t>
  </si>
  <si>
    <t>Terrace Airport</t>
  </si>
  <si>
    <t>YXU</t>
  </si>
  <si>
    <t>CYXU</t>
  </si>
  <si>
    <t>London International Airport</t>
  </si>
  <si>
    <t>YXX</t>
  </si>
  <si>
    <t>CYXX</t>
  </si>
  <si>
    <t>Abbotsford Airport</t>
  </si>
  <si>
    <t>YXY</t>
  </si>
  <si>
    <t>CYXY</t>
  </si>
  <si>
    <t>Whitehorse International Airport</t>
  </si>
  <si>
    <t>YXZ</t>
  </si>
  <si>
    <t>CYXZ</t>
  </si>
  <si>
    <t>Wawa Airport</t>
  </si>
  <si>
    <t>YYB</t>
  </si>
  <si>
    <t>CYYB</t>
  </si>
  <si>
    <t>North Bay/Jack Garland Airport</t>
  </si>
  <si>
    <t>YYC</t>
  </si>
  <si>
    <t>CYYC</t>
  </si>
  <si>
    <t>Calgary International Airport</t>
  </si>
  <si>
    <t>YYD</t>
  </si>
  <si>
    <t>CYYD</t>
  </si>
  <si>
    <t>Smithers Airport</t>
  </si>
  <si>
    <t>YYE</t>
  </si>
  <si>
    <t>CYYE</t>
  </si>
  <si>
    <t>Fort Nelson Airport</t>
  </si>
  <si>
    <t>YYF</t>
  </si>
  <si>
    <t>CYYF</t>
  </si>
  <si>
    <t>Penticton Airport</t>
  </si>
  <si>
    <t>YYG</t>
  </si>
  <si>
    <t>CYYG</t>
  </si>
  <si>
    <t>Charlottetown Airport</t>
  </si>
  <si>
    <t>YYH</t>
  </si>
  <si>
    <t>CYYH</t>
  </si>
  <si>
    <t>Taloyoak Airport</t>
  </si>
  <si>
    <t>YYJ</t>
  </si>
  <si>
    <t>CYYJ</t>
  </si>
  <si>
    <t>Victoria International Airport</t>
  </si>
  <si>
    <t>YYL</t>
  </si>
  <si>
    <t>CYYL</t>
  </si>
  <si>
    <t>Lynn Lake Airport</t>
  </si>
  <si>
    <t>YYN</t>
  </si>
  <si>
    <t>CYYN</t>
  </si>
  <si>
    <t>Swift Current Airport</t>
  </si>
  <si>
    <t>YYQ</t>
  </si>
  <si>
    <t>CYYQ</t>
  </si>
  <si>
    <t>Churchill Airport</t>
  </si>
  <si>
    <t>YYR</t>
  </si>
  <si>
    <t>CYYR</t>
  </si>
  <si>
    <t>Goose Bay Airport</t>
  </si>
  <si>
    <t>YYT</t>
  </si>
  <si>
    <t>CYYT</t>
  </si>
  <si>
    <t>St. John's International Airport</t>
  </si>
  <si>
    <t>YYU</t>
  </si>
  <si>
    <t>CYYU</t>
  </si>
  <si>
    <t>Kapuskasing Airport</t>
  </si>
  <si>
    <t>YYW</t>
  </si>
  <si>
    <t>CYYW</t>
  </si>
  <si>
    <t>Armstrong Airport</t>
  </si>
  <si>
    <t>YYY</t>
  </si>
  <si>
    <t>CYYY</t>
  </si>
  <si>
    <t>Mont-Joli Airport</t>
  </si>
  <si>
    <t>YYZ</t>
  </si>
  <si>
    <t>CYYZ</t>
  </si>
  <si>
    <t>Toronto Pearson International Airport</t>
  </si>
  <si>
    <t>YZD</t>
  </si>
  <si>
    <t>CYZD</t>
  </si>
  <si>
    <t>Toronto/Downsview Airport</t>
  </si>
  <si>
    <t>YZE</t>
  </si>
  <si>
    <t>CYZE</t>
  </si>
  <si>
    <t>Gore Bay-Manitoulin Airport</t>
  </si>
  <si>
    <t>YZF</t>
  </si>
  <si>
    <t>CYZF</t>
  </si>
  <si>
    <t>Yellowknife Airport</t>
  </si>
  <si>
    <t>YZG</t>
  </si>
  <si>
    <t>CYZG</t>
  </si>
  <si>
    <t>Salluit Airport</t>
  </si>
  <si>
    <t>YZH</t>
  </si>
  <si>
    <t>CYZH</t>
  </si>
  <si>
    <t>Slave Lake Airport</t>
  </si>
  <si>
    <t>YZP</t>
  </si>
  <si>
    <t>CYZP</t>
  </si>
  <si>
    <t>Sandspit Airport</t>
  </si>
  <si>
    <t>YZR</t>
  </si>
  <si>
    <t>CYZR</t>
  </si>
  <si>
    <t>Sarnia (Chris Hadfield) Airport</t>
  </si>
  <si>
    <t>YZS</t>
  </si>
  <si>
    <t>CYZS</t>
  </si>
  <si>
    <t>Coral Harbour Airport</t>
  </si>
  <si>
    <t>YZT</t>
  </si>
  <si>
    <t>CYZT</t>
  </si>
  <si>
    <t>Port Hardy Airport</t>
  </si>
  <si>
    <t>YZU</t>
  </si>
  <si>
    <t>CYZU</t>
  </si>
  <si>
    <t>Whitecourt Airport</t>
  </si>
  <si>
    <t>YZV</t>
  </si>
  <si>
    <t>CYZV</t>
  </si>
  <si>
    <t>Sept-Îles Airport</t>
  </si>
  <si>
    <t>YZW</t>
  </si>
  <si>
    <t>CYZW</t>
  </si>
  <si>
    <t>Teslin Airport</t>
  </si>
  <si>
    <t>YZX</t>
  </si>
  <si>
    <t>CYZX</t>
  </si>
  <si>
    <t>Greenwood Airport</t>
  </si>
  <si>
    <t>YZY</t>
  </si>
  <si>
    <t>CYZY</t>
  </si>
  <si>
    <t>Mackenzie Airport</t>
  </si>
  <si>
    <t>YZZ</t>
  </si>
  <si>
    <t>CAD4</t>
  </si>
  <si>
    <t>Trail Airport</t>
  </si>
  <si>
    <t>ZAC</t>
  </si>
  <si>
    <t>CZAC</t>
  </si>
  <si>
    <t>York Landing Airport</t>
  </si>
  <si>
    <t>ZAD</t>
  </si>
  <si>
    <t>LDZD</t>
  </si>
  <si>
    <t>Zadar Airport</t>
  </si>
  <si>
    <t>ZAG</t>
  </si>
  <si>
    <t>LDZA</t>
  </si>
  <si>
    <t>Zagreb Airport</t>
  </si>
  <si>
    <t>ZAH</t>
  </si>
  <si>
    <t>OIZH</t>
  </si>
  <si>
    <t>Zahedan International Airport</t>
  </si>
  <si>
    <t>ZAJ</t>
  </si>
  <si>
    <t>OAZJ</t>
  </si>
  <si>
    <t>Zaranj Airport</t>
  </si>
  <si>
    <t>ZAL</t>
  </si>
  <si>
    <t>SCVD</t>
  </si>
  <si>
    <t>Pichoy Airport</t>
  </si>
  <si>
    <t>SCVL</t>
  </si>
  <si>
    <t>ZAM</t>
  </si>
  <si>
    <t>RPMZ</t>
  </si>
  <si>
    <t>Zamboanga International Airport</t>
  </si>
  <si>
    <t>ZAO</t>
  </si>
  <si>
    <t>LFCC</t>
  </si>
  <si>
    <t>Cahors-Lalbenque Airport</t>
  </si>
  <si>
    <t>ZAR</t>
  </si>
  <si>
    <t>DNZA</t>
  </si>
  <si>
    <t>Zaria Airport</t>
  </si>
  <si>
    <t>ZAT</t>
  </si>
  <si>
    <t>ZPZT</t>
  </si>
  <si>
    <t>Zhaotong Airport</t>
  </si>
  <si>
    <t>ZAZ</t>
  </si>
  <si>
    <t>LEZG</t>
  </si>
  <si>
    <t>Zaragoza Airport</t>
  </si>
  <si>
    <t>ZBD</t>
  </si>
  <si>
    <t>CZBD</t>
  </si>
  <si>
    <t>Ilford Airport</t>
  </si>
  <si>
    <t>ZBE</t>
  </si>
  <si>
    <t>LKZA</t>
  </si>
  <si>
    <t>Zabreh Ostrava Airport</t>
  </si>
  <si>
    <t>ZBF</t>
  </si>
  <si>
    <t>CZBF</t>
  </si>
  <si>
    <t>ZBM</t>
  </si>
  <si>
    <t>CZBM</t>
  </si>
  <si>
    <t>Bromont Airport</t>
  </si>
  <si>
    <t>ZBO</t>
  </si>
  <si>
    <t>YBWN</t>
  </si>
  <si>
    <t>Bowen Airport</t>
  </si>
  <si>
    <t>ZBR</t>
  </si>
  <si>
    <t>OIZC</t>
  </si>
  <si>
    <t>Konarak Airport</t>
  </si>
  <si>
    <t>ZBY</t>
  </si>
  <si>
    <t>VLSB</t>
  </si>
  <si>
    <t>Sayaboury Airport</t>
  </si>
  <si>
    <t>ZCD</t>
  </si>
  <si>
    <t>ETEJ</t>
  </si>
  <si>
    <t>Bamberg-Breitenau Airport</t>
  </si>
  <si>
    <t>ZCL</t>
  </si>
  <si>
    <t>MMZC</t>
  </si>
  <si>
    <t>General Leobardo C. Ruiz International Airport</t>
  </si>
  <si>
    <t>ZCN</t>
  </si>
  <si>
    <t>ETHC</t>
  </si>
  <si>
    <t>Celle Airport</t>
  </si>
  <si>
    <t>ZCO</t>
  </si>
  <si>
    <t>SCTC</t>
  </si>
  <si>
    <t>Maquehue Airport</t>
  </si>
  <si>
    <t>ZEC</t>
  </si>
  <si>
    <t>FASC</t>
  </si>
  <si>
    <t>Secunda Airport</t>
  </si>
  <si>
    <t>ZEE</t>
  </si>
  <si>
    <t>CZEE</t>
  </si>
  <si>
    <t>Kelsey Airport</t>
  </si>
  <si>
    <t>ZEF</t>
  </si>
  <si>
    <t>KZEF</t>
  </si>
  <si>
    <t>Elkin Municipal Airport</t>
  </si>
  <si>
    <t>ZEM</t>
  </si>
  <si>
    <t>CZEM</t>
  </si>
  <si>
    <t>Eastmain River Airport</t>
  </si>
  <si>
    <t>ZER</t>
  </si>
  <si>
    <t>VEZO</t>
  </si>
  <si>
    <t>Zero Airport</t>
  </si>
  <si>
    <t>KZER</t>
  </si>
  <si>
    <t>Schuylkill County Airport (Joe Zerbey Field)</t>
  </si>
  <si>
    <t>ZFA</t>
  </si>
  <si>
    <t>CZFA</t>
  </si>
  <si>
    <t>Faro Airport</t>
  </si>
  <si>
    <t>ZFD</t>
  </si>
  <si>
    <t>CZFD</t>
  </si>
  <si>
    <t>Fond-du-Lac Airport</t>
  </si>
  <si>
    <t>ZFG</t>
  </si>
  <si>
    <t>ZFM</t>
  </si>
  <si>
    <t>CZFM</t>
  </si>
  <si>
    <t>Fort McPherson Airport</t>
  </si>
  <si>
    <t>ZFN</t>
  </si>
  <si>
    <t>CZFN</t>
  </si>
  <si>
    <t>Tulita Airport</t>
  </si>
  <si>
    <t>ZGC</t>
  </si>
  <si>
    <t>ZLLL</t>
  </si>
  <si>
    <t>Lanzhou Zhongchuan Airport</t>
  </si>
  <si>
    <t>ZGF</t>
  </si>
  <si>
    <t>CZGF</t>
  </si>
  <si>
    <t>Grand Forks Airport</t>
  </si>
  <si>
    <t>ZGI</t>
  </si>
  <si>
    <t>CZGI</t>
  </si>
  <si>
    <t>Gods River Airport</t>
  </si>
  <si>
    <t>ZGL</t>
  </si>
  <si>
    <t>YSGW</t>
  </si>
  <si>
    <t>South Galway Airport</t>
  </si>
  <si>
    <t>ZGM</t>
  </si>
  <si>
    <t>FLNA</t>
  </si>
  <si>
    <t>Ngoma Airport</t>
  </si>
  <si>
    <t>ZGR</t>
  </si>
  <si>
    <t>CZGR</t>
  </si>
  <si>
    <t>Little Grand Rapids Airport</t>
  </si>
  <si>
    <t>ZGU</t>
  </si>
  <si>
    <t>NVSQ</t>
  </si>
  <si>
    <t>Gaua Island Airport</t>
  </si>
  <si>
    <t>ZHA</t>
  </si>
  <si>
    <t>ZGZJ</t>
  </si>
  <si>
    <t>Zhanjiang Airport</t>
  </si>
  <si>
    <t>ZHI</t>
  </si>
  <si>
    <t>LSZG</t>
  </si>
  <si>
    <t>Grenchen Airport</t>
  </si>
  <si>
    <t>ZHM</t>
  </si>
  <si>
    <t>VGSH</t>
  </si>
  <si>
    <t>Shamshernagar Airport</t>
  </si>
  <si>
    <t>ZHP</t>
  </si>
  <si>
    <t>CZHP</t>
  </si>
  <si>
    <t>High Prairie</t>
  </si>
  <si>
    <t>ZHV</t>
  </si>
  <si>
    <t>LSGC</t>
  </si>
  <si>
    <t>Les Eplatures Airport</t>
  </si>
  <si>
    <t>ZIA</t>
  </si>
  <si>
    <t>UUBW</t>
  </si>
  <si>
    <t>Zhukovsky International Airport</t>
  </si>
  <si>
    <t>ZIC</t>
  </si>
  <si>
    <t>SCTO</t>
  </si>
  <si>
    <t>Victoria Airport</t>
  </si>
  <si>
    <t>ZIG</t>
  </si>
  <si>
    <t>GOGG</t>
  </si>
  <si>
    <t>Ziguinchor Airport</t>
  </si>
  <si>
    <t>ZIH</t>
  </si>
  <si>
    <t>MMZH</t>
  </si>
  <si>
    <t>Ixtapa-Zihuatanejo International Airport</t>
  </si>
  <si>
    <t>ZIN</t>
  </si>
  <si>
    <t>LSMI</t>
  </si>
  <si>
    <t>Interlaken Air Base</t>
  </si>
  <si>
    <t>ZJG</t>
  </si>
  <si>
    <t>CZJG</t>
  </si>
  <si>
    <t>Jenpeg Airport</t>
  </si>
  <si>
    <t>ZJI</t>
  </si>
  <si>
    <t>LSZL</t>
  </si>
  <si>
    <t>Locarno Airport</t>
  </si>
  <si>
    <t>ZJN</t>
  </si>
  <si>
    <t>CZJN</t>
  </si>
  <si>
    <t>Swan River Airport</t>
  </si>
  <si>
    <t>ZKB</t>
  </si>
  <si>
    <t>FLKY</t>
  </si>
  <si>
    <t>Kasaba Bay Airport</t>
  </si>
  <si>
    <t>ZKE</t>
  </si>
  <si>
    <t>CZKE</t>
  </si>
  <si>
    <t>Kashechewan Airport</t>
  </si>
  <si>
    <t>ZKM</t>
  </si>
  <si>
    <t>FOOS</t>
  </si>
  <si>
    <t>Sette Cama Airport</t>
  </si>
  <si>
    <t>ZKP</t>
  </si>
  <si>
    <t>FLKE</t>
  </si>
  <si>
    <t>Kasompe Airport</t>
  </si>
  <si>
    <t>ZLO</t>
  </si>
  <si>
    <t>MMZO</t>
  </si>
  <si>
    <t>Playa de Oro International Airport</t>
  </si>
  <si>
    <t>ZLR</t>
  </si>
  <si>
    <t>SCLN</t>
  </si>
  <si>
    <t>Municipal de Linares Airport</t>
  </si>
  <si>
    <t>ZLT</t>
  </si>
  <si>
    <t>CTU5</t>
  </si>
  <si>
    <t>La Tabatière Airport</t>
  </si>
  <si>
    <t>ZMG</t>
  </si>
  <si>
    <t>EDBM</t>
  </si>
  <si>
    <t>Magdeburg Airport</t>
  </si>
  <si>
    <t>ZMM</t>
  </si>
  <si>
    <t>MMZM</t>
  </si>
  <si>
    <t>Zamora Airport</t>
  </si>
  <si>
    <t>ZMT</t>
  </si>
  <si>
    <t>CZMT</t>
  </si>
  <si>
    <t>Masset Airport</t>
  </si>
  <si>
    <t>ZND</t>
  </si>
  <si>
    <t>DRZR</t>
  </si>
  <si>
    <t>Zinder Airport</t>
  </si>
  <si>
    <t>ZNE</t>
  </si>
  <si>
    <t>YNWN</t>
  </si>
  <si>
    <t>Newman Airport</t>
  </si>
  <si>
    <t>ZNF</t>
  </si>
  <si>
    <t>ETID</t>
  </si>
  <si>
    <t>Hanau Army Air Field</t>
  </si>
  <si>
    <t>ZNG</t>
  </si>
  <si>
    <t>CZNG</t>
  </si>
  <si>
    <t>Poplar River Airport</t>
  </si>
  <si>
    <t>ZNZ</t>
  </si>
  <si>
    <t>HTZA</t>
  </si>
  <si>
    <t>Zanzibar Airport</t>
  </si>
  <si>
    <t>ZOS</t>
  </si>
  <si>
    <t>SCJO</t>
  </si>
  <si>
    <t>Canal Bajo Carlos Hott Siebert Airport</t>
  </si>
  <si>
    <t>ZOW</t>
  </si>
  <si>
    <t>EDWN</t>
  </si>
  <si>
    <t>Nordhorn-Lingen Airport</t>
  </si>
  <si>
    <t>ZPB</t>
  </si>
  <si>
    <t>CZPB</t>
  </si>
  <si>
    <t>Sachigo Lake Airport</t>
  </si>
  <si>
    <t>ZPC</t>
  </si>
  <si>
    <t>SCPC</t>
  </si>
  <si>
    <t>Pucón Airport</t>
  </si>
  <si>
    <t>ZPH</t>
  </si>
  <si>
    <t>KZPH</t>
  </si>
  <si>
    <t>Zephyrhills Municipal Airport</t>
  </si>
  <si>
    <t>ZPQ</t>
  </si>
  <si>
    <t>ETHE</t>
  </si>
  <si>
    <t>Rheine Air Base</t>
  </si>
  <si>
    <t>ZQL</t>
  </si>
  <si>
    <t>EDTD</t>
  </si>
  <si>
    <t>Donaueschingen-Villingen Airport</t>
  </si>
  <si>
    <t>ZQN</t>
  </si>
  <si>
    <t>NZQN</t>
  </si>
  <si>
    <t>ZQV</t>
  </si>
  <si>
    <t>EDFV</t>
  </si>
  <si>
    <t>Worms Airport</t>
  </si>
  <si>
    <t>ZQW</t>
  </si>
  <si>
    <t>EDRZ</t>
  </si>
  <si>
    <t>Zweibrücken Airport</t>
  </si>
  <si>
    <t>ZRH</t>
  </si>
  <si>
    <t>LSZH</t>
  </si>
  <si>
    <t>Zurich Airport</t>
  </si>
  <si>
    <t>ZRI</t>
  </si>
  <si>
    <t>WABO</t>
  </si>
  <si>
    <t>Serui Airport</t>
  </si>
  <si>
    <t>ZRJ</t>
  </si>
  <si>
    <t>CZRJ</t>
  </si>
  <si>
    <t>Round Lake (Weagamow Lake) Airport</t>
  </si>
  <si>
    <t>ZRM</t>
  </si>
  <si>
    <t>WAJI</t>
  </si>
  <si>
    <t>Sarmi Airport</t>
  </si>
  <si>
    <t>ZSA</t>
  </si>
  <si>
    <t>MYSM</t>
  </si>
  <si>
    <t>San Salvador Airport</t>
  </si>
  <si>
    <t>ZSE</t>
  </si>
  <si>
    <t>FMEP</t>
  </si>
  <si>
    <t>Pierrefonds Airport</t>
  </si>
  <si>
    <t>ZSJ</t>
  </si>
  <si>
    <t>CZSJ</t>
  </si>
  <si>
    <t>Sandy Lake Airport</t>
  </si>
  <si>
    <t>ZSN</t>
  </si>
  <si>
    <t>CZSN</t>
  </si>
  <si>
    <t>South Indian Lake Airport</t>
  </si>
  <si>
    <t>ZSS</t>
  </si>
  <si>
    <t>DISS</t>
  </si>
  <si>
    <t>Sassandra Airport</t>
  </si>
  <si>
    <t>ZST</t>
  </si>
  <si>
    <t>CZST</t>
  </si>
  <si>
    <t>Stewart Airport</t>
  </si>
  <si>
    <t>ZTA</t>
  </si>
  <si>
    <t>NTGY</t>
  </si>
  <si>
    <t>Tureira Airport</t>
  </si>
  <si>
    <t>ZTB</t>
  </si>
  <si>
    <t>CTB6</t>
  </si>
  <si>
    <t>Tête-à-la-Baleine Airport</t>
  </si>
  <si>
    <t>ZTH</t>
  </si>
  <si>
    <t>LGZA</t>
  </si>
  <si>
    <t>Zakynthos International Airport, "Dionysios Solomos"</t>
  </si>
  <si>
    <t>ZTM</t>
  </si>
  <si>
    <t>CZTM</t>
  </si>
  <si>
    <t>Shamattawa Airport</t>
  </si>
  <si>
    <t>ZTU</t>
  </si>
  <si>
    <t>UBBY</t>
  </si>
  <si>
    <t>Zaqatala International Airport</t>
  </si>
  <si>
    <t>ZUC</t>
  </si>
  <si>
    <t>CZUC</t>
  </si>
  <si>
    <t>Ignace Municipal Airport</t>
  </si>
  <si>
    <t>ZUD</t>
  </si>
  <si>
    <t>SCAC</t>
  </si>
  <si>
    <t>Pupelde Airport</t>
  </si>
  <si>
    <t>ZUH</t>
  </si>
  <si>
    <t>ZGSD</t>
  </si>
  <si>
    <t>Zhuhai Airport</t>
  </si>
  <si>
    <t>ZUL</t>
  </si>
  <si>
    <t>OEZL</t>
  </si>
  <si>
    <t>Zilfi Airport</t>
  </si>
  <si>
    <t>ZUM</t>
  </si>
  <si>
    <t>CZUM</t>
  </si>
  <si>
    <t>Churchill Falls Airport</t>
  </si>
  <si>
    <t>ZUN</t>
  </si>
  <si>
    <t>KZUN</t>
  </si>
  <si>
    <t>Black Rock Airport</t>
  </si>
  <si>
    <t>ZVA</t>
  </si>
  <si>
    <t>FMMN</t>
  </si>
  <si>
    <t>Miandrivazo Airport</t>
  </si>
  <si>
    <t>ZVK</t>
  </si>
  <si>
    <t>VLSK</t>
  </si>
  <si>
    <t>Savannakhet Airport</t>
  </si>
  <si>
    <t>ZWA</t>
  </si>
  <si>
    <t>FMND</t>
  </si>
  <si>
    <t>Andapa Airport</t>
  </si>
  <si>
    <t>ZWH</t>
  </si>
  <si>
    <t>CZWH</t>
  </si>
  <si>
    <t>Lac Brochet Airport</t>
  </si>
  <si>
    <t>ZWL</t>
  </si>
  <si>
    <t>CZWL</t>
  </si>
  <si>
    <t>Wollaston Lake Airport</t>
  </si>
  <si>
    <t>ZYI</t>
  </si>
  <si>
    <t>ZUZY</t>
  </si>
  <si>
    <t>Zunyi Airport</t>
  </si>
  <si>
    <t>ZYL</t>
  </si>
  <si>
    <t>VGSY</t>
  </si>
  <si>
    <t>Osmany International Airport</t>
  </si>
  <si>
    <t>ZZO</t>
  </si>
  <si>
    <t>UHSO</t>
  </si>
  <si>
    <t>Zonalnoye Airport</t>
  </si>
  <si>
    <t>ZZU</t>
  </si>
  <si>
    <t>FWUU</t>
  </si>
  <si>
    <t>Mzuzu Airport</t>
  </si>
  <si>
    <t>ZZV</t>
  </si>
  <si>
    <t>KZZV</t>
  </si>
  <si>
    <t>Zanesville Municipal Airport</t>
  </si>
  <si>
    <t>Landing fuel</t>
  </si>
  <si>
    <t xml:space="preserve">      =  
LMC</t>
  </si>
  <si>
    <t xml:space="preserve">      +                    
 LMC</t>
  </si>
  <si>
    <t xml:space="preserve">      +                  
LMC</t>
  </si>
  <si>
    <t xml:space="preserve">      -                    
 LMC</t>
  </si>
  <si>
    <t>HSH</t>
  </si>
  <si>
    <t>KHND</t>
  </si>
  <si>
    <t>Henderson Executive Airport</t>
  </si>
  <si>
    <t>Harry Reid International Airport</t>
  </si>
  <si>
    <t>AIRPORT</t>
  </si>
  <si>
    <t>TAKE OFF</t>
  </si>
  <si>
    <t>Arm -IN</t>
  </si>
  <si>
    <t>% Mac</t>
  </si>
  <si>
    <t>Basic empty Weight</t>
  </si>
  <si>
    <t>Aircraft weight</t>
  </si>
  <si>
    <t>RTOW</t>
  </si>
  <si>
    <t xml:space="preserve">                  LMC   </t>
  </si>
  <si>
    <t>Basic Empty Weight</t>
  </si>
  <si>
    <t>Dry Operating Weight Index</t>
  </si>
  <si>
    <t>Basic Empty Weight/Index</t>
  </si>
  <si>
    <t>Lav Fluid</t>
  </si>
  <si>
    <t>G1 Galley Consumables</t>
  </si>
  <si>
    <t>Lav Fluids</t>
  </si>
  <si>
    <t>Josep Tarradellas Barcelona–El Prat Airport</t>
  </si>
  <si>
    <t>ISL</t>
  </si>
  <si>
    <t>Atatürk Airport</t>
  </si>
  <si>
    <t>LTFM</t>
  </si>
  <si>
    <t>Istanbul Airport</t>
  </si>
  <si>
    <t>Madrid–Barajas Airport</t>
  </si>
  <si>
    <t>Munich Airport</t>
  </si>
  <si>
    <t>John Wayne Airport</t>
  </si>
  <si>
    <t>Weight Lbs</t>
  </si>
  <si>
    <t>Max Mass (Kgs)</t>
  </si>
  <si>
    <t>Mass (Kgs)</t>
  </si>
  <si>
    <t>Dry Operating Weight</t>
  </si>
  <si>
    <t>Observer</t>
  </si>
  <si>
    <t xml:space="preserve">FLOATER A PALLETS </t>
  </si>
  <si>
    <t xml:space="preserve">FLOATER A Weights (Kgs) </t>
  </si>
  <si>
    <t>FLOATER B PALLETS</t>
  </si>
  <si>
    <t>FLOATER B Weights (Kgs)</t>
  </si>
  <si>
    <t>A1R</t>
  </si>
  <si>
    <t>C1</t>
  </si>
  <si>
    <t>D1</t>
  </si>
  <si>
    <t>E1</t>
  </si>
  <si>
    <t>Missing Constrains</t>
  </si>
  <si>
    <t>ULD Type</t>
  </si>
  <si>
    <t>HOLD 11R</t>
  </si>
  <si>
    <t>Configuration</t>
  </si>
  <si>
    <t>HOLD 11L</t>
  </si>
  <si>
    <t>Kgs</t>
  </si>
  <si>
    <t>Weight (Kgs)</t>
  </si>
  <si>
    <t>None</t>
  </si>
  <si>
    <t>Side Corner</t>
  </si>
  <si>
    <t>A2R</t>
  </si>
  <si>
    <t>A3R</t>
  </si>
  <si>
    <t>A4R</t>
  </si>
  <si>
    <t>A5R</t>
  </si>
  <si>
    <t>A6R</t>
  </si>
  <si>
    <t>A7R</t>
  </si>
  <si>
    <t>A8R</t>
  </si>
  <si>
    <t>A9R</t>
  </si>
  <si>
    <t>A1L</t>
  </si>
  <si>
    <t>A2L</t>
  </si>
  <si>
    <t>A3L</t>
  </si>
  <si>
    <t>A4L</t>
  </si>
  <si>
    <t>A5L</t>
  </si>
  <si>
    <t>A6L</t>
  </si>
  <si>
    <t>A7L</t>
  </si>
  <si>
    <t>A8L</t>
  </si>
  <si>
    <t>A9L</t>
  </si>
  <si>
    <t>A10</t>
  </si>
  <si>
    <t>Side Non-Corner</t>
  </si>
  <si>
    <t>Fwd/Aft Corner</t>
  </si>
  <si>
    <t>C2</t>
  </si>
  <si>
    <t>C3</t>
  </si>
  <si>
    <t>C4</t>
  </si>
  <si>
    <t>C5</t>
  </si>
  <si>
    <t>C6</t>
  </si>
  <si>
    <t>C7</t>
  </si>
  <si>
    <t>C8</t>
  </si>
  <si>
    <t>C9</t>
  </si>
  <si>
    <t>C10</t>
  </si>
  <si>
    <t>D2</t>
  </si>
  <si>
    <t>D3</t>
  </si>
  <si>
    <t>D4</t>
  </si>
  <si>
    <t>D5</t>
  </si>
  <si>
    <t>D6</t>
  </si>
  <si>
    <t>D7</t>
  </si>
  <si>
    <t>D8</t>
  </si>
  <si>
    <t>D9</t>
  </si>
  <si>
    <t>D10</t>
  </si>
  <si>
    <t>D11</t>
  </si>
  <si>
    <t>D12</t>
  </si>
  <si>
    <t>D13</t>
  </si>
  <si>
    <t>E2</t>
  </si>
  <si>
    <t>E3</t>
  </si>
  <si>
    <t>E4</t>
  </si>
  <si>
    <t>E5</t>
  </si>
  <si>
    <t>E6</t>
  </si>
  <si>
    <t>E7</t>
  </si>
  <si>
    <t>E8</t>
  </si>
  <si>
    <t>E9</t>
  </si>
  <si>
    <t>E10</t>
  </si>
  <si>
    <t>E11</t>
  </si>
  <si>
    <t>E12</t>
  </si>
  <si>
    <t>Fwd/Aft Non-Corner</t>
  </si>
  <si>
    <t>None,Side Non-Corner,Side Corner,Fwd/Aft Non-Corner,Fwd/Aft Non-Corner</t>
  </si>
  <si>
    <t>Bulk</t>
  </si>
  <si>
    <t>FWD CARGO HOLD</t>
  </si>
  <si>
    <t>ALF CARGO HOLD</t>
  </si>
  <si>
    <t>R</t>
  </si>
  <si>
    <t>L</t>
  </si>
  <si>
    <t>Both</t>
  </si>
  <si>
    <t>MAX. 120,657</t>
  </si>
  <si>
    <t>MAX. 128,367</t>
  </si>
  <si>
    <t>Lower Deck</t>
  </si>
  <si>
    <t>Max</t>
  </si>
  <si>
    <t>Zone Mass (Kgs)</t>
  </si>
  <si>
    <t>Zone Max Mass (Kgs)</t>
  </si>
  <si>
    <t>HOLD 12R</t>
  </si>
  <si>
    <t>HOLD 13R</t>
  </si>
  <si>
    <t>HOLD 21R</t>
  </si>
  <si>
    <t>HOLD 22R</t>
  </si>
  <si>
    <t>HOLD 23R</t>
  </si>
  <si>
    <t>HOLD 23L</t>
  </si>
  <si>
    <t>HOLD 22L</t>
  </si>
  <si>
    <t>HOLD 21L</t>
  </si>
  <si>
    <t>HOLD 13L</t>
  </si>
  <si>
    <t>HOLD 12L</t>
  </si>
  <si>
    <t>HOLD 31R</t>
  </si>
  <si>
    <t>HOLD 32R</t>
  </si>
  <si>
    <t>HOLD 33R</t>
  </si>
  <si>
    <t>HOLD 41R</t>
  </si>
  <si>
    <t>HOLD 42R</t>
  </si>
  <si>
    <t>HOLD 42L</t>
  </si>
  <si>
    <t>HOLD 41L</t>
  </si>
  <si>
    <t>HOLD 33L</t>
  </si>
  <si>
    <t>HOLD 32L</t>
  </si>
  <si>
    <t>HOLD 31L</t>
  </si>
  <si>
    <t>LD-4</t>
  </si>
  <si>
    <t>Mass(Kgs)</t>
  </si>
  <si>
    <t>Fuel</t>
  </si>
  <si>
    <t>Take off Fuel</t>
  </si>
  <si>
    <t>Landing Fuel</t>
  </si>
  <si>
    <t>FUEL</t>
  </si>
  <si>
    <t>Weights (Kgs)</t>
  </si>
  <si>
    <t>LH ULD</t>
  </si>
  <si>
    <t>LD-1</t>
  </si>
  <si>
    <t>LD-2</t>
  </si>
  <si>
    <t>LD-3</t>
  </si>
  <si>
    <t>LD-8</t>
  </si>
  <si>
    <t>Max Mass(Kgs)</t>
  </si>
  <si>
    <t>I hereby certify the load distribution to be in accordance with the B767-232F Weight and Balance Manual and that the Maximum Certified Weights of the aircraft have not been exceeded.</t>
  </si>
  <si>
    <t>All weights in Kilograms unless stated otherwise.</t>
  </si>
  <si>
    <t>Bay no</t>
  </si>
  <si>
    <t>Actual</t>
  </si>
  <si>
    <t>HOLD 11</t>
  </si>
  <si>
    <t>HOLD 12</t>
  </si>
  <si>
    <t>HOLD 13</t>
  </si>
  <si>
    <t>HOLD 21</t>
  </si>
  <si>
    <t>HOLD 22</t>
  </si>
  <si>
    <t>HOLD 31</t>
  </si>
  <si>
    <t>HOLD 23</t>
  </si>
  <si>
    <t>BULK</t>
  </si>
  <si>
    <t>HOLD 42</t>
  </si>
  <si>
    <t>HOLD 41</t>
  </si>
  <si>
    <t>HOLD 33</t>
  </si>
  <si>
    <t>HOLD 32</t>
  </si>
  <si>
    <t>FWD</t>
  </si>
  <si>
    <t>R&amp;L</t>
  </si>
  <si>
    <t>Total Main</t>
  </si>
  <si>
    <t>Total Lower Deck</t>
  </si>
  <si>
    <t>First Officer</t>
  </si>
  <si>
    <t>Name</t>
  </si>
  <si>
    <t>Sign</t>
  </si>
  <si>
    <t>Load Master</t>
  </si>
  <si>
    <t>SIGN</t>
  </si>
  <si>
    <t>FLAP SETTINGS 1</t>
  </si>
  <si>
    <t>TAKEOFF WEIGHT (1000 Kgs)</t>
  </si>
  <si>
    <t>FLAP SETTINGS 5,15,20</t>
  </si>
  <si>
    <t>Flap 1</t>
  </si>
  <si>
    <t>Flap 5,15 and 20</t>
  </si>
  <si>
    <t xml:space="preserve">5 ,15  and 20 </t>
  </si>
  <si>
    <t>LEFT</t>
  </si>
  <si>
    <t>RIGHT</t>
  </si>
  <si>
    <t>CLIM</t>
  </si>
  <si>
    <t>ULDT</t>
  </si>
  <si>
    <r>
      <rPr>
        <sz val="18"/>
        <color theme="1"/>
        <rFont val="Calibri"/>
        <family val="2"/>
      </rPr>
      <t>Δ</t>
    </r>
    <r>
      <rPr>
        <sz val="18"/>
        <color theme="1"/>
        <rFont val="Calibri"/>
        <family val="2"/>
        <scheme val="minor"/>
      </rPr>
      <t xml:space="preserve">   =</t>
    </r>
  </si>
  <si>
    <t>*TO USE FLOATERS DON’T USE CONFIGURATION A</t>
  </si>
  <si>
    <t>DESIGNATION</t>
  </si>
  <si>
    <t>SIGNATURE</t>
  </si>
  <si>
    <t>FIRST OFFICER</t>
  </si>
  <si>
    <t>LOAD MASTER</t>
  </si>
  <si>
    <t>Taxi Fuel</t>
  </si>
  <si>
    <t>Take-off Fuel</t>
  </si>
  <si>
    <t>Trip Fuel</t>
  </si>
  <si>
    <t>Total Traffic Load Index</t>
  </si>
  <si>
    <t>TOTAL</t>
  </si>
  <si>
    <t>Total Net Weight (Kgs)</t>
  </si>
  <si>
    <t>Total Gross Weight (Kgs)</t>
  </si>
  <si>
    <t>MAX WEIGHT [Kgs]</t>
  </si>
  <si>
    <t>WEIGHT [Kgs]</t>
  </si>
  <si>
    <t>M1R</t>
  </si>
  <si>
    <t>M2R</t>
  </si>
  <si>
    <t>M3R</t>
  </si>
  <si>
    <t>M4R</t>
  </si>
  <si>
    <t>M5R</t>
  </si>
  <si>
    <t>M6R</t>
  </si>
  <si>
    <t>M7R</t>
  </si>
  <si>
    <t>M8R</t>
  </si>
  <si>
    <t>M9R</t>
  </si>
  <si>
    <t>M10R</t>
  </si>
  <si>
    <t>M1L</t>
  </si>
  <si>
    <t>M2L</t>
  </si>
  <si>
    <t>M3L</t>
  </si>
  <si>
    <t>M4L</t>
  </si>
  <si>
    <t>M5L</t>
  </si>
  <si>
    <t>M6L</t>
  </si>
  <si>
    <t>M7L</t>
  </si>
  <si>
    <t>M8L</t>
  </si>
  <si>
    <t>M9L</t>
  </si>
  <si>
    <t>M10L</t>
  </si>
  <si>
    <t>TOTAL TLI</t>
  </si>
  <si>
    <t>Δ   =</t>
  </si>
  <si>
    <t xml:space="preserve">LATERAL IMBALANCE </t>
  </si>
  <si>
    <t>LATERAL IMBALANCE (MAIN DECK)</t>
  </si>
  <si>
    <t>MEAN</t>
  </si>
  <si>
    <t>M11</t>
  </si>
  <si>
    <t>FORMULA</t>
  </si>
  <si>
    <t>A</t>
  </si>
  <si>
    <t>Lateral Imbalance (KG-IN)</t>
  </si>
  <si>
    <t>Total Fuel</t>
  </si>
  <si>
    <t>Operational Items</t>
  </si>
  <si>
    <t>MTW=159,755 Kgs</t>
  </si>
  <si>
    <t>MTOW=159,210 Kgs</t>
  </si>
  <si>
    <t>MLW=128,367 Kgs</t>
  </si>
  <si>
    <t>MZFW=120,657 Kgs</t>
  </si>
  <si>
    <t>Min Flight=76,203 Kgs</t>
  </si>
  <si>
    <t>Weight(Kgs)</t>
  </si>
  <si>
    <t>%Mac</t>
  </si>
  <si>
    <t>DMAC</t>
  </si>
  <si>
    <t>DLEMAC</t>
  </si>
  <si>
    <t>Lower</t>
  </si>
  <si>
    <t>Lower1</t>
  </si>
  <si>
    <t>Lower 2</t>
  </si>
  <si>
    <t xml:space="preserve">Curtailed </t>
  </si>
  <si>
    <t>Postion</t>
  </si>
  <si>
    <t>Cummulative</t>
  </si>
  <si>
    <t>A1</t>
  </si>
  <si>
    <t>A2</t>
  </si>
  <si>
    <t>A3</t>
  </si>
  <si>
    <t>A4</t>
  </si>
  <si>
    <t>A5</t>
  </si>
  <si>
    <t>A6</t>
  </si>
  <si>
    <t>A7</t>
  </si>
  <si>
    <t>A8</t>
  </si>
  <si>
    <t>A9</t>
  </si>
  <si>
    <t>D</t>
  </si>
  <si>
    <t>BAY no</t>
  </si>
  <si>
    <t>Pos</t>
  </si>
  <si>
    <t>BA FWD</t>
  </si>
  <si>
    <t>BA AFT</t>
  </si>
  <si>
    <t>Config</t>
  </si>
  <si>
    <t>M</t>
  </si>
  <si>
    <t>C</t>
  </si>
  <si>
    <t>E</t>
  </si>
  <si>
    <t>A1,11,12</t>
  </si>
  <si>
    <t>A1,A2,11,12,13,21</t>
  </si>
  <si>
    <t>A1,A2,A3,A4,11,12,13,21,22,23</t>
  </si>
  <si>
    <t>A1,A2,A3,11,12,13,21,22,23</t>
  </si>
  <si>
    <t>A5,A6,A7,A8,A9,A10,31,32,33,41,42,BULK</t>
  </si>
  <si>
    <t>A10,BULK</t>
  </si>
  <si>
    <t>A6,A7,A8,A9,A10,31,32,33,41,42,BULK</t>
  </si>
  <si>
    <t>A7,A8,A9,A10,(31*0.5),32,(33*0.5),41,42,BULK</t>
  </si>
  <si>
    <t>A8,A9,A10,(33*0.5),41,(42*0.5),BULK</t>
  </si>
  <si>
    <t>A9,A10,(42*0.5),BULK</t>
  </si>
  <si>
    <t>C1,11,12</t>
  </si>
  <si>
    <t>C1,C2,11,12,13,21</t>
  </si>
  <si>
    <t>C1,C2,C3,11,12,13,21,22,23</t>
  </si>
  <si>
    <t>C1,C2,C3,C4,11,12,13,21,22,23</t>
  </si>
  <si>
    <t>C5,C6,C7,C8,C9,C10,31,32,33,41,42,BULK</t>
  </si>
  <si>
    <t>C6,C7,C8,C9,C10,31,32,33,41,42,BULK</t>
  </si>
  <si>
    <t>C7,C8,C9,C10,(31*0.5),32,(33*0.5),41,42,BULK</t>
  </si>
  <si>
    <t>C8,C9,C10,(33*0.5),41,(42*0.5),BULK</t>
  </si>
  <si>
    <t>C9,C10,(42*0.5),(BULK*0.5)</t>
  </si>
  <si>
    <t>C10,(BULK*0.5)</t>
  </si>
  <si>
    <t>D1,11,12</t>
  </si>
  <si>
    <t>D1,D2,11,12,13,21</t>
  </si>
  <si>
    <t>E10,(BULK*0.5)</t>
  </si>
  <si>
    <t>M1,11,12</t>
  </si>
  <si>
    <t>M1,M2,11,12,13,21</t>
  </si>
  <si>
    <t>M1,M2,M3,11,12,13,21,22,23</t>
  </si>
  <si>
    <t>M1,M2,M3,M4,11,12,13,21,22,23</t>
  </si>
  <si>
    <t>M5,M6,M7,M8,M9,M10,31,32,33,41,42,BULK</t>
  </si>
  <si>
    <t>M6,M7,M8,M9,M10,31,32,33,41,42,BULK</t>
  </si>
  <si>
    <t>M7,M8,M9,M10,(31*0.5),32,(33*0.5),41,42,BULK</t>
  </si>
  <si>
    <t>M8,M9,M10,(33*0.5),41,(42*0.5),BULK</t>
  </si>
  <si>
    <t>M9,M10,(42*0.5),(BULK*0.5)</t>
  </si>
  <si>
    <t>M10,(BULK*0.5)</t>
  </si>
  <si>
    <t>D1,D2,D3,(0.5*D4),11,12,13,21,22,23</t>
  </si>
  <si>
    <t>D1,D2,D3,D4,D5,11,12,13,21,22,23</t>
  </si>
  <si>
    <t>D6,D7,D8,D9,D10,D11,D12,D13,31,32,33,41,42,BULK</t>
  </si>
  <si>
    <t>(0.5*D7),D8,D9,D10,D11,D12,D13,31,32,33,41,42,BULK</t>
  </si>
  <si>
    <t>(0.5*D10),D11,D12,D13,(33*0.5),41,(42*0.5),BULK</t>
  </si>
  <si>
    <t>(0.5*D9),D10,D11,D12,D13,(31*0.5),32,(33*0.5),41,42,BULK</t>
  </si>
  <si>
    <t>(0.5*D11),D12,D13,(42*0.5),(BULK*0.5)</t>
  </si>
  <si>
    <t>D13(BULK*0.5)</t>
  </si>
  <si>
    <t>E1,(0.5*E2),11,12</t>
  </si>
  <si>
    <t>E1,E2,(0.5*E3),11,12,13,21</t>
  </si>
  <si>
    <t>E1,E2,E3,(0.5*E4),11,12,13,21,22,23</t>
  </si>
  <si>
    <t>E1,E2,E3,E4,(0.5*E5),11,12,13,21,22,23</t>
  </si>
  <si>
    <t>(0.5*E9),E10,E12,(33*0.5),41,(42*0.5),BULK</t>
  </si>
  <si>
    <t>(0.5*E10),E11,E12,(42*0.5),(BULK*0.5)</t>
  </si>
  <si>
    <t>(0.5*E5),E6,E7,E8,E9,E10,E11,E12,31,32,33,41,42,BULK</t>
  </si>
  <si>
    <t>(0.5*E6),E7,E8,E9,E10,E11,E12,31,32,33,41,42,BULK</t>
  </si>
  <si>
    <t>(0.5*E8),E9,E10,E11,E12,(31*0.5),32,(33*0.5),41,42,BULK</t>
  </si>
  <si>
    <t>BW</t>
  </si>
  <si>
    <t>AW</t>
  </si>
  <si>
    <t>B767-200</t>
  </si>
  <si>
    <t>B767-232SF</t>
  </si>
  <si>
    <t>B 767-232F                                                                                                                               Balance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</si>
</sst>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 #,##0.00_-;_-* &quot;-&quot;??_-;_-@_-"/>
    <numFmt numFmtId="164" formatCode="0.0"/>
    <numFmt numFmtId="165" formatCode="&quot;RTOW &quot;#"/>
    <numFmt numFmtId="166" formatCode="#,##0.0"/>
    <numFmt numFmtId="167" formatCode="0.0%"/>
    <numFmt numFmtId="168" formatCode="dd\-mmm\-yyyy"/>
    <numFmt numFmtId="169" formatCode="#,##0.000"/>
    <numFmt numFmtId="170" formatCode="#,##0_ ;\-#,##0\ "/>
    <numFmt numFmtId="171" formatCode="0.00000000"/>
    <numFmt numFmtId="172" formatCode="_-* #,##0_-;\-* #,##0_-;_-* &quot;-&quot;??_-;_-@_-"/>
  </numFmts>
  <fonts count="46" x14ac:knownFonts="1">
    <font>
      <sz val="11"/>
      <color theme="1"/>
      <name val="Calibri"/>
      <family val="2"/>
      <scheme val="minor"/>
    </font>
    <font>
      <sz val="8"/>
      <color theme="1"/>
      <name val="Calibri"/>
      <family val="2"/>
      <scheme val="minor"/>
    </font>
    <font>
      <b/>
      <sz val="13"/>
      <color theme="1"/>
      <name val="Times New Roman"/>
      <family val="1"/>
    </font>
    <font>
      <b/>
      <sz val="8"/>
      <color theme="1"/>
      <name val="Calibri"/>
      <family val="2"/>
      <scheme val="minor"/>
    </font>
    <font>
      <sz val="8"/>
      <name val="Calibri"/>
      <family val="2"/>
      <scheme val="minor"/>
    </font>
    <font>
      <b/>
      <sz val="11"/>
      <color theme="1"/>
      <name val="Calibri"/>
      <family val="2"/>
      <scheme val="minor"/>
    </font>
    <font>
      <b/>
      <sz val="12"/>
      <color theme="1"/>
      <name val="Calibri"/>
      <family val="2"/>
      <scheme val="minor"/>
    </font>
    <font>
      <sz val="16"/>
      <color theme="1"/>
      <name val="Calibri"/>
      <family val="2"/>
      <scheme val="minor"/>
    </font>
    <font>
      <sz val="18"/>
      <color theme="1"/>
      <name val="Calibri"/>
      <family val="2"/>
      <scheme val="minor"/>
    </font>
    <font>
      <b/>
      <sz val="18"/>
      <color theme="1"/>
      <name val="Calibri"/>
      <family val="2"/>
      <scheme val="minor"/>
    </font>
    <font>
      <sz val="11"/>
      <color theme="1"/>
      <name val="Calibri"/>
      <family val="2"/>
    </font>
    <font>
      <u/>
      <sz val="11"/>
      <color theme="1"/>
      <name val="Calibri"/>
      <family val="2"/>
      <scheme val="minor"/>
    </font>
    <font>
      <b/>
      <sz val="14"/>
      <color theme="1"/>
      <name val="Calibri"/>
      <family val="2"/>
      <scheme val="minor"/>
    </font>
    <font>
      <sz val="14"/>
      <color theme="1"/>
      <name val="Calibri"/>
      <family val="2"/>
      <scheme val="minor"/>
    </font>
    <font>
      <b/>
      <sz val="14"/>
      <color theme="0"/>
      <name val="Calibri"/>
      <family val="2"/>
      <scheme val="minor"/>
    </font>
    <font>
      <b/>
      <sz val="16"/>
      <color theme="1"/>
      <name val="Calibri"/>
      <family val="2"/>
      <scheme val="minor"/>
    </font>
    <font>
      <b/>
      <sz val="16"/>
      <color theme="0"/>
      <name val="Calibri"/>
      <family val="2"/>
      <scheme val="minor"/>
    </font>
    <font>
      <b/>
      <sz val="11"/>
      <color theme="0"/>
      <name val="Calibri"/>
      <family val="2"/>
      <scheme val="minor"/>
    </font>
    <font>
      <b/>
      <sz val="26"/>
      <color rgb="FF000000"/>
      <name val="Calibri"/>
      <family val="2"/>
    </font>
    <font>
      <b/>
      <sz val="11"/>
      <color theme="1"/>
      <name val="Times New Roman"/>
      <family val="1"/>
    </font>
    <font>
      <sz val="10"/>
      <color theme="1"/>
      <name val="Calibri"/>
      <family val="2"/>
      <scheme val="minor"/>
    </font>
    <font>
      <sz val="13"/>
      <color theme="1"/>
      <name val="Times New Roman"/>
      <family val="1"/>
    </font>
    <font>
      <b/>
      <sz val="10"/>
      <color theme="1"/>
      <name val="Calibri"/>
      <family val="2"/>
      <scheme val="minor"/>
    </font>
    <font>
      <sz val="14"/>
      <color theme="2"/>
      <name val="Calibri"/>
      <family val="2"/>
      <scheme val="minor"/>
    </font>
    <font>
      <sz val="11"/>
      <color theme="0"/>
      <name val="Calibri"/>
      <family val="2"/>
      <scheme val="minor"/>
    </font>
    <font>
      <sz val="11"/>
      <color theme="1"/>
      <name val="Calibri"/>
      <family val="2"/>
      <scheme val="minor"/>
    </font>
    <font>
      <b/>
      <sz val="16"/>
      <color theme="8"/>
      <name val="Calibri"/>
      <family val="2"/>
      <scheme val="minor"/>
    </font>
    <font>
      <sz val="22"/>
      <color rgb="FFFF0000"/>
      <name val="Calibri"/>
      <family val="2"/>
      <scheme val="minor"/>
    </font>
    <font>
      <sz val="11"/>
      <color theme="1" tint="4.9989318521683403E-2"/>
      <name val="Calibri"/>
      <family val="2"/>
      <scheme val="minor"/>
    </font>
    <font>
      <sz val="14"/>
      <color theme="0" tint="-0.14999847407452621"/>
      <name val="Calibri"/>
      <family val="2"/>
      <scheme val="minor"/>
    </font>
    <font>
      <sz val="8"/>
      <color theme="0"/>
      <name val="Calibri"/>
      <family val="2"/>
      <scheme val="minor"/>
    </font>
    <font>
      <b/>
      <sz val="16"/>
      <color rgb="FF00B0F0"/>
      <name val="Calibri"/>
      <family val="2"/>
      <scheme val="minor"/>
    </font>
    <font>
      <sz val="12"/>
      <color theme="1"/>
      <name val="Calibri"/>
      <family val="2"/>
      <scheme val="minor"/>
    </font>
    <font>
      <sz val="12.5"/>
      <color rgb="FF000000"/>
      <name val="Calibri"/>
      <family val="2"/>
      <scheme val="minor"/>
    </font>
    <font>
      <sz val="12.5"/>
      <color rgb="FF000000"/>
      <name val="Times New Roman"/>
      <family val="1"/>
    </font>
    <font>
      <sz val="9"/>
      <color theme="1"/>
      <name val="Calibri"/>
      <family val="2"/>
      <scheme val="minor"/>
    </font>
    <font>
      <b/>
      <sz val="8"/>
      <color theme="1"/>
      <name val="Times New Roman"/>
      <family val="1"/>
    </font>
    <font>
      <sz val="11"/>
      <color theme="1"/>
      <name val="Times New Roman"/>
      <family val="1"/>
    </font>
    <font>
      <b/>
      <sz val="12"/>
      <color theme="1"/>
      <name val="Times New Roman"/>
      <family val="1"/>
    </font>
    <font>
      <b/>
      <sz val="14"/>
      <color rgb="FFFF0000"/>
      <name val="Calibri"/>
      <family val="2"/>
      <scheme val="minor"/>
    </font>
    <font>
      <b/>
      <sz val="16"/>
      <color rgb="FFFF0000"/>
      <name val="Calibri"/>
      <family val="2"/>
      <scheme val="minor"/>
    </font>
    <font>
      <sz val="14"/>
      <color rgb="FFFF0000"/>
      <name val="Calibri"/>
      <family val="2"/>
      <scheme val="minor"/>
    </font>
    <font>
      <b/>
      <sz val="14"/>
      <name val="Calibri"/>
      <family val="2"/>
      <scheme val="minor"/>
    </font>
    <font>
      <sz val="18"/>
      <color theme="1"/>
      <name val="Calibri"/>
      <family val="2"/>
    </font>
    <font>
      <b/>
      <sz val="10"/>
      <color theme="1"/>
      <name val="Times New Roman"/>
      <family val="1"/>
    </font>
    <font>
      <b/>
      <sz val="14"/>
      <color theme="1"/>
      <name val="Times New Roman"/>
      <family val="1"/>
    </font>
  </fonts>
  <fills count="17">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8" tint="-0.249977111117893"/>
        <bgColor indexed="64"/>
      </patternFill>
    </fill>
    <fill>
      <patternFill patternType="solid">
        <fgColor theme="3"/>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499984740745262"/>
        <bgColor indexed="64"/>
      </patternFill>
    </fill>
    <fill>
      <patternFill patternType="solid">
        <fgColor rgb="FF139D3E"/>
        <bgColor indexed="64"/>
      </patternFill>
    </fill>
    <fill>
      <patternFill patternType="solid">
        <fgColor rgb="FFFFFF00"/>
        <bgColor indexed="64"/>
      </patternFill>
    </fill>
    <fill>
      <patternFill patternType="solid">
        <fgColor theme="1" tint="0.499984740745262"/>
        <bgColor indexed="64"/>
      </patternFill>
    </fill>
    <fill>
      <patternFill patternType="solid">
        <fgColor theme="1"/>
        <bgColor indexed="64"/>
      </patternFill>
    </fill>
    <fill>
      <patternFill patternType="solid">
        <fgColor theme="2" tint="-9.9978637043366805E-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diagonalUp="1" diagonalDown="1">
      <left style="thin">
        <color indexed="64"/>
      </left>
      <right style="medium">
        <color indexed="64"/>
      </right>
      <top style="thin">
        <color indexed="64"/>
      </top>
      <bottom style="thin">
        <color indexed="64"/>
      </bottom>
      <diagonal style="thin">
        <color auto="1"/>
      </diagonal>
    </border>
    <border diagonalUp="1" diagonalDown="1">
      <left style="medium">
        <color indexed="64"/>
      </left>
      <right style="thin">
        <color indexed="64"/>
      </right>
      <top style="medium">
        <color indexed="64"/>
      </top>
      <bottom style="medium">
        <color indexed="64"/>
      </bottom>
      <diagonal style="thin">
        <color auto="1"/>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diagonalUp="1" diagonalDown="1">
      <left style="medium">
        <color indexed="64"/>
      </left>
      <right style="thin">
        <color indexed="64"/>
      </right>
      <top style="medium">
        <color indexed="64"/>
      </top>
      <bottom style="thin">
        <color indexed="64"/>
      </bottom>
      <diagonal style="thin">
        <color auto="1"/>
      </diagonal>
    </border>
    <border>
      <left style="thin">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thin">
        <color theme="1"/>
      </left>
      <right style="thick">
        <color theme="1"/>
      </right>
      <top style="thick">
        <color theme="1"/>
      </top>
      <bottom style="thin">
        <color theme="1"/>
      </bottom>
      <diagonal/>
    </border>
    <border>
      <left style="thin">
        <color theme="1"/>
      </left>
      <right style="thick">
        <color theme="1"/>
      </right>
      <top style="thin">
        <color theme="1"/>
      </top>
      <bottom style="thin">
        <color theme="1"/>
      </bottom>
      <diagonal/>
    </border>
    <border>
      <left style="thin">
        <color indexed="64"/>
      </left>
      <right/>
      <top/>
      <bottom style="thin">
        <color indexed="64"/>
      </bottom>
      <diagonal/>
    </border>
    <border>
      <left style="thin">
        <color indexed="64"/>
      </left>
      <right/>
      <top/>
      <bottom/>
      <diagonal/>
    </border>
    <border>
      <left style="thick">
        <color theme="1"/>
      </left>
      <right/>
      <top style="thin">
        <color theme="1"/>
      </top>
      <bottom style="thin">
        <color theme="1"/>
      </bottom>
      <diagonal/>
    </border>
    <border>
      <left/>
      <right style="thin">
        <color theme="1"/>
      </right>
      <top style="thin">
        <color theme="1"/>
      </top>
      <bottom style="thin">
        <color theme="1"/>
      </bottom>
      <diagonal/>
    </border>
    <border>
      <left style="thick">
        <color theme="1"/>
      </left>
      <right/>
      <top style="thick">
        <color theme="1"/>
      </top>
      <bottom style="thin">
        <color theme="1"/>
      </bottom>
      <diagonal/>
    </border>
    <border>
      <left/>
      <right style="thin">
        <color theme="1"/>
      </right>
      <top style="thick">
        <color theme="1"/>
      </top>
      <bottom style="thin">
        <color theme="1"/>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ck">
        <color theme="1"/>
      </left>
      <right/>
      <top style="thin">
        <color theme="1"/>
      </top>
      <bottom style="thick">
        <color theme="1"/>
      </bottom>
      <diagonal/>
    </border>
    <border>
      <left/>
      <right style="thin">
        <color theme="1"/>
      </right>
      <top style="thin">
        <color theme="1"/>
      </top>
      <bottom style="thick">
        <color theme="1"/>
      </bottom>
      <diagonal/>
    </border>
    <border>
      <left style="thin">
        <color theme="1"/>
      </left>
      <right style="thick">
        <color theme="1"/>
      </right>
      <top style="thin">
        <color theme="1"/>
      </top>
      <bottom style="thick">
        <color theme="1"/>
      </bottom>
      <diagonal/>
    </border>
    <border>
      <left style="medium">
        <color indexed="64"/>
      </left>
      <right style="medium">
        <color rgb="FF00D661"/>
      </right>
      <top style="medium">
        <color indexed="64"/>
      </top>
      <bottom style="medium">
        <color indexed="64"/>
      </bottom>
      <diagonal/>
    </border>
    <border>
      <left/>
      <right style="medium">
        <color rgb="FF00D661"/>
      </right>
      <top style="medium">
        <color indexed="64"/>
      </top>
      <bottom style="medium">
        <color indexed="64"/>
      </bottom>
      <diagonal/>
    </border>
    <border>
      <left/>
      <right style="medium">
        <color rgb="FF00D661"/>
      </right>
      <top style="thin">
        <color indexed="64"/>
      </top>
      <bottom style="thin">
        <color indexed="64"/>
      </bottom>
      <diagonal/>
    </border>
    <border>
      <left style="medium">
        <color indexed="64"/>
      </left>
      <right style="medium">
        <color rgb="FF00D661"/>
      </right>
      <top style="thin">
        <color indexed="64"/>
      </top>
      <bottom style="thin">
        <color indexed="64"/>
      </bottom>
      <diagonal/>
    </border>
    <border>
      <left style="medium">
        <color indexed="64"/>
      </left>
      <right style="medium">
        <color rgb="FF00D661"/>
      </right>
      <top style="thin">
        <color indexed="64"/>
      </top>
      <bottom style="medium">
        <color indexed="64"/>
      </bottom>
      <diagonal/>
    </border>
    <border>
      <left/>
      <right style="medium">
        <color rgb="FF00D661"/>
      </right>
      <top/>
      <bottom/>
      <diagonal/>
    </border>
    <border>
      <left style="thick">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ck">
        <color indexed="64"/>
      </bottom>
      <diagonal/>
    </border>
    <border>
      <left style="thin">
        <color indexed="64"/>
      </left>
      <right style="thick">
        <color indexed="64"/>
      </right>
      <top/>
      <bottom style="thick">
        <color indexed="64"/>
      </bottom>
      <diagonal/>
    </border>
    <border diagonalDown="1">
      <left style="medium">
        <color auto="1"/>
      </left>
      <right/>
      <top style="medium">
        <color auto="1"/>
      </top>
      <bottom style="medium">
        <color auto="1"/>
      </bottom>
      <diagonal style="medium">
        <color auto="1"/>
      </diagonal>
    </border>
    <border diagonalDown="1">
      <left/>
      <right style="medium">
        <color auto="1"/>
      </right>
      <top style="medium">
        <color auto="1"/>
      </top>
      <bottom style="medium">
        <color auto="1"/>
      </bottom>
      <diagonal style="medium">
        <color auto="1"/>
      </diagonal>
    </border>
    <border>
      <left/>
      <right/>
      <top/>
      <bottom style="thick">
        <color auto="1"/>
      </bottom>
      <diagonal/>
    </border>
  </borders>
  <cellStyleXfs count="3">
    <xf numFmtId="0" fontId="0" fillId="0" borderId="0"/>
    <xf numFmtId="43" fontId="25" fillId="0" borderId="0" applyFont="0" applyFill="0" applyBorder="0" applyAlignment="0" applyProtection="0"/>
    <xf numFmtId="9" fontId="25" fillId="0" borderId="0" applyFont="0" applyFill="0" applyBorder="0" applyAlignment="0" applyProtection="0"/>
  </cellStyleXfs>
  <cellXfs count="832">
    <xf numFmtId="0" fontId="0" fillId="0" borderId="0" xfId="0"/>
    <xf numFmtId="0" fontId="0" fillId="0" borderId="45" xfId="0" applyBorder="1"/>
    <xf numFmtId="0" fontId="0" fillId="0" borderId="46" xfId="0" applyBorder="1"/>
    <xf numFmtId="0" fontId="0" fillId="0" borderId="48" xfId="0" applyBorder="1"/>
    <xf numFmtId="0" fontId="0" fillId="0" borderId="44" xfId="0" applyBorder="1"/>
    <xf numFmtId="0" fontId="0" fillId="0" borderId="47" xfId="0" applyBorder="1"/>
    <xf numFmtId="10" fontId="0" fillId="0" borderId="0" xfId="0" applyNumberFormat="1"/>
    <xf numFmtId="0" fontId="12" fillId="0" borderId="9" xfId="0" applyFont="1" applyBorder="1"/>
    <xf numFmtId="0" fontId="12" fillId="0" borderId="58" xfId="0" applyFont="1" applyBorder="1"/>
    <xf numFmtId="0" fontId="13" fillId="0" borderId="16" xfId="0" applyFont="1" applyBorder="1"/>
    <xf numFmtId="0" fontId="13" fillId="0" borderId="21" xfId="0" applyFont="1" applyBorder="1"/>
    <xf numFmtId="0" fontId="13" fillId="0" borderId="29" xfId="0" applyFont="1" applyBorder="1"/>
    <xf numFmtId="0" fontId="13" fillId="3" borderId="58" xfId="0" applyFont="1" applyFill="1" applyBorder="1"/>
    <xf numFmtId="0" fontId="13" fillId="5" borderId="58" xfId="0" applyFont="1" applyFill="1" applyBorder="1"/>
    <xf numFmtId="0" fontId="13" fillId="5" borderId="66" xfId="0" applyFont="1" applyFill="1" applyBorder="1"/>
    <xf numFmtId="0" fontId="13" fillId="0" borderId="69" xfId="0" applyFont="1" applyBorder="1"/>
    <xf numFmtId="0" fontId="13" fillId="0" borderId="70" xfId="0" applyFont="1" applyBorder="1"/>
    <xf numFmtId="0" fontId="1" fillId="2" borderId="0" xfId="0" applyFont="1" applyFill="1" applyProtection="1">
      <protection locked="0"/>
    </xf>
    <xf numFmtId="0" fontId="1" fillId="2" borderId="0" xfId="0" applyFont="1" applyFill="1" applyAlignment="1" applyProtection="1">
      <alignment vertical="top"/>
      <protection locked="0"/>
    </xf>
    <xf numFmtId="0" fontId="13" fillId="4" borderId="0" xfId="0" applyFont="1" applyFill="1"/>
    <xf numFmtId="0" fontId="1" fillId="4" borderId="0" xfId="0" applyFont="1" applyFill="1"/>
    <xf numFmtId="0" fontId="0" fillId="4" borderId="0" xfId="0" applyFill="1"/>
    <xf numFmtId="9" fontId="0" fillId="4" borderId="0" xfId="0" applyNumberFormat="1" applyFill="1"/>
    <xf numFmtId="0" fontId="1" fillId="4" borderId="0" xfId="0" applyFont="1" applyFill="1" applyAlignment="1">
      <alignment horizontal="center" vertical="center"/>
    </xf>
    <xf numFmtId="0" fontId="1" fillId="4" borderId="0" xfId="0" applyFont="1" applyFill="1" applyAlignment="1">
      <alignment horizontal="center"/>
    </xf>
    <xf numFmtId="0" fontId="14" fillId="7" borderId="58" xfId="0" applyFont="1" applyFill="1" applyBorder="1" applyAlignment="1">
      <alignment horizontal="center"/>
    </xf>
    <xf numFmtId="0" fontId="13" fillId="0" borderId="75" xfId="0" applyFont="1" applyBorder="1" applyProtection="1">
      <protection locked="0"/>
    </xf>
    <xf numFmtId="0" fontId="13" fillId="0" borderId="18" xfId="0" applyFont="1" applyBorder="1" applyProtection="1">
      <protection locked="0"/>
    </xf>
    <xf numFmtId="0" fontId="13" fillId="0" borderId="17" xfId="0" applyFont="1" applyBorder="1" applyProtection="1">
      <protection locked="0"/>
    </xf>
    <xf numFmtId="0" fontId="13" fillId="0" borderId="69" xfId="0" applyFont="1" applyBorder="1" applyProtection="1">
      <protection locked="0"/>
    </xf>
    <xf numFmtId="0" fontId="13" fillId="0" borderId="24" xfId="0" applyFont="1" applyBorder="1" applyProtection="1">
      <protection locked="0"/>
    </xf>
    <xf numFmtId="0" fontId="13" fillId="0" borderId="23" xfId="0" applyFont="1" applyBorder="1" applyProtection="1">
      <protection locked="0"/>
    </xf>
    <xf numFmtId="0" fontId="13" fillId="0" borderId="44" xfId="0" applyFont="1" applyBorder="1" applyProtection="1">
      <protection locked="0"/>
    </xf>
    <xf numFmtId="3" fontId="1" fillId="2" borderId="0" xfId="0" applyNumberFormat="1" applyFont="1" applyFill="1" applyProtection="1">
      <protection locked="0"/>
    </xf>
    <xf numFmtId="2" fontId="0" fillId="0" borderId="0" xfId="0" applyNumberFormat="1"/>
    <xf numFmtId="10" fontId="0" fillId="4" borderId="0" xfId="0" applyNumberFormat="1" applyFill="1"/>
    <xf numFmtId="0" fontId="16" fillId="8" borderId="9" xfId="0" applyFont="1" applyFill="1" applyBorder="1" applyAlignment="1">
      <alignment horizontal="center"/>
    </xf>
    <xf numFmtId="168" fontId="13" fillId="0" borderId="24" xfId="0" applyNumberFormat="1" applyFont="1" applyBorder="1" applyProtection="1">
      <protection locked="0"/>
    </xf>
    <xf numFmtId="0" fontId="13" fillId="0" borderId="24" xfId="0" applyFont="1" applyBorder="1" applyAlignment="1" applyProtection="1">
      <alignment horizontal="center" vertical="center"/>
      <protection locked="0"/>
    </xf>
    <xf numFmtId="0" fontId="13" fillId="0" borderId="28" xfId="0" applyFont="1" applyBorder="1" applyProtection="1">
      <protection locked="0"/>
    </xf>
    <xf numFmtId="0" fontId="12" fillId="0" borderId="68" xfId="0" applyFont="1" applyBorder="1"/>
    <xf numFmtId="0" fontId="12" fillId="0" borderId="69" xfId="0" applyFont="1" applyBorder="1"/>
    <xf numFmtId="0" fontId="12" fillId="0" borderId="70" xfId="0" applyFont="1" applyBorder="1"/>
    <xf numFmtId="0" fontId="5" fillId="0" borderId="0" xfId="0" applyFont="1"/>
    <xf numFmtId="3" fontId="6" fillId="0" borderId="0" xfId="0" applyNumberFormat="1" applyFont="1"/>
    <xf numFmtId="0" fontId="6" fillId="0" borderId="0" xfId="0" applyFont="1"/>
    <xf numFmtId="169" fontId="6" fillId="0" borderId="0" xfId="0" applyNumberFormat="1" applyFont="1"/>
    <xf numFmtId="3" fontId="6" fillId="0" borderId="45" xfId="0" applyNumberFormat="1" applyFont="1" applyBorder="1"/>
    <xf numFmtId="164" fontId="6" fillId="0" borderId="45" xfId="0" applyNumberFormat="1" applyFont="1" applyBorder="1"/>
    <xf numFmtId="10" fontId="6" fillId="0" borderId="41" xfId="0" applyNumberFormat="1" applyFont="1" applyBorder="1"/>
    <xf numFmtId="3" fontId="6" fillId="0" borderId="42" xfId="0" applyNumberFormat="1" applyFont="1" applyBorder="1"/>
    <xf numFmtId="164" fontId="6" fillId="0" borderId="42" xfId="0" applyNumberFormat="1" applyFont="1" applyBorder="1"/>
    <xf numFmtId="10" fontId="6" fillId="0" borderId="44" xfId="0" applyNumberFormat="1" applyFont="1" applyBorder="1"/>
    <xf numFmtId="10" fontId="6" fillId="0" borderId="47" xfId="0" applyNumberFormat="1" applyFont="1" applyBorder="1"/>
    <xf numFmtId="3" fontId="6" fillId="0" borderId="48" xfId="0" applyNumberFormat="1" applyFont="1" applyBorder="1"/>
    <xf numFmtId="164" fontId="6" fillId="0" borderId="48" xfId="0" applyNumberFormat="1" applyFont="1" applyBorder="1"/>
    <xf numFmtId="0" fontId="6" fillId="0" borderId="41" xfId="0" applyFont="1" applyBorder="1"/>
    <xf numFmtId="0" fontId="6" fillId="0" borderId="47" xfId="0" applyFont="1" applyBorder="1"/>
    <xf numFmtId="0" fontId="1" fillId="2" borderId="0" xfId="0" applyFont="1" applyFill="1"/>
    <xf numFmtId="0" fontId="1" fillId="2" borderId="0" xfId="0" applyFont="1" applyFill="1" applyAlignment="1">
      <alignment vertical="top"/>
    </xf>
    <xf numFmtId="0" fontId="13" fillId="0" borderId="35" xfId="0" applyFont="1" applyBorder="1" applyAlignment="1">
      <alignment vertical="center"/>
    </xf>
    <xf numFmtId="0" fontId="13" fillId="0" borderId="51" xfId="0" applyFont="1" applyBorder="1" applyAlignment="1">
      <alignment vertical="center"/>
    </xf>
    <xf numFmtId="0" fontId="13" fillId="0" borderId="43" xfId="0" applyFont="1" applyBorder="1" applyAlignment="1">
      <alignment vertical="center"/>
    </xf>
    <xf numFmtId="0" fontId="13" fillId="0" borderId="46" xfId="0" applyFont="1" applyBorder="1" applyAlignment="1">
      <alignment vertical="center"/>
    </xf>
    <xf numFmtId="0" fontId="13" fillId="0" borderId="49" xfId="0" applyFont="1" applyBorder="1" applyAlignment="1">
      <alignment vertical="center"/>
    </xf>
    <xf numFmtId="0" fontId="23" fillId="4" borderId="0" xfId="0" applyFont="1" applyFill="1" applyProtection="1">
      <protection locked="0"/>
    </xf>
    <xf numFmtId="3" fontId="16" fillId="8" borderId="11" xfId="0" applyNumberFormat="1" applyFont="1" applyFill="1" applyBorder="1" applyAlignment="1">
      <alignment horizontal="center"/>
    </xf>
    <xf numFmtId="0" fontId="0" fillId="10" borderId="0" xfId="0" applyFill="1"/>
    <xf numFmtId="170" fontId="12" fillId="4" borderId="0" xfId="1" applyNumberFormat="1" applyFont="1" applyFill="1" applyBorder="1" applyAlignment="1">
      <alignment horizontal="left"/>
    </xf>
    <xf numFmtId="0" fontId="5" fillId="0" borderId="76" xfId="0" applyFont="1" applyBorder="1"/>
    <xf numFmtId="4" fontId="6" fillId="0" borderId="48" xfId="0" applyNumberFormat="1" applyFont="1" applyBorder="1"/>
    <xf numFmtId="0" fontId="6" fillId="0" borderId="49" xfId="0" applyFont="1" applyBorder="1"/>
    <xf numFmtId="0" fontId="26" fillId="4" borderId="58" xfId="0" applyFont="1" applyFill="1" applyBorder="1" applyAlignment="1">
      <alignment horizontal="center"/>
    </xf>
    <xf numFmtId="0" fontId="13" fillId="0" borderId="71" xfId="0" applyFont="1" applyBorder="1" applyProtection="1">
      <protection locked="0"/>
    </xf>
    <xf numFmtId="3" fontId="13" fillId="11" borderId="70" xfId="0" applyNumberFormat="1" applyFont="1" applyFill="1" applyBorder="1"/>
    <xf numFmtId="0" fontId="29" fillId="4" borderId="0" xfId="0" applyFont="1" applyFill="1"/>
    <xf numFmtId="3" fontId="0" fillId="0" borderId="77" xfId="0" applyNumberFormat="1" applyBorder="1" applyAlignment="1" applyProtection="1">
      <alignment horizontal="left"/>
      <protection locked="0"/>
    </xf>
    <xf numFmtId="0" fontId="5" fillId="0" borderId="58" xfId="0" applyFont="1" applyBorder="1"/>
    <xf numFmtId="169" fontId="6" fillId="0" borderId="45" xfId="0" applyNumberFormat="1" applyFont="1" applyBorder="1"/>
    <xf numFmtId="0" fontId="0" fillId="0" borderId="2" xfId="0" applyBorder="1"/>
    <xf numFmtId="2" fontId="5" fillId="0" borderId="0" xfId="0" applyNumberFormat="1" applyFont="1"/>
    <xf numFmtId="3" fontId="13" fillId="11" borderId="70" xfId="0" applyNumberFormat="1" applyFont="1" applyFill="1" applyBorder="1" applyProtection="1">
      <protection hidden="1"/>
    </xf>
    <xf numFmtId="3" fontId="13" fillId="0" borderId="47" xfId="0" applyNumberFormat="1" applyFont="1" applyBorder="1" applyProtection="1">
      <protection hidden="1"/>
    </xf>
    <xf numFmtId="3" fontId="13" fillId="0" borderId="58" xfId="0" applyNumberFormat="1" applyFont="1" applyBorder="1" applyProtection="1">
      <protection hidden="1"/>
    </xf>
    <xf numFmtId="0" fontId="5" fillId="0" borderId="39" xfId="0" applyFont="1" applyBorder="1" applyAlignment="1" applyProtection="1">
      <alignment vertical="top"/>
      <protection hidden="1"/>
    </xf>
    <xf numFmtId="0" fontId="5" fillId="0" borderId="53" xfId="0" applyFont="1" applyBorder="1" applyAlignment="1" applyProtection="1">
      <alignment vertical="top"/>
      <protection hidden="1"/>
    </xf>
    <xf numFmtId="0" fontId="5" fillId="0" borderId="54" xfId="0" applyFont="1" applyBorder="1" applyAlignment="1" applyProtection="1">
      <alignment vertical="top"/>
      <protection hidden="1"/>
    </xf>
    <xf numFmtId="0" fontId="5" fillId="0" borderId="15" xfId="0" applyFont="1" applyBorder="1" applyAlignment="1" applyProtection="1">
      <alignment vertical="top"/>
      <protection hidden="1"/>
    </xf>
    <xf numFmtId="0" fontId="0" fillId="0" borderId="52" xfId="0" applyBorder="1" applyAlignment="1" applyProtection="1">
      <alignment horizontal="center" vertical="center"/>
      <protection hidden="1"/>
    </xf>
    <xf numFmtId="0" fontId="0" fillId="0" borderId="57" xfId="0" applyBorder="1" applyAlignment="1" applyProtection="1">
      <alignment horizontal="center" vertical="center"/>
      <protection hidden="1"/>
    </xf>
    <xf numFmtId="0" fontId="0" fillId="0" borderId="51" xfId="0" applyBorder="1" applyAlignment="1" applyProtection="1">
      <alignment vertical="center"/>
      <protection hidden="1"/>
    </xf>
    <xf numFmtId="0" fontId="0" fillId="0" borderId="14" xfId="0" applyBorder="1" applyAlignment="1" applyProtection="1">
      <alignment vertical="center"/>
      <protection hidden="1"/>
    </xf>
    <xf numFmtId="0" fontId="0" fillId="0" borderId="5" xfId="0" applyBorder="1" applyAlignment="1" applyProtection="1">
      <alignment vertical="center"/>
      <protection hidden="1"/>
    </xf>
    <xf numFmtId="0" fontId="0" fillId="0" borderId="12" xfId="0" applyBorder="1" applyAlignment="1" applyProtection="1">
      <alignment vertical="top"/>
      <protection hidden="1"/>
    </xf>
    <xf numFmtId="3" fontId="0" fillId="0" borderId="13" xfId="0" applyNumberFormat="1" applyBorder="1" applyAlignment="1" applyProtection="1">
      <alignment horizontal="left" vertical="center" indent="1"/>
      <protection hidden="1"/>
    </xf>
    <xf numFmtId="0" fontId="0" fillId="0" borderId="0" xfId="0" applyAlignment="1" applyProtection="1">
      <alignment vertical="center"/>
      <protection hidden="1"/>
    </xf>
    <xf numFmtId="0" fontId="0" fillId="0" borderId="42" xfId="0" applyBorder="1" applyAlignment="1" applyProtection="1">
      <alignment horizontal="right" vertical="center"/>
      <protection hidden="1"/>
    </xf>
    <xf numFmtId="0" fontId="28" fillId="0" borderId="45" xfId="0" applyFont="1" applyBorder="1" applyAlignment="1" applyProtection="1">
      <alignment horizontal="right" vertical="center"/>
      <protection hidden="1"/>
    </xf>
    <xf numFmtId="0" fontId="0" fillId="0" borderId="45" xfId="0" applyBorder="1" applyAlignment="1" applyProtection="1">
      <alignment horizontal="right" vertical="center"/>
      <protection hidden="1"/>
    </xf>
    <xf numFmtId="0" fontId="0" fillId="0" borderId="23" xfId="0" applyBorder="1" applyAlignment="1" applyProtection="1">
      <alignment horizontal="right" vertical="center"/>
      <protection hidden="1"/>
    </xf>
    <xf numFmtId="0" fontId="5" fillId="0" borderId="7" xfId="0" applyFont="1" applyBorder="1" applyAlignment="1" applyProtection="1">
      <alignment vertical="center"/>
      <protection hidden="1"/>
    </xf>
    <xf numFmtId="0" fontId="0" fillId="0" borderId="14" xfId="0" applyBorder="1" applyAlignment="1" applyProtection="1">
      <alignment horizontal="right" vertical="center"/>
      <protection hidden="1"/>
    </xf>
    <xf numFmtId="0" fontId="1" fillId="0" borderId="0" xfId="0" applyFont="1" applyProtection="1">
      <protection locked="0" hidden="1"/>
    </xf>
    <xf numFmtId="0" fontId="1" fillId="10" borderId="1" xfId="0" applyFont="1" applyFill="1" applyBorder="1" applyProtection="1">
      <protection locked="0" hidden="1"/>
    </xf>
    <xf numFmtId="0" fontId="1" fillId="10" borderId="2" xfId="0" applyFont="1" applyFill="1" applyBorder="1" applyProtection="1">
      <protection locked="0" hidden="1"/>
    </xf>
    <xf numFmtId="0" fontId="1" fillId="10" borderId="0" xfId="0" applyFont="1" applyFill="1" applyProtection="1">
      <protection locked="0" hidden="1"/>
    </xf>
    <xf numFmtId="0" fontId="1" fillId="10" borderId="4" xfId="0" applyFont="1" applyFill="1" applyBorder="1" applyProtection="1">
      <protection locked="0" hidden="1"/>
    </xf>
    <xf numFmtId="0" fontId="5" fillId="0" borderId="0" xfId="0" applyFont="1" applyAlignment="1" applyProtection="1">
      <alignment vertical="center"/>
      <protection hidden="1"/>
    </xf>
    <xf numFmtId="0" fontId="17" fillId="0" borderId="0" xfId="0" applyFont="1" applyAlignment="1" applyProtection="1">
      <alignment vertical="center"/>
      <protection hidden="1"/>
    </xf>
    <xf numFmtId="3" fontId="0" fillId="0" borderId="4" xfId="0" applyNumberFormat="1" applyBorder="1" applyAlignment="1" applyProtection="1">
      <alignment vertical="center"/>
      <protection hidden="1"/>
    </xf>
    <xf numFmtId="0" fontId="1" fillId="0" borderId="17" xfId="0" applyFont="1" applyBorder="1" applyProtection="1">
      <protection locked="0" hidden="1"/>
    </xf>
    <xf numFmtId="0" fontId="1" fillId="0" borderId="18" xfId="0" applyFont="1" applyBorder="1" applyProtection="1">
      <protection locked="0" hidden="1"/>
    </xf>
    <xf numFmtId="3" fontId="0" fillId="0" borderId="6" xfId="0" applyNumberFormat="1" applyBorder="1" applyAlignment="1" applyProtection="1">
      <alignment vertical="center"/>
      <protection hidden="1"/>
    </xf>
    <xf numFmtId="0" fontId="1" fillId="0" borderId="11" xfId="0" applyFont="1" applyBorder="1" applyProtection="1">
      <protection locked="0" hidden="1"/>
    </xf>
    <xf numFmtId="0" fontId="0" fillId="0" borderId="4" xfId="0" applyBorder="1" applyAlignment="1" applyProtection="1">
      <alignment vertical="top" wrapText="1"/>
      <protection hidden="1"/>
    </xf>
    <xf numFmtId="0" fontId="0" fillId="0" borderId="0" xfId="0" applyAlignment="1" applyProtection="1">
      <alignment vertical="top" wrapText="1"/>
      <protection hidden="1"/>
    </xf>
    <xf numFmtId="0" fontId="1" fillId="0" borderId="39" xfId="0" applyFont="1" applyBorder="1" applyAlignment="1" applyProtection="1">
      <alignment vertical="top" wrapText="1"/>
      <protection hidden="1"/>
    </xf>
    <xf numFmtId="0" fontId="1" fillId="0" borderId="53" xfId="0" applyFont="1" applyBorder="1" applyAlignment="1" applyProtection="1">
      <alignment vertical="top"/>
      <protection hidden="1"/>
    </xf>
    <xf numFmtId="0" fontId="1" fillId="0" borderId="54" xfId="0" applyFont="1" applyBorder="1" applyAlignment="1" applyProtection="1">
      <alignment vertical="top"/>
      <protection hidden="1"/>
    </xf>
    <xf numFmtId="0" fontId="1" fillId="0" borderId="2" xfId="0" applyFont="1" applyBorder="1" applyAlignment="1" applyProtection="1">
      <alignment horizontal="center" vertical="center" wrapText="1"/>
      <protection hidden="1"/>
    </xf>
    <xf numFmtId="0" fontId="1" fillId="0" borderId="6" xfId="0" applyFont="1" applyBorder="1" applyAlignment="1" applyProtection="1">
      <alignment horizontal="center" vertical="center"/>
      <protection hidden="1"/>
    </xf>
    <xf numFmtId="0" fontId="1" fillId="0" borderId="38" xfId="0" applyFont="1" applyBorder="1" applyAlignment="1" applyProtection="1">
      <alignment horizontal="center" vertical="center"/>
      <protection hidden="1"/>
    </xf>
    <xf numFmtId="0" fontId="1" fillId="0" borderId="57" xfId="0" applyFont="1" applyBorder="1" applyAlignment="1" applyProtection="1">
      <alignment horizontal="center" vertical="center"/>
      <protection hidden="1"/>
    </xf>
    <xf numFmtId="168" fontId="1" fillId="0" borderId="51" xfId="0" applyNumberFormat="1" applyFont="1" applyBorder="1" applyAlignment="1" applyProtection="1">
      <alignment horizontal="center" vertical="center"/>
      <protection hidden="1"/>
    </xf>
    <xf numFmtId="0" fontId="1" fillId="0" borderId="0" xfId="0" applyFont="1" applyAlignment="1" applyProtection="1">
      <alignment horizontal="center" vertical="center" wrapText="1"/>
      <protection hidden="1"/>
    </xf>
    <xf numFmtId="0" fontId="1" fillId="0" borderId="6" xfId="0" applyFont="1" applyBorder="1" applyProtection="1">
      <protection hidden="1"/>
    </xf>
    <xf numFmtId="0" fontId="1" fillId="0" borderId="7" xfId="0" applyFont="1" applyBorder="1" applyProtection="1">
      <protection hidden="1"/>
    </xf>
    <xf numFmtId="0" fontId="1" fillId="0" borderId="58" xfId="0" applyFont="1" applyBorder="1" applyProtection="1">
      <protection hidden="1"/>
    </xf>
    <xf numFmtId="0" fontId="1" fillId="0" borderId="67" xfId="0" applyFont="1" applyBorder="1" applyAlignment="1" applyProtection="1">
      <alignment horizontal="center"/>
      <protection hidden="1"/>
    </xf>
    <xf numFmtId="0" fontId="1" fillId="0" borderId="0" xfId="0" applyFont="1" applyProtection="1">
      <protection hidden="1"/>
    </xf>
    <xf numFmtId="0" fontId="0" fillId="0" borderId="0" xfId="0" applyProtection="1">
      <protection hidden="1"/>
    </xf>
    <xf numFmtId="0" fontId="1" fillId="0" borderId="5" xfId="0" applyFont="1" applyBorder="1" applyAlignment="1" applyProtection="1">
      <alignment horizontal="center" vertical="center" wrapText="1"/>
      <protection hidden="1"/>
    </xf>
    <xf numFmtId="3" fontId="1" fillId="0" borderId="12" xfId="0" applyNumberFormat="1" applyFont="1" applyBorder="1" applyProtection="1">
      <protection hidden="1"/>
    </xf>
    <xf numFmtId="1" fontId="1" fillId="0" borderId="64" xfId="0" applyNumberFormat="1" applyFont="1" applyBorder="1" applyProtection="1">
      <protection hidden="1"/>
    </xf>
    <xf numFmtId="166" fontId="1" fillId="0" borderId="43" xfId="0" applyNumberFormat="1" applyFont="1" applyBorder="1" applyAlignment="1" applyProtection="1">
      <alignment horizontal="center"/>
      <protection hidden="1"/>
    </xf>
    <xf numFmtId="0" fontId="1" fillId="0" borderId="69" xfId="0" applyFont="1" applyBorder="1" applyProtection="1">
      <protection hidden="1"/>
    </xf>
    <xf numFmtId="166" fontId="1" fillId="0" borderId="44" xfId="0" applyNumberFormat="1" applyFont="1" applyBorder="1" applyAlignment="1" applyProtection="1">
      <alignment horizontal="center"/>
      <protection hidden="1"/>
    </xf>
    <xf numFmtId="1" fontId="1" fillId="0" borderId="59" xfId="0" applyNumberFormat="1" applyFont="1" applyBorder="1" applyProtection="1">
      <protection hidden="1"/>
    </xf>
    <xf numFmtId="0" fontId="1" fillId="0" borderId="5" xfId="0" applyFont="1" applyBorder="1" applyProtection="1">
      <protection hidden="1"/>
    </xf>
    <xf numFmtId="3" fontId="1" fillId="0" borderId="29" xfId="0" applyNumberFormat="1" applyFont="1" applyBorder="1" applyProtection="1">
      <protection hidden="1"/>
    </xf>
    <xf numFmtId="1" fontId="1" fillId="0" borderId="59" xfId="0" applyNumberFormat="1" applyFont="1" applyBorder="1" applyAlignment="1" applyProtection="1">
      <alignment horizontal="center"/>
      <protection hidden="1"/>
    </xf>
    <xf numFmtId="3" fontId="1" fillId="0" borderId="21" xfId="0" applyNumberFormat="1" applyFont="1" applyBorder="1" applyProtection="1">
      <protection hidden="1"/>
    </xf>
    <xf numFmtId="0" fontId="1" fillId="0" borderId="29" xfId="0" applyFont="1" applyBorder="1" applyAlignment="1" applyProtection="1">
      <alignment horizontal="left"/>
      <protection hidden="1"/>
    </xf>
    <xf numFmtId="0" fontId="1" fillId="0" borderId="30" xfId="0" applyFont="1" applyBorder="1" applyAlignment="1" applyProtection="1">
      <alignment horizontal="left"/>
      <protection hidden="1"/>
    </xf>
    <xf numFmtId="1" fontId="1" fillId="0" borderId="60" xfId="0" applyNumberFormat="1" applyFont="1" applyBorder="1" applyProtection="1">
      <protection hidden="1"/>
    </xf>
    <xf numFmtId="166" fontId="1" fillId="0" borderId="35" xfId="0" applyNumberFormat="1" applyFont="1" applyBorder="1" applyAlignment="1" applyProtection="1">
      <alignment horizontal="center"/>
      <protection hidden="1"/>
    </xf>
    <xf numFmtId="0" fontId="1" fillId="0" borderId="4" xfId="0" applyFont="1" applyBorder="1" applyProtection="1">
      <protection hidden="1"/>
    </xf>
    <xf numFmtId="171" fontId="1" fillId="0" borderId="0" xfId="0" applyNumberFormat="1" applyFont="1" applyProtection="1">
      <protection hidden="1"/>
    </xf>
    <xf numFmtId="0" fontId="0" fillId="4" borderId="0" xfId="0" applyFill="1" applyProtection="1">
      <protection hidden="1"/>
    </xf>
    <xf numFmtId="0" fontId="1" fillId="0" borderId="34" xfId="0" applyFont="1" applyBorder="1" applyAlignment="1" applyProtection="1">
      <alignment vertical="center"/>
      <protection hidden="1"/>
    </xf>
    <xf numFmtId="0" fontId="1" fillId="0" borderId="44" xfId="0" applyFont="1" applyBorder="1" applyProtection="1">
      <protection hidden="1"/>
    </xf>
    <xf numFmtId="0" fontId="1" fillId="0" borderId="35" xfId="0" applyFont="1" applyBorder="1" applyAlignment="1" applyProtection="1">
      <alignment vertical="center"/>
      <protection hidden="1"/>
    </xf>
    <xf numFmtId="0" fontId="22" fillId="0" borderId="68" xfId="0" applyFont="1" applyBorder="1" applyAlignment="1" applyProtection="1">
      <alignment vertical="center" wrapText="1"/>
      <protection hidden="1"/>
    </xf>
    <xf numFmtId="164" fontId="1" fillId="0" borderId="72" xfId="0" applyNumberFormat="1" applyFont="1" applyBorder="1" applyProtection="1">
      <protection hidden="1"/>
    </xf>
    <xf numFmtId="0" fontId="22" fillId="0" borderId="69" xfId="0" applyFont="1" applyBorder="1" applyProtection="1">
      <protection hidden="1"/>
    </xf>
    <xf numFmtId="164" fontId="1" fillId="0" borderId="45" xfId="0" applyNumberFormat="1" applyFont="1" applyBorder="1" applyProtection="1">
      <protection hidden="1"/>
    </xf>
    <xf numFmtId="0" fontId="22" fillId="0" borderId="70" xfId="0" applyFont="1" applyBorder="1" applyAlignment="1" applyProtection="1">
      <alignment vertical="center"/>
      <protection hidden="1"/>
    </xf>
    <xf numFmtId="164" fontId="1" fillId="0" borderId="48" xfId="0" applyNumberFormat="1" applyFont="1" applyBorder="1" applyProtection="1">
      <protection hidden="1"/>
    </xf>
    <xf numFmtId="0" fontId="2" fillId="0" borderId="12" xfId="0" applyFont="1" applyBorder="1" applyAlignment="1" applyProtection="1">
      <alignment vertical="center"/>
      <protection hidden="1"/>
    </xf>
    <xf numFmtId="0" fontId="2" fillId="0" borderId="41" xfId="0" applyFont="1" applyBorder="1" applyAlignment="1" applyProtection="1">
      <alignment horizontal="center" vertical="center"/>
      <protection hidden="1"/>
    </xf>
    <xf numFmtId="1" fontId="2" fillId="0" borderId="43" xfId="0" applyNumberFormat="1" applyFont="1" applyBorder="1" applyAlignment="1" applyProtection="1">
      <alignment horizontal="center" vertical="center"/>
      <protection hidden="1"/>
    </xf>
    <xf numFmtId="3" fontId="1" fillId="0" borderId="45" xfId="0" applyNumberFormat="1" applyFont="1" applyBorder="1" applyAlignment="1" applyProtection="1">
      <alignment horizontal="center"/>
      <protection hidden="1"/>
    </xf>
    <xf numFmtId="2" fontId="1" fillId="0" borderId="46" xfId="0" applyNumberFormat="1" applyFont="1" applyBorder="1" applyAlignment="1" applyProtection="1">
      <alignment horizontal="center"/>
      <protection hidden="1"/>
    </xf>
    <xf numFmtId="0" fontId="19" fillId="0" borderId="21" xfId="0" applyFont="1" applyBorder="1" applyAlignment="1" applyProtection="1">
      <alignment vertical="center"/>
      <protection hidden="1"/>
    </xf>
    <xf numFmtId="0" fontId="1" fillId="0" borderId="47" xfId="0" applyFont="1" applyBorder="1" applyProtection="1">
      <protection hidden="1"/>
    </xf>
    <xf numFmtId="3" fontId="1" fillId="0" borderId="48" xfId="0" applyNumberFormat="1" applyFont="1" applyBorder="1" applyAlignment="1" applyProtection="1">
      <alignment horizontal="center"/>
      <protection hidden="1"/>
    </xf>
    <xf numFmtId="2" fontId="1" fillId="0" borderId="49" xfId="0" applyNumberFormat="1" applyFont="1" applyBorder="1" applyAlignment="1" applyProtection="1">
      <alignment horizontal="center"/>
      <protection hidden="1"/>
    </xf>
    <xf numFmtId="0" fontId="0" fillId="0" borderId="5" xfId="0" applyBorder="1" applyProtection="1">
      <protection hidden="1"/>
    </xf>
    <xf numFmtId="0" fontId="2" fillId="9" borderId="25" xfId="0" applyFont="1" applyFill="1" applyBorder="1" applyAlignment="1" applyProtection="1">
      <alignment vertical="center"/>
      <protection hidden="1"/>
    </xf>
    <xf numFmtId="2" fontId="21" fillId="9" borderId="47" xfId="0" applyNumberFormat="1" applyFont="1" applyFill="1" applyBorder="1" applyAlignment="1" applyProtection="1">
      <alignment horizontal="center" vertical="center"/>
      <protection hidden="1"/>
    </xf>
    <xf numFmtId="2" fontId="21" fillId="9" borderId="49" xfId="0" applyNumberFormat="1" applyFont="1" applyFill="1" applyBorder="1" applyAlignment="1" applyProtection="1">
      <alignment horizontal="center" vertical="center"/>
      <protection hidden="1"/>
    </xf>
    <xf numFmtId="1" fontId="1" fillId="0" borderId="0" xfId="0" applyNumberFormat="1" applyFont="1" applyAlignment="1" applyProtection="1">
      <alignment horizontal="center"/>
      <protection hidden="1"/>
    </xf>
    <xf numFmtId="0" fontId="1" fillId="0" borderId="0" xfId="0" applyFont="1" applyAlignment="1" applyProtection="1">
      <alignment horizontal="right"/>
      <protection hidden="1"/>
    </xf>
    <xf numFmtId="0" fontId="1" fillId="0" borderId="0" xfId="0" applyFont="1" applyAlignment="1" applyProtection="1">
      <alignment horizontal="center"/>
      <protection hidden="1"/>
    </xf>
    <xf numFmtId="0" fontId="1" fillId="0" borderId="4" xfId="0" applyFont="1" applyBorder="1" applyAlignment="1" applyProtection="1">
      <alignment horizontal="right"/>
      <protection hidden="1"/>
    </xf>
    <xf numFmtId="0" fontId="13" fillId="4" borderId="0" xfId="0" applyFont="1" applyFill="1" applyProtection="1">
      <protection hidden="1"/>
    </xf>
    <xf numFmtId="3" fontId="13" fillId="4" borderId="0" xfId="0" applyNumberFormat="1" applyFont="1" applyFill="1" applyProtection="1">
      <protection hidden="1"/>
    </xf>
    <xf numFmtId="0" fontId="7" fillId="4" borderId="0" xfId="0" applyFont="1" applyFill="1" applyAlignment="1" applyProtection="1">
      <alignment horizontal="left"/>
      <protection hidden="1"/>
    </xf>
    <xf numFmtId="3" fontId="7" fillId="4" borderId="0" xfId="0" applyNumberFormat="1" applyFont="1" applyFill="1" applyAlignment="1" applyProtection="1">
      <alignment horizontal="left"/>
      <protection hidden="1"/>
    </xf>
    <xf numFmtId="3" fontId="15" fillId="4" borderId="0" xfId="0" applyNumberFormat="1" applyFont="1" applyFill="1" applyAlignment="1" applyProtection="1">
      <alignment horizontal="left"/>
      <protection hidden="1"/>
    </xf>
    <xf numFmtId="3" fontId="7" fillId="4" borderId="0" xfId="0" applyNumberFormat="1" applyFont="1" applyFill="1" applyProtection="1">
      <protection hidden="1"/>
    </xf>
    <xf numFmtId="0" fontId="13" fillId="4" borderId="67" xfId="0" applyFont="1" applyFill="1" applyBorder="1"/>
    <xf numFmtId="0" fontId="13" fillId="4" borderId="66" xfId="0" applyFont="1" applyFill="1" applyBorder="1"/>
    <xf numFmtId="0" fontId="13" fillId="4" borderId="5" xfId="0" applyFont="1" applyFill="1" applyBorder="1"/>
    <xf numFmtId="0" fontId="14" fillId="7" borderId="4" xfId="0" applyFont="1" applyFill="1" applyBorder="1" applyAlignment="1">
      <alignment horizontal="center"/>
    </xf>
    <xf numFmtId="0" fontId="14" fillId="7" borderId="5" xfId="0" applyFont="1" applyFill="1" applyBorder="1" applyAlignment="1">
      <alignment horizontal="center"/>
    </xf>
    <xf numFmtId="0" fontId="14" fillId="7" borderId="11" xfId="0" applyFont="1" applyFill="1" applyBorder="1" applyAlignment="1">
      <alignment horizontal="center"/>
    </xf>
    <xf numFmtId="0" fontId="14" fillId="7" borderId="63" xfId="0" applyFont="1" applyFill="1" applyBorder="1" applyAlignment="1">
      <alignment horizontal="center"/>
    </xf>
    <xf numFmtId="0" fontId="3" fillId="0" borderId="9" xfId="0" applyFont="1" applyBorder="1" applyAlignment="1" applyProtection="1">
      <alignment vertical="center" wrapText="1"/>
      <protection hidden="1"/>
    </xf>
    <xf numFmtId="1" fontId="3" fillId="0" borderId="35" xfId="0" applyNumberFormat="1" applyFont="1" applyBorder="1" applyAlignment="1" applyProtection="1">
      <alignment horizontal="center" vertical="center"/>
      <protection hidden="1"/>
    </xf>
    <xf numFmtId="0" fontId="32" fillId="0" borderId="0" xfId="0" applyFont="1" applyAlignment="1">
      <alignment vertical="center"/>
    </xf>
    <xf numFmtId="1" fontId="34" fillId="0" borderId="86" xfId="0" applyNumberFormat="1" applyFont="1" applyBorder="1" applyAlignment="1">
      <alignment horizontal="right" vertical="center" wrapText="1"/>
    </xf>
    <xf numFmtId="0" fontId="34" fillId="0" borderId="85" xfId="0" applyFont="1" applyBorder="1" applyAlignment="1">
      <alignment horizontal="left" vertical="center" wrapText="1"/>
    </xf>
    <xf numFmtId="0" fontId="9" fillId="6" borderId="9" xfId="0" applyFont="1" applyFill="1" applyBorder="1" applyAlignment="1">
      <alignment horizontal="center"/>
    </xf>
    <xf numFmtId="3" fontId="12" fillId="0" borderId="58" xfId="0" applyNumberFormat="1" applyFont="1" applyBorder="1" applyProtection="1">
      <protection hidden="1"/>
    </xf>
    <xf numFmtId="0" fontId="0" fillId="6" borderId="0" xfId="0" applyFill="1"/>
    <xf numFmtId="3" fontId="0" fillId="0" borderId="0" xfId="0" applyNumberFormat="1" applyAlignment="1" applyProtection="1">
      <alignment vertical="center"/>
      <protection hidden="1"/>
    </xf>
    <xf numFmtId="3" fontId="0" fillId="0" borderId="0" xfId="0" applyNumberFormat="1" applyProtection="1">
      <protection hidden="1"/>
    </xf>
    <xf numFmtId="0" fontId="0" fillId="0" borderId="0" xfId="1" applyNumberFormat="1" applyFont="1" applyFill="1" applyBorder="1" applyAlignment="1" applyProtection="1">
      <alignment vertical="center"/>
      <protection hidden="1"/>
    </xf>
    <xf numFmtId="3" fontId="0" fillId="0" borderId="0" xfId="1" applyNumberFormat="1" applyFont="1" applyFill="1" applyBorder="1" applyProtection="1">
      <protection hidden="1"/>
    </xf>
    <xf numFmtId="3" fontId="0" fillId="0" borderId="0" xfId="1" applyNumberFormat="1" applyFont="1" applyFill="1" applyBorder="1" applyAlignment="1" applyProtection="1">
      <alignment vertical="center"/>
      <protection hidden="1"/>
    </xf>
    <xf numFmtId="0" fontId="3" fillId="11" borderId="39" xfId="0" applyFont="1" applyFill="1" applyBorder="1" applyProtection="1">
      <protection hidden="1"/>
    </xf>
    <xf numFmtId="0" fontId="3" fillId="11" borderId="53" xfId="0" applyFont="1" applyFill="1" applyBorder="1" applyProtection="1">
      <protection hidden="1"/>
    </xf>
    <xf numFmtId="0" fontId="3" fillId="11" borderId="54" xfId="0" applyFont="1" applyFill="1" applyBorder="1" applyProtection="1">
      <protection hidden="1"/>
    </xf>
    <xf numFmtId="169" fontId="6" fillId="0" borderId="42" xfId="0" applyNumberFormat="1" applyFont="1" applyBorder="1"/>
    <xf numFmtId="169" fontId="6" fillId="0" borderId="48" xfId="0" applyNumberFormat="1" applyFont="1" applyBorder="1"/>
    <xf numFmtId="4" fontId="6" fillId="0" borderId="42" xfId="0" applyNumberFormat="1" applyFont="1" applyBorder="1"/>
    <xf numFmtId="0" fontId="6" fillId="0" borderId="43" xfId="0" applyFont="1" applyBorder="1"/>
    <xf numFmtId="0" fontId="17" fillId="10" borderId="0" xfId="0" applyFont="1" applyFill="1" applyAlignment="1" applyProtection="1">
      <alignment vertical="center" wrapText="1"/>
      <protection hidden="1"/>
    </xf>
    <xf numFmtId="0" fontId="24" fillId="10" borderId="0" xfId="0" applyFont="1" applyFill="1" applyProtection="1">
      <protection hidden="1"/>
    </xf>
    <xf numFmtId="0" fontId="30" fillId="10" borderId="0" xfId="0" applyFont="1" applyFill="1" applyProtection="1">
      <protection hidden="1"/>
    </xf>
    <xf numFmtId="0" fontId="30" fillId="10" borderId="0" xfId="0" applyFont="1" applyFill="1" applyAlignment="1" applyProtection="1">
      <alignment vertical="center"/>
      <protection hidden="1"/>
    </xf>
    <xf numFmtId="0" fontId="30" fillId="10" borderId="0" xfId="0" applyFont="1" applyFill="1" applyAlignment="1" applyProtection="1">
      <alignment vertical="center" wrapText="1"/>
      <protection hidden="1"/>
    </xf>
    <xf numFmtId="3" fontId="30" fillId="10" borderId="0" xfId="0" applyNumberFormat="1" applyFont="1" applyFill="1" applyAlignment="1" applyProtection="1">
      <alignment horizontal="center" vertical="center" wrapText="1"/>
      <protection hidden="1"/>
    </xf>
    <xf numFmtId="0" fontId="1" fillId="10" borderId="4" xfId="0" applyFont="1" applyFill="1" applyBorder="1" applyProtection="1">
      <protection hidden="1"/>
    </xf>
    <xf numFmtId="0" fontId="1" fillId="10" borderId="0" xfId="0" applyFont="1" applyFill="1" applyProtection="1">
      <protection hidden="1"/>
    </xf>
    <xf numFmtId="0" fontId="1" fillId="10" borderId="5" xfId="0" applyFont="1" applyFill="1" applyBorder="1" applyProtection="1">
      <protection hidden="1"/>
    </xf>
    <xf numFmtId="0" fontId="0" fillId="10" borderId="0" xfId="0" applyFill="1" applyProtection="1">
      <protection hidden="1"/>
    </xf>
    <xf numFmtId="0" fontId="0" fillId="10" borderId="5" xfId="0" applyFill="1" applyBorder="1" applyProtection="1">
      <protection hidden="1"/>
    </xf>
    <xf numFmtId="0" fontId="1" fillId="10" borderId="0" xfId="0" applyFont="1" applyFill="1" applyAlignment="1" applyProtection="1">
      <alignment vertical="center" wrapText="1"/>
      <protection hidden="1"/>
    </xf>
    <xf numFmtId="0" fontId="2" fillId="10" borderId="0" xfId="0" applyFont="1" applyFill="1" applyAlignment="1" applyProtection="1">
      <alignment vertical="center"/>
      <protection hidden="1"/>
    </xf>
    <xf numFmtId="2" fontId="21" fillId="10" borderId="0" xfId="0" applyNumberFormat="1" applyFont="1" applyFill="1" applyAlignment="1" applyProtection="1">
      <alignment horizontal="center" vertical="center"/>
      <protection hidden="1"/>
    </xf>
    <xf numFmtId="0" fontId="12" fillId="4" borderId="0" xfId="0" applyFont="1" applyFill="1" applyAlignment="1">
      <alignment horizontal="left"/>
    </xf>
    <xf numFmtId="3" fontId="0" fillId="0" borderId="46" xfId="0" applyNumberFormat="1" applyBorder="1" applyAlignment="1" applyProtection="1">
      <alignment horizontal="center" vertical="center"/>
      <protection hidden="1"/>
    </xf>
    <xf numFmtId="3" fontId="12" fillId="0" borderId="47" xfId="0" applyNumberFormat="1" applyFont="1" applyBorder="1" applyProtection="1">
      <protection hidden="1"/>
    </xf>
    <xf numFmtId="0" fontId="5" fillId="0" borderId="88" xfId="0" applyFont="1" applyBorder="1" applyAlignment="1" applyProtection="1">
      <alignment vertical="center"/>
      <protection hidden="1"/>
    </xf>
    <xf numFmtId="3" fontId="0" fillId="0" borderId="42" xfId="0" applyNumberFormat="1" applyBorder="1" applyAlignment="1" applyProtection="1">
      <alignment vertical="center"/>
      <protection hidden="1"/>
    </xf>
    <xf numFmtId="3" fontId="0" fillId="0" borderId="43" xfId="0" applyNumberFormat="1" applyBorder="1" applyAlignment="1" applyProtection="1">
      <alignment horizontal="center" vertical="center"/>
      <protection hidden="1"/>
    </xf>
    <xf numFmtId="0" fontId="5" fillId="0" borderId="89" xfId="0" applyFont="1" applyBorder="1" applyAlignment="1" applyProtection="1">
      <alignment vertical="center"/>
      <protection hidden="1"/>
    </xf>
    <xf numFmtId="2" fontId="0" fillId="0" borderId="0" xfId="0" applyNumberFormat="1" applyAlignment="1" applyProtection="1">
      <alignment vertical="center"/>
      <protection hidden="1"/>
    </xf>
    <xf numFmtId="0" fontId="5" fillId="10" borderId="0" xfId="0" applyFont="1" applyFill="1" applyAlignment="1" applyProtection="1">
      <alignment horizontal="center" vertical="center"/>
      <protection hidden="1"/>
    </xf>
    <xf numFmtId="0" fontId="1" fillId="10" borderId="0" xfId="0" applyFont="1" applyFill="1" applyProtection="1">
      <protection locked="0"/>
    </xf>
    <xf numFmtId="0" fontId="5" fillId="10" borderId="48" xfId="0" applyFont="1" applyFill="1" applyBorder="1" applyAlignment="1" applyProtection="1">
      <alignment vertical="center"/>
      <protection hidden="1"/>
    </xf>
    <xf numFmtId="2" fontId="5" fillId="10" borderId="48" xfId="0" applyNumberFormat="1" applyFont="1" applyFill="1" applyBorder="1" applyAlignment="1" applyProtection="1">
      <alignment vertical="center"/>
      <protection hidden="1"/>
    </xf>
    <xf numFmtId="3" fontId="5" fillId="10" borderId="49" xfId="0" applyNumberFormat="1" applyFont="1" applyFill="1" applyBorder="1" applyAlignment="1" applyProtection="1">
      <alignment vertical="center"/>
      <protection hidden="1"/>
    </xf>
    <xf numFmtId="3" fontId="0" fillId="10" borderId="7" xfId="0" applyNumberFormat="1" applyFill="1" applyBorder="1" applyAlignment="1" applyProtection="1">
      <alignment horizontal="center" vertical="center"/>
      <protection hidden="1"/>
    </xf>
    <xf numFmtId="0" fontId="5" fillId="10" borderId="41" xfId="0" applyFont="1" applyFill="1" applyBorder="1" applyAlignment="1" applyProtection="1">
      <alignment vertical="center"/>
      <protection hidden="1"/>
    </xf>
    <xf numFmtId="0" fontId="5" fillId="10" borderId="44" xfId="0" applyFont="1" applyFill="1" applyBorder="1" applyAlignment="1" applyProtection="1">
      <alignment vertical="center"/>
      <protection hidden="1"/>
    </xf>
    <xf numFmtId="3" fontId="0" fillId="10" borderId="45" xfId="0" applyNumberFormat="1" applyFill="1" applyBorder="1" applyAlignment="1" applyProtection="1">
      <alignment horizontal="center" vertical="center"/>
      <protection hidden="1"/>
    </xf>
    <xf numFmtId="0" fontId="5" fillId="10" borderId="47" xfId="0" applyFont="1" applyFill="1" applyBorder="1" applyAlignment="1" applyProtection="1">
      <alignment vertical="center"/>
      <protection hidden="1"/>
    </xf>
    <xf numFmtId="0" fontId="5" fillId="10" borderId="0" xfId="0" applyFont="1" applyFill="1" applyAlignment="1" applyProtection="1">
      <alignment vertical="center" wrapText="1"/>
      <protection hidden="1"/>
    </xf>
    <xf numFmtId="0" fontId="5" fillId="10" borderId="2" xfId="0" applyFont="1" applyFill="1" applyBorder="1" applyAlignment="1" applyProtection="1">
      <alignment vertical="center"/>
      <protection hidden="1"/>
    </xf>
    <xf numFmtId="0" fontId="5" fillId="10" borderId="87" xfId="0" applyFont="1" applyFill="1" applyBorder="1" applyAlignment="1" applyProtection="1">
      <alignment vertical="center"/>
      <protection hidden="1"/>
    </xf>
    <xf numFmtId="0" fontId="5" fillId="10" borderId="73" xfId="0" applyFont="1" applyFill="1" applyBorder="1" applyAlignment="1" applyProtection="1">
      <alignment vertical="center"/>
      <protection hidden="1"/>
    </xf>
    <xf numFmtId="0" fontId="5" fillId="10" borderId="47" xfId="0" applyFont="1" applyFill="1" applyBorder="1" applyAlignment="1" applyProtection="1">
      <alignment horizontal="center" vertical="center"/>
      <protection hidden="1"/>
    </xf>
    <xf numFmtId="0" fontId="3" fillId="10" borderId="33" xfId="0" applyFont="1" applyFill="1" applyBorder="1" applyAlignment="1" applyProtection="1">
      <alignment horizontal="center"/>
      <protection locked="0"/>
    </xf>
    <xf numFmtId="3" fontId="0" fillId="10" borderId="0" xfId="0" applyNumberFormat="1" applyFill="1" applyAlignment="1" applyProtection="1">
      <alignment horizontal="center" vertical="center"/>
      <protection hidden="1"/>
    </xf>
    <xf numFmtId="3" fontId="5" fillId="10" borderId="0" xfId="0" applyNumberFormat="1" applyFont="1" applyFill="1" applyAlignment="1" applyProtection="1">
      <alignment horizontal="center" vertical="center"/>
      <protection hidden="1"/>
    </xf>
    <xf numFmtId="0" fontId="5" fillId="10" borderId="41" xfId="0" applyFont="1" applyFill="1" applyBorder="1" applyAlignment="1" applyProtection="1">
      <alignment horizontal="center" vertical="center"/>
      <protection hidden="1"/>
    </xf>
    <xf numFmtId="3" fontId="0" fillId="0" borderId="42" xfId="0" applyNumberFormat="1" applyBorder="1" applyAlignment="1" applyProtection="1">
      <alignment horizontal="center" vertical="center"/>
      <protection hidden="1"/>
    </xf>
    <xf numFmtId="0" fontId="5" fillId="10" borderId="7" xfId="0" applyFont="1" applyFill="1" applyBorder="1" applyAlignment="1" applyProtection="1">
      <alignment horizontal="center" vertical="center"/>
      <protection hidden="1"/>
    </xf>
    <xf numFmtId="3" fontId="5" fillId="0" borderId="41" xfId="0" applyNumberFormat="1" applyFont="1" applyBorder="1" applyAlignment="1" applyProtection="1">
      <alignment vertical="center"/>
      <protection hidden="1"/>
    </xf>
    <xf numFmtId="0" fontId="5" fillId="10" borderId="33" xfId="0" applyFont="1" applyFill="1" applyBorder="1" applyAlignment="1" applyProtection="1">
      <alignment horizontal="center" vertical="center"/>
      <protection hidden="1"/>
    </xf>
    <xf numFmtId="0" fontId="0" fillId="10" borderId="0" xfId="0" applyFill="1" applyAlignment="1" applyProtection="1">
      <alignment vertical="center"/>
      <protection hidden="1"/>
    </xf>
    <xf numFmtId="3" fontId="37" fillId="10" borderId="42" xfId="0" applyNumberFormat="1" applyFont="1" applyFill="1" applyBorder="1" applyAlignment="1" applyProtection="1">
      <alignment vertical="center"/>
      <protection hidden="1"/>
    </xf>
    <xf numFmtId="3" fontId="37" fillId="10" borderId="45" xfId="0" applyNumberFormat="1" applyFont="1" applyFill="1" applyBorder="1" applyAlignment="1" applyProtection="1">
      <alignment vertical="center"/>
      <protection hidden="1"/>
    </xf>
    <xf numFmtId="3" fontId="37" fillId="10" borderId="48" xfId="0" applyNumberFormat="1" applyFont="1" applyFill="1" applyBorder="1" applyAlignment="1" applyProtection="1">
      <alignment vertical="center"/>
      <protection hidden="1"/>
    </xf>
    <xf numFmtId="2" fontId="0" fillId="0" borderId="5" xfId="0" applyNumberFormat="1" applyBorder="1" applyAlignment="1" applyProtection="1">
      <alignment vertical="center"/>
      <protection hidden="1"/>
    </xf>
    <xf numFmtId="0" fontId="5" fillId="10" borderId="3" xfId="0" applyFont="1" applyFill="1" applyBorder="1" applyAlignment="1" applyProtection="1">
      <alignment vertical="center"/>
      <protection hidden="1"/>
    </xf>
    <xf numFmtId="0" fontId="5" fillId="10" borderId="5" xfId="0" applyFont="1" applyFill="1" applyBorder="1" applyAlignment="1" applyProtection="1">
      <alignment vertical="center" wrapText="1"/>
      <protection hidden="1"/>
    </xf>
    <xf numFmtId="0" fontId="12" fillId="0" borderId="75" xfId="0" applyFont="1" applyBorder="1"/>
    <xf numFmtId="49" fontId="13" fillId="0" borderId="13" xfId="0" applyNumberFormat="1" applyFont="1" applyBorder="1" applyProtection="1">
      <protection locked="0"/>
    </xf>
    <xf numFmtId="49" fontId="13" fillId="0" borderId="18" xfId="0" applyNumberFormat="1" applyFont="1" applyBorder="1" applyProtection="1">
      <protection locked="0"/>
    </xf>
    <xf numFmtId="0" fontId="7" fillId="4" borderId="0" xfId="0" applyFont="1" applyFill="1" applyProtection="1">
      <protection hidden="1"/>
    </xf>
    <xf numFmtId="0" fontId="40" fillId="4" borderId="0" xfId="0" applyFont="1" applyFill="1" applyProtection="1">
      <protection hidden="1"/>
    </xf>
    <xf numFmtId="0" fontId="41" fillId="4" borderId="0" xfId="0" applyFont="1" applyFill="1" applyProtection="1">
      <protection hidden="1"/>
    </xf>
    <xf numFmtId="3" fontId="12" fillId="0" borderId="70" xfId="0" applyNumberFormat="1" applyFont="1" applyBorder="1" applyProtection="1">
      <protection hidden="1"/>
    </xf>
    <xf numFmtId="3" fontId="13" fillId="4" borderId="0" xfId="0" applyNumberFormat="1" applyFont="1" applyFill="1"/>
    <xf numFmtId="3" fontId="5" fillId="0" borderId="42" xfId="0" applyNumberFormat="1" applyFont="1" applyBorder="1" applyAlignment="1" applyProtection="1">
      <alignment vertical="center"/>
      <protection hidden="1"/>
    </xf>
    <xf numFmtId="3" fontId="5" fillId="0" borderId="45" xfId="0" applyNumberFormat="1" applyFont="1" applyBorder="1" applyAlignment="1" applyProtection="1">
      <alignment vertical="center"/>
      <protection hidden="1"/>
    </xf>
    <xf numFmtId="0" fontId="37" fillId="0" borderId="58" xfId="0" applyFont="1" applyBorder="1" applyAlignment="1">
      <alignment horizontal="center"/>
    </xf>
    <xf numFmtId="0" fontId="37" fillId="0" borderId="58" xfId="0" applyFont="1" applyBorder="1"/>
    <xf numFmtId="2" fontId="37" fillId="0" borderId="58" xfId="0" applyNumberFormat="1" applyFont="1" applyBorder="1"/>
    <xf numFmtId="3" fontId="37" fillId="0" borderId="58" xfId="0" applyNumberFormat="1" applyFont="1" applyBorder="1" applyAlignment="1">
      <alignment horizontal="center"/>
    </xf>
    <xf numFmtId="1" fontId="37" fillId="0" borderId="58" xfId="0" applyNumberFormat="1" applyFont="1" applyBorder="1" applyAlignment="1">
      <alignment horizontal="center"/>
    </xf>
    <xf numFmtId="4" fontId="37" fillId="0" borderId="58" xfId="0" applyNumberFormat="1" applyFont="1" applyBorder="1" applyAlignment="1">
      <alignment horizontal="center"/>
    </xf>
    <xf numFmtId="2" fontId="37" fillId="0" borderId="58" xfId="0" applyNumberFormat="1" applyFont="1" applyBorder="1" applyAlignment="1">
      <alignment horizontal="center"/>
    </xf>
    <xf numFmtId="2" fontId="5" fillId="0" borderId="63" xfId="0" applyNumberFormat="1" applyFont="1" applyBorder="1"/>
    <xf numFmtId="2" fontId="5" fillId="0" borderId="66" xfId="0" applyNumberFormat="1" applyFont="1" applyBorder="1"/>
    <xf numFmtId="0" fontId="5" fillId="0" borderId="9" xfId="0" applyFont="1" applyBorder="1"/>
    <xf numFmtId="0" fontId="0" fillId="0" borderId="7" xfId="0" applyBorder="1"/>
    <xf numFmtId="0" fontId="0" fillId="0" borderId="4" xfId="0" applyBorder="1"/>
    <xf numFmtId="0" fontId="0" fillId="0" borderId="5" xfId="0" applyBorder="1"/>
    <xf numFmtId="0" fontId="8" fillId="10" borderId="58" xfId="0" applyFont="1" applyFill="1" applyBorder="1" applyAlignment="1" applyProtection="1">
      <alignment horizontal="center"/>
      <protection locked="0" hidden="1"/>
    </xf>
    <xf numFmtId="3" fontId="0" fillId="10" borderId="41" xfId="0" applyNumberFormat="1" applyFill="1" applyBorder="1" applyAlignment="1" applyProtection="1">
      <alignment vertical="center"/>
      <protection hidden="1"/>
    </xf>
    <xf numFmtId="3" fontId="0" fillId="10" borderId="44" xfId="0" applyNumberFormat="1" applyFill="1" applyBorder="1" applyAlignment="1" applyProtection="1">
      <alignment vertical="center"/>
      <protection hidden="1"/>
    </xf>
    <xf numFmtId="3" fontId="0" fillId="10" borderId="47" xfId="0" applyNumberFormat="1" applyFill="1" applyBorder="1" applyAlignment="1" applyProtection="1">
      <alignment vertical="center"/>
      <protection hidden="1"/>
    </xf>
    <xf numFmtId="0" fontId="1" fillId="0" borderId="8" xfId="0" applyFont="1" applyBorder="1" applyProtection="1">
      <protection hidden="1"/>
    </xf>
    <xf numFmtId="0" fontId="1" fillId="0" borderId="6" xfId="0" applyFont="1" applyBorder="1" applyAlignment="1" applyProtection="1">
      <alignment vertical="center"/>
      <protection hidden="1"/>
    </xf>
    <xf numFmtId="0" fontId="1" fillId="0" borderId="7" xfId="0" applyFont="1" applyBorder="1" applyAlignment="1" applyProtection="1">
      <alignment vertical="center"/>
      <protection hidden="1"/>
    </xf>
    <xf numFmtId="1" fontId="0" fillId="10" borderId="43" xfId="0" applyNumberFormat="1" applyFill="1" applyBorder="1" applyAlignment="1" applyProtection="1">
      <alignment vertical="center"/>
      <protection hidden="1"/>
    </xf>
    <xf numFmtId="1" fontId="0" fillId="10" borderId="46" xfId="0" applyNumberFormat="1" applyFill="1" applyBorder="1" applyAlignment="1" applyProtection="1">
      <alignment vertical="center"/>
      <protection hidden="1"/>
    </xf>
    <xf numFmtId="1" fontId="0" fillId="10" borderId="49" xfId="0" applyNumberFormat="1" applyFill="1" applyBorder="1" applyAlignment="1" applyProtection="1">
      <alignment vertical="center"/>
      <protection hidden="1"/>
    </xf>
    <xf numFmtId="3" fontId="0" fillId="0" borderId="93" xfId="0" applyNumberFormat="1" applyBorder="1" applyAlignment="1" applyProtection="1">
      <alignment horizontal="left"/>
      <protection locked="0"/>
    </xf>
    <xf numFmtId="0" fontId="9" fillId="15" borderId="1" xfId="0" applyFont="1" applyFill="1" applyBorder="1" applyProtection="1">
      <protection hidden="1"/>
    </xf>
    <xf numFmtId="0" fontId="9" fillId="15" borderId="16" xfId="0" applyFont="1" applyFill="1" applyBorder="1" applyProtection="1">
      <protection hidden="1"/>
    </xf>
    <xf numFmtId="2" fontId="21" fillId="0" borderId="44" xfId="0" applyNumberFormat="1" applyFont="1" applyBorder="1" applyAlignment="1" applyProtection="1">
      <alignment horizontal="center" vertical="center"/>
      <protection hidden="1"/>
    </xf>
    <xf numFmtId="2" fontId="21" fillId="0" borderId="46" xfId="0" applyNumberFormat="1" applyFont="1" applyBorder="1" applyAlignment="1" applyProtection="1">
      <alignment horizontal="center" vertical="center"/>
      <protection hidden="1"/>
    </xf>
    <xf numFmtId="1" fontId="37" fillId="0" borderId="58" xfId="2" applyNumberFormat="1" applyFont="1" applyBorder="1" applyAlignment="1">
      <alignment horizontal="center" vertical="center"/>
    </xf>
    <xf numFmtId="3" fontId="5" fillId="0" borderId="67" xfId="0" applyNumberFormat="1" applyFont="1" applyBorder="1"/>
    <xf numFmtId="3" fontId="5" fillId="0" borderId="63" xfId="0" applyNumberFormat="1" applyFont="1" applyBorder="1"/>
    <xf numFmtId="3" fontId="5" fillId="0" borderId="66" xfId="0" applyNumberFormat="1" applyFont="1" applyBorder="1"/>
    <xf numFmtId="1" fontId="5" fillId="0" borderId="63" xfId="0" applyNumberFormat="1" applyFont="1" applyBorder="1"/>
    <xf numFmtId="2" fontId="6" fillId="0" borderId="43" xfId="0" applyNumberFormat="1" applyFont="1" applyBorder="1"/>
    <xf numFmtId="2" fontId="6" fillId="6" borderId="42" xfId="0" applyNumberFormat="1" applyFont="1" applyFill="1" applyBorder="1"/>
    <xf numFmtId="2" fontId="1" fillId="0" borderId="65" xfId="0" quotePrefix="1" applyNumberFormat="1" applyFont="1" applyBorder="1" applyProtection="1">
      <protection hidden="1"/>
    </xf>
    <xf numFmtId="2" fontId="1" fillId="0" borderId="51" xfId="0" quotePrefix="1" applyNumberFormat="1" applyFont="1" applyBorder="1" applyProtection="1">
      <protection hidden="1"/>
    </xf>
    <xf numFmtId="0" fontId="9" fillId="10" borderId="30" xfId="0" applyFont="1" applyFill="1" applyBorder="1" applyAlignment="1" applyProtection="1">
      <alignment vertical="center"/>
      <protection hidden="1"/>
    </xf>
    <xf numFmtId="0" fontId="9" fillId="10" borderId="31" xfId="0" applyFont="1" applyFill="1" applyBorder="1" applyAlignment="1" applyProtection="1">
      <alignment vertical="center"/>
      <protection hidden="1"/>
    </xf>
    <xf numFmtId="0" fontId="9" fillId="10" borderId="7" xfId="0" applyFont="1" applyFill="1" applyBorder="1" applyAlignment="1" applyProtection="1">
      <alignment vertical="center"/>
      <protection hidden="1"/>
    </xf>
    <xf numFmtId="0" fontId="9" fillId="10" borderId="8" xfId="0" applyFont="1" applyFill="1" applyBorder="1" applyAlignment="1" applyProtection="1">
      <alignment vertical="center"/>
      <protection hidden="1"/>
    </xf>
    <xf numFmtId="0" fontId="5" fillId="0" borderId="4" xfId="0" applyFont="1" applyBorder="1" applyAlignment="1" applyProtection="1">
      <alignment vertical="center"/>
      <protection hidden="1"/>
    </xf>
    <xf numFmtId="0" fontId="1" fillId="0" borderId="0" xfId="0" applyFont="1" applyProtection="1">
      <protection locked="0"/>
    </xf>
    <xf numFmtId="0" fontId="1" fillId="0" borderId="5" xfId="0" applyFont="1" applyBorder="1" applyProtection="1">
      <protection locked="0"/>
    </xf>
    <xf numFmtId="0" fontId="12" fillId="0" borderId="4" xfId="0" applyFont="1" applyBorder="1" applyAlignment="1" applyProtection="1">
      <alignment vertical="center"/>
      <protection hidden="1"/>
    </xf>
    <xf numFmtId="0" fontId="3" fillId="0" borderId="58" xfId="0" applyFont="1" applyBorder="1" applyProtection="1">
      <protection locked="0" hidden="1"/>
    </xf>
    <xf numFmtId="0" fontId="3" fillId="10" borderId="33" xfId="0" applyFont="1" applyFill="1" applyBorder="1" applyProtection="1">
      <protection locked="0"/>
    </xf>
    <xf numFmtId="3" fontId="3" fillId="10" borderId="33" xfId="0" applyNumberFormat="1" applyFont="1" applyFill="1" applyBorder="1" applyProtection="1">
      <protection locked="0"/>
    </xf>
    <xf numFmtId="0" fontId="3" fillId="10" borderId="35" xfId="0" applyFont="1" applyFill="1" applyBorder="1" applyAlignment="1" applyProtection="1">
      <alignment horizontal="right"/>
      <protection locked="0"/>
    </xf>
    <xf numFmtId="3" fontId="0" fillId="0" borderId="77" xfId="0" applyNumberFormat="1" applyBorder="1" applyAlignment="1" applyProtection="1">
      <alignment horizontal="left"/>
      <protection hidden="1"/>
    </xf>
    <xf numFmtId="0" fontId="12" fillId="0" borderId="58" xfId="0" applyFont="1" applyBorder="1" applyAlignment="1" applyProtection="1">
      <alignment horizontal="center"/>
      <protection hidden="1"/>
    </xf>
    <xf numFmtId="0" fontId="13" fillId="14" borderId="69" xfId="0" applyFont="1" applyFill="1" applyBorder="1" applyProtection="1">
      <protection hidden="1"/>
    </xf>
    <xf numFmtId="0" fontId="31" fillId="0" borderId="58" xfId="0" applyFont="1" applyBorder="1" applyAlignment="1" applyProtection="1">
      <alignment horizontal="center"/>
      <protection locked="0"/>
    </xf>
    <xf numFmtId="0" fontId="13" fillId="0" borderId="22" xfId="0" applyFont="1" applyBorder="1" applyProtection="1">
      <protection locked="0"/>
    </xf>
    <xf numFmtId="3" fontId="12" fillId="0" borderId="26" xfId="0" applyNumberFormat="1" applyFont="1" applyBorder="1" applyProtection="1">
      <protection hidden="1"/>
    </xf>
    <xf numFmtId="0" fontId="14" fillId="7" borderId="94" xfId="0" applyFont="1" applyFill="1" applyBorder="1" applyAlignment="1">
      <alignment horizontal="center"/>
    </xf>
    <xf numFmtId="0" fontId="13" fillId="0" borderId="96" xfId="0" applyFont="1" applyBorder="1" applyProtection="1">
      <protection locked="0"/>
    </xf>
    <xf numFmtId="0" fontId="13" fillId="0" borderId="97" xfId="0" applyFont="1" applyBorder="1" applyProtection="1">
      <protection locked="0"/>
    </xf>
    <xf numFmtId="3" fontId="12" fillId="0" borderId="98" xfId="0" applyNumberFormat="1" applyFont="1" applyBorder="1" applyProtection="1">
      <protection hidden="1"/>
    </xf>
    <xf numFmtId="0" fontId="14" fillId="7" borderId="99" xfId="0" applyFont="1" applyFill="1" applyBorder="1" applyAlignment="1">
      <alignment horizontal="center"/>
    </xf>
    <xf numFmtId="3" fontId="13" fillId="0" borderId="98" xfId="0" applyNumberFormat="1" applyFont="1" applyBorder="1" applyProtection="1">
      <protection hidden="1"/>
    </xf>
    <xf numFmtId="3" fontId="0" fillId="10" borderId="65" xfId="0" applyNumberFormat="1" applyFill="1" applyBorder="1" applyAlignment="1" applyProtection="1">
      <alignment vertical="center"/>
      <protection hidden="1"/>
    </xf>
    <xf numFmtId="3" fontId="3" fillId="10" borderId="73" xfId="0" applyNumberFormat="1" applyFont="1" applyFill="1" applyBorder="1" applyProtection="1">
      <protection hidden="1"/>
    </xf>
    <xf numFmtId="0" fontId="3" fillId="10" borderId="73" xfId="0" applyFont="1" applyFill="1" applyBorder="1" applyProtection="1">
      <protection hidden="1"/>
    </xf>
    <xf numFmtId="0" fontId="3" fillId="10" borderId="44" xfId="0" applyFont="1" applyFill="1" applyBorder="1" applyProtection="1">
      <protection hidden="1"/>
    </xf>
    <xf numFmtId="0" fontId="3" fillId="0" borderId="87" xfId="0" applyFont="1" applyBorder="1" applyProtection="1">
      <protection hidden="1"/>
    </xf>
    <xf numFmtId="0" fontId="3" fillId="0" borderId="47" xfId="0" applyFont="1" applyBorder="1" applyProtection="1">
      <protection hidden="1"/>
    </xf>
    <xf numFmtId="0" fontId="12" fillId="10" borderId="101" xfId="0" applyFont="1" applyFill="1" applyBorder="1"/>
    <xf numFmtId="3" fontId="0" fillId="0" borderId="45" xfId="0" applyNumberFormat="1" applyBorder="1" applyAlignment="1" applyProtection="1">
      <alignment horizontal="center" vertical="center"/>
      <protection hidden="1"/>
    </xf>
    <xf numFmtId="3" fontId="0" fillId="0" borderId="48" xfId="0" applyNumberFormat="1" applyBorder="1" applyAlignment="1" applyProtection="1">
      <alignment horizontal="center" vertical="center"/>
      <protection hidden="1"/>
    </xf>
    <xf numFmtId="0" fontId="5" fillId="0" borderId="42" xfId="0" applyFont="1" applyBorder="1" applyAlignment="1" applyProtection="1">
      <alignment vertical="center"/>
      <protection hidden="1"/>
    </xf>
    <xf numFmtId="3" fontId="0" fillId="0" borderId="49" xfId="0" applyNumberFormat="1" applyBorder="1" applyAlignment="1" applyProtection="1">
      <alignment horizontal="center" vertical="center"/>
      <protection hidden="1"/>
    </xf>
    <xf numFmtId="0" fontId="5" fillId="10" borderId="19" xfId="0" applyFont="1" applyFill="1" applyBorder="1" applyAlignment="1" applyProtection="1">
      <alignment vertical="center"/>
      <protection hidden="1"/>
    </xf>
    <xf numFmtId="3" fontId="5" fillId="10" borderId="28" xfId="0" applyNumberFormat="1" applyFont="1" applyFill="1" applyBorder="1" applyAlignment="1" applyProtection="1">
      <alignment vertical="center"/>
      <protection hidden="1"/>
    </xf>
    <xf numFmtId="0" fontId="5" fillId="10" borderId="42" xfId="0" applyFont="1" applyFill="1" applyBorder="1" applyAlignment="1" applyProtection="1">
      <alignment vertical="center"/>
      <protection hidden="1"/>
    </xf>
    <xf numFmtId="0" fontId="5" fillId="10" borderId="4" xfId="0" applyFont="1" applyFill="1" applyBorder="1" applyAlignment="1" applyProtection="1">
      <alignment vertical="center"/>
      <protection hidden="1"/>
    </xf>
    <xf numFmtId="0" fontId="5" fillId="10" borderId="5" xfId="0" applyFont="1" applyFill="1" applyBorder="1" applyAlignment="1" applyProtection="1">
      <alignment vertical="center"/>
      <protection hidden="1"/>
    </xf>
    <xf numFmtId="0" fontId="3" fillId="0" borderId="58" xfId="0" applyFont="1" applyBorder="1" applyProtection="1">
      <protection locked="0"/>
    </xf>
    <xf numFmtId="3" fontId="37" fillId="10" borderId="43" xfId="0" applyNumberFormat="1" applyFont="1" applyFill="1" applyBorder="1" applyAlignment="1" applyProtection="1">
      <alignment vertical="center"/>
      <protection hidden="1"/>
    </xf>
    <xf numFmtId="3" fontId="37" fillId="10" borderId="46" xfId="0" applyNumberFormat="1" applyFont="1" applyFill="1" applyBorder="1" applyAlignment="1" applyProtection="1">
      <alignment vertical="center"/>
      <protection hidden="1"/>
    </xf>
    <xf numFmtId="3" fontId="37" fillId="10" borderId="49" xfId="0" applyNumberFormat="1" applyFont="1" applyFill="1" applyBorder="1" applyAlignment="1" applyProtection="1">
      <alignment vertical="center"/>
      <protection hidden="1"/>
    </xf>
    <xf numFmtId="3" fontId="0" fillId="0" borderId="45" xfId="0" applyNumberFormat="1" applyBorder="1" applyAlignment="1" applyProtection="1">
      <alignment vertical="center"/>
      <protection hidden="1"/>
    </xf>
    <xf numFmtId="3" fontId="0" fillId="0" borderId="48" xfId="0" applyNumberFormat="1" applyBorder="1" applyAlignment="1" applyProtection="1">
      <alignment vertical="center"/>
      <protection hidden="1"/>
    </xf>
    <xf numFmtId="3" fontId="5" fillId="0" borderId="44" xfId="0" applyNumberFormat="1" applyFont="1" applyBorder="1" applyAlignment="1" applyProtection="1">
      <alignment vertical="center"/>
      <protection hidden="1"/>
    </xf>
    <xf numFmtId="3" fontId="5" fillId="0" borderId="47" xfId="0" applyNumberFormat="1" applyFont="1" applyBorder="1" applyAlignment="1" applyProtection="1">
      <alignment vertical="center"/>
      <protection hidden="1"/>
    </xf>
    <xf numFmtId="3" fontId="5" fillId="0" borderId="48" xfId="0" applyNumberFormat="1" applyFont="1" applyBorder="1" applyAlignment="1" applyProtection="1">
      <alignment vertical="center"/>
      <protection hidden="1"/>
    </xf>
    <xf numFmtId="0" fontId="5" fillId="10" borderId="52" xfId="0" applyFont="1" applyFill="1" applyBorder="1" applyAlignment="1" applyProtection="1">
      <alignment vertical="center"/>
      <protection hidden="1"/>
    </xf>
    <xf numFmtId="3" fontId="0" fillId="10" borderId="48" xfId="0" applyNumberFormat="1" applyFill="1" applyBorder="1" applyAlignment="1" applyProtection="1">
      <alignment horizontal="center" vertical="center"/>
      <protection hidden="1"/>
    </xf>
    <xf numFmtId="3" fontId="0" fillId="10" borderId="49" xfId="0" applyNumberFormat="1" applyFill="1" applyBorder="1" applyAlignment="1" applyProtection="1">
      <alignment vertical="center"/>
      <protection hidden="1"/>
    </xf>
    <xf numFmtId="164" fontId="3" fillId="10" borderId="65" xfId="0" applyNumberFormat="1" applyFont="1" applyFill="1" applyBorder="1" applyAlignment="1" applyProtection="1">
      <alignment horizontal="center"/>
      <protection hidden="1"/>
    </xf>
    <xf numFmtId="164" fontId="3" fillId="10" borderId="46" xfId="0" applyNumberFormat="1" applyFont="1" applyFill="1" applyBorder="1" applyAlignment="1" applyProtection="1">
      <alignment horizontal="center"/>
      <protection hidden="1"/>
    </xf>
    <xf numFmtId="1" fontId="6" fillId="0" borderId="58" xfId="0" applyNumberFormat="1" applyFont="1" applyBorder="1" applyAlignment="1" applyProtection="1">
      <alignment horizontal="center"/>
      <protection hidden="1"/>
    </xf>
    <xf numFmtId="0" fontId="5" fillId="10" borderId="0" xfId="0" applyFont="1" applyFill="1" applyAlignment="1" applyProtection="1">
      <alignment vertical="center"/>
      <protection hidden="1"/>
    </xf>
    <xf numFmtId="3" fontId="5" fillId="10" borderId="58" xfId="0" applyNumberFormat="1" applyFont="1" applyFill="1" applyBorder="1" applyAlignment="1" applyProtection="1">
      <alignment vertical="center"/>
      <protection hidden="1"/>
    </xf>
    <xf numFmtId="0" fontId="3" fillId="10" borderId="67" xfId="0" applyFont="1" applyFill="1" applyBorder="1" applyAlignment="1" applyProtection="1">
      <alignment horizontal="center" vertical="center"/>
      <protection hidden="1"/>
    </xf>
    <xf numFmtId="0" fontId="3" fillId="10" borderId="66" xfId="0" applyFont="1" applyFill="1" applyBorder="1" applyAlignment="1" applyProtection="1">
      <alignment horizontal="center" vertical="center"/>
      <protection hidden="1"/>
    </xf>
    <xf numFmtId="2" fontId="1" fillId="10" borderId="0" xfId="0" applyNumberFormat="1" applyFont="1" applyFill="1" applyProtection="1">
      <protection locked="0"/>
    </xf>
    <xf numFmtId="0" fontId="3" fillId="10" borderId="0" xfId="0" applyFont="1" applyFill="1" applyProtection="1">
      <protection locked="0"/>
    </xf>
    <xf numFmtId="0" fontId="1" fillId="10" borderId="3" xfId="0" applyFont="1" applyFill="1" applyBorder="1" applyProtection="1">
      <protection locked="0"/>
    </xf>
    <xf numFmtId="0" fontId="1" fillId="10" borderId="5" xfId="0" applyFont="1" applyFill="1" applyBorder="1" applyProtection="1">
      <protection locked="0"/>
    </xf>
    <xf numFmtId="0" fontId="12" fillId="10" borderId="100" xfId="0" applyFont="1" applyFill="1" applyBorder="1"/>
    <xf numFmtId="164" fontId="3" fillId="10" borderId="49" xfId="0" applyNumberFormat="1" applyFont="1" applyFill="1" applyBorder="1" applyAlignment="1" applyProtection="1">
      <alignment horizontal="center"/>
      <protection hidden="1"/>
    </xf>
    <xf numFmtId="0" fontId="5" fillId="0" borderId="106" xfId="0" applyFont="1" applyBorder="1"/>
    <xf numFmtId="0" fontId="5" fillId="0" borderId="107" xfId="0" applyFont="1" applyBorder="1"/>
    <xf numFmtId="164" fontId="6" fillId="0" borderId="11" xfId="0" applyNumberFormat="1" applyFont="1" applyBorder="1" applyAlignment="1">
      <alignment horizontal="center"/>
    </xf>
    <xf numFmtId="0" fontId="12" fillId="10" borderId="70" xfId="0" applyFont="1" applyFill="1" applyBorder="1" applyAlignment="1">
      <alignment horizontal="center" vertical="center"/>
    </xf>
    <xf numFmtId="0" fontId="13" fillId="4" borderId="0" xfId="0" applyFont="1" applyFill="1" applyAlignment="1">
      <alignment horizontal="center"/>
    </xf>
    <xf numFmtId="3" fontId="5" fillId="0" borderId="58" xfId="0" applyNumberFormat="1" applyFont="1" applyBorder="1" applyAlignment="1">
      <alignment horizontal="center"/>
    </xf>
    <xf numFmtId="3" fontId="0" fillId="0" borderId="43" xfId="0" applyNumberFormat="1" applyBorder="1" applyAlignment="1" applyProtection="1">
      <alignment horizontal="left"/>
      <protection hidden="1"/>
    </xf>
    <xf numFmtId="3" fontId="0" fillId="0" borderId="46" xfId="0" applyNumberFormat="1" applyBorder="1" applyAlignment="1" applyProtection="1">
      <alignment horizontal="left"/>
      <protection hidden="1"/>
    </xf>
    <xf numFmtId="3" fontId="0" fillId="0" borderId="49" xfId="0" applyNumberFormat="1" applyBorder="1" applyAlignment="1" applyProtection="1">
      <alignment horizontal="left"/>
      <protection hidden="1"/>
    </xf>
    <xf numFmtId="0" fontId="0" fillId="0" borderId="53" xfId="0" applyBorder="1" applyAlignment="1" applyProtection="1">
      <alignment horizontal="center" vertical="center"/>
      <protection hidden="1"/>
    </xf>
    <xf numFmtId="0" fontId="0" fillId="0" borderId="36" xfId="0" applyBorder="1"/>
    <xf numFmtId="172" fontId="0" fillId="0" borderId="44" xfId="1" applyNumberFormat="1" applyFont="1" applyBorder="1"/>
    <xf numFmtId="167" fontId="0" fillId="0" borderId="45" xfId="2" applyNumberFormat="1" applyFont="1" applyBorder="1"/>
    <xf numFmtId="43" fontId="0" fillId="0" borderId="45" xfId="0" applyNumberFormat="1" applyBorder="1"/>
    <xf numFmtId="172" fontId="0" fillId="0" borderId="45" xfId="0" applyNumberFormat="1" applyBorder="1"/>
    <xf numFmtId="167" fontId="0" fillId="0" borderId="45" xfId="0" applyNumberFormat="1" applyBorder="1"/>
    <xf numFmtId="43" fontId="0" fillId="0" borderId="36" xfId="0" applyNumberFormat="1" applyBorder="1"/>
    <xf numFmtId="43" fontId="0" fillId="0" borderId="46" xfId="0" applyNumberFormat="1" applyBorder="1"/>
    <xf numFmtId="172" fontId="0" fillId="0" borderId="44" xfId="0" applyNumberFormat="1" applyBorder="1"/>
    <xf numFmtId="9" fontId="0" fillId="0" borderId="45" xfId="0" applyNumberFormat="1" applyBorder="1"/>
    <xf numFmtId="172" fontId="0" fillId="0" borderId="88" xfId="0" applyNumberFormat="1" applyBorder="1"/>
    <xf numFmtId="167" fontId="0" fillId="0" borderId="88" xfId="0" applyNumberFormat="1" applyBorder="1"/>
    <xf numFmtId="9" fontId="0" fillId="0" borderId="45" xfId="2" applyFont="1" applyBorder="1"/>
    <xf numFmtId="0" fontId="0" fillId="0" borderId="1" xfId="0" applyBorder="1"/>
    <xf numFmtId="0" fontId="0" fillId="0" borderId="44" xfId="1" applyNumberFormat="1" applyFont="1" applyBorder="1"/>
    <xf numFmtId="0" fontId="0" fillId="0" borderId="45" xfId="2" applyNumberFormat="1" applyFont="1" applyBorder="1"/>
    <xf numFmtId="172" fontId="0" fillId="0" borderId="47" xfId="0" applyNumberFormat="1" applyBorder="1"/>
    <xf numFmtId="9" fontId="0" fillId="0" borderId="48" xfId="0" applyNumberFormat="1" applyBorder="1"/>
    <xf numFmtId="172" fontId="0" fillId="0" borderId="0" xfId="0" applyNumberFormat="1"/>
    <xf numFmtId="172" fontId="0" fillId="0" borderId="48" xfId="0" applyNumberFormat="1" applyBorder="1"/>
    <xf numFmtId="167" fontId="0" fillId="0" borderId="48" xfId="0" applyNumberFormat="1" applyBorder="1"/>
    <xf numFmtId="164" fontId="0" fillId="0" borderId="45" xfId="0" applyNumberFormat="1" applyBorder="1"/>
    <xf numFmtId="167" fontId="0" fillId="0" borderId="0" xfId="2" applyNumberFormat="1" applyFont="1"/>
    <xf numFmtId="3" fontId="0" fillId="4" borderId="0" xfId="0" applyNumberFormat="1" applyFill="1" applyAlignment="1" applyProtection="1">
      <alignment horizontal="left"/>
      <protection hidden="1"/>
    </xf>
    <xf numFmtId="0" fontId="1" fillId="2" borderId="6" xfId="0" applyFont="1" applyFill="1" applyBorder="1" applyProtection="1">
      <protection locked="0"/>
    </xf>
    <xf numFmtId="0" fontId="1" fillId="2" borderId="7" xfId="0" applyFont="1" applyFill="1" applyBorder="1" applyProtection="1">
      <protection locked="0"/>
    </xf>
    <xf numFmtId="0" fontId="0" fillId="2" borderId="1" xfId="0" applyFill="1" applyBorder="1"/>
    <xf numFmtId="0" fontId="0" fillId="2" borderId="0" xfId="0" applyFill="1"/>
    <xf numFmtId="0" fontId="14" fillId="7" borderId="1" xfId="0" applyFont="1" applyFill="1" applyBorder="1" applyAlignment="1">
      <alignment horizontal="center"/>
    </xf>
    <xf numFmtId="0" fontId="13" fillId="0" borderId="21" xfId="0" applyFont="1" applyBorder="1" applyProtection="1">
      <protection locked="0"/>
    </xf>
    <xf numFmtId="3" fontId="13" fillId="0" borderId="25" xfId="0" applyNumberFormat="1" applyFont="1" applyBorder="1" applyProtection="1">
      <protection hidden="1"/>
    </xf>
    <xf numFmtId="3" fontId="12" fillId="0" borderId="71" xfId="0" applyNumberFormat="1" applyFont="1" applyBorder="1" applyProtection="1">
      <protection hidden="1"/>
    </xf>
    <xf numFmtId="3" fontId="13" fillId="0" borderId="66" xfId="0" applyNumberFormat="1" applyFont="1" applyBorder="1" applyProtection="1">
      <protection hidden="1"/>
    </xf>
    <xf numFmtId="0" fontId="13" fillId="4" borderId="4" xfId="0" applyFont="1" applyFill="1" applyBorder="1"/>
    <xf numFmtId="0" fontId="12" fillId="4" borderId="4" xfId="0" applyFont="1" applyFill="1" applyBorder="1" applyProtection="1">
      <protection hidden="1"/>
    </xf>
    <xf numFmtId="172" fontId="0" fillId="0" borderId="0" xfId="1" applyNumberFormat="1" applyFont="1"/>
    <xf numFmtId="3" fontId="0" fillId="0" borderId="5" xfId="0" applyNumberFormat="1" applyBorder="1" applyAlignment="1" applyProtection="1">
      <alignment vertical="center"/>
      <protection hidden="1"/>
    </xf>
    <xf numFmtId="0" fontId="5" fillId="0" borderId="68" xfId="0" applyFont="1" applyBorder="1" applyAlignment="1" applyProtection="1">
      <alignment horizontal="center"/>
      <protection locked="0" hidden="1"/>
    </xf>
    <xf numFmtId="0" fontId="3" fillId="0" borderId="68" xfId="0" applyFont="1" applyBorder="1" applyAlignment="1" applyProtection="1">
      <alignment horizontal="center"/>
      <protection locked="0"/>
    </xf>
    <xf numFmtId="3" fontId="0" fillId="0" borderId="69" xfId="0" applyNumberFormat="1" applyBorder="1" applyAlignment="1" applyProtection="1">
      <alignment horizontal="center" vertical="center"/>
      <protection hidden="1"/>
    </xf>
    <xf numFmtId="3" fontId="3" fillId="2" borderId="69" xfId="0" applyNumberFormat="1" applyFont="1" applyFill="1" applyBorder="1"/>
    <xf numFmtId="3" fontId="3" fillId="2" borderId="70" xfId="0" applyNumberFormat="1" applyFont="1" applyFill="1" applyBorder="1"/>
    <xf numFmtId="0" fontId="0" fillId="0" borderId="108" xfId="0" applyBorder="1"/>
    <xf numFmtId="43" fontId="0" fillId="0" borderId="0" xfId="1" applyFont="1" applyBorder="1"/>
    <xf numFmtId="43" fontId="0" fillId="0" borderId="108" xfId="1" applyFont="1" applyBorder="1"/>
    <xf numFmtId="43" fontId="0" fillId="0" borderId="0" xfId="1" applyFont="1" applyFill="1" applyBorder="1"/>
    <xf numFmtId="43" fontId="0" fillId="0" borderId="0" xfId="1" applyFont="1"/>
    <xf numFmtId="0" fontId="13" fillId="14" borderId="71" xfId="0" applyFont="1" applyFill="1" applyBorder="1" applyProtection="1">
      <protection hidden="1"/>
    </xf>
    <xf numFmtId="0" fontId="0" fillId="0" borderId="0" xfId="0" applyAlignment="1">
      <alignment horizontal="center"/>
    </xf>
    <xf numFmtId="0" fontId="5" fillId="0" borderId="0" xfId="0" applyFont="1" applyAlignment="1">
      <alignment horizontal="center" vertical="center"/>
    </xf>
    <xf numFmtId="0" fontId="33" fillId="0" borderId="84" xfId="0" applyFont="1" applyBorder="1" applyAlignment="1">
      <alignment horizontal="center" vertical="center" wrapText="1"/>
    </xf>
    <xf numFmtId="0" fontId="33" fillId="0" borderId="85" xfId="0" applyFont="1" applyBorder="1" applyAlignment="1">
      <alignment horizontal="center" vertical="center" wrapText="1"/>
    </xf>
    <xf numFmtId="0" fontId="33" fillId="0" borderId="84" xfId="0" applyFont="1" applyBorder="1" applyAlignment="1">
      <alignment horizontal="justify" vertical="center" wrapText="1"/>
    </xf>
    <xf numFmtId="0" fontId="33" fillId="0" borderId="85" xfId="0" applyFont="1" applyBorder="1" applyAlignment="1">
      <alignment horizontal="justify" vertical="center" wrapText="1"/>
    </xf>
    <xf numFmtId="3" fontId="12" fillId="10" borderId="102" xfId="0" applyNumberFormat="1" applyFont="1" applyFill="1" applyBorder="1" applyAlignment="1" applyProtection="1">
      <alignment horizontal="center" vertical="center"/>
      <protection hidden="1"/>
    </xf>
    <xf numFmtId="3" fontId="12" fillId="10" borderId="104" xfId="0" applyNumberFormat="1" applyFont="1" applyFill="1" applyBorder="1" applyAlignment="1" applyProtection="1">
      <alignment horizontal="center" vertical="center"/>
      <protection hidden="1"/>
    </xf>
    <xf numFmtId="0" fontId="14" fillId="7" borderId="67" xfId="0" applyFont="1" applyFill="1" applyBorder="1" applyAlignment="1">
      <alignment horizontal="center"/>
    </xf>
    <xf numFmtId="0" fontId="14" fillId="7" borderId="75" xfId="0" applyFont="1" applyFill="1" applyBorder="1" applyAlignment="1">
      <alignment horizontal="center"/>
    </xf>
    <xf numFmtId="0" fontId="40" fillId="4" borderId="0" xfId="0" applyFont="1" applyFill="1" applyAlignment="1" applyProtection="1">
      <alignment horizontal="left"/>
      <protection hidden="1"/>
    </xf>
    <xf numFmtId="0" fontId="9" fillId="6" borderId="9" xfId="0" applyFont="1" applyFill="1" applyBorder="1" applyAlignment="1">
      <alignment horizontal="center"/>
    </xf>
    <xf numFmtId="0" fontId="9" fillId="6" borderId="10" xfId="0" applyFont="1" applyFill="1" applyBorder="1" applyAlignment="1">
      <alignment horizontal="center"/>
    </xf>
    <xf numFmtId="0" fontId="9" fillId="6" borderId="11" xfId="0" applyFont="1" applyFill="1" applyBorder="1" applyAlignment="1">
      <alignment horizontal="center"/>
    </xf>
    <xf numFmtId="0" fontId="9" fillId="12" borderId="9" xfId="0" applyFont="1" applyFill="1" applyBorder="1" applyAlignment="1">
      <alignment horizontal="center"/>
    </xf>
    <xf numFmtId="0" fontId="9" fillId="12" borderId="10" xfId="0" applyFont="1" applyFill="1" applyBorder="1" applyAlignment="1">
      <alignment horizontal="center"/>
    </xf>
    <xf numFmtId="0" fontId="9" fillId="12" borderId="95" xfId="0" applyFont="1" applyFill="1" applyBorder="1" applyAlignment="1">
      <alignment horizontal="center"/>
    </xf>
    <xf numFmtId="0" fontId="13" fillId="0" borderId="47" xfId="0" applyFont="1" applyBorder="1" applyAlignment="1">
      <alignment horizontal="center" vertical="center"/>
    </xf>
    <xf numFmtId="0" fontId="13" fillId="0" borderId="48" xfId="0" applyFont="1" applyBorder="1" applyAlignment="1">
      <alignment horizontal="center" vertical="center"/>
    </xf>
    <xf numFmtId="0" fontId="13" fillId="0" borderId="41" xfId="0" applyFont="1" applyBorder="1" applyAlignment="1">
      <alignment horizontal="center" vertical="center"/>
    </xf>
    <xf numFmtId="0" fontId="13" fillId="0" borderId="42" xfId="0" applyFont="1" applyBorder="1" applyAlignment="1">
      <alignment horizontal="center" vertical="center"/>
    </xf>
    <xf numFmtId="0" fontId="13" fillId="0" borderId="44" xfId="0" applyFont="1" applyBorder="1" applyAlignment="1">
      <alignment horizontal="center" vertical="center"/>
    </xf>
    <xf numFmtId="0" fontId="13" fillId="0" borderId="45" xfId="0" applyFont="1" applyBorder="1" applyAlignment="1">
      <alignment horizontal="center" vertical="center"/>
    </xf>
    <xf numFmtId="3" fontId="13" fillId="5" borderId="9" xfId="0" applyNumberFormat="1" applyFont="1" applyFill="1" applyBorder="1" applyAlignment="1" applyProtection="1">
      <alignment horizontal="center"/>
      <protection locked="0"/>
    </xf>
    <xf numFmtId="3" fontId="13" fillId="5" borderId="11" xfId="0" applyNumberFormat="1" applyFont="1" applyFill="1" applyBorder="1" applyAlignment="1" applyProtection="1">
      <alignment horizontal="center"/>
      <protection locked="0"/>
    </xf>
    <xf numFmtId="0" fontId="13" fillId="4" borderId="0" xfId="0" applyFont="1" applyFill="1" applyAlignment="1">
      <alignment horizontal="center" vertical="center"/>
    </xf>
    <xf numFmtId="3" fontId="13" fillId="3" borderId="9" xfId="0" applyNumberFormat="1" applyFont="1" applyFill="1" applyBorder="1" applyAlignment="1" applyProtection="1">
      <alignment horizontal="center"/>
      <protection locked="0"/>
    </xf>
    <xf numFmtId="3" fontId="13" fillId="3" borderId="11" xfId="0" applyNumberFormat="1" applyFont="1" applyFill="1" applyBorder="1" applyAlignment="1" applyProtection="1">
      <alignment horizontal="center"/>
      <protection locked="0"/>
    </xf>
    <xf numFmtId="166" fontId="12" fillId="10" borderId="55" xfId="0" applyNumberFormat="1" applyFont="1" applyFill="1" applyBorder="1" applyAlignment="1" applyProtection="1">
      <alignment horizontal="center" vertical="center"/>
      <protection hidden="1"/>
    </xf>
    <xf numFmtId="166" fontId="12" fillId="10" borderId="73" xfId="0" applyNumberFormat="1" applyFont="1" applyFill="1" applyBorder="1" applyAlignment="1" applyProtection="1">
      <alignment horizontal="center" vertical="center"/>
      <protection hidden="1"/>
    </xf>
    <xf numFmtId="0" fontId="5" fillId="0" borderId="80" xfId="0" applyFont="1" applyBorder="1" applyAlignment="1">
      <alignment horizontal="center"/>
    </xf>
    <xf numFmtId="0" fontId="5" fillId="0" borderId="81" xfId="0" applyFont="1" applyBorder="1" applyAlignment="1">
      <alignment horizontal="center"/>
    </xf>
    <xf numFmtId="0" fontId="5" fillId="0" borderId="82" xfId="0" applyFont="1" applyBorder="1" applyAlignment="1">
      <alignment horizontal="center"/>
    </xf>
    <xf numFmtId="0" fontId="5" fillId="0" borderId="83" xfId="0" applyFont="1" applyBorder="1" applyAlignment="1">
      <alignment horizontal="center"/>
    </xf>
    <xf numFmtId="0" fontId="27" fillId="4" borderId="0" xfId="0" applyFont="1" applyFill="1" applyAlignment="1">
      <alignment horizontal="center"/>
    </xf>
    <xf numFmtId="0" fontId="27" fillId="4" borderId="7" xfId="0" applyFont="1" applyFill="1" applyBorder="1" applyAlignment="1">
      <alignment horizontal="center"/>
    </xf>
    <xf numFmtId="0" fontId="42" fillId="0" borderId="9" xfId="0" applyFont="1" applyBorder="1" applyAlignment="1">
      <alignment horizontal="center"/>
    </xf>
    <xf numFmtId="0" fontId="42" fillId="0" borderId="10" xfId="0" applyFont="1" applyBorder="1" applyAlignment="1">
      <alignment horizontal="center"/>
    </xf>
    <xf numFmtId="0" fontId="42" fillId="0" borderId="11" xfId="0" applyFont="1" applyBorder="1" applyAlignment="1">
      <alignment horizontal="center"/>
    </xf>
    <xf numFmtId="0" fontId="13" fillId="10" borderId="103" xfId="0" applyFont="1" applyFill="1" applyBorder="1" applyAlignment="1" applyProtection="1">
      <alignment horizontal="center"/>
      <protection locked="0"/>
    </xf>
    <xf numFmtId="0" fontId="13" fillId="10" borderId="105" xfId="0" applyFont="1" applyFill="1" applyBorder="1" applyAlignment="1" applyProtection="1">
      <alignment horizontal="center"/>
      <protection locked="0"/>
    </xf>
    <xf numFmtId="0" fontId="12" fillId="0" borderId="9" xfId="0" applyFont="1" applyBorder="1" applyAlignment="1" applyProtection="1">
      <alignment horizontal="center"/>
      <protection hidden="1"/>
    </xf>
    <xf numFmtId="0" fontId="12" fillId="0" borderId="10" xfId="0" applyFont="1" applyBorder="1" applyAlignment="1" applyProtection="1">
      <alignment horizontal="center"/>
      <protection hidden="1"/>
    </xf>
    <xf numFmtId="0" fontId="12" fillId="0" borderId="11" xfId="0" applyFont="1" applyBorder="1" applyAlignment="1" applyProtection="1">
      <alignment horizontal="center"/>
      <protection hidden="1"/>
    </xf>
    <xf numFmtId="0" fontId="13" fillId="4" borderId="0" xfId="0" applyFont="1" applyFill="1" applyAlignment="1">
      <alignment horizontal="center"/>
    </xf>
    <xf numFmtId="0" fontId="39" fillId="4" borderId="1" xfId="0" applyFont="1" applyFill="1" applyBorder="1" applyAlignment="1" applyProtection="1">
      <alignment horizontal="center" vertical="center"/>
      <protection hidden="1"/>
    </xf>
    <xf numFmtId="0" fontId="39" fillId="4" borderId="4" xfId="0" applyFont="1" applyFill="1" applyBorder="1" applyAlignment="1" applyProtection="1">
      <alignment horizontal="center" vertical="center"/>
      <protection hidden="1"/>
    </xf>
    <xf numFmtId="0" fontId="12" fillId="4" borderId="3" xfId="0" applyFont="1" applyFill="1" applyBorder="1" applyAlignment="1">
      <alignment horizontal="center" vertical="center"/>
    </xf>
    <xf numFmtId="0" fontId="12" fillId="4" borderId="5" xfId="0" applyFont="1" applyFill="1" applyBorder="1" applyAlignment="1">
      <alignment horizontal="center" vertical="center"/>
    </xf>
    <xf numFmtId="0" fontId="5" fillId="0" borderId="91" xfId="0" applyFont="1" applyBorder="1" applyAlignment="1">
      <alignment horizontal="center"/>
    </xf>
    <xf numFmtId="0" fontId="5" fillId="0" borderId="92" xfId="0" applyFont="1" applyBorder="1" applyAlignment="1">
      <alignment horizontal="center"/>
    </xf>
    <xf numFmtId="0" fontId="7" fillId="4" borderId="0" xfId="0" applyFont="1" applyFill="1" applyAlignment="1" applyProtection="1">
      <alignment horizontal="center"/>
      <protection hidden="1"/>
    </xf>
    <xf numFmtId="0" fontId="12" fillId="4" borderId="0" xfId="0" applyFont="1" applyFill="1" applyAlignment="1">
      <alignment horizontal="left"/>
    </xf>
    <xf numFmtId="0" fontId="9" fillId="12" borderId="11" xfId="0" applyFont="1" applyFill="1" applyBorder="1" applyAlignment="1">
      <alignment horizontal="center"/>
    </xf>
    <xf numFmtId="0" fontId="41" fillId="4" borderId="2" xfId="0" applyFont="1" applyFill="1" applyBorder="1" applyAlignment="1">
      <alignment horizontal="center" vertical="center"/>
    </xf>
    <xf numFmtId="0" fontId="41" fillId="4" borderId="7" xfId="0" applyFont="1" applyFill="1" applyBorder="1" applyAlignment="1">
      <alignment horizontal="center" vertical="center"/>
    </xf>
    <xf numFmtId="0" fontId="40" fillId="4" borderId="0" xfId="0" applyFont="1" applyFill="1" applyAlignment="1" applyProtection="1">
      <alignment horizontal="center"/>
      <protection hidden="1"/>
    </xf>
    <xf numFmtId="0" fontId="13" fillId="10" borderId="67" xfId="0" applyFont="1" applyFill="1" applyBorder="1" applyAlignment="1">
      <alignment horizontal="center" vertical="center" wrapText="1"/>
    </xf>
    <xf numFmtId="0" fontId="13" fillId="10" borderId="63" xfId="0" applyFont="1" applyFill="1" applyBorder="1" applyAlignment="1">
      <alignment horizontal="center" vertical="center" wrapText="1"/>
    </xf>
    <xf numFmtId="0" fontId="0" fillId="10" borderId="9" xfId="0" applyFill="1" applyBorder="1" applyAlignment="1" applyProtection="1">
      <alignment horizontal="center" vertical="center"/>
      <protection hidden="1"/>
    </xf>
    <xf numFmtId="0" fontId="0" fillId="10" borderId="11" xfId="0" applyFill="1" applyBorder="1" applyAlignment="1" applyProtection="1">
      <alignment horizontal="center" vertical="center"/>
      <protection hidden="1"/>
    </xf>
    <xf numFmtId="3" fontId="5" fillId="10" borderId="9" xfId="0" applyNumberFormat="1" applyFont="1" applyFill="1" applyBorder="1" applyAlignment="1" applyProtection="1">
      <alignment horizontal="center" vertical="center"/>
      <protection hidden="1"/>
    </xf>
    <xf numFmtId="3" fontId="5" fillId="10" borderId="11" xfId="0" applyNumberFormat="1" applyFont="1" applyFill="1" applyBorder="1" applyAlignment="1" applyProtection="1">
      <alignment horizontal="center" vertical="center"/>
      <protection hidden="1"/>
    </xf>
    <xf numFmtId="0" fontId="1" fillId="10" borderId="67" xfId="0" applyFont="1" applyFill="1" applyBorder="1" applyAlignment="1" applyProtection="1">
      <alignment horizontal="center"/>
      <protection locked="0" hidden="1"/>
    </xf>
    <xf numFmtId="0" fontId="1" fillId="10" borderId="63" xfId="0" applyFont="1" applyFill="1" applyBorder="1" applyAlignment="1" applyProtection="1">
      <alignment horizontal="center"/>
      <protection locked="0" hidden="1"/>
    </xf>
    <xf numFmtId="0" fontId="1" fillId="10" borderId="66" xfId="0" applyFont="1" applyFill="1" applyBorder="1" applyAlignment="1" applyProtection="1">
      <alignment horizontal="center"/>
      <protection locked="0" hidden="1"/>
    </xf>
    <xf numFmtId="0" fontId="10" fillId="0" borderId="45" xfId="0" quotePrefix="1" applyFont="1" applyBorder="1" applyAlignment="1" applyProtection="1">
      <alignment horizontal="center" vertical="center"/>
      <protection hidden="1"/>
    </xf>
    <xf numFmtId="0" fontId="0" fillId="0" borderId="45" xfId="0" applyBorder="1" applyAlignment="1" applyProtection="1">
      <alignment horizontal="center" vertical="center" wrapText="1"/>
      <protection hidden="1"/>
    </xf>
    <xf numFmtId="0" fontId="0" fillId="0" borderId="41" xfId="0" applyBorder="1" applyAlignment="1" applyProtection="1">
      <alignment horizontal="center" vertical="center"/>
      <protection hidden="1"/>
    </xf>
    <xf numFmtId="0" fontId="0" fillId="0" borderId="42" xfId="0" applyBorder="1" applyAlignment="1" applyProtection="1">
      <alignment horizontal="center" vertical="center"/>
      <protection hidden="1"/>
    </xf>
    <xf numFmtId="0" fontId="0" fillId="0" borderId="61" xfId="0" applyBorder="1" applyAlignment="1" applyProtection="1">
      <alignment horizontal="center" vertical="center"/>
      <protection hidden="1"/>
    </xf>
    <xf numFmtId="0" fontId="0" fillId="0" borderId="44" xfId="0" applyBorder="1" applyAlignment="1" applyProtection="1">
      <alignment horizontal="center" vertical="center"/>
      <protection hidden="1"/>
    </xf>
    <xf numFmtId="0" fontId="0" fillId="0" borderId="45" xfId="0" applyBorder="1" applyAlignment="1" applyProtection="1">
      <alignment horizontal="center" vertical="center"/>
      <protection hidden="1"/>
    </xf>
    <xf numFmtId="0" fontId="0" fillId="0" borderId="36" xfId="0" applyBorder="1" applyAlignment="1" applyProtection="1">
      <alignment horizontal="center" vertical="center"/>
      <protection hidden="1"/>
    </xf>
    <xf numFmtId="3" fontId="0" fillId="0" borderId="12" xfId="0" applyNumberFormat="1" applyBorder="1" applyAlignment="1" applyProtection="1">
      <alignment horizontal="center" vertical="center"/>
      <protection hidden="1"/>
    </xf>
    <xf numFmtId="3" fontId="0" fillId="0" borderId="20" xfId="0" applyNumberFormat="1" applyBorder="1" applyAlignment="1" applyProtection="1">
      <alignment horizontal="center" vertical="center"/>
      <protection hidden="1"/>
    </xf>
    <xf numFmtId="3" fontId="0" fillId="0" borderId="21" xfId="0" applyNumberFormat="1" applyBorder="1" applyAlignment="1" applyProtection="1">
      <alignment horizontal="center" vertical="center"/>
      <protection hidden="1"/>
    </xf>
    <xf numFmtId="3" fontId="0" fillId="0" borderId="23" xfId="0" applyNumberFormat="1" applyBorder="1" applyAlignment="1" applyProtection="1">
      <alignment horizontal="center" vertical="center"/>
      <protection hidden="1"/>
    </xf>
    <xf numFmtId="3" fontId="0" fillId="0" borderId="24" xfId="0" applyNumberFormat="1" applyBorder="1" applyAlignment="1" applyProtection="1">
      <alignment horizontal="center" vertical="center"/>
      <protection hidden="1"/>
    </xf>
    <xf numFmtId="3" fontId="0" fillId="0" borderId="25" xfId="0" applyNumberFormat="1" applyBorder="1" applyAlignment="1" applyProtection="1">
      <alignment horizontal="center" vertical="center"/>
      <protection hidden="1"/>
    </xf>
    <xf numFmtId="3" fontId="0" fillId="0" borderId="28" xfId="0" applyNumberFormat="1" applyBorder="1" applyAlignment="1" applyProtection="1">
      <alignment horizontal="center" vertical="center"/>
      <protection hidden="1"/>
    </xf>
    <xf numFmtId="3" fontId="0" fillId="0" borderId="27" xfId="0" applyNumberFormat="1" applyBorder="1" applyAlignment="1" applyProtection="1">
      <alignment horizontal="center" vertical="center"/>
      <protection hidden="1"/>
    </xf>
    <xf numFmtId="0" fontId="0" fillId="0" borderId="3" xfId="0" applyBorder="1" applyAlignment="1" applyProtection="1">
      <alignment horizontal="left"/>
      <protection hidden="1"/>
    </xf>
    <xf numFmtId="0" fontId="0" fillId="0" borderId="8" xfId="0" applyBorder="1" applyAlignment="1" applyProtection="1">
      <alignment horizontal="left"/>
      <protection hidden="1"/>
    </xf>
    <xf numFmtId="3" fontId="5" fillId="10" borderId="58" xfId="0" applyNumberFormat="1" applyFont="1" applyFill="1" applyBorder="1" applyAlignment="1" applyProtection="1">
      <alignment horizontal="center" vertical="center"/>
      <protection hidden="1"/>
    </xf>
    <xf numFmtId="170" fontId="38" fillId="10" borderId="9" xfId="1" applyNumberFormat="1" applyFont="1" applyFill="1" applyBorder="1" applyAlignment="1">
      <alignment horizontal="center" vertical="center"/>
    </xf>
    <xf numFmtId="170" fontId="38" fillId="10" borderId="11" xfId="1" applyNumberFormat="1" applyFont="1" applyFill="1" applyBorder="1" applyAlignment="1">
      <alignment horizontal="center" vertical="center"/>
    </xf>
    <xf numFmtId="0" fontId="0" fillId="0" borderId="1" xfId="0" applyBorder="1" applyAlignment="1" applyProtection="1">
      <alignment vertical="center"/>
      <protection hidden="1"/>
    </xf>
    <xf numFmtId="0" fontId="0" fillId="0" borderId="2" xfId="0" applyBorder="1" applyAlignment="1" applyProtection="1">
      <alignment vertical="center"/>
      <protection hidden="1"/>
    </xf>
    <xf numFmtId="0" fontId="0" fillId="0" borderId="4" xfId="0" applyBorder="1" applyAlignment="1" applyProtection="1">
      <alignment vertical="center"/>
      <protection hidden="1"/>
    </xf>
    <xf numFmtId="0" fontId="0" fillId="0" borderId="0" xfId="0" applyAlignment="1" applyProtection="1">
      <alignment vertical="center"/>
      <protection hidden="1"/>
    </xf>
    <xf numFmtId="0" fontId="3" fillId="0" borderId="39" xfId="0" applyFont="1" applyBorder="1" applyAlignment="1" applyProtection="1">
      <alignment horizontal="center" vertical="center"/>
      <protection locked="0"/>
    </xf>
    <xf numFmtId="0" fontId="3" fillId="0" borderId="52" xfId="0" applyFont="1" applyBorder="1" applyAlignment="1" applyProtection="1">
      <alignment horizontal="center" vertical="center"/>
      <protection locked="0"/>
    </xf>
    <xf numFmtId="1" fontId="3" fillId="0" borderId="54" xfId="0" applyNumberFormat="1" applyFont="1" applyBorder="1" applyAlignment="1">
      <alignment horizontal="center" vertical="center"/>
    </xf>
    <xf numFmtId="1" fontId="3" fillId="0" borderId="51" xfId="0" applyNumberFormat="1" applyFont="1" applyBorder="1" applyAlignment="1">
      <alignment horizontal="center" vertical="center"/>
    </xf>
    <xf numFmtId="3" fontId="0" fillId="0" borderId="13" xfId="0" applyNumberFormat="1" applyBorder="1" applyAlignment="1" applyProtection="1">
      <alignment horizontal="center" vertical="center"/>
      <protection hidden="1"/>
    </xf>
    <xf numFmtId="0" fontId="0" fillId="0" borderId="1" xfId="0" applyBorder="1" applyAlignment="1" applyProtection="1">
      <alignment vertical="center" wrapText="1"/>
      <protection hidden="1"/>
    </xf>
    <xf numFmtId="0" fontId="0" fillId="0" borderId="2" xfId="0" applyBorder="1" applyAlignment="1" applyProtection="1">
      <alignment vertical="center" wrapText="1"/>
      <protection hidden="1"/>
    </xf>
    <xf numFmtId="0" fontId="0" fillId="0" borderId="4" xfId="0" applyBorder="1" applyAlignment="1" applyProtection="1">
      <alignment vertical="center" wrapText="1"/>
      <protection hidden="1"/>
    </xf>
    <xf numFmtId="0" fontId="0" fillId="0" borderId="0" xfId="0" applyAlignment="1" applyProtection="1">
      <alignment vertical="center" wrapText="1"/>
      <protection hidden="1"/>
    </xf>
    <xf numFmtId="0" fontId="0" fillId="0" borderId="6" xfId="0" applyBorder="1" applyAlignment="1" applyProtection="1">
      <alignment vertical="center" wrapText="1"/>
      <protection hidden="1"/>
    </xf>
    <xf numFmtId="0" fontId="0" fillId="0" borderId="7" xfId="0" applyBorder="1" applyAlignment="1" applyProtection="1">
      <alignment vertical="center" wrapText="1"/>
      <protection hidden="1"/>
    </xf>
    <xf numFmtId="0" fontId="0" fillId="0" borderId="6" xfId="0" applyBorder="1" applyAlignment="1" applyProtection="1">
      <alignment vertical="center"/>
      <protection hidden="1"/>
    </xf>
    <xf numFmtId="0" fontId="0" fillId="0" borderId="7" xfId="0" applyBorder="1" applyAlignment="1" applyProtection="1">
      <alignment vertical="center"/>
      <protection hidden="1"/>
    </xf>
    <xf numFmtId="0" fontId="5" fillId="0" borderId="1" xfId="0" applyFont="1" applyBorder="1" applyAlignment="1" applyProtection="1">
      <alignment vertical="center"/>
      <protection hidden="1"/>
    </xf>
    <xf numFmtId="0" fontId="5" fillId="0" borderId="2" xfId="0" applyFont="1" applyBorder="1" applyAlignment="1" applyProtection="1">
      <alignment vertical="center"/>
      <protection hidden="1"/>
    </xf>
    <xf numFmtId="0" fontId="5" fillId="0" borderId="4" xfId="0" applyFont="1" applyBorder="1" applyAlignment="1" applyProtection="1">
      <alignment vertical="center"/>
      <protection hidden="1"/>
    </xf>
    <xf numFmtId="0" fontId="5" fillId="0" borderId="0" xfId="0" applyFont="1" applyAlignment="1" applyProtection="1">
      <alignment vertical="center"/>
      <protection hidden="1"/>
    </xf>
    <xf numFmtId="0" fontId="5" fillId="0" borderId="6" xfId="0" applyFont="1" applyBorder="1" applyAlignment="1" applyProtection="1">
      <alignment vertical="center"/>
      <protection hidden="1"/>
    </xf>
    <xf numFmtId="0" fontId="5" fillId="0" borderId="7" xfId="0" applyFont="1" applyBorder="1" applyAlignment="1" applyProtection="1">
      <alignment vertical="center"/>
      <protection hidden="1"/>
    </xf>
    <xf numFmtId="3" fontId="0" fillId="0" borderId="38" xfId="0" applyNumberFormat="1" applyBorder="1" applyAlignment="1" applyProtection="1">
      <alignment horizontal="center" vertical="center"/>
      <protection hidden="1"/>
    </xf>
    <xf numFmtId="3" fontId="0" fillId="0" borderId="8" xfId="0" applyNumberFormat="1" applyBorder="1" applyAlignment="1" applyProtection="1">
      <alignment horizontal="center" vertical="center"/>
      <protection hidden="1"/>
    </xf>
    <xf numFmtId="3" fontId="19" fillId="10" borderId="40" xfId="0" applyNumberFormat="1" applyFont="1" applyFill="1" applyBorder="1" applyAlignment="1" applyProtection="1">
      <alignment horizontal="center" vertical="center"/>
      <protection hidden="1"/>
    </xf>
    <xf numFmtId="3" fontId="19" fillId="10" borderId="11" xfId="0" applyNumberFormat="1" applyFont="1" applyFill="1" applyBorder="1" applyAlignment="1" applyProtection="1">
      <alignment horizontal="center" vertical="center"/>
      <protection hidden="1"/>
    </xf>
    <xf numFmtId="3" fontId="0" fillId="10" borderId="4" xfId="0" applyNumberFormat="1" applyFill="1" applyBorder="1" applyAlignment="1" applyProtection="1">
      <alignment horizontal="center" vertical="center"/>
      <protection hidden="1"/>
    </xf>
    <xf numFmtId="3" fontId="0" fillId="10" borderId="0" xfId="0" applyNumberFormat="1" applyFill="1" applyAlignment="1" applyProtection="1">
      <alignment horizontal="center" vertical="center"/>
      <protection hidden="1"/>
    </xf>
    <xf numFmtId="3" fontId="19" fillId="10" borderId="38" xfId="0" applyNumberFormat="1" applyFont="1" applyFill="1" applyBorder="1" applyAlignment="1" applyProtection="1">
      <alignment horizontal="center" vertical="center"/>
      <protection hidden="1"/>
    </xf>
    <xf numFmtId="3" fontId="19" fillId="10" borderId="14" xfId="0" applyNumberFormat="1" applyFont="1" applyFill="1" applyBorder="1" applyAlignment="1" applyProtection="1">
      <alignment horizontal="center" vertical="center"/>
      <protection hidden="1"/>
    </xf>
    <xf numFmtId="2" fontId="19" fillId="10" borderId="38" xfId="0" applyNumberFormat="1" applyFont="1" applyFill="1" applyBorder="1" applyAlignment="1" applyProtection="1">
      <alignment horizontal="center" vertical="center"/>
      <protection hidden="1"/>
    </xf>
    <xf numFmtId="2" fontId="19" fillId="10" borderId="8" xfId="0" applyNumberFormat="1" applyFont="1" applyFill="1" applyBorder="1" applyAlignment="1" applyProtection="1">
      <alignment horizontal="center" vertical="center"/>
      <protection hidden="1"/>
    </xf>
    <xf numFmtId="0" fontId="5" fillId="0" borderId="42" xfId="0" applyFont="1" applyBorder="1" applyAlignment="1" applyProtection="1">
      <alignment horizontal="center" vertical="center"/>
      <protection hidden="1"/>
    </xf>
    <xf numFmtId="0" fontId="5" fillId="0" borderId="61" xfId="0" applyFont="1"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6" xfId="0" applyBorder="1" applyAlignment="1" applyProtection="1">
      <alignment horizontal="center" vertical="center"/>
      <protection hidden="1"/>
    </xf>
    <xf numFmtId="0" fontId="0" fillId="0" borderId="14" xfId="0" applyBorder="1" applyAlignment="1" applyProtection="1">
      <alignment horizontal="center" vertical="center"/>
      <protection hidden="1"/>
    </xf>
    <xf numFmtId="3" fontId="0" fillId="0" borderId="37" xfId="0" applyNumberFormat="1" applyBorder="1" applyAlignment="1" applyProtection="1">
      <alignment horizontal="center" vertical="center"/>
      <protection hidden="1"/>
    </xf>
    <xf numFmtId="3" fontId="0" fillId="0" borderId="3" xfId="0" applyNumberFormat="1" applyBorder="1" applyAlignment="1" applyProtection="1">
      <alignment horizontal="center" vertical="center"/>
      <protection hidden="1"/>
    </xf>
    <xf numFmtId="3" fontId="0" fillId="0" borderId="40" xfId="0" applyNumberFormat="1" applyBorder="1" applyAlignment="1" applyProtection="1">
      <alignment horizontal="center" vertical="center"/>
      <protection hidden="1"/>
    </xf>
    <xf numFmtId="3" fontId="0" fillId="0" borderId="11" xfId="0" applyNumberFormat="1" applyBorder="1" applyAlignment="1" applyProtection="1">
      <alignment horizontal="center" vertical="center"/>
      <protection hidden="1"/>
    </xf>
    <xf numFmtId="0" fontId="5" fillId="0" borderId="9" xfId="0" applyFont="1" applyBorder="1" applyAlignment="1" applyProtection="1">
      <alignment vertical="center"/>
      <protection hidden="1"/>
    </xf>
    <xf numFmtId="0" fontId="5" fillId="0" borderId="10" xfId="0" applyFont="1" applyBorder="1" applyAlignment="1" applyProtection="1">
      <alignment vertical="center"/>
      <protection hidden="1"/>
    </xf>
    <xf numFmtId="3" fontId="0" fillId="0" borderId="29" xfId="0" applyNumberFormat="1" applyBorder="1" applyAlignment="1" applyProtection="1">
      <alignment horizontal="center" vertical="center"/>
      <protection hidden="1"/>
    </xf>
    <xf numFmtId="3" fontId="0" fillId="0" borderId="30" xfId="0" applyNumberFormat="1" applyBorder="1" applyAlignment="1" applyProtection="1">
      <alignment horizontal="center" vertical="center"/>
      <protection hidden="1"/>
    </xf>
    <xf numFmtId="3" fontId="0" fillId="0" borderId="31" xfId="0" applyNumberFormat="1" applyBorder="1" applyAlignment="1" applyProtection="1">
      <alignment horizontal="center" vertical="center"/>
      <protection hidden="1"/>
    </xf>
    <xf numFmtId="0" fontId="5" fillId="0" borderId="9" xfId="0" applyFont="1" applyBorder="1" applyAlignment="1" applyProtection="1">
      <alignment horizontal="center" vertical="center"/>
      <protection hidden="1"/>
    </xf>
    <xf numFmtId="0" fontId="5" fillId="0" borderId="10" xfId="0" applyFont="1" applyBorder="1" applyAlignment="1" applyProtection="1">
      <alignment horizontal="center" vertical="center"/>
      <protection hidden="1"/>
    </xf>
    <xf numFmtId="0" fontId="5" fillId="0" borderId="11" xfId="0" applyFont="1" applyBorder="1" applyAlignment="1" applyProtection="1">
      <alignment horizontal="center" vertical="center"/>
      <protection hidden="1"/>
    </xf>
    <xf numFmtId="3" fontId="19" fillId="10" borderId="32" xfId="0" applyNumberFormat="1" applyFont="1" applyFill="1" applyBorder="1" applyAlignment="1" applyProtection="1">
      <alignment horizontal="center" vertical="center"/>
      <protection hidden="1"/>
    </xf>
    <xf numFmtId="3" fontId="3" fillId="10" borderId="9" xfId="0" applyNumberFormat="1" applyFont="1" applyFill="1" applyBorder="1" applyAlignment="1" applyProtection="1">
      <alignment horizontal="center"/>
      <protection locked="0"/>
    </xf>
    <xf numFmtId="3" fontId="3" fillId="10" borderId="11" xfId="0" applyNumberFormat="1" applyFont="1" applyFill="1" applyBorder="1" applyAlignment="1" applyProtection="1">
      <alignment horizontal="center"/>
      <protection locked="0"/>
    </xf>
    <xf numFmtId="0" fontId="3" fillId="10" borderId="9" xfId="0" applyFont="1" applyFill="1" applyBorder="1" applyAlignment="1" applyProtection="1">
      <alignment horizontal="center"/>
      <protection locked="0"/>
    </xf>
    <xf numFmtId="0" fontId="3" fillId="10" borderId="11" xfId="0" applyFont="1" applyFill="1" applyBorder="1" applyAlignment="1" applyProtection="1">
      <alignment horizontal="center"/>
      <protection locked="0"/>
    </xf>
    <xf numFmtId="0" fontId="0" fillId="0" borderId="9" xfId="0" applyBorder="1" applyAlignment="1" applyProtection="1">
      <alignment vertical="center"/>
      <protection hidden="1"/>
    </xf>
    <xf numFmtId="0" fontId="0" fillId="0" borderId="10" xfId="0" applyBorder="1" applyAlignment="1" applyProtection="1">
      <alignment vertical="center"/>
      <protection hidden="1"/>
    </xf>
    <xf numFmtId="3" fontId="5" fillId="0" borderId="12" xfId="0" applyNumberFormat="1" applyFont="1" applyBorder="1" applyAlignment="1" applyProtection="1">
      <alignment vertical="center"/>
      <protection hidden="1"/>
    </xf>
    <xf numFmtId="3" fontId="5" fillId="0" borderId="20" xfId="0" applyNumberFormat="1" applyFont="1" applyBorder="1" applyAlignment="1" applyProtection="1">
      <alignment vertical="center"/>
      <protection hidden="1"/>
    </xf>
    <xf numFmtId="3" fontId="5" fillId="0" borderId="13" xfId="0" applyNumberFormat="1" applyFont="1" applyBorder="1" applyAlignment="1" applyProtection="1">
      <alignment vertical="center"/>
      <protection hidden="1"/>
    </xf>
    <xf numFmtId="0" fontId="0" fillId="0" borderId="8" xfId="0" applyBorder="1" applyAlignment="1" applyProtection="1">
      <alignment vertical="center"/>
      <protection hidden="1"/>
    </xf>
    <xf numFmtId="0" fontId="5" fillId="10" borderId="0" xfId="0" applyFont="1" applyFill="1" applyAlignment="1" applyProtection="1">
      <alignment horizontal="center" vertical="center"/>
      <protection hidden="1"/>
    </xf>
    <xf numFmtId="0" fontId="0" fillId="0" borderId="11" xfId="0" applyBorder="1" applyAlignment="1" applyProtection="1">
      <alignment vertical="center"/>
      <protection hidden="1"/>
    </xf>
    <xf numFmtId="3" fontId="0" fillId="0" borderId="1" xfId="0" applyNumberFormat="1" applyBorder="1" applyAlignment="1" applyProtection="1">
      <alignment horizontal="center" vertical="center"/>
      <protection hidden="1"/>
    </xf>
    <xf numFmtId="3" fontId="0" fillId="0" borderId="2" xfId="0" applyNumberFormat="1" applyBorder="1" applyAlignment="1" applyProtection="1">
      <alignment horizontal="center" vertical="center"/>
      <protection hidden="1"/>
    </xf>
    <xf numFmtId="3" fontId="0" fillId="0" borderId="15" xfId="0" applyNumberFormat="1" applyBorder="1" applyAlignment="1" applyProtection="1">
      <alignment horizontal="center" vertical="center"/>
      <protection hidden="1"/>
    </xf>
    <xf numFmtId="3" fontId="0" fillId="0" borderId="44" xfId="0" applyNumberFormat="1" applyBorder="1" applyAlignment="1" applyProtection="1">
      <alignment horizontal="center" vertical="center"/>
      <protection hidden="1"/>
    </xf>
    <xf numFmtId="3" fontId="0" fillId="0" borderId="45" xfId="0" applyNumberFormat="1" applyBorder="1" applyAlignment="1" applyProtection="1">
      <alignment horizontal="center" vertical="center"/>
      <protection hidden="1"/>
    </xf>
    <xf numFmtId="3" fontId="0" fillId="0" borderId="47" xfId="0" applyNumberFormat="1" applyBorder="1" applyAlignment="1" applyProtection="1">
      <alignment horizontal="center" vertical="center"/>
      <protection hidden="1"/>
    </xf>
    <xf numFmtId="3" fontId="0" fillId="0" borderId="48" xfId="0" applyNumberFormat="1" applyBorder="1" applyAlignment="1" applyProtection="1">
      <alignment horizontal="center" vertical="center"/>
      <protection hidden="1"/>
    </xf>
    <xf numFmtId="0" fontId="0" fillId="0" borderId="3" xfId="0" applyBorder="1" applyAlignment="1" applyProtection="1">
      <alignment vertical="center"/>
      <protection hidden="1"/>
    </xf>
    <xf numFmtId="3" fontId="0" fillId="0" borderId="21" xfId="0" applyNumberFormat="1" applyBorder="1" applyAlignment="1" applyProtection="1">
      <alignment vertical="center"/>
      <protection hidden="1"/>
    </xf>
    <xf numFmtId="3" fontId="0" fillId="0" borderId="23" xfId="0" applyNumberFormat="1" applyBorder="1" applyAlignment="1" applyProtection="1">
      <alignment vertical="center"/>
      <protection hidden="1"/>
    </xf>
    <xf numFmtId="3" fontId="0" fillId="0" borderId="24" xfId="0" applyNumberFormat="1" applyBorder="1" applyAlignment="1" applyProtection="1">
      <alignment vertical="center"/>
      <protection hidden="1"/>
    </xf>
    <xf numFmtId="0" fontId="0" fillId="0" borderId="44" xfId="0" applyBorder="1" applyAlignment="1" applyProtection="1">
      <alignment vertical="center"/>
      <protection hidden="1"/>
    </xf>
    <xf numFmtId="0" fontId="0" fillId="0" borderId="45" xfId="0" applyBorder="1" applyAlignment="1" applyProtection="1">
      <alignment vertical="center"/>
      <protection hidden="1"/>
    </xf>
    <xf numFmtId="3" fontId="0" fillId="0" borderId="46" xfId="0" applyNumberFormat="1" applyBorder="1" applyAlignment="1" applyProtection="1">
      <alignment horizontal="center" vertical="center"/>
      <protection hidden="1"/>
    </xf>
    <xf numFmtId="0" fontId="5" fillId="0" borderId="41" xfId="0" applyFont="1" applyBorder="1" applyAlignment="1" applyProtection="1">
      <alignment vertical="center"/>
      <protection hidden="1"/>
    </xf>
    <xf numFmtId="0" fontId="5" fillId="0" borderId="42" xfId="0" applyFont="1" applyBorder="1" applyAlignment="1" applyProtection="1">
      <alignment vertical="center"/>
      <protection hidden="1"/>
    </xf>
    <xf numFmtId="0" fontId="28" fillId="0" borderId="44" xfId="0" applyFont="1" applyBorder="1" applyAlignment="1" applyProtection="1">
      <alignment vertical="center"/>
      <protection hidden="1"/>
    </xf>
    <xf numFmtId="0" fontId="28" fillId="0" borderId="45" xfId="0" applyFont="1" applyBorder="1" applyAlignment="1" applyProtection="1">
      <alignment vertical="center"/>
      <protection hidden="1"/>
    </xf>
    <xf numFmtId="3" fontId="0" fillId="0" borderId="36" xfId="0" applyNumberFormat="1" applyBorder="1" applyAlignment="1" applyProtection="1">
      <alignment horizontal="center" vertical="center"/>
      <protection hidden="1"/>
    </xf>
    <xf numFmtId="3" fontId="28" fillId="0" borderId="45" xfId="0" applyNumberFormat="1" applyFont="1" applyBorder="1" applyAlignment="1" applyProtection="1">
      <alignment horizontal="center" vertical="center"/>
      <protection hidden="1"/>
    </xf>
    <xf numFmtId="3" fontId="28" fillId="0" borderId="46"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0" fontId="0" fillId="0" borderId="2" xfId="0" applyBorder="1" applyAlignment="1" applyProtection="1">
      <alignment horizontal="left" vertical="center"/>
      <protection hidden="1"/>
    </xf>
    <xf numFmtId="0" fontId="0" fillId="0" borderId="4" xfId="0"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6" xfId="0" applyBorder="1" applyAlignment="1" applyProtection="1">
      <alignment horizontal="left" vertical="center"/>
      <protection hidden="1"/>
    </xf>
    <xf numFmtId="0" fontId="0" fillId="0" borderId="7" xfId="0" applyBorder="1" applyAlignment="1" applyProtection="1">
      <alignment horizontal="left" vertical="center"/>
      <protection hidden="1"/>
    </xf>
    <xf numFmtId="3" fontId="5" fillId="0" borderId="61" xfId="0" applyNumberFormat="1" applyFont="1" applyBorder="1" applyAlignment="1" applyProtection="1">
      <alignment horizontal="center" vertical="center"/>
      <protection hidden="1"/>
    </xf>
    <xf numFmtId="3" fontId="5" fillId="0" borderId="13" xfId="0" applyNumberFormat="1" applyFont="1" applyBorder="1" applyAlignment="1" applyProtection="1">
      <alignment horizontal="center" vertical="center"/>
      <protection hidden="1"/>
    </xf>
    <xf numFmtId="0" fontId="0" fillId="0" borderId="7" xfId="0" applyBorder="1" applyAlignment="1" applyProtection="1">
      <alignment horizontal="center" vertical="center"/>
      <protection hidden="1"/>
    </xf>
    <xf numFmtId="0" fontId="0" fillId="0" borderId="8" xfId="0" applyBorder="1" applyAlignment="1" applyProtection="1">
      <alignment horizontal="center" vertical="center"/>
      <protection hidden="1"/>
    </xf>
    <xf numFmtId="0" fontId="0" fillId="0" borderId="25" xfId="0" applyBorder="1" applyAlignment="1" applyProtection="1">
      <alignment vertical="center"/>
      <protection hidden="1"/>
    </xf>
    <xf numFmtId="0" fontId="0" fillId="0" borderId="27" xfId="0" applyBorder="1" applyAlignment="1" applyProtection="1">
      <alignment vertical="center"/>
      <protection hidden="1"/>
    </xf>
    <xf numFmtId="0" fontId="0" fillId="0" borderId="28" xfId="0" applyBorder="1" applyAlignment="1" applyProtection="1">
      <alignment vertical="center"/>
      <protection hidden="1"/>
    </xf>
    <xf numFmtId="0" fontId="0" fillId="0" borderId="5" xfId="0" applyBorder="1" applyAlignment="1" applyProtection="1">
      <alignment vertical="center"/>
      <protection hidden="1"/>
    </xf>
    <xf numFmtId="0" fontId="0" fillId="0" borderId="3" xfId="0" applyBorder="1" applyAlignment="1" applyProtection="1">
      <alignment horizontal="center" vertical="center"/>
      <protection hidden="1"/>
    </xf>
    <xf numFmtId="0" fontId="0" fillId="0" borderId="0" xfId="0" applyAlignment="1" applyProtection="1">
      <alignment horizontal="center" vertical="center"/>
      <protection hidden="1"/>
    </xf>
    <xf numFmtId="3" fontId="0" fillId="0" borderId="16" xfId="0" applyNumberFormat="1" applyBorder="1" applyAlignment="1" applyProtection="1">
      <alignment horizontal="center" vertical="center"/>
      <protection hidden="1"/>
    </xf>
    <xf numFmtId="3" fontId="0" fillId="0" borderId="17" xfId="0" applyNumberFormat="1" applyBorder="1" applyAlignment="1" applyProtection="1">
      <alignment horizontal="center" vertical="center"/>
      <protection hidden="1"/>
    </xf>
    <xf numFmtId="3" fontId="0" fillId="0" borderId="18" xfId="0" applyNumberFormat="1" applyBorder="1" applyAlignment="1" applyProtection="1">
      <alignment horizontal="center" vertical="center"/>
      <protection hidden="1"/>
    </xf>
    <xf numFmtId="3" fontId="1" fillId="14" borderId="9" xfId="0" applyNumberFormat="1" applyFont="1" applyFill="1" applyBorder="1" applyAlignment="1">
      <alignment horizontal="center"/>
    </xf>
    <xf numFmtId="3" fontId="1" fillId="14" borderId="11" xfId="0" applyNumberFormat="1" applyFont="1" applyFill="1" applyBorder="1" applyAlignment="1">
      <alignment horizontal="center"/>
    </xf>
    <xf numFmtId="0" fontId="5" fillId="0" borderId="53" xfId="0" applyFont="1" applyBorder="1" applyAlignment="1" applyProtection="1">
      <alignment horizontal="center" vertical="center" wrapText="1"/>
      <protection hidden="1"/>
    </xf>
    <xf numFmtId="0" fontId="5" fillId="0" borderId="54" xfId="0" applyFont="1" applyBorder="1" applyAlignment="1" applyProtection="1">
      <alignment horizontal="center" vertical="center" wrapText="1"/>
      <protection hidden="1"/>
    </xf>
    <xf numFmtId="0" fontId="5" fillId="0" borderId="57" xfId="0" applyFont="1" applyBorder="1" applyAlignment="1" applyProtection="1">
      <alignment horizontal="center" vertical="center" wrapText="1"/>
      <protection hidden="1"/>
    </xf>
    <xf numFmtId="0" fontId="5" fillId="0" borderId="51" xfId="0" applyFont="1" applyBorder="1" applyAlignment="1" applyProtection="1">
      <alignment horizontal="center" vertical="center" wrapText="1"/>
      <protection hidden="1"/>
    </xf>
    <xf numFmtId="0" fontId="0" fillId="0" borderId="38" xfId="0" applyBorder="1" applyAlignment="1" applyProtection="1">
      <alignment horizontal="center" vertical="center"/>
      <protection hidden="1"/>
    </xf>
    <xf numFmtId="0" fontId="11" fillId="0" borderId="4" xfId="0" applyFont="1" applyBorder="1" applyAlignment="1" applyProtection="1">
      <alignment vertical="center"/>
      <protection hidden="1"/>
    </xf>
    <xf numFmtId="0" fontId="11" fillId="0" borderId="0" xfId="0" applyFont="1" applyAlignment="1" applyProtection="1">
      <alignment vertical="center"/>
      <protection hidden="1"/>
    </xf>
    <xf numFmtId="0" fontId="11" fillId="0" borderId="5" xfId="0" applyFont="1" applyBorder="1" applyAlignment="1" applyProtection="1">
      <alignment vertical="center"/>
      <protection hidden="1"/>
    </xf>
    <xf numFmtId="0" fontId="0" fillId="0" borderId="5" xfId="0" applyBorder="1" applyAlignment="1" applyProtection="1">
      <alignment vertical="center" wrapText="1"/>
      <protection hidden="1"/>
    </xf>
    <xf numFmtId="3" fontId="0" fillId="0" borderId="20" xfId="0" applyNumberFormat="1" applyBorder="1" applyAlignment="1" applyProtection="1">
      <alignment horizontal="left" vertical="center" indent="1"/>
      <protection hidden="1"/>
    </xf>
    <xf numFmtId="0" fontId="0" fillId="0" borderId="13" xfId="0" applyBorder="1" applyAlignment="1" applyProtection="1">
      <alignment horizontal="left" vertical="center" indent="1"/>
      <protection hidden="1"/>
    </xf>
    <xf numFmtId="168" fontId="0" fillId="0" borderId="38" xfId="0" applyNumberFormat="1" applyBorder="1" applyAlignment="1" applyProtection="1">
      <alignment horizontal="center" vertical="center"/>
      <protection hidden="1"/>
    </xf>
    <xf numFmtId="168" fontId="0" fillId="0" borderId="7" xfId="0" applyNumberFormat="1" applyBorder="1" applyAlignment="1" applyProtection="1">
      <alignment horizontal="center" vertical="center"/>
      <protection hidden="1"/>
    </xf>
    <xf numFmtId="168" fontId="0" fillId="0" borderId="14" xfId="0" applyNumberFormat="1" applyBorder="1" applyAlignment="1" applyProtection="1">
      <alignment horizontal="center" vertical="center"/>
      <protection hidden="1"/>
    </xf>
    <xf numFmtId="0" fontId="5" fillId="0" borderId="53" xfId="0" applyFont="1" applyBorder="1" applyAlignment="1" applyProtection="1">
      <alignment vertical="top"/>
      <protection hidden="1"/>
    </xf>
    <xf numFmtId="3" fontId="0" fillId="0" borderId="22" xfId="0" applyNumberFormat="1" applyBorder="1" applyAlignment="1" applyProtection="1">
      <alignment horizontal="center" vertical="center"/>
      <protection hidden="1"/>
    </xf>
    <xf numFmtId="3" fontId="0" fillId="0" borderId="26" xfId="0" applyNumberFormat="1" applyBorder="1" applyAlignment="1" applyProtection="1">
      <alignment horizontal="center" vertical="center"/>
      <protection hidden="1"/>
    </xf>
    <xf numFmtId="3" fontId="0" fillId="0" borderId="49" xfId="0" applyNumberFormat="1" applyBorder="1" applyAlignment="1" applyProtection="1">
      <alignment horizontal="center" vertical="center"/>
      <protection hidden="1"/>
    </xf>
    <xf numFmtId="0" fontId="9" fillId="0" borderId="71" xfId="0" applyFont="1" applyBorder="1" applyAlignment="1" applyProtection="1">
      <alignment horizontal="center" vertical="center"/>
      <protection hidden="1"/>
    </xf>
    <xf numFmtId="0" fontId="9" fillId="0" borderId="66" xfId="0" applyFont="1" applyBorder="1" applyAlignment="1" applyProtection="1">
      <alignment horizontal="center" vertical="center"/>
      <protection hidden="1"/>
    </xf>
    <xf numFmtId="14" fontId="9" fillId="4" borderId="37" xfId="0" applyNumberFormat="1" applyFont="1" applyFill="1" applyBorder="1" applyAlignment="1" applyProtection="1">
      <alignment horizontal="center"/>
      <protection hidden="1"/>
    </xf>
    <xf numFmtId="0" fontId="9" fillId="4" borderId="3" xfId="0" applyFont="1" applyFill="1" applyBorder="1" applyAlignment="1" applyProtection="1">
      <alignment horizontal="center"/>
      <protection hidden="1"/>
    </xf>
    <xf numFmtId="0" fontId="9" fillId="4" borderId="78" xfId="0" applyFont="1" applyFill="1" applyBorder="1" applyAlignment="1" applyProtection="1">
      <alignment horizontal="center"/>
      <protection hidden="1"/>
    </xf>
    <xf numFmtId="0" fontId="9" fillId="4" borderId="18" xfId="0" applyFont="1" applyFill="1" applyBorder="1" applyAlignment="1" applyProtection="1">
      <alignment horizontal="center"/>
      <protection hidden="1"/>
    </xf>
    <xf numFmtId="0" fontId="9" fillId="0" borderId="89" xfId="0" applyFont="1" applyBorder="1" applyAlignment="1" applyProtection="1">
      <alignment horizontal="center"/>
      <protection hidden="1"/>
    </xf>
    <xf numFmtId="0" fontId="9" fillId="0" borderId="31" xfId="0" applyFont="1" applyBorder="1" applyAlignment="1" applyProtection="1">
      <alignment horizontal="center"/>
      <protection hidden="1"/>
    </xf>
    <xf numFmtId="0" fontId="9" fillId="0" borderId="78" xfId="0" applyFont="1" applyBorder="1" applyAlignment="1" applyProtection="1">
      <alignment horizontal="center"/>
      <protection hidden="1"/>
    </xf>
    <xf numFmtId="0" fontId="9" fillId="0" borderId="18" xfId="0" applyFont="1" applyBorder="1" applyAlignment="1" applyProtection="1">
      <alignment horizontal="center"/>
      <protection hidden="1"/>
    </xf>
    <xf numFmtId="0" fontId="9" fillId="4" borderId="2" xfId="0" applyFont="1" applyFill="1" applyBorder="1" applyAlignment="1" applyProtection="1">
      <alignment horizontal="center"/>
      <protection hidden="1"/>
    </xf>
    <xf numFmtId="0" fontId="9" fillId="4" borderId="15" xfId="0" applyFont="1" applyFill="1" applyBorder="1" applyAlignment="1" applyProtection="1">
      <alignment horizontal="center"/>
      <protection hidden="1"/>
    </xf>
    <xf numFmtId="0" fontId="9" fillId="4" borderId="17" xfId="0" applyFont="1" applyFill="1" applyBorder="1" applyAlignment="1" applyProtection="1">
      <alignment horizontal="center"/>
      <protection hidden="1"/>
    </xf>
    <xf numFmtId="0" fontId="9" fillId="4" borderId="74" xfId="0" applyFont="1" applyFill="1" applyBorder="1" applyAlignment="1" applyProtection="1">
      <alignment horizontal="center"/>
      <protection hidden="1"/>
    </xf>
    <xf numFmtId="0" fontId="9" fillId="0" borderId="30" xfId="0" applyFont="1" applyBorder="1" applyAlignment="1" applyProtection="1">
      <alignment horizontal="center"/>
      <protection hidden="1"/>
    </xf>
    <xf numFmtId="0" fontId="9" fillId="0" borderId="90" xfId="0" applyFont="1" applyBorder="1" applyAlignment="1" applyProtection="1">
      <alignment horizontal="center"/>
      <protection hidden="1"/>
    </xf>
    <xf numFmtId="0" fontId="9" fillId="0" borderId="17" xfId="0" applyFont="1" applyBorder="1" applyAlignment="1" applyProtection="1">
      <alignment horizontal="center"/>
      <protection hidden="1"/>
    </xf>
    <xf numFmtId="0" fontId="9" fillId="0" borderId="74" xfId="0" applyFont="1" applyBorder="1" applyAlignment="1" applyProtection="1">
      <alignment horizontal="center"/>
      <protection hidden="1"/>
    </xf>
    <xf numFmtId="0" fontId="9" fillId="10" borderId="30" xfId="0" applyFont="1" applyFill="1" applyBorder="1" applyAlignment="1" applyProtection="1">
      <alignment horizontal="center" vertical="center"/>
      <protection hidden="1"/>
    </xf>
    <xf numFmtId="0" fontId="9" fillId="10" borderId="31" xfId="0" applyFont="1" applyFill="1" applyBorder="1" applyAlignment="1" applyProtection="1">
      <alignment horizontal="center" vertical="center"/>
      <protection hidden="1"/>
    </xf>
    <xf numFmtId="0" fontId="9" fillId="10" borderId="7" xfId="0" applyFont="1" applyFill="1" applyBorder="1" applyAlignment="1" applyProtection="1">
      <alignment horizontal="center" vertical="center"/>
      <protection hidden="1"/>
    </xf>
    <xf numFmtId="0" fontId="9" fillId="10" borderId="8" xfId="0" applyFont="1" applyFill="1" applyBorder="1" applyAlignment="1" applyProtection="1">
      <alignment horizontal="center" vertical="center"/>
      <protection hidden="1"/>
    </xf>
    <xf numFmtId="0" fontId="9" fillId="0" borderId="44" xfId="0" applyFont="1" applyBorder="1" applyAlignment="1" applyProtection="1">
      <alignment horizontal="center" vertical="center" wrapText="1"/>
      <protection hidden="1"/>
    </xf>
    <xf numFmtId="0" fontId="9" fillId="0" borderId="45" xfId="0" applyFont="1" applyBorder="1" applyAlignment="1" applyProtection="1">
      <alignment horizontal="center" vertical="center" wrapText="1"/>
      <protection hidden="1"/>
    </xf>
    <xf numFmtId="0" fontId="9" fillId="0" borderId="47" xfId="0" applyFont="1" applyBorder="1" applyAlignment="1" applyProtection="1">
      <alignment horizontal="center" vertical="center" wrapText="1"/>
      <protection hidden="1"/>
    </xf>
    <xf numFmtId="0" fontId="9" fillId="0" borderId="48" xfId="0" applyFont="1" applyBorder="1" applyAlignment="1" applyProtection="1">
      <alignment horizontal="center" vertical="center" wrapText="1"/>
      <protection hidden="1"/>
    </xf>
    <xf numFmtId="0" fontId="8" fillId="4" borderId="42" xfId="0" applyFont="1" applyFill="1" applyBorder="1" applyAlignment="1" applyProtection="1">
      <alignment horizontal="center" wrapText="1"/>
      <protection hidden="1"/>
    </xf>
    <xf numFmtId="0" fontId="8" fillId="4" borderId="43" xfId="0" applyFont="1" applyFill="1" applyBorder="1" applyAlignment="1" applyProtection="1">
      <alignment horizontal="center" wrapText="1"/>
      <protection hidden="1"/>
    </xf>
    <xf numFmtId="0" fontId="0" fillId="0" borderId="48" xfId="0" applyBorder="1" applyAlignment="1" applyProtection="1">
      <alignment horizontal="center" vertical="center"/>
      <protection hidden="1"/>
    </xf>
    <xf numFmtId="0" fontId="8" fillId="10" borderId="89" xfId="0" applyFont="1" applyFill="1" applyBorder="1" applyAlignment="1" applyProtection="1">
      <alignment horizontal="center" wrapText="1"/>
      <protection hidden="1"/>
    </xf>
    <xf numFmtId="0" fontId="8" fillId="10" borderId="30" xfId="0" applyFont="1" applyFill="1" applyBorder="1" applyAlignment="1" applyProtection="1">
      <alignment horizontal="center" wrapText="1"/>
      <protection hidden="1"/>
    </xf>
    <xf numFmtId="0" fontId="8" fillId="10" borderId="31" xfId="0" applyFont="1" applyFill="1" applyBorder="1" applyAlignment="1" applyProtection="1">
      <alignment horizontal="center" wrapText="1"/>
      <protection hidden="1"/>
    </xf>
    <xf numFmtId="0" fontId="8" fillId="10" borderId="79" xfId="0" applyFont="1" applyFill="1" applyBorder="1" applyAlignment="1" applyProtection="1">
      <alignment horizontal="center" wrapText="1"/>
      <protection hidden="1"/>
    </xf>
    <xf numFmtId="0" fontId="8" fillId="10" borderId="0" xfId="0" applyFont="1" applyFill="1" applyAlignment="1" applyProtection="1">
      <alignment horizontal="center" wrapText="1"/>
      <protection hidden="1"/>
    </xf>
    <xf numFmtId="0" fontId="8" fillId="10" borderId="5" xfId="0" applyFont="1" applyFill="1" applyBorder="1" applyAlignment="1" applyProtection="1">
      <alignment horizontal="center" wrapText="1"/>
      <protection hidden="1"/>
    </xf>
    <xf numFmtId="0" fontId="8" fillId="10" borderId="38" xfId="0" applyFont="1" applyFill="1" applyBorder="1" applyAlignment="1" applyProtection="1">
      <alignment horizontal="center" wrapText="1"/>
      <protection hidden="1"/>
    </xf>
    <xf numFmtId="0" fontId="8" fillId="10" borderId="7" xfId="0" applyFont="1" applyFill="1" applyBorder="1" applyAlignment="1" applyProtection="1">
      <alignment horizontal="center" wrapText="1"/>
      <protection hidden="1"/>
    </xf>
    <xf numFmtId="0" fontId="8" fillId="10" borderId="8" xfId="0" applyFont="1" applyFill="1" applyBorder="1" applyAlignment="1" applyProtection="1">
      <alignment horizontal="center" wrapText="1"/>
      <protection hidden="1"/>
    </xf>
    <xf numFmtId="0" fontId="8" fillId="4" borderId="41" xfId="0" applyFont="1" applyFill="1" applyBorder="1" applyAlignment="1" applyProtection="1">
      <alignment horizontal="center" wrapText="1"/>
      <protection hidden="1"/>
    </xf>
    <xf numFmtId="3" fontId="0" fillId="0" borderId="71" xfId="0" applyNumberFormat="1" applyBorder="1" applyAlignment="1" applyProtection="1">
      <alignment horizontal="center" vertical="center"/>
      <protection hidden="1"/>
    </xf>
    <xf numFmtId="3" fontId="0" fillId="0" borderId="66" xfId="0" applyNumberFormat="1" applyBorder="1" applyAlignment="1" applyProtection="1">
      <alignment horizontal="center" vertical="center"/>
      <protection hidden="1"/>
    </xf>
    <xf numFmtId="3" fontId="0" fillId="0" borderId="67" xfId="0" applyNumberFormat="1" applyBorder="1" applyAlignment="1" applyProtection="1">
      <alignment horizontal="center" vertical="center"/>
      <protection hidden="1"/>
    </xf>
    <xf numFmtId="0" fontId="0" fillId="0" borderId="62" xfId="0" applyBorder="1" applyAlignment="1" applyProtection="1">
      <alignment horizontal="center" vertical="center"/>
      <protection hidden="1"/>
    </xf>
    <xf numFmtId="164" fontId="0" fillId="0" borderId="71" xfId="0" applyNumberFormat="1" applyBorder="1" applyAlignment="1" applyProtection="1">
      <alignment horizontal="center" vertical="center"/>
      <protection hidden="1"/>
    </xf>
    <xf numFmtId="164" fontId="0" fillId="0" borderId="66" xfId="0" applyNumberFormat="1" applyBorder="1" applyAlignment="1" applyProtection="1">
      <alignment horizontal="center" vertical="center"/>
      <protection hidden="1"/>
    </xf>
    <xf numFmtId="164" fontId="0" fillId="0" borderId="67" xfId="0" applyNumberFormat="1" applyBorder="1" applyAlignment="1" applyProtection="1">
      <alignment horizontal="center" vertical="center"/>
      <protection hidden="1"/>
    </xf>
    <xf numFmtId="0" fontId="0" fillId="0" borderId="53" xfId="0" applyBorder="1" applyAlignment="1" applyProtection="1">
      <alignment horizontal="center" vertical="center" wrapText="1"/>
      <protection hidden="1"/>
    </xf>
    <xf numFmtId="0" fontId="0" fillId="0" borderId="56" xfId="0" applyBorder="1" applyAlignment="1" applyProtection="1">
      <alignment horizontal="center" vertical="center" wrapText="1"/>
      <protection hidden="1"/>
    </xf>
    <xf numFmtId="0" fontId="0" fillId="0" borderId="57" xfId="0" applyBorder="1" applyAlignment="1" applyProtection="1">
      <alignment horizontal="center" vertical="center" wrapText="1"/>
      <protection hidden="1"/>
    </xf>
    <xf numFmtId="0" fontId="0" fillId="0" borderId="37" xfId="0" applyBorder="1" applyAlignment="1" applyProtection="1">
      <alignment horizontal="center" vertical="center"/>
      <protection hidden="1"/>
    </xf>
    <xf numFmtId="0" fontId="0" fillId="0" borderId="79" xfId="0" applyBorder="1" applyAlignment="1" applyProtection="1">
      <alignment horizontal="center" vertical="center"/>
      <protection hidden="1"/>
    </xf>
    <xf numFmtId="0" fontId="0" fillId="0" borderId="50" xfId="0" applyBorder="1" applyAlignment="1" applyProtection="1">
      <alignment horizontal="center" vertical="center"/>
      <protection hidden="1"/>
    </xf>
    <xf numFmtId="0" fontId="0" fillId="0" borderId="51" xfId="0" applyBorder="1" applyAlignment="1" applyProtection="1">
      <alignment horizontal="center" vertical="center"/>
      <protection hidden="1"/>
    </xf>
    <xf numFmtId="0" fontId="0" fillId="0" borderId="3" xfId="0" quotePrefix="1" applyBorder="1" applyAlignment="1" applyProtection="1">
      <alignment horizontal="right" vertical="center" wrapText="1"/>
      <protection hidden="1"/>
    </xf>
    <xf numFmtId="0" fontId="0" fillId="0" borderId="5" xfId="0" quotePrefix="1" applyBorder="1" applyAlignment="1" applyProtection="1">
      <alignment horizontal="right" vertical="center" wrapText="1"/>
      <protection hidden="1"/>
    </xf>
    <xf numFmtId="0" fontId="0" fillId="0" borderId="8" xfId="0" quotePrefix="1" applyBorder="1" applyAlignment="1" applyProtection="1">
      <alignment horizontal="right" vertical="center" wrapText="1"/>
      <protection hidden="1"/>
    </xf>
    <xf numFmtId="0" fontId="0" fillId="0" borderId="53" xfId="0" applyBorder="1" applyAlignment="1" applyProtection="1">
      <alignment horizontal="center" vertical="center"/>
      <protection hidden="1"/>
    </xf>
    <xf numFmtId="0" fontId="0" fillId="0" borderId="56" xfId="0" applyBorder="1" applyAlignment="1" applyProtection="1">
      <alignment horizontal="center" vertical="center"/>
      <protection hidden="1"/>
    </xf>
    <xf numFmtId="0" fontId="0" fillId="0" borderId="57" xfId="0" applyBorder="1" applyAlignment="1" applyProtection="1">
      <alignment horizontal="center" vertical="center"/>
      <protection hidden="1"/>
    </xf>
    <xf numFmtId="2" fontId="0" fillId="0" borderId="0" xfId="0" applyNumberFormat="1" applyAlignment="1" applyProtection="1">
      <alignment horizontal="center" vertical="center"/>
      <protection hidden="1"/>
    </xf>
    <xf numFmtId="2" fontId="0" fillId="0" borderId="5" xfId="0" applyNumberFormat="1" applyBorder="1" applyAlignment="1" applyProtection="1">
      <alignment horizontal="center" vertical="center"/>
      <protection hidden="1"/>
    </xf>
    <xf numFmtId="0" fontId="9" fillId="0" borderId="71" xfId="0" applyFont="1" applyBorder="1" applyAlignment="1" applyProtection="1">
      <alignment horizontal="center"/>
      <protection hidden="1"/>
    </xf>
    <xf numFmtId="0" fontId="9" fillId="0" borderId="75" xfId="0" applyFont="1" applyBorder="1" applyAlignment="1" applyProtection="1">
      <alignment horizontal="center"/>
      <protection hidden="1"/>
    </xf>
    <xf numFmtId="0" fontId="0" fillId="0" borderId="44" xfId="0" applyBorder="1" applyAlignment="1" applyProtection="1">
      <alignment horizontal="center" vertical="center" wrapText="1"/>
      <protection hidden="1"/>
    </xf>
    <xf numFmtId="0" fontId="13" fillId="0" borderId="33" xfId="0" applyFont="1" applyBorder="1" applyAlignment="1" applyProtection="1">
      <alignment horizontal="left" vertical="center"/>
      <protection hidden="1"/>
    </xf>
    <xf numFmtId="0" fontId="13" fillId="0" borderId="34" xfId="0" applyFont="1" applyBorder="1" applyAlignment="1" applyProtection="1">
      <alignment horizontal="left" vertical="center"/>
      <protection hidden="1"/>
    </xf>
    <xf numFmtId="0" fontId="13" fillId="0" borderId="52" xfId="0" applyFont="1" applyBorder="1" applyAlignment="1" applyProtection="1">
      <alignment horizontal="left" vertical="center"/>
      <protection hidden="1"/>
    </xf>
    <xf numFmtId="0" fontId="13" fillId="0" borderId="57" xfId="0" applyFont="1" applyBorder="1" applyAlignment="1" applyProtection="1">
      <alignment horizontal="left" vertical="center"/>
      <protection hidden="1"/>
    </xf>
    <xf numFmtId="0" fontId="0" fillId="0" borderId="29" xfId="0" applyBorder="1" applyAlignment="1" applyProtection="1">
      <alignment horizontal="center" vertical="center"/>
      <protection hidden="1"/>
    </xf>
    <xf numFmtId="0" fontId="0" fillId="0" borderId="31" xfId="0" applyBorder="1" applyAlignment="1" applyProtection="1">
      <alignment horizontal="center" vertical="center"/>
      <protection hidden="1"/>
    </xf>
    <xf numFmtId="0" fontId="13" fillId="0" borderId="57" xfId="0" applyFont="1" applyBorder="1" applyAlignment="1" applyProtection="1">
      <alignment horizontal="center" vertical="center"/>
      <protection hidden="1"/>
    </xf>
    <xf numFmtId="0" fontId="13" fillId="0" borderId="51" xfId="0" applyFont="1" applyBorder="1" applyAlignment="1" applyProtection="1">
      <alignment horizontal="center" vertical="center"/>
      <protection hidden="1"/>
    </xf>
    <xf numFmtId="0" fontId="0" fillId="0" borderId="39" xfId="0" applyBorder="1" applyAlignment="1" applyProtection="1">
      <alignment horizontal="center" vertical="center"/>
      <protection hidden="1"/>
    </xf>
    <xf numFmtId="0" fontId="0" fillId="0" borderId="55" xfId="0" applyBorder="1" applyAlignment="1" applyProtection="1">
      <alignment horizontal="center" vertical="center"/>
      <protection hidden="1"/>
    </xf>
    <xf numFmtId="0" fontId="0" fillId="0" borderId="52" xfId="0" applyBorder="1" applyAlignment="1" applyProtection="1">
      <alignment horizontal="center" vertical="center"/>
      <protection hidden="1"/>
    </xf>
    <xf numFmtId="0" fontId="13" fillId="0" borderId="34" xfId="0" applyFont="1" applyBorder="1" applyAlignment="1" applyProtection="1">
      <alignment horizontal="center" vertical="center"/>
      <protection hidden="1"/>
    </xf>
    <xf numFmtId="0" fontId="13" fillId="0" borderId="35" xfId="0" applyFont="1" applyBorder="1" applyAlignment="1" applyProtection="1">
      <alignment horizontal="center" vertical="center"/>
      <protection hidden="1"/>
    </xf>
    <xf numFmtId="0" fontId="3" fillId="10" borderId="41" xfId="0" applyFont="1" applyFill="1" applyBorder="1" applyAlignment="1" applyProtection="1">
      <alignment horizontal="center" vertical="center"/>
      <protection locked="0"/>
    </xf>
    <xf numFmtId="0" fontId="3" fillId="10" borderId="87" xfId="0" applyFont="1" applyFill="1" applyBorder="1" applyAlignment="1" applyProtection="1">
      <alignment horizontal="center" vertical="center"/>
      <protection locked="0"/>
    </xf>
    <xf numFmtId="0" fontId="0" fillId="10" borderId="58" xfId="0" applyFill="1" applyBorder="1" applyAlignment="1" applyProtection="1">
      <alignment horizontal="center" vertical="center"/>
      <protection hidden="1"/>
    </xf>
    <xf numFmtId="0" fontId="5" fillId="10" borderId="61" xfId="0" applyFont="1" applyFill="1" applyBorder="1" applyAlignment="1" applyProtection="1">
      <alignment horizontal="center" vertical="center"/>
      <protection hidden="1"/>
    </xf>
    <xf numFmtId="0" fontId="5" fillId="10" borderId="13" xfId="0" applyFont="1" applyFill="1" applyBorder="1" applyAlignment="1" applyProtection="1">
      <alignment horizontal="center" vertical="center"/>
      <protection hidden="1"/>
    </xf>
    <xf numFmtId="0" fontId="5" fillId="10" borderId="4" xfId="0" applyFont="1" applyFill="1" applyBorder="1" applyAlignment="1" applyProtection="1">
      <alignment horizontal="center" vertical="center"/>
      <protection hidden="1"/>
    </xf>
    <xf numFmtId="0" fontId="3" fillId="10" borderId="9" xfId="0" applyFont="1" applyFill="1" applyBorder="1" applyAlignment="1" applyProtection="1">
      <alignment horizontal="center"/>
      <protection locked="0" hidden="1"/>
    </xf>
    <xf numFmtId="0" fontId="3" fillId="10" borderId="10" xfId="0" applyFont="1" applyFill="1" applyBorder="1" applyAlignment="1" applyProtection="1">
      <alignment horizontal="center"/>
      <protection locked="0" hidden="1"/>
    </xf>
    <xf numFmtId="0" fontId="3" fillId="10" borderId="11" xfId="0" applyFont="1" applyFill="1" applyBorder="1" applyAlignment="1" applyProtection="1">
      <alignment horizontal="center"/>
      <protection locked="0" hidden="1"/>
    </xf>
    <xf numFmtId="3" fontId="38" fillId="0" borderId="9" xfId="0" applyNumberFormat="1" applyFont="1" applyBorder="1" applyAlignment="1" applyProtection="1">
      <alignment horizontal="center" vertical="center"/>
      <protection hidden="1"/>
    </xf>
    <xf numFmtId="0" fontId="38" fillId="0" borderId="10" xfId="0" applyFont="1" applyBorder="1" applyAlignment="1" applyProtection="1">
      <alignment horizontal="center" vertical="center"/>
      <protection hidden="1"/>
    </xf>
    <xf numFmtId="0" fontId="38" fillId="0" borderId="11" xfId="0" applyFont="1" applyBorder="1" applyAlignment="1" applyProtection="1">
      <alignment horizontal="center" vertical="center"/>
      <protection hidden="1"/>
    </xf>
    <xf numFmtId="0" fontId="36" fillId="10" borderId="66" xfId="0" applyFont="1" applyFill="1" applyBorder="1" applyAlignment="1" applyProtection="1">
      <alignment horizontal="center"/>
      <protection locked="0" hidden="1"/>
    </xf>
    <xf numFmtId="3" fontId="5" fillId="10" borderId="10" xfId="0" applyNumberFormat="1" applyFont="1" applyFill="1" applyBorder="1" applyAlignment="1" applyProtection="1">
      <alignment horizontal="center" vertical="center"/>
      <protection hidden="1"/>
    </xf>
    <xf numFmtId="3" fontId="5" fillId="10" borderId="3" xfId="0" applyNumberFormat="1" applyFont="1" applyFill="1" applyBorder="1" applyAlignment="1" applyProtection="1">
      <alignment horizontal="center" vertical="center"/>
      <protection hidden="1"/>
    </xf>
    <xf numFmtId="0" fontId="0" fillId="0" borderId="9" xfId="0" applyBorder="1" applyAlignment="1" applyProtection="1">
      <alignment vertical="center" wrapText="1"/>
      <protection hidden="1"/>
    </xf>
    <xf numFmtId="0" fontId="0" fillId="0" borderId="10" xfId="0" applyBorder="1" applyAlignment="1" applyProtection="1">
      <alignment vertical="center" wrapText="1"/>
      <protection hidden="1"/>
    </xf>
    <xf numFmtId="0" fontId="5" fillId="0" borderId="4" xfId="0"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5" fillId="0" borderId="6" xfId="0" applyFont="1" applyBorder="1" applyAlignment="1" applyProtection="1">
      <alignment horizontal="center" vertical="center"/>
      <protection hidden="1"/>
    </xf>
    <xf numFmtId="0" fontId="5" fillId="0" borderId="7" xfId="0" applyFont="1" applyBorder="1" applyAlignment="1" applyProtection="1">
      <alignment horizontal="center" vertical="center"/>
      <protection hidden="1"/>
    </xf>
    <xf numFmtId="0" fontId="5" fillId="10" borderId="9" xfId="0" applyFont="1" applyFill="1" applyBorder="1" applyAlignment="1" applyProtection="1">
      <alignment horizontal="center" vertical="center"/>
      <protection hidden="1"/>
    </xf>
    <xf numFmtId="0" fontId="5" fillId="10" borderId="10" xfId="0" applyFont="1" applyFill="1" applyBorder="1" applyAlignment="1" applyProtection="1">
      <alignment horizontal="center" vertical="center"/>
      <protection hidden="1"/>
    </xf>
    <xf numFmtId="0" fontId="5" fillId="10" borderId="11" xfId="0" applyFont="1" applyFill="1" applyBorder="1" applyAlignment="1" applyProtection="1">
      <alignment horizontal="center" vertical="center"/>
      <protection hidden="1"/>
    </xf>
    <xf numFmtId="165" fontId="5" fillId="0" borderId="4" xfId="0" applyNumberFormat="1" applyFont="1" applyBorder="1" applyAlignment="1" applyProtection="1">
      <alignment horizontal="center" vertical="center"/>
      <protection hidden="1"/>
    </xf>
    <xf numFmtId="165" fontId="5" fillId="0" borderId="0" xfId="0" applyNumberFormat="1" applyFont="1" applyAlignment="1" applyProtection="1">
      <alignment horizontal="center" vertical="center"/>
      <protection hidden="1"/>
    </xf>
    <xf numFmtId="165" fontId="5" fillId="0" borderId="6" xfId="0" applyNumberFormat="1" applyFont="1" applyBorder="1" applyAlignment="1" applyProtection="1">
      <alignment horizontal="center" vertical="center"/>
      <protection hidden="1"/>
    </xf>
    <xf numFmtId="165" fontId="5" fillId="0" borderId="7" xfId="0" applyNumberFormat="1" applyFont="1" applyBorder="1" applyAlignment="1" applyProtection="1">
      <alignment horizontal="center" vertical="center"/>
      <protection hidden="1"/>
    </xf>
    <xf numFmtId="0" fontId="0" fillId="0" borderId="47" xfId="0" applyBorder="1" applyAlignment="1" applyProtection="1">
      <alignment horizontal="center" vertical="center"/>
      <protection hidden="1"/>
    </xf>
    <xf numFmtId="0" fontId="13" fillId="0" borderId="1" xfId="0" applyFont="1" applyBorder="1" applyAlignment="1" applyProtection="1">
      <alignment vertical="top" wrapText="1"/>
      <protection hidden="1"/>
    </xf>
    <xf numFmtId="0" fontId="13" fillId="0" borderId="2" xfId="0" applyFont="1" applyBorder="1" applyAlignment="1" applyProtection="1">
      <alignment vertical="top" wrapText="1"/>
      <protection hidden="1"/>
    </xf>
    <xf numFmtId="0" fontId="13" fillId="0" borderId="4" xfId="0" applyFont="1" applyBorder="1" applyAlignment="1" applyProtection="1">
      <alignment vertical="top" wrapText="1"/>
      <protection hidden="1"/>
    </xf>
    <xf numFmtId="0" fontId="13" fillId="0" borderId="0" xfId="0" applyFont="1" applyAlignment="1" applyProtection="1">
      <alignment vertical="top" wrapText="1"/>
      <protection hidden="1"/>
    </xf>
    <xf numFmtId="3" fontId="3" fillId="0" borderId="69" xfId="0" applyNumberFormat="1" applyFont="1" applyBorder="1" applyAlignment="1">
      <alignment horizontal="center"/>
    </xf>
    <xf numFmtId="0" fontId="0" fillId="0" borderId="13" xfId="0" quotePrefix="1" applyBorder="1" applyAlignment="1" applyProtection="1">
      <alignment horizontal="right" vertical="center" wrapText="1"/>
      <protection hidden="1"/>
    </xf>
    <xf numFmtId="0" fontId="0" fillId="0" borderId="24" xfId="0" quotePrefix="1" applyBorder="1" applyAlignment="1" applyProtection="1">
      <alignment horizontal="right" vertical="center" wrapText="1"/>
      <protection hidden="1"/>
    </xf>
    <xf numFmtId="0" fontId="0" fillId="0" borderId="28" xfId="0" quotePrefix="1" applyBorder="1" applyAlignment="1" applyProtection="1">
      <alignment horizontal="right" vertical="center" wrapText="1"/>
      <protection hidden="1"/>
    </xf>
    <xf numFmtId="0" fontId="3" fillId="0" borderId="68" xfId="0" applyFont="1" applyBorder="1" applyAlignment="1" applyProtection="1">
      <alignment horizontal="center"/>
      <protection locked="0"/>
    </xf>
    <xf numFmtId="0" fontId="1" fillId="0" borderId="1" xfId="0" applyFont="1" applyBorder="1" applyAlignment="1" applyProtection="1">
      <alignment horizontal="center" vertical="center" wrapText="1"/>
      <protection hidden="1"/>
    </xf>
    <xf numFmtId="0" fontId="1" fillId="0" borderId="2" xfId="0" applyFont="1" applyBorder="1" applyAlignment="1" applyProtection="1">
      <alignment horizontal="center" vertical="center" wrapText="1"/>
      <protection hidden="1"/>
    </xf>
    <xf numFmtId="0" fontId="1" fillId="0" borderId="3" xfId="0" applyFont="1" applyBorder="1" applyAlignment="1" applyProtection="1">
      <alignment horizontal="center" vertical="center" wrapText="1"/>
      <protection hidden="1"/>
    </xf>
    <xf numFmtId="0" fontId="1" fillId="0" borderId="6" xfId="0" applyFont="1" applyBorder="1" applyAlignment="1" applyProtection="1">
      <alignment horizontal="center" vertical="center" wrapText="1"/>
      <protection hidden="1"/>
    </xf>
    <xf numFmtId="0" fontId="1" fillId="0" borderId="7" xfId="0" applyFont="1" applyBorder="1" applyAlignment="1" applyProtection="1">
      <alignment horizontal="center" vertical="center" wrapText="1"/>
      <protection hidden="1"/>
    </xf>
    <xf numFmtId="0" fontId="1" fillId="0" borderId="8" xfId="0" applyFont="1" applyBorder="1" applyAlignment="1" applyProtection="1">
      <alignment horizontal="center" vertical="center" wrapText="1"/>
      <protection hidden="1"/>
    </xf>
    <xf numFmtId="0" fontId="1" fillId="0" borderId="21" xfId="0" applyFont="1" applyBorder="1" applyProtection="1">
      <protection hidden="1"/>
    </xf>
    <xf numFmtId="0" fontId="1" fillId="0" borderId="24" xfId="0" applyFont="1" applyBorder="1" applyProtection="1">
      <protection hidden="1"/>
    </xf>
    <xf numFmtId="0" fontId="1" fillId="0" borderId="29" xfId="0" applyFont="1" applyBorder="1" applyProtection="1">
      <protection hidden="1"/>
    </xf>
    <xf numFmtId="0" fontId="1" fillId="0" borderId="30" xfId="0" applyFont="1" applyBorder="1" applyProtection="1">
      <protection hidden="1"/>
    </xf>
    <xf numFmtId="0" fontId="1" fillId="0" borderId="21" xfId="0" applyFont="1" applyBorder="1" applyAlignment="1" applyProtection="1">
      <alignment horizontal="left"/>
      <protection hidden="1"/>
    </xf>
    <xf numFmtId="0" fontId="1" fillId="0" borderId="23" xfId="0" applyFont="1" applyBorder="1" applyAlignment="1" applyProtection="1">
      <alignment horizontal="left"/>
      <protection hidden="1"/>
    </xf>
    <xf numFmtId="0" fontId="3" fillId="0" borderId="12" xfId="0" applyFont="1" applyBorder="1" applyProtection="1">
      <protection hidden="1"/>
    </xf>
    <xf numFmtId="0" fontId="3" fillId="0" borderId="20" xfId="0" applyFont="1" applyBorder="1" applyProtection="1">
      <protection hidden="1"/>
    </xf>
    <xf numFmtId="0" fontId="35" fillId="0" borderId="9" xfId="0" applyFont="1" applyBorder="1" applyAlignment="1" applyProtection="1">
      <alignment horizontal="center" vertical="center"/>
      <protection hidden="1"/>
    </xf>
    <xf numFmtId="0" fontId="35" fillId="0" borderId="11" xfId="0" applyFont="1" applyBorder="1" applyAlignment="1" applyProtection="1">
      <alignment horizontal="center" vertical="center"/>
      <protection hidden="1"/>
    </xf>
    <xf numFmtId="3" fontId="22" fillId="0" borderId="12" xfId="0" applyNumberFormat="1" applyFont="1" applyBorder="1" applyAlignment="1" applyProtection="1">
      <alignment horizontal="center" vertical="center" wrapText="1"/>
      <protection hidden="1"/>
    </xf>
    <xf numFmtId="3" fontId="22" fillId="0" borderId="13" xfId="0" applyNumberFormat="1" applyFont="1" applyBorder="1" applyAlignment="1" applyProtection="1">
      <alignment horizontal="center" vertical="center" wrapText="1"/>
      <protection hidden="1"/>
    </xf>
    <xf numFmtId="3" fontId="22" fillId="0" borderId="21" xfId="0" applyNumberFormat="1" applyFont="1" applyBorder="1" applyAlignment="1" applyProtection="1">
      <alignment horizontal="center" vertical="center" wrapText="1"/>
      <protection hidden="1"/>
    </xf>
    <xf numFmtId="3" fontId="22" fillId="0" borderId="24" xfId="0" applyNumberFormat="1" applyFont="1" applyBorder="1" applyAlignment="1" applyProtection="1">
      <alignment horizontal="center" vertical="center" wrapText="1"/>
      <protection hidden="1"/>
    </xf>
    <xf numFmtId="3" fontId="22" fillId="0" borderId="47" xfId="0" applyNumberFormat="1" applyFont="1" applyBorder="1" applyAlignment="1" applyProtection="1">
      <alignment horizontal="center" vertical="center" wrapText="1"/>
      <protection hidden="1"/>
    </xf>
    <xf numFmtId="3" fontId="22" fillId="0" borderId="49" xfId="0" applyNumberFormat="1" applyFont="1" applyBorder="1" applyAlignment="1" applyProtection="1">
      <alignment horizontal="center" vertical="center" wrapText="1"/>
      <protection hidden="1"/>
    </xf>
    <xf numFmtId="3" fontId="20" fillId="0" borderId="12" xfId="0" applyNumberFormat="1" applyFont="1" applyBorder="1" applyAlignment="1" applyProtection="1">
      <alignment horizontal="center" vertical="center" wrapText="1"/>
      <protection hidden="1"/>
    </xf>
    <xf numFmtId="3" fontId="20" fillId="0" borderId="13" xfId="0" applyNumberFormat="1" applyFont="1" applyBorder="1" applyAlignment="1" applyProtection="1">
      <alignment horizontal="center" vertical="center" wrapText="1"/>
      <protection hidden="1"/>
    </xf>
    <xf numFmtId="3" fontId="20" fillId="0" borderId="21" xfId="0" applyNumberFormat="1" applyFont="1" applyBorder="1" applyAlignment="1" applyProtection="1">
      <alignment horizontal="center" vertical="center" wrapText="1"/>
      <protection hidden="1"/>
    </xf>
    <xf numFmtId="3" fontId="20" fillId="0" borderId="24" xfId="0" applyNumberFormat="1" applyFont="1" applyBorder="1" applyAlignment="1" applyProtection="1">
      <alignment horizontal="center" vertical="center" wrapText="1"/>
      <protection hidden="1"/>
    </xf>
    <xf numFmtId="3" fontId="20" fillId="0" borderId="26" xfId="0" applyNumberFormat="1" applyFont="1" applyBorder="1" applyAlignment="1" applyProtection="1">
      <alignment horizontal="center" vertical="center" wrapText="1"/>
      <protection hidden="1"/>
    </xf>
    <xf numFmtId="3" fontId="20" fillId="0" borderId="49" xfId="0" applyNumberFormat="1" applyFont="1" applyBorder="1" applyAlignment="1" applyProtection="1">
      <alignment horizontal="center" vertical="center" wrapText="1"/>
      <protection hidden="1"/>
    </xf>
    <xf numFmtId="0" fontId="1" fillId="0" borderId="4" xfId="0" applyFont="1" applyBorder="1" applyAlignment="1" applyProtection="1">
      <alignment horizontal="right"/>
      <protection hidden="1"/>
    </xf>
    <xf numFmtId="0" fontId="45" fillId="16" borderId="41" xfId="0" applyFont="1" applyFill="1" applyBorder="1" applyAlignment="1" applyProtection="1">
      <alignment horizontal="center" vertical="center"/>
      <protection hidden="1"/>
    </xf>
    <xf numFmtId="0" fontId="45" fillId="16" borderId="42" xfId="0" applyFont="1" applyFill="1" applyBorder="1" applyAlignment="1" applyProtection="1">
      <alignment horizontal="center" vertical="center"/>
      <protection hidden="1"/>
    </xf>
    <xf numFmtId="0" fontId="45" fillId="16" borderId="47" xfId="0" applyFont="1" applyFill="1" applyBorder="1" applyAlignment="1" applyProtection="1">
      <alignment horizontal="center" vertical="center"/>
      <protection hidden="1"/>
    </xf>
    <xf numFmtId="0" fontId="45" fillId="16" borderId="48" xfId="0" applyFont="1" applyFill="1" applyBorder="1" applyAlignment="1" applyProtection="1">
      <alignment horizontal="center" vertical="center"/>
      <protection hidden="1"/>
    </xf>
    <xf numFmtId="0" fontId="19" fillId="16" borderId="42" xfId="0" applyFont="1" applyFill="1" applyBorder="1" applyAlignment="1" applyProtection="1">
      <alignment horizontal="center" vertical="center"/>
      <protection hidden="1"/>
    </xf>
    <xf numFmtId="0" fontId="19" fillId="16" borderId="48" xfId="0" applyFont="1" applyFill="1" applyBorder="1" applyAlignment="1" applyProtection="1">
      <alignment horizontal="center" vertical="center"/>
      <protection hidden="1"/>
    </xf>
    <xf numFmtId="0" fontId="38" fillId="16" borderId="42" xfId="0" applyFont="1" applyFill="1" applyBorder="1" applyAlignment="1" applyProtection="1">
      <alignment horizontal="center" vertical="center"/>
      <protection hidden="1"/>
    </xf>
    <xf numFmtId="0" fontId="38" fillId="16" borderId="43" xfId="0" applyFont="1" applyFill="1" applyBorder="1" applyAlignment="1" applyProtection="1">
      <alignment horizontal="center" vertical="center"/>
      <protection hidden="1"/>
    </xf>
    <xf numFmtId="0" fontId="38" fillId="16" borderId="48" xfId="0" applyFont="1" applyFill="1" applyBorder="1" applyAlignment="1" applyProtection="1">
      <alignment horizontal="center" vertical="center"/>
      <protection hidden="1"/>
    </xf>
    <xf numFmtId="0" fontId="38" fillId="16" borderId="49" xfId="0" applyFont="1" applyFill="1" applyBorder="1" applyAlignment="1" applyProtection="1">
      <alignment horizontal="center" vertical="center"/>
      <protection hidden="1"/>
    </xf>
    <xf numFmtId="49" fontId="38" fillId="0" borderId="73" xfId="0" applyNumberFormat="1" applyFont="1" applyBorder="1" applyAlignment="1" applyProtection="1">
      <alignment horizontal="center" vertical="center"/>
      <protection hidden="1"/>
    </xf>
    <xf numFmtId="0" fontId="38" fillId="0" borderId="72" xfId="0" applyFont="1" applyBorder="1" applyAlignment="1" applyProtection="1">
      <alignment horizontal="center" vertical="center"/>
      <protection hidden="1"/>
    </xf>
    <xf numFmtId="0" fontId="1" fillId="0" borderId="0" xfId="0" applyFont="1" applyAlignment="1" applyProtection="1">
      <alignment horizontal="right"/>
      <protection hidden="1"/>
    </xf>
    <xf numFmtId="0" fontId="24" fillId="10" borderId="0" xfId="0" applyFont="1" applyFill="1" applyAlignment="1" applyProtection="1">
      <alignment horizontal="center"/>
      <protection hidden="1"/>
    </xf>
    <xf numFmtId="0" fontId="1" fillId="0" borderId="29" xfId="0" applyFont="1" applyBorder="1" applyAlignment="1" applyProtection="1">
      <alignment horizontal="left"/>
      <protection hidden="1"/>
    </xf>
    <xf numFmtId="0" fontId="1" fillId="0" borderId="30" xfId="0" applyFont="1" applyBorder="1" applyAlignment="1" applyProtection="1">
      <alignment horizontal="left"/>
      <protection hidden="1"/>
    </xf>
    <xf numFmtId="0" fontId="3" fillId="0" borderId="9" xfId="0" applyFont="1" applyBorder="1" applyAlignment="1" applyProtection="1">
      <alignment horizontal="left"/>
      <protection hidden="1"/>
    </xf>
    <xf numFmtId="0" fontId="3" fillId="0" borderId="10" xfId="0" applyFont="1" applyBorder="1" applyAlignment="1" applyProtection="1">
      <alignment horizontal="left"/>
      <protection hidden="1"/>
    </xf>
    <xf numFmtId="49" fontId="38" fillId="0" borderId="47" xfId="0" applyNumberFormat="1" applyFont="1" applyBorder="1" applyAlignment="1" applyProtection="1">
      <alignment horizontal="center" vertical="center"/>
      <protection hidden="1"/>
    </xf>
    <xf numFmtId="0" fontId="38" fillId="0" borderId="48" xfId="0" applyFont="1" applyBorder="1" applyAlignment="1" applyProtection="1">
      <alignment horizontal="center" vertical="center"/>
      <protection hidden="1"/>
    </xf>
    <xf numFmtId="0" fontId="44" fillId="0" borderId="72" xfId="0" applyFont="1" applyBorder="1" applyAlignment="1" applyProtection="1">
      <alignment horizontal="center"/>
      <protection hidden="1"/>
    </xf>
    <xf numFmtId="0" fontId="44" fillId="0" borderId="45" xfId="0" applyFont="1" applyBorder="1" applyAlignment="1" applyProtection="1">
      <alignment horizontal="center"/>
      <protection hidden="1"/>
    </xf>
    <xf numFmtId="0" fontId="44" fillId="0" borderId="48" xfId="0" applyFont="1" applyBorder="1" applyAlignment="1" applyProtection="1">
      <alignment horizontal="center"/>
      <protection hidden="1"/>
    </xf>
    <xf numFmtId="0" fontId="1" fillId="0" borderId="72" xfId="0" applyFont="1" applyBorder="1" applyAlignment="1" applyProtection="1">
      <alignment horizontal="center"/>
      <protection hidden="1"/>
    </xf>
    <xf numFmtId="0" fontId="1" fillId="0" borderId="65" xfId="0" applyFont="1" applyBorder="1" applyAlignment="1" applyProtection="1">
      <alignment horizontal="center"/>
      <protection hidden="1"/>
    </xf>
    <xf numFmtId="0" fontId="1" fillId="0" borderId="45" xfId="0" applyFont="1" applyBorder="1" applyAlignment="1" applyProtection="1">
      <alignment horizontal="center"/>
      <protection hidden="1"/>
    </xf>
    <xf numFmtId="0" fontId="1" fillId="0" borderId="46" xfId="0" applyFont="1" applyBorder="1" applyAlignment="1" applyProtection="1">
      <alignment horizontal="center"/>
      <protection hidden="1"/>
    </xf>
    <xf numFmtId="0" fontId="1" fillId="0" borderId="48" xfId="0" applyFont="1" applyBorder="1" applyAlignment="1" applyProtection="1">
      <alignment horizontal="center"/>
      <protection hidden="1"/>
    </xf>
    <xf numFmtId="0" fontId="1" fillId="0" borderId="49" xfId="0" applyFont="1" applyBorder="1" applyAlignment="1" applyProtection="1">
      <alignment horizontal="center"/>
      <protection hidden="1"/>
    </xf>
    <xf numFmtId="49" fontId="38" fillId="0" borderId="44" xfId="0" applyNumberFormat="1" applyFont="1" applyBorder="1" applyAlignment="1" applyProtection="1">
      <alignment horizontal="center" vertical="center"/>
      <protection hidden="1"/>
    </xf>
    <xf numFmtId="0" fontId="38" fillId="0" borderId="45" xfId="0" applyFont="1" applyBorder="1" applyAlignment="1" applyProtection="1">
      <alignment horizontal="center" vertical="center"/>
      <protection hidden="1"/>
    </xf>
    <xf numFmtId="0" fontId="5" fillId="0" borderId="42" xfId="0" applyFont="1" applyBorder="1" applyAlignment="1">
      <alignment horizontal="center"/>
    </xf>
    <xf numFmtId="0" fontId="5" fillId="0" borderId="43" xfId="0" applyFont="1" applyBorder="1" applyAlignment="1">
      <alignment horizontal="center"/>
    </xf>
    <xf numFmtId="0" fontId="5" fillId="0" borderId="21" xfId="0" applyFont="1" applyBorder="1" applyAlignment="1">
      <alignment horizontal="center"/>
    </xf>
    <xf numFmtId="0" fontId="5" fillId="0" borderId="23" xfId="0" applyFont="1" applyBorder="1" applyAlignment="1">
      <alignment horizontal="center"/>
    </xf>
    <xf numFmtId="0" fontId="5" fillId="0" borderId="22" xfId="0" applyFont="1" applyBorder="1" applyAlignment="1">
      <alignment horizontal="center"/>
    </xf>
    <xf numFmtId="0" fontId="5" fillId="0" borderId="36" xfId="0" applyFont="1" applyBorder="1" applyAlignment="1">
      <alignment horizontal="center"/>
    </xf>
    <xf numFmtId="0" fontId="5" fillId="0" borderId="21" xfId="1" applyNumberFormat="1" applyFont="1" applyBorder="1" applyAlignment="1">
      <alignment horizontal="center"/>
    </xf>
    <xf numFmtId="0" fontId="5" fillId="0" borderId="23" xfId="1" applyNumberFormat="1" applyFont="1" applyBorder="1" applyAlignment="1">
      <alignment horizontal="center"/>
    </xf>
    <xf numFmtId="0" fontId="5" fillId="0" borderId="24" xfId="1" applyNumberFormat="1" applyFont="1" applyBorder="1" applyAlignment="1">
      <alignment horizontal="center"/>
    </xf>
    <xf numFmtId="0" fontId="5" fillId="0" borderId="41" xfId="0" applyFont="1" applyBorder="1" applyAlignment="1">
      <alignment horizontal="center"/>
    </xf>
    <xf numFmtId="0" fontId="5" fillId="0" borderId="61" xfId="0" applyFont="1" applyBorder="1" applyAlignment="1">
      <alignment horizontal="center"/>
    </xf>
    <xf numFmtId="0" fontId="5" fillId="0" borderId="0" xfId="0" applyFont="1" applyAlignment="1">
      <alignment horizontal="center"/>
    </xf>
    <xf numFmtId="0" fontId="5" fillId="6" borderId="0" xfId="0" applyFont="1" applyFill="1" applyAlignment="1">
      <alignment horizontal="center"/>
    </xf>
    <xf numFmtId="0" fontId="5" fillId="13" borderId="0" xfId="0" applyFont="1" applyFill="1" applyAlignment="1">
      <alignment horizontal="center"/>
    </xf>
    <xf numFmtId="0" fontId="37" fillId="0" borderId="58" xfId="0" applyFont="1" applyBorder="1" applyAlignment="1">
      <alignment horizontal="center"/>
    </xf>
    <xf numFmtId="0" fontId="37" fillId="0" borderId="58" xfId="0" applyFont="1" applyBorder="1" applyAlignment="1">
      <alignment horizontal="center" vertical="center"/>
    </xf>
  </cellXfs>
  <cellStyles count="3">
    <cellStyle name="Comma" xfId="1" builtinId="3"/>
    <cellStyle name="Normal" xfId="0" builtinId="0"/>
    <cellStyle name="Percent" xfId="2" builtinId="5"/>
  </cellStyles>
  <dxfs count="140">
    <dxf>
      <numFmt numFmtId="0" formatCode="General"/>
    </dxf>
    <dxf>
      <numFmt numFmtId="0" formatCode="General"/>
    </dxf>
    <dxf>
      <numFmt numFmtId="0" formatCode="General"/>
    </dxf>
    <dxf>
      <fill>
        <patternFill>
          <bgColor theme="5"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79998168889431442"/>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ont>
        <color rgb="FFFF0000"/>
      </font>
    </dxf>
    <dxf>
      <font>
        <b/>
        <i val="0"/>
        <color theme="1"/>
      </font>
      <fill>
        <patternFill>
          <bgColor rgb="FFFF5B5B"/>
        </patternFill>
      </fill>
    </dxf>
    <dxf>
      <font>
        <b/>
        <i val="0"/>
      </font>
      <fill>
        <patternFill>
          <bgColor rgb="FF79FFB6"/>
        </patternFill>
      </fill>
    </dxf>
    <dxf>
      <font>
        <color rgb="FFFF0000"/>
      </font>
    </dxf>
    <dxf>
      <font>
        <color rgb="FFFF0000"/>
      </font>
    </dxf>
    <dxf>
      <font>
        <b/>
        <i val="0"/>
        <color rgb="FFFF0000"/>
      </font>
    </dxf>
    <dxf>
      <font>
        <b/>
        <i val="0"/>
        <color rgb="FFFF0000"/>
      </font>
    </dxf>
    <dxf>
      <fill>
        <patternFill>
          <bgColor rgb="FF00FF00"/>
        </patternFill>
      </fill>
    </dxf>
    <dxf>
      <fill>
        <patternFill>
          <bgColor rgb="FFFF0000"/>
        </patternFill>
      </fill>
    </dxf>
    <dxf>
      <font>
        <color theme="1"/>
      </font>
      <fill>
        <patternFill>
          <bgColor rgb="FFFFC000"/>
        </patternFill>
      </fill>
    </dxf>
    <dxf>
      <fill>
        <patternFill patternType="none">
          <bgColor auto="1"/>
        </patternFill>
      </fill>
    </dxf>
    <dxf>
      <fill>
        <patternFill>
          <bgColor rgb="FF57FF57"/>
        </patternFill>
      </fill>
    </dxf>
    <dxf>
      <fill>
        <patternFill>
          <bgColor rgb="FFFF0000"/>
        </patternFill>
      </fill>
    </dxf>
    <dxf>
      <font>
        <color theme="1"/>
      </font>
      <fill>
        <patternFill>
          <bgColor rgb="FFFFC000"/>
        </patternFill>
      </fill>
    </dxf>
    <dxf>
      <fill>
        <patternFill patternType="none">
          <bgColor auto="1"/>
        </patternFill>
      </fill>
    </dxf>
    <dxf>
      <font>
        <color theme="1"/>
      </font>
      <fill>
        <patternFill>
          <bgColor rgb="FF00FF00"/>
        </patternFill>
      </fill>
    </dxf>
    <dxf>
      <font>
        <color theme="1"/>
      </font>
      <fill>
        <patternFill>
          <bgColor rgb="FFFF0000"/>
        </patternFill>
      </fill>
    </dxf>
    <dxf>
      <font>
        <color theme="1"/>
      </font>
      <fill>
        <patternFill>
          <bgColor rgb="FFFFC000"/>
        </patternFill>
      </fill>
    </dxf>
    <dxf>
      <font>
        <color theme="1"/>
      </font>
      <fill>
        <patternFill patternType="none">
          <bgColor auto="1"/>
        </patternFill>
      </fill>
    </dxf>
    <dxf>
      <font>
        <color rgb="FFFF0000"/>
      </font>
    </dxf>
    <dxf>
      <font>
        <color theme="0"/>
      </font>
    </dxf>
    <dxf>
      <font>
        <color rgb="FFFF0000"/>
      </font>
    </dxf>
    <dxf>
      <font>
        <color rgb="FFFF0000"/>
      </font>
    </dxf>
    <dxf>
      <font>
        <color theme="1"/>
      </font>
      <fill>
        <patternFill>
          <bgColor rgb="FFFF0000"/>
        </patternFill>
      </fill>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vertical/>
        <horizontal/>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1"/>
      </font>
      <fill>
        <patternFill>
          <bgColor rgb="FFFF0000"/>
        </patternFill>
      </fill>
    </dxf>
    <dxf>
      <font>
        <color theme="1"/>
      </font>
      <fill>
        <patternFill>
          <bgColor rgb="FFFF0000"/>
        </patternFill>
      </fill>
    </dxf>
    <dxf>
      <font>
        <color theme="1"/>
      </font>
      <fill>
        <patternFill>
          <bgColor rgb="FFFF0000"/>
        </patternFill>
      </fill>
    </dxf>
    <dxf>
      <font>
        <color rgb="FF006100"/>
      </font>
      <fill>
        <patternFill>
          <bgColor rgb="FFC6EFCE"/>
        </patternFill>
      </fill>
    </dxf>
    <dxf>
      <font>
        <color rgb="FF9C0006"/>
      </font>
      <fill>
        <patternFill>
          <bgColor rgb="FFFFC7CE"/>
        </patternFill>
      </fill>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
      <font>
        <color theme="2"/>
      </font>
      <fill>
        <patternFill>
          <bgColor theme="2"/>
        </patternFill>
      </fill>
      <border>
        <left/>
        <right/>
        <top/>
        <bottom/>
      </border>
    </dxf>
  </dxfs>
  <tableStyles count="1" defaultTableStyle="TableStyleMedium2" defaultPivotStyle="PivotStyleLight16">
    <tableStyle name="Invisible" pivot="0" table="0" count="0" xr9:uid="{D7464D4A-452C-4A7C-B722-2CBAD844832A}"/>
  </tableStyles>
  <colors>
    <mruColors>
      <color rgb="FFFF0000"/>
      <color rgb="FFBCBCBC"/>
      <color rgb="FF139D3E"/>
      <color rgb="FF7F7F7F"/>
      <color rgb="FF00D661"/>
      <color rgb="FFFFFFFF"/>
      <color rgb="FFDBDBDB"/>
      <color rgb="FF57FF57"/>
      <color rgb="FFFF2F2F"/>
      <color rgb="FF12A2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r>
              <a:rPr lang="fr-CA" b="1"/>
              <a:t>Curtailed Weight Limits</a:t>
            </a:r>
          </a:p>
          <a:p>
            <a:pPr>
              <a:defRPr/>
            </a:pPr>
            <a:r>
              <a:rPr lang="fr-CA" b="1"/>
              <a:t>SN-22217</a:t>
            </a:r>
          </a:p>
        </c:rich>
      </c:tx>
      <c:layout>
        <c:manualLayout>
          <c:xMode val="edge"/>
          <c:yMode val="edge"/>
          <c:x val="0.40206705196333214"/>
          <c:y val="2.208461806351876E-6"/>
        </c:manualLayout>
      </c:layout>
      <c:overlay val="0"/>
      <c:spPr>
        <a:noFill/>
        <a:ln>
          <a:noFill/>
        </a:ln>
        <a:effectLst/>
      </c:spPr>
      <c:txPr>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endParaRPr lang="en-KE"/>
        </a:p>
      </c:txPr>
    </c:title>
    <c:autoTitleDeleted val="0"/>
    <c:plotArea>
      <c:layout/>
      <c:scatterChart>
        <c:scatterStyle val="lineMarker"/>
        <c:varyColors val="0"/>
        <c:ser>
          <c:idx val="0"/>
          <c:order val="0"/>
          <c:tx>
            <c:strRef>
              <c:f>Chart!$E$3</c:f>
              <c:strCache>
                <c:ptCount val="1"/>
                <c:pt idx="0">
                  <c:v>MTOW=159,210 Kgs</c:v>
                </c:pt>
              </c:strCache>
            </c:strRef>
          </c:tx>
          <c:spPr>
            <a:ln w="19050" cap="flat" cmpd="sng" algn="ctr">
              <a:solidFill>
                <a:srgbClr val="00B050"/>
              </a:solidFill>
              <a:round/>
            </a:ln>
            <a:effectLst/>
          </c:spPr>
          <c:marker>
            <c:symbol val="none"/>
          </c:marker>
          <c:xVal>
            <c:numRef>
              <c:f>Chart!$G$5:$G$21</c:f>
              <c:numCache>
                <c:formatCode>_(* #,##0.00_);_(* \(#,##0.00\);_(* "-"??_);_(@_)</c:formatCode>
                <c:ptCount val="17"/>
                <c:pt idx="0">
                  <c:v>36.235661764705902</c:v>
                </c:pt>
                <c:pt idx="1">
                  <c:v>32.710958455882377</c:v>
                </c:pt>
                <c:pt idx="2">
                  <c:v>14.53253235294121</c:v>
                </c:pt>
                <c:pt idx="3">
                  <c:v>10.516044117647098</c:v>
                </c:pt>
                <c:pt idx="4">
                  <c:v>4.5221400735294566</c:v>
                </c:pt>
                <c:pt idx="5">
                  <c:v>17.716913051470641</c:v>
                </c:pt>
                <c:pt idx="6">
                  <c:v>18.783547794117645</c:v>
                </c:pt>
                <c:pt idx="7">
                  <c:v>19.895676470588292</c:v>
                </c:pt>
                <c:pt idx="8">
                  <c:v>42.138250000000056</c:v>
                </c:pt>
                <c:pt idx="9">
                  <c:v>73.833917279411878</c:v>
                </c:pt>
                <c:pt idx="10">
                  <c:v>82.174882352941282</c:v>
                </c:pt>
                <c:pt idx="11">
                  <c:v>129.92483235294122</c:v>
                </c:pt>
                <c:pt idx="12">
                  <c:v>119.27027500000004</c:v>
                </c:pt>
                <c:pt idx="13">
                  <c:v>117.35499558823534</c:v>
                </c:pt>
                <c:pt idx="14">
                  <c:v>116.31099558823533</c:v>
                </c:pt>
                <c:pt idx="15">
                  <c:v>99.248504411764728</c:v>
                </c:pt>
                <c:pt idx="16">
                  <c:v>96.483823529411794</c:v>
                </c:pt>
              </c:numCache>
            </c:numRef>
          </c:xVal>
          <c:yVal>
            <c:numRef>
              <c:f>Chart!$E$5:$E$21</c:f>
              <c:numCache>
                <c:formatCode>_-* #,##0_-;\-* #,##0_-;_-* "-"??_-;_-@_-</c:formatCode>
                <c:ptCount val="17"/>
                <c:pt idx="0">
                  <c:v>69000</c:v>
                </c:pt>
                <c:pt idx="1">
                  <c:v>76203</c:v>
                </c:pt>
                <c:pt idx="2">
                  <c:v>113352</c:v>
                </c:pt>
                <c:pt idx="3">
                  <c:v>121560</c:v>
                </c:pt>
                <c:pt idx="4">
                  <c:v>133809</c:v>
                </c:pt>
                <c:pt idx="5">
                  <c:v>157399</c:v>
                </c:pt>
                <c:pt idx="6">
                  <c:v>159210</c:v>
                </c:pt>
                <c:pt idx="7">
                  <c:v>159210</c:v>
                </c:pt>
                <c:pt idx="8">
                  <c:v>159210</c:v>
                </c:pt>
                <c:pt idx="9">
                  <c:v>159210</c:v>
                </c:pt>
                <c:pt idx="10">
                  <c:v>159210</c:v>
                </c:pt>
                <c:pt idx="11">
                  <c:v>156126</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0-D71A-43FA-AC80-B14CB25F696A}"/>
            </c:ext>
          </c:extLst>
        </c:ser>
        <c:ser>
          <c:idx val="2"/>
          <c:order val="1"/>
          <c:tx>
            <c:strRef>
              <c:f>Chart!$H$3</c:f>
              <c:strCache>
                <c:ptCount val="1"/>
                <c:pt idx="0">
                  <c:v>MLW=128,367 Kgs</c:v>
                </c:pt>
              </c:strCache>
            </c:strRef>
          </c:tx>
          <c:spPr>
            <a:ln w="19050" cap="flat" cmpd="sng" algn="ctr">
              <a:solidFill>
                <a:schemeClr val="accent1"/>
              </a:solidFill>
              <a:round/>
            </a:ln>
            <a:effectLst/>
          </c:spPr>
          <c:marker>
            <c:symbol val="none"/>
          </c:marker>
          <c:xVal>
            <c:numRef>
              <c:f>Chart!$J$5:$J$21</c:f>
              <c:numCache>
                <c:formatCode>_(* #,##0.00_);_(* \(#,##0.00\);_(* "-"??_);_(@_)</c:formatCode>
                <c:ptCount val="17"/>
                <c:pt idx="0">
                  <c:v>36.235661764705902</c:v>
                </c:pt>
                <c:pt idx="1">
                  <c:v>32.710958455882377</c:v>
                </c:pt>
                <c:pt idx="2">
                  <c:v>14.53253235294121</c:v>
                </c:pt>
                <c:pt idx="3">
                  <c:v>10.516044117647098</c:v>
                </c:pt>
                <c:pt idx="4">
                  <c:v>15.228776654411767</c:v>
                </c:pt>
                <c:pt idx="5">
                  <c:v>22.829148897058822</c:v>
                </c:pt>
                <c:pt idx="6">
                  <c:v>35.878918750000132</c:v>
                </c:pt>
                <c:pt idx="7">
                  <c:v>38.56896250000004</c:v>
                </c:pt>
                <c:pt idx="8">
                  <c:v>47.535775000000044</c:v>
                </c:pt>
                <c:pt idx="9">
                  <c:v>73.091190625000081</c:v>
                </c:pt>
                <c:pt idx="10">
                  <c:v>79.816300000000084</c:v>
                </c:pt>
                <c:pt idx="11">
                  <c:v>92.369837500000045</c:v>
                </c:pt>
                <c:pt idx="12">
                  <c:v>119.27027500000004</c:v>
                </c:pt>
                <c:pt idx="13">
                  <c:v>117.35499558823534</c:v>
                </c:pt>
                <c:pt idx="14">
                  <c:v>116.31099558823533</c:v>
                </c:pt>
                <c:pt idx="15">
                  <c:v>99.248504411764728</c:v>
                </c:pt>
                <c:pt idx="16">
                  <c:v>96.483823529411794</c:v>
                </c:pt>
              </c:numCache>
            </c:numRef>
          </c:xVal>
          <c:yVal>
            <c:numRef>
              <c:f>Chart!$H$5:$H$21</c:f>
              <c:numCache>
                <c:formatCode>_-* #,##0_-;\-* #,##0_-;_-* "-"??_-;_-@_-</c:formatCode>
                <c:ptCount val="17"/>
                <c:pt idx="0">
                  <c:v>69000</c:v>
                </c:pt>
                <c:pt idx="1">
                  <c:v>76203</c:v>
                </c:pt>
                <c:pt idx="2">
                  <c:v>113352</c:v>
                </c:pt>
                <c:pt idx="3">
                  <c:v>121560</c:v>
                </c:pt>
                <c:pt idx="4">
                  <c:v>123377</c:v>
                </c:pt>
                <c:pt idx="5">
                  <c:v>126098</c:v>
                </c:pt>
                <c:pt idx="6">
                  <c:v>128367</c:v>
                </c:pt>
                <c:pt idx="7">
                  <c:v>128367</c:v>
                </c:pt>
                <c:pt idx="8">
                  <c:v>128367</c:v>
                </c:pt>
                <c:pt idx="9">
                  <c:v>128367</c:v>
                </c:pt>
                <c:pt idx="10">
                  <c:v>128367</c:v>
                </c:pt>
                <c:pt idx="11">
                  <c:v>128367</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1-D71A-43FA-AC80-B14CB25F696A}"/>
            </c:ext>
          </c:extLst>
        </c:ser>
        <c:ser>
          <c:idx val="3"/>
          <c:order val="2"/>
          <c:tx>
            <c:strRef>
              <c:f>Chart!$E$23</c:f>
              <c:strCache>
                <c:ptCount val="1"/>
                <c:pt idx="0">
                  <c:v>Lower</c:v>
                </c:pt>
              </c:strCache>
            </c:strRef>
          </c:tx>
          <c:spPr>
            <a:ln w="19050" cap="flat" cmpd="thickThin" algn="ctr">
              <a:solidFill>
                <a:schemeClr val="tx1">
                  <a:lumMod val="50000"/>
                  <a:lumOff val="50000"/>
                </a:schemeClr>
              </a:solidFill>
              <a:round/>
            </a:ln>
            <a:effectLst/>
          </c:spPr>
          <c:marker>
            <c:symbol val="none"/>
          </c:marker>
          <c:xVal>
            <c:numRef>
              <c:f>Chart!$G$25:$G$41</c:f>
              <c:numCache>
                <c:formatCode>_(* #,##0.00_);_(* \(#,##0.00\);_(* "-"??_);_(@_)</c:formatCode>
                <c:ptCount val="17"/>
                <c:pt idx="0">
                  <c:v>36.235661764705902</c:v>
                </c:pt>
                <c:pt idx="1">
                  <c:v>32.710958455882377</c:v>
                </c:pt>
                <c:pt idx="2">
                  <c:v>14.53253235294121</c:v>
                </c:pt>
                <c:pt idx="3">
                  <c:v>10.516044117647098</c:v>
                </c:pt>
                <c:pt idx="4">
                  <c:v>4.5221400735294566</c:v>
                </c:pt>
                <c:pt idx="5">
                  <c:v>17.716913051470641</c:v>
                </c:pt>
                <c:pt idx="6">
                  <c:v>19.36613051470588</c:v>
                </c:pt>
                <c:pt idx="7">
                  <c:v>20.465608823529465</c:v>
                </c:pt>
                <c:pt idx="8">
                  <c:v>42.455175000000054</c:v>
                </c:pt>
                <c:pt idx="9">
                  <c:v>73.790306801470692</c:v>
                </c:pt>
                <c:pt idx="10">
                  <c:v>86.434307352941232</c:v>
                </c:pt>
                <c:pt idx="11">
                  <c:v>129.33297647058828</c:v>
                </c:pt>
                <c:pt idx="12">
                  <c:v>119.27027500000004</c:v>
                </c:pt>
                <c:pt idx="13">
                  <c:v>117.35499558823534</c:v>
                </c:pt>
                <c:pt idx="14">
                  <c:v>116.31099558823533</c:v>
                </c:pt>
                <c:pt idx="15">
                  <c:v>99.248504411764728</c:v>
                </c:pt>
                <c:pt idx="16">
                  <c:v>96.483823529411794</c:v>
                </c:pt>
              </c:numCache>
            </c:numRef>
          </c:xVal>
          <c:yVal>
            <c:numRef>
              <c:f>Chart!$E$25:$E$41</c:f>
              <c:numCache>
                <c:formatCode>_-* #,##0_-;\-* #,##0_-;_-* "-"??_-;_-@_-</c:formatCode>
                <c:ptCount val="17"/>
                <c:pt idx="0">
                  <c:v>69000</c:v>
                </c:pt>
                <c:pt idx="1">
                  <c:v>76203</c:v>
                </c:pt>
                <c:pt idx="2">
                  <c:v>113352</c:v>
                </c:pt>
                <c:pt idx="3">
                  <c:v>121560</c:v>
                </c:pt>
                <c:pt idx="4">
                  <c:v>133809</c:v>
                </c:pt>
                <c:pt idx="5">
                  <c:v>157399</c:v>
                </c:pt>
                <c:pt idx="6">
                  <c:v>157399</c:v>
                </c:pt>
                <c:pt idx="7">
                  <c:v>157399</c:v>
                </c:pt>
                <c:pt idx="8">
                  <c:v>157399</c:v>
                </c:pt>
                <c:pt idx="9">
                  <c:v>157399</c:v>
                </c:pt>
                <c:pt idx="10">
                  <c:v>157399</c:v>
                </c:pt>
                <c:pt idx="11">
                  <c:v>154584</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2-D71A-43FA-AC80-B14CB25F696A}"/>
            </c:ext>
          </c:extLst>
        </c:ser>
        <c:ser>
          <c:idx val="4"/>
          <c:order val="3"/>
          <c:tx>
            <c:strRef>
              <c:f>Chart!$K$4</c:f>
              <c:strCache>
                <c:ptCount val="1"/>
                <c:pt idx="0">
                  <c:v>Weight(Kgs)</c:v>
                </c:pt>
              </c:strCache>
            </c:strRef>
          </c:tx>
          <c:spPr>
            <a:ln w="25400" cap="flat" cmpd="dbl" algn="ctr">
              <a:solidFill>
                <a:schemeClr val="accent5">
                  <a:alpha val="50000"/>
                </a:schemeClr>
              </a:solidFill>
              <a:round/>
            </a:ln>
            <a:effectLst/>
          </c:spPr>
          <c:marker>
            <c:symbol val="none"/>
          </c:marker>
          <c:xVal>
            <c:numRef>
              <c:f>Chart!$M$5:$M$21</c:f>
              <c:numCache>
                <c:formatCode>_(* #,##0.00_);_(* \(#,##0.00\);_(* "-"??_);_(@_)</c:formatCode>
                <c:ptCount val="17"/>
                <c:pt idx="0">
                  <c:v>36.235661764705902</c:v>
                </c:pt>
                <c:pt idx="1">
                  <c:v>32.710958455882377</c:v>
                </c:pt>
                <c:pt idx="2">
                  <c:v>14.53253235294121</c:v>
                </c:pt>
                <c:pt idx="3">
                  <c:v>27.071226102941175</c:v>
                </c:pt>
                <c:pt idx="4">
                  <c:v>73.748351654411891</c:v>
                </c:pt>
                <c:pt idx="5">
                  <c:v>74.169763970588278</c:v>
                </c:pt>
                <c:pt idx="6">
                  <c:v>78.383887132352982</c:v>
                </c:pt>
                <c:pt idx="7">
                  <c:v>82.598010294117685</c:v>
                </c:pt>
                <c:pt idx="8">
                  <c:v>86.812133455882389</c:v>
                </c:pt>
                <c:pt idx="9">
                  <c:v>91.026256617647107</c:v>
                </c:pt>
                <c:pt idx="10">
                  <c:v>95.240379779411796</c:v>
                </c:pt>
                <c:pt idx="11">
                  <c:v>99.454502941176514</c:v>
                </c:pt>
                <c:pt idx="12">
                  <c:v>103.6686261029412</c:v>
                </c:pt>
                <c:pt idx="13">
                  <c:v>107.88274926470592</c:v>
                </c:pt>
                <c:pt idx="14">
                  <c:v>116.31099558823533</c:v>
                </c:pt>
                <c:pt idx="15">
                  <c:v>99.248504411764728</c:v>
                </c:pt>
                <c:pt idx="16">
                  <c:v>96.483823529411794</c:v>
                </c:pt>
              </c:numCache>
            </c:numRef>
          </c:xVal>
          <c:yVal>
            <c:numRef>
              <c:f>Chart!$K$5:$K$21</c:f>
              <c:numCache>
                <c:formatCode>_-* #,##0_-;\-* #,##0_-;_-* "-"??_-;_-@_-</c:formatCode>
                <c:ptCount val="17"/>
                <c:pt idx="0">
                  <c:v>69000</c:v>
                </c:pt>
                <c:pt idx="1">
                  <c:v>76203</c:v>
                </c:pt>
                <c:pt idx="2">
                  <c:v>113352</c:v>
                </c:pt>
                <c:pt idx="3">
                  <c:v>114758</c:v>
                </c:pt>
                <c:pt idx="4">
                  <c:v>120657</c:v>
                </c:pt>
                <c:pt idx="5">
                  <c:v>120657</c:v>
                </c:pt>
                <c:pt idx="6">
                  <c:v>120657</c:v>
                </c:pt>
                <c:pt idx="7">
                  <c:v>120657</c:v>
                </c:pt>
                <c:pt idx="8">
                  <c:v>120657</c:v>
                </c:pt>
                <c:pt idx="9">
                  <c:v>120657</c:v>
                </c:pt>
                <c:pt idx="10">
                  <c:v>120657</c:v>
                </c:pt>
                <c:pt idx="11">
                  <c:v>120657</c:v>
                </c:pt>
                <c:pt idx="12">
                  <c:v>120657</c:v>
                </c:pt>
                <c:pt idx="13">
                  <c:v>120657</c:v>
                </c:pt>
                <c:pt idx="14">
                  <c:v>120657</c:v>
                </c:pt>
                <c:pt idx="15">
                  <c:v>76203</c:v>
                </c:pt>
                <c:pt idx="16">
                  <c:v>69000</c:v>
                </c:pt>
              </c:numCache>
            </c:numRef>
          </c:yVal>
          <c:smooth val="0"/>
          <c:extLst>
            <c:ext xmlns:c16="http://schemas.microsoft.com/office/drawing/2014/chart" uri="{C3380CC4-5D6E-409C-BE32-E72D297353CC}">
              <c16:uniqueId val="{00000003-D71A-43FA-AC80-B14CB25F696A}"/>
            </c:ext>
          </c:extLst>
        </c:ser>
        <c:ser>
          <c:idx val="5"/>
          <c:order val="4"/>
          <c:tx>
            <c:strRef>
              <c:f>Chart!$N$3</c:f>
              <c:strCache>
                <c:ptCount val="1"/>
                <c:pt idx="0">
                  <c:v>Min Flight=76,203 Kgs</c:v>
                </c:pt>
              </c:strCache>
            </c:strRef>
          </c:tx>
          <c:spPr>
            <a:ln w="19050" cap="flat" cmpd="sng" algn="ctr">
              <a:solidFill>
                <a:srgbClr val="FF0000"/>
              </a:solidFill>
              <a:round/>
            </a:ln>
            <a:effectLst/>
          </c:spPr>
          <c:marker>
            <c:symbol val="none"/>
          </c:marker>
          <c:xVal>
            <c:numRef>
              <c:f>Chart!$P$5:$P$21</c:f>
              <c:numCache>
                <c:formatCode>_(* #,##0.00_);_(* \(#,##0.00\);_(* "-"??_);_(@_)</c:formatCode>
                <c:ptCount val="17"/>
                <c:pt idx="0">
                  <c:v>32.710958455882377</c:v>
                </c:pt>
                <c:pt idx="1">
                  <c:v>32.710958455882377</c:v>
                </c:pt>
                <c:pt idx="2">
                  <c:v>32.710958455882377</c:v>
                </c:pt>
                <c:pt idx="3">
                  <c:v>32.710958455882377</c:v>
                </c:pt>
                <c:pt idx="4">
                  <c:v>32.710958455882377</c:v>
                </c:pt>
                <c:pt idx="5">
                  <c:v>44.687716727941201</c:v>
                </c:pt>
                <c:pt idx="6">
                  <c:v>45.48616727941176</c:v>
                </c:pt>
                <c:pt idx="7">
                  <c:v>46.018467647058849</c:v>
                </c:pt>
                <c:pt idx="8">
                  <c:v>56.664475000000024</c:v>
                </c:pt>
                <c:pt idx="9">
                  <c:v>71.835035477941233</c:v>
                </c:pt>
                <c:pt idx="10">
                  <c:v>75.827288235294162</c:v>
                </c:pt>
                <c:pt idx="11">
                  <c:v>99.248504411764728</c:v>
                </c:pt>
                <c:pt idx="12">
                  <c:v>99.248504411764728</c:v>
                </c:pt>
                <c:pt idx="13">
                  <c:v>99.248504411764728</c:v>
                </c:pt>
                <c:pt idx="14">
                  <c:v>99.248504411764728</c:v>
                </c:pt>
                <c:pt idx="15">
                  <c:v>99.248504411764728</c:v>
                </c:pt>
                <c:pt idx="16">
                  <c:v>99.248504411764728</c:v>
                </c:pt>
              </c:numCache>
            </c:numRef>
          </c:xVal>
          <c:yVal>
            <c:numRef>
              <c:f>Chart!$N$5:$N$21</c:f>
              <c:numCache>
                <c:formatCode>_-* #,##0_-;\-* #,##0_-;_-* "-"??_-;_-@_-</c:formatCode>
                <c:ptCount val="17"/>
                <c:pt idx="0">
                  <c:v>76203</c:v>
                </c:pt>
                <c:pt idx="1">
                  <c:v>76203</c:v>
                </c:pt>
                <c:pt idx="2">
                  <c:v>76203</c:v>
                </c:pt>
                <c:pt idx="3">
                  <c:v>76203</c:v>
                </c:pt>
                <c:pt idx="4">
                  <c:v>76203</c:v>
                </c:pt>
                <c:pt idx="5">
                  <c:v>76203</c:v>
                </c:pt>
                <c:pt idx="6">
                  <c:v>76203</c:v>
                </c:pt>
                <c:pt idx="7">
                  <c:v>76203</c:v>
                </c:pt>
                <c:pt idx="8">
                  <c:v>76203</c:v>
                </c:pt>
                <c:pt idx="9">
                  <c:v>76203</c:v>
                </c:pt>
                <c:pt idx="10">
                  <c:v>76203</c:v>
                </c:pt>
                <c:pt idx="11">
                  <c:v>76203</c:v>
                </c:pt>
                <c:pt idx="12">
                  <c:v>76203</c:v>
                </c:pt>
                <c:pt idx="13">
                  <c:v>76203</c:v>
                </c:pt>
                <c:pt idx="14">
                  <c:v>76203</c:v>
                </c:pt>
                <c:pt idx="15">
                  <c:v>76203</c:v>
                </c:pt>
                <c:pt idx="16">
                  <c:v>76203</c:v>
                </c:pt>
              </c:numCache>
            </c:numRef>
          </c:yVal>
          <c:smooth val="0"/>
          <c:extLst>
            <c:ext xmlns:c16="http://schemas.microsoft.com/office/drawing/2014/chart" uri="{C3380CC4-5D6E-409C-BE32-E72D297353CC}">
              <c16:uniqueId val="{00000004-D71A-43FA-AC80-B14CB25F696A}"/>
            </c:ext>
          </c:extLst>
        </c:ser>
        <c:ser>
          <c:idx val="1"/>
          <c:order val="5"/>
          <c:tx>
            <c:strRef>
              <c:f>Chart!$B$3</c:f>
              <c:strCache>
                <c:ptCount val="1"/>
                <c:pt idx="0">
                  <c:v>MTW=159,755 Kgs</c:v>
                </c:pt>
              </c:strCache>
            </c:strRef>
          </c:tx>
          <c:spPr>
            <a:ln w="15875" cap="flat" cmpd="dbl" algn="ctr">
              <a:solidFill>
                <a:schemeClr val="tx1">
                  <a:lumMod val="50000"/>
                  <a:lumOff val="50000"/>
                </a:schemeClr>
              </a:solidFill>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5-D71A-43FA-AC80-B14CB25F696A}"/>
                </c:ext>
              </c:extLst>
            </c:dLbl>
            <c:dLbl>
              <c:idx val="2"/>
              <c:delete val="1"/>
              <c:extLst>
                <c:ext xmlns:c15="http://schemas.microsoft.com/office/drawing/2012/chart" uri="{CE6537A1-D6FC-4f65-9D91-7224C49458BB}"/>
                <c:ext xmlns:c16="http://schemas.microsoft.com/office/drawing/2014/chart" uri="{C3380CC4-5D6E-409C-BE32-E72D297353CC}">
                  <c16:uniqueId val="{00000006-D71A-43FA-AC80-B14CB25F696A}"/>
                </c:ext>
              </c:extLst>
            </c:dLbl>
            <c:dLbl>
              <c:idx val="3"/>
              <c:delete val="1"/>
              <c:extLst>
                <c:ext xmlns:c15="http://schemas.microsoft.com/office/drawing/2012/chart" uri="{CE6537A1-D6FC-4f65-9D91-7224C49458BB}"/>
                <c:ext xmlns:c16="http://schemas.microsoft.com/office/drawing/2014/chart" uri="{C3380CC4-5D6E-409C-BE32-E72D297353CC}">
                  <c16:uniqueId val="{00000007-D71A-43FA-AC80-B14CB25F696A}"/>
                </c:ext>
              </c:extLst>
            </c:dLbl>
            <c:dLbl>
              <c:idx val="4"/>
              <c:delete val="1"/>
              <c:extLst>
                <c:ext xmlns:c15="http://schemas.microsoft.com/office/drawing/2012/chart" uri="{CE6537A1-D6FC-4f65-9D91-7224C49458BB}"/>
                <c:ext xmlns:c16="http://schemas.microsoft.com/office/drawing/2014/chart" uri="{C3380CC4-5D6E-409C-BE32-E72D297353CC}">
                  <c16:uniqueId val="{00000008-D71A-43FA-AC80-B14CB25F696A}"/>
                </c:ext>
              </c:extLst>
            </c:dLbl>
            <c:dLbl>
              <c:idx val="5"/>
              <c:delete val="1"/>
              <c:extLst>
                <c:ext xmlns:c15="http://schemas.microsoft.com/office/drawing/2012/chart" uri="{CE6537A1-D6FC-4f65-9D91-7224C49458BB}"/>
                <c:ext xmlns:c16="http://schemas.microsoft.com/office/drawing/2014/chart" uri="{C3380CC4-5D6E-409C-BE32-E72D297353CC}">
                  <c16:uniqueId val="{00000009-D71A-43FA-AC80-B14CB25F696A}"/>
                </c:ext>
              </c:extLst>
            </c:dLbl>
            <c:dLbl>
              <c:idx val="6"/>
              <c:delete val="1"/>
              <c:extLst>
                <c:ext xmlns:c15="http://schemas.microsoft.com/office/drawing/2012/chart" uri="{CE6537A1-D6FC-4f65-9D91-7224C49458BB}"/>
                <c:ext xmlns:c16="http://schemas.microsoft.com/office/drawing/2014/chart" uri="{C3380CC4-5D6E-409C-BE32-E72D297353CC}">
                  <c16:uniqueId val="{0000000A-D71A-43FA-AC80-B14CB25F696A}"/>
                </c:ext>
              </c:extLst>
            </c:dLbl>
            <c:dLbl>
              <c:idx val="7"/>
              <c:delete val="1"/>
              <c:extLst>
                <c:ext xmlns:c15="http://schemas.microsoft.com/office/drawing/2012/chart" uri="{CE6537A1-D6FC-4f65-9D91-7224C49458BB}"/>
                <c:ext xmlns:c16="http://schemas.microsoft.com/office/drawing/2014/chart" uri="{C3380CC4-5D6E-409C-BE32-E72D297353CC}">
                  <c16:uniqueId val="{0000000B-D71A-43FA-AC80-B14CB25F696A}"/>
                </c:ext>
              </c:extLst>
            </c:dLbl>
            <c:dLbl>
              <c:idx val="8"/>
              <c:delete val="1"/>
              <c:extLst>
                <c:ext xmlns:c15="http://schemas.microsoft.com/office/drawing/2012/chart" uri="{CE6537A1-D6FC-4f65-9D91-7224C49458BB}"/>
                <c:ext xmlns:c16="http://schemas.microsoft.com/office/drawing/2014/chart" uri="{C3380CC4-5D6E-409C-BE32-E72D297353CC}">
                  <c16:uniqueId val="{0000000C-D71A-43FA-AC80-B14CB25F696A}"/>
                </c:ext>
              </c:extLst>
            </c:dLbl>
            <c:dLbl>
              <c:idx val="9"/>
              <c:delete val="1"/>
              <c:extLst>
                <c:ext xmlns:c15="http://schemas.microsoft.com/office/drawing/2012/chart" uri="{CE6537A1-D6FC-4f65-9D91-7224C49458BB}"/>
                <c:ext xmlns:c16="http://schemas.microsoft.com/office/drawing/2014/chart" uri="{C3380CC4-5D6E-409C-BE32-E72D297353CC}">
                  <c16:uniqueId val="{0000000D-D71A-43FA-AC80-B14CB25F696A}"/>
                </c:ext>
              </c:extLst>
            </c:dLbl>
            <c:dLbl>
              <c:idx val="10"/>
              <c:delete val="1"/>
              <c:extLst>
                <c:ext xmlns:c15="http://schemas.microsoft.com/office/drawing/2012/chart" uri="{CE6537A1-D6FC-4f65-9D91-7224C49458BB}"/>
                <c:ext xmlns:c16="http://schemas.microsoft.com/office/drawing/2014/chart" uri="{C3380CC4-5D6E-409C-BE32-E72D297353CC}">
                  <c16:uniqueId val="{0000000E-D71A-43FA-AC80-B14CB25F696A}"/>
                </c:ext>
              </c:extLst>
            </c:dLbl>
            <c:dLbl>
              <c:idx val="11"/>
              <c:delete val="1"/>
              <c:extLst>
                <c:ext xmlns:c15="http://schemas.microsoft.com/office/drawing/2012/chart" uri="{CE6537A1-D6FC-4f65-9D91-7224C49458BB}"/>
                <c:ext xmlns:c16="http://schemas.microsoft.com/office/drawing/2014/chart" uri="{C3380CC4-5D6E-409C-BE32-E72D297353CC}">
                  <c16:uniqueId val="{0000000F-D71A-43FA-AC80-B14CB25F696A}"/>
                </c:ext>
              </c:extLst>
            </c:dLbl>
            <c:dLbl>
              <c:idx val="12"/>
              <c:delete val="1"/>
              <c:extLst>
                <c:ext xmlns:c15="http://schemas.microsoft.com/office/drawing/2012/chart" uri="{CE6537A1-D6FC-4f65-9D91-7224C49458BB}"/>
                <c:ext xmlns:c16="http://schemas.microsoft.com/office/drawing/2014/chart" uri="{C3380CC4-5D6E-409C-BE32-E72D297353CC}">
                  <c16:uniqueId val="{00000010-D71A-43FA-AC80-B14CB25F696A}"/>
                </c:ext>
              </c:extLst>
            </c:dLbl>
            <c:dLbl>
              <c:idx val="13"/>
              <c:delete val="1"/>
              <c:extLst>
                <c:ext xmlns:c15="http://schemas.microsoft.com/office/drawing/2012/chart" uri="{CE6537A1-D6FC-4f65-9D91-7224C49458BB}"/>
                <c:ext xmlns:c16="http://schemas.microsoft.com/office/drawing/2014/chart" uri="{C3380CC4-5D6E-409C-BE32-E72D297353CC}">
                  <c16:uniqueId val="{00000011-D71A-43FA-AC80-B14CB25F696A}"/>
                </c:ext>
              </c:extLst>
            </c:dLbl>
            <c:dLbl>
              <c:idx val="14"/>
              <c:delete val="1"/>
              <c:extLst>
                <c:ext xmlns:c15="http://schemas.microsoft.com/office/drawing/2012/chart" uri="{CE6537A1-D6FC-4f65-9D91-7224C49458BB}"/>
                <c:ext xmlns:c16="http://schemas.microsoft.com/office/drawing/2014/chart" uri="{C3380CC4-5D6E-409C-BE32-E72D297353CC}">
                  <c16:uniqueId val="{00000012-D71A-43FA-AC80-B14CB25F696A}"/>
                </c:ext>
              </c:extLst>
            </c:dLbl>
            <c:dLbl>
              <c:idx val="15"/>
              <c:delete val="1"/>
              <c:extLst>
                <c:ext xmlns:c15="http://schemas.microsoft.com/office/drawing/2012/chart" uri="{CE6537A1-D6FC-4f65-9D91-7224C49458BB}"/>
                <c:ext xmlns:c16="http://schemas.microsoft.com/office/drawing/2014/chart" uri="{C3380CC4-5D6E-409C-BE32-E72D297353CC}">
                  <c16:uniqueId val="{00000013-D71A-43FA-AC80-B14CB25F69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Chart!$D$5:$D$21</c:f>
              <c:numCache>
                <c:formatCode>_(* #,##0.00_);_(* \(#,##0.00\);_(* "-"??_);_(@_)</c:formatCode>
                <c:ptCount val="17"/>
                <c:pt idx="0">
                  <c:v>36.235661764705902</c:v>
                </c:pt>
                <c:pt idx="1">
                  <c:v>32.710958455882377</c:v>
                </c:pt>
                <c:pt idx="2">
                  <c:v>14.53253235294121</c:v>
                </c:pt>
                <c:pt idx="3">
                  <c:v>10.516044117647098</c:v>
                </c:pt>
                <c:pt idx="4">
                  <c:v>4.5221400735294566</c:v>
                </c:pt>
                <c:pt idx="5">
                  <c:v>17.716913051470641</c:v>
                </c:pt>
                <c:pt idx="6">
                  <c:v>18.783547794117645</c:v>
                </c:pt>
                <c:pt idx="7">
                  <c:v>19.72416176470594</c:v>
                </c:pt>
                <c:pt idx="8">
                  <c:v>42.042875000000052</c:v>
                </c:pt>
                <c:pt idx="9">
                  <c:v>73.847041360294227</c:v>
                </c:pt>
                <c:pt idx="10">
                  <c:v>82.174882352941282</c:v>
                </c:pt>
                <c:pt idx="11">
                  <c:v>129.92483235294122</c:v>
                </c:pt>
                <c:pt idx="12">
                  <c:v>119.27027500000004</c:v>
                </c:pt>
                <c:pt idx="13">
                  <c:v>117.35499558823534</c:v>
                </c:pt>
                <c:pt idx="14">
                  <c:v>116.31099558823533</c:v>
                </c:pt>
                <c:pt idx="15">
                  <c:v>99.248504411764728</c:v>
                </c:pt>
                <c:pt idx="16">
                  <c:v>96.483823529411794</c:v>
                </c:pt>
              </c:numCache>
            </c:numRef>
          </c:xVal>
          <c:yVal>
            <c:numRef>
              <c:f>Chart!$B$5:$B$21</c:f>
              <c:numCache>
                <c:formatCode>_-* #,##0_-;\-* #,##0_-;_-* "-"??_-;_-@_-</c:formatCode>
                <c:ptCount val="17"/>
                <c:pt idx="0">
                  <c:v>69000</c:v>
                </c:pt>
                <c:pt idx="1">
                  <c:v>76203</c:v>
                </c:pt>
                <c:pt idx="2">
                  <c:v>113352</c:v>
                </c:pt>
                <c:pt idx="3">
                  <c:v>121560</c:v>
                </c:pt>
                <c:pt idx="4">
                  <c:v>133809</c:v>
                </c:pt>
                <c:pt idx="5">
                  <c:v>157399</c:v>
                </c:pt>
                <c:pt idx="6">
                  <c:v>159210</c:v>
                </c:pt>
                <c:pt idx="7">
                  <c:v>159755</c:v>
                </c:pt>
                <c:pt idx="8">
                  <c:v>159755</c:v>
                </c:pt>
                <c:pt idx="9">
                  <c:v>159755</c:v>
                </c:pt>
                <c:pt idx="10">
                  <c:v>159210</c:v>
                </c:pt>
                <c:pt idx="11">
                  <c:v>156126</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14-D71A-43FA-AC80-B14CB25F696A}"/>
            </c:ext>
          </c:extLst>
        </c:ser>
        <c:ser>
          <c:idx val="6"/>
          <c:order val="6"/>
          <c:tx>
            <c:strRef>
              <c:f>Chart!$H$23</c:f>
              <c:strCache>
                <c:ptCount val="1"/>
                <c:pt idx="0">
                  <c:v>Lower1</c:v>
                </c:pt>
              </c:strCache>
            </c:strRef>
          </c:tx>
          <c:spPr>
            <a:ln w="19050" cap="flat" cmpd="sng" algn="ctr">
              <a:solidFill>
                <a:schemeClr val="tx1">
                  <a:lumMod val="50000"/>
                  <a:lumOff val="50000"/>
                </a:schemeClr>
              </a:solidFill>
              <a:round/>
            </a:ln>
            <a:effectLst/>
          </c:spPr>
          <c:marker>
            <c:symbol val="none"/>
          </c:marker>
          <c:xVal>
            <c:numRef>
              <c:f>Chart!$J$25:$J$41</c:f>
              <c:numCache>
                <c:formatCode>_(* #,##0.00_);_(* \(#,##0.00\);_(* "-"??_);_(@_)</c:formatCode>
                <c:ptCount val="17"/>
                <c:pt idx="0">
                  <c:v>36.235661764705902</c:v>
                </c:pt>
                <c:pt idx="1">
                  <c:v>32.710958455882377</c:v>
                </c:pt>
                <c:pt idx="2">
                  <c:v>14.53253235294121</c:v>
                </c:pt>
                <c:pt idx="3">
                  <c:v>10.516044117647098</c:v>
                </c:pt>
                <c:pt idx="4">
                  <c:v>15.228776654411767</c:v>
                </c:pt>
                <c:pt idx="5">
                  <c:v>29.017970772058867</c:v>
                </c:pt>
                <c:pt idx="6">
                  <c:v>30.310707720588233</c:v>
                </c:pt>
                <c:pt idx="7">
                  <c:v>31.172532352941218</c:v>
                </c:pt>
                <c:pt idx="8">
                  <c:v>48.409025000000042</c:v>
                </c:pt>
                <c:pt idx="9">
                  <c:v>72.971027022058905</c:v>
                </c:pt>
                <c:pt idx="10">
                  <c:v>82.882010294117691</c:v>
                </c:pt>
                <c:pt idx="11">
                  <c:v>87.191133455882394</c:v>
                </c:pt>
                <c:pt idx="12">
                  <c:v>91.500256617647096</c:v>
                </c:pt>
                <c:pt idx="13">
                  <c:v>117.35499558823534</c:v>
                </c:pt>
                <c:pt idx="14">
                  <c:v>116.31099558823533</c:v>
                </c:pt>
                <c:pt idx="15">
                  <c:v>99.248504411764728</c:v>
                </c:pt>
                <c:pt idx="16">
                  <c:v>96.483823529411794</c:v>
                </c:pt>
              </c:numCache>
            </c:numRef>
          </c:xVal>
          <c:yVal>
            <c:numRef>
              <c:f>Chart!$H$25:$H$41</c:f>
              <c:numCache>
                <c:formatCode>_-* #,##0_-;\-* #,##0_-;_-* "-"??_-;_-@_-</c:formatCode>
                <c:ptCount val="17"/>
                <c:pt idx="0">
                  <c:v>69000</c:v>
                </c:pt>
                <c:pt idx="1">
                  <c:v>76203</c:v>
                </c:pt>
                <c:pt idx="2">
                  <c:v>113352</c:v>
                </c:pt>
                <c:pt idx="3">
                  <c:v>121560</c:v>
                </c:pt>
                <c:pt idx="4">
                  <c:v>123377</c:v>
                </c:pt>
                <c:pt idx="5">
                  <c:v>123377</c:v>
                </c:pt>
                <c:pt idx="6">
                  <c:v>123377</c:v>
                </c:pt>
                <c:pt idx="7">
                  <c:v>123377</c:v>
                </c:pt>
                <c:pt idx="8">
                  <c:v>123377</c:v>
                </c:pt>
                <c:pt idx="9">
                  <c:v>123377</c:v>
                </c:pt>
                <c:pt idx="10">
                  <c:v>123377</c:v>
                </c:pt>
                <c:pt idx="11">
                  <c:v>123377</c:v>
                </c:pt>
                <c:pt idx="12">
                  <c:v>123377</c:v>
                </c:pt>
                <c:pt idx="13">
                  <c:v>123377</c:v>
                </c:pt>
                <c:pt idx="14">
                  <c:v>120657</c:v>
                </c:pt>
                <c:pt idx="15">
                  <c:v>76203</c:v>
                </c:pt>
                <c:pt idx="16">
                  <c:v>69000</c:v>
                </c:pt>
              </c:numCache>
            </c:numRef>
          </c:yVal>
          <c:smooth val="0"/>
          <c:extLst>
            <c:ext xmlns:c16="http://schemas.microsoft.com/office/drawing/2014/chart" uri="{C3380CC4-5D6E-409C-BE32-E72D297353CC}">
              <c16:uniqueId val="{00000015-D71A-43FA-AC80-B14CB25F696A}"/>
            </c:ext>
          </c:extLst>
        </c:ser>
        <c:ser>
          <c:idx val="7"/>
          <c:order val="7"/>
          <c:tx>
            <c:strRef>
              <c:f>Chart!$K$23</c:f>
              <c:strCache>
                <c:ptCount val="1"/>
                <c:pt idx="0">
                  <c:v>Lower 2</c:v>
                </c:pt>
              </c:strCache>
            </c:strRef>
          </c:tx>
          <c:spPr>
            <a:ln w="19050" cap="flat" cmpd="sng" algn="ctr">
              <a:solidFill>
                <a:schemeClr val="accent2"/>
              </a:solidFill>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6-D71A-43FA-AC80-B14CB25F696A}"/>
                </c:ext>
              </c:extLst>
            </c:dLbl>
            <c:dLbl>
              <c:idx val="2"/>
              <c:delete val="1"/>
              <c:extLst>
                <c:ext xmlns:c15="http://schemas.microsoft.com/office/drawing/2012/chart" uri="{CE6537A1-D6FC-4f65-9D91-7224C49458BB}"/>
                <c:ext xmlns:c16="http://schemas.microsoft.com/office/drawing/2014/chart" uri="{C3380CC4-5D6E-409C-BE32-E72D297353CC}">
                  <c16:uniqueId val="{00000017-D71A-43FA-AC80-B14CB25F696A}"/>
                </c:ext>
              </c:extLst>
            </c:dLbl>
            <c:dLbl>
              <c:idx val="3"/>
              <c:delete val="1"/>
              <c:extLst>
                <c:ext xmlns:c15="http://schemas.microsoft.com/office/drawing/2012/chart" uri="{CE6537A1-D6FC-4f65-9D91-7224C49458BB}"/>
                <c:ext xmlns:c16="http://schemas.microsoft.com/office/drawing/2014/chart" uri="{C3380CC4-5D6E-409C-BE32-E72D297353CC}">
                  <c16:uniqueId val="{00000018-D71A-43FA-AC80-B14CB25F696A}"/>
                </c:ext>
              </c:extLst>
            </c:dLbl>
            <c:dLbl>
              <c:idx val="4"/>
              <c:delete val="1"/>
              <c:extLst>
                <c:ext xmlns:c15="http://schemas.microsoft.com/office/drawing/2012/chart" uri="{CE6537A1-D6FC-4f65-9D91-7224C49458BB}"/>
                <c:ext xmlns:c16="http://schemas.microsoft.com/office/drawing/2014/chart" uri="{C3380CC4-5D6E-409C-BE32-E72D297353CC}">
                  <c16:uniqueId val="{00000019-D71A-43FA-AC80-B14CB25F696A}"/>
                </c:ext>
              </c:extLst>
            </c:dLbl>
            <c:dLbl>
              <c:idx val="5"/>
              <c:delete val="1"/>
              <c:extLst>
                <c:ext xmlns:c15="http://schemas.microsoft.com/office/drawing/2012/chart" uri="{CE6537A1-D6FC-4f65-9D91-7224C49458BB}"/>
                <c:ext xmlns:c16="http://schemas.microsoft.com/office/drawing/2014/chart" uri="{C3380CC4-5D6E-409C-BE32-E72D297353CC}">
                  <c16:uniqueId val="{0000001A-D71A-43FA-AC80-B14CB25F696A}"/>
                </c:ext>
              </c:extLst>
            </c:dLbl>
            <c:dLbl>
              <c:idx val="6"/>
              <c:delete val="1"/>
              <c:extLst>
                <c:ext xmlns:c15="http://schemas.microsoft.com/office/drawing/2012/chart" uri="{CE6537A1-D6FC-4f65-9D91-7224C49458BB}"/>
                <c:ext xmlns:c16="http://schemas.microsoft.com/office/drawing/2014/chart" uri="{C3380CC4-5D6E-409C-BE32-E72D297353CC}">
                  <c16:uniqueId val="{0000001B-D71A-43FA-AC80-B14CB25F696A}"/>
                </c:ext>
              </c:extLst>
            </c:dLbl>
            <c:dLbl>
              <c:idx val="7"/>
              <c:delete val="1"/>
              <c:extLst>
                <c:ext xmlns:c15="http://schemas.microsoft.com/office/drawing/2012/chart" uri="{CE6537A1-D6FC-4f65-9D91-7224C49458BB}"/>
                <c:ext xmlns:c16="http://schemas.microsoft.com/office/drawing/2014/chart" uri="{C3380CC4-5D6E-409C-BE32-E72D297353CC}">
                  <c16:uniqueId val="{0000001C-D71A-43FA-AC80-B14CB25F696A}"/>
                </c:ext>
              </c:extLst>
            </c:dLbl>
            <c:dLbl>
              <c:idx val="8"/>
              <c:delete val="1"/>
              <c:extLst>
                <c:ext xmlns:c15="http://schemas.microsoft.com/office/drawing/2012/chart" uri="{CE6537A1-D6FC-4f65-9D91-7224C49458BB}"/>
                <c:ext xmlns:c16="http://schemas.microsoft.com/office/drawing/2014/chart" uri="{C3380CC4-5D6E-409C-BE32-E72D297353CC}">
                  <c16:uniqueId val="{0000001D-D71A-43FA-AC80-B14CB25F696A}"/>
                </c:ext>
              </c:extLst>
            </c:dLbl>
            <c:dLbl>
              <c:idx val="9"/>
              <c:delete val="1"/>
              <c:extLst>
                <c:ext xmlns:c15="http://schemas.microsoft.com/office/drawing/2012/chart" uri="{CE6537A1-D6FC-4f65-9D91-7224C49458BB}"/>
                <c:ext xmlns:c16="http://schemas.microsoft.com/office/drawing/2014/chart" uri="{C3380CC4-5D6E-409C-BE32-E72D297353CC}">
                  <c16:uniqueId val="{0000001E-D71A-43FA-AC80-B14CB25F696A}"/>
                </c:ext>
              </c:extLst>
            </c:dLbl>
            <c:dLbl>
              <c:idx val="10"/>
              <c:delete val="1"/>
              <c:extLst>
                <c:ext xmlns:c15="http://schemas.microsoft.com/office/drawing/2012/chart" uri="{CE6537A1-D6FC-4f65-9D91-7224C49458BB}"/>
                <c:ext xmlns:c16="http://schemas.microsoft.com/office/drawing/2014/chart" uri="{C3380CC4-5D6E-409C-BE32-E72D297353CC}">
                  <c16:uniqueId val="{0000001F-D71A-43FA-AC80-B14CB25F696A}"/>
                </c:ext>
              </c:extLst>
            </c:dLbl>
            <c:dLbl>
              <c:idx val="11"/>
              <c:delete val="1"/>
              <c:extLst>
                <c:ext xmlns:c15="http://schemas.microsoft.com/office/drawing/2012/chart" uri="{CE6537A1-D6FC-4f65-9D91-7224C49458BB}"/>
                <c:ext xmlns:c16="http://schemas.microsoft.com/office/drawing/2014/chart" uri="{C3380CC4-5D6E-409C-BE32-E72D297353CC}">
                  <c16:uniqueId val="{00000020-D71A-43FA-AC80-B14CB25F696A}"/>
                </c:ext>
              </c:extLst>
            </c:dLbl>
            <c:dLbl>
              <c:idx val="12"/>
              <c:delete val="1"/>
              <c:extLst>
                <c:ext xmlns:c15="http://schemas.microsoft.com/office/drawing/2012/chart" uri="{CE6537A1-D6FC-4f65-9D91-7224C49458BB}"/>
                <c:ext xmlns:c16="http://schemas.microsoft.com/office/drawing/2014/chart" uri="{C3380CC4-5D6E-409C-BE32-E72D297353CC}">
                  <c16:uniqueId val="{00000021-D71A-43FA-AC80-B14CB25F696A}"/>
                </c:ext>
              </c:extLst>
            </c:dLbl>
            <c:dLbl>
              <c:idx val="13"/>
              <c:delete val="1"/>
              <c:extLst>
                <c:ext xmlns:c15="http://schemas.microsoft.com/office/drawing/2012/chart" uri="{CE6537A1-D6FC-4f65-9D91-7224C49458BB}"/>
                <c:ext xmlns:c16="http://schemas.microsoft.com/office/drawing/2014/chart" uri="{C3380CC4-5D6E-409C-BE32-E72D297353CC}">
                  <c16:uniqueId val="{00000022-D71A-43FA-AC80-B14CB25F696A}"/>
                </c:ext>
              </c:extLst>
            </c:dLbl>
            <c:dLbl>
              <c:idx val="14"/>
              <c:delete val="1"/>
              <c:extLst>
                <c:ext xmlns:c15="http://schemas.microsoft.com/office/drawing/2012/chart" uri="{CE6537A1-D6FC-4f65-9D91-7224C49458BB}"/>
                <c:ext xmlns:c16="http://schemas.microsoft.com/office/drawing/2014/chart" uri="{C3380CC4-5D6E-409C-BE32-E72D297353CC}">
                  <c16:uniqueId val="{00000023-D71A-43FA-AC80-B14CB25F696A}"/>
                </c:ext>
              </c:extLst>
            </c:dLbl>
            <c:dLbl>
              <c:idx val="15"/>
              <c:delete val="1"/>
              <c:extLst>
                <c:ext xmlns:c15="http://schemas.microsoft.com/office/drawing/2012/chart" uri="{CE6537A1-D6FC-4f65-9D91-7224C49458BB}"/>
                <c:ext xmlns:c16="http://schemas.microsoft.com/office/drawing/2014/chart" uri="{C3380CC4-5D6E-409C-BE32-E72D297353CC}">
                  <c16:uniqueId val="{00000024-D71A-43FA-AC80-B14CB25F69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Chart!$M$25:$M$41</c:f>
              <c:numCache>
                <c:formatCode>_(* #,##0.00_);_(* \(#,##0.00\);_(* "-"??_);_(@_)</c:formatCode>
                <c:ptCount val="17"/>
                <c:pt idx="0">
                  <c:v>36.235661764705902</c:v>
                </c:pt>
                <c:pt idx="1">
                  <c:v>32.710958455882377</c:v>
                </c:pt>
                <c:pt idx="2">
                  <c:v>13.844522794117687</c:v>
                </c:pt>
                <c:pt idx="3">
                  <c:v>27.071226102941175</c:v>
                </c:pt>
                <c:pt idx="4">
                  <c:v>73.748351654411891</c:v>
                </c:pt>
                <c:pt idx="5">
                  <c:v>74.169763970588278</c:v>
                </c:pt>
                <c:pt idx="6">
                  <c:v>78.383887132352982</c:v>
                </c:pt>
                <c:pt idx="7">
                  <c:v>82.598010294117685</c:v>
                </c:pt>
                <c:pt idx="8">
                  <c:v>86.812133455882389</c:v>
                </c:pt>
                <c:pt idx="9">
                  <c:v>91.026256617647107</c:v>
                </c:pt>
                <c:pt idx="10">
                  <c:v>95.240379779411796</c:v>
                </c:pt>
                <c:pt idx="11">
                  <c:v>99.454502941176514</c:v>
                </c:pt>
                <c:pt idx="12">
                  <c:v>103.6686261029412</c:v>
                </c:pt>
                <c:pt idx="13">
                  <c:v>107.88274926470592</c:v>
                </c:pt>
                <c:pt idx="14">
                  <c:v>116.31099558823533</c:v>
                </c:pt>
                <c:pt idx="15">
                  <c:v>99.248504411764728</c:v>
                </c:pt>
                <c:pt idx="16">
                  <c:v>96.483823529411794</c:v>
                </c:pt>
              </c:numCache>
            </c:numRef>
          </c:xVal>
          <c:yVal>
            <c:numRef>
              <c:f>Chart!$K$25:$K$41</c:f>
              <c:numCache>
                <c:formatCode>_-* #,##0_-;\-* #,##0_-;_-* "-"??_-;_-@_-</c:formatCode>
                <c:ptCount val="17"/>
                <c:pt idx="0">
                  <c:v>69000</c:v>
                </c:pt>
                <c:pt idx="1">
                  <c:v>76203</c:v>
                </c:pt>
                <c:pt idx="2">
                  <c:v>114758</c:v>
                </c:pt>
                <c:pt idx="3">
                  <c:v>114758</c:v>
                </c:pt>
                <c:pt idx="4">
                  <c:v>120657</c:v>
                </c:pt>
                <c:pt idx="5">
                  <c:v>120657</c:v>
                </c:pt>
                <c:pt idx="6">
                  <c:v>120657</c:v>
                </c:pt>
                <c:pt idx="7">
                  <c:v>120657</c:v>
                </c:pt>
                <c:pt idx="8">
                  <c:v>120657</c:v>
                </c:pt>
                <c:pt idx="9">
                  <c:v>120657</c:v>
                </c:pt>
                <c:pt idx="10">
                  <c:v>120657</c:v>
                </c:pt>
                <c:pt idx="11">
                  <c:v>120657</c:v>
                </c:pt>
                <c:pt idx="12">
                  <c:v>120657</c:v>
                </c:pt>
                <c:pt idx="13">
                  <c:v>120657</c:v>
                </c:pt>
                <c:pt idx="14">
                  <c:v>120657</c:v>
                </c:pt>
                <c:pt idx="15">
                  <c:v>76203</c:v>
                </c:pt>
                <c:pt idx="16">
                  <c:v>69000</c:v>
                </c:pt>
              </c:numCache>
            </c:numRef>
          </c:yVal>
          <c:smooth val="0"/>
          <c:extLst>
            <c:ext xmlns:c16="http://schemas.microsoft.com/office/drawing/2014/chart" uri="{C3380CC4-5D6E-409C-BE32-E72D297353CC}">
              <c16:uniqueId val="{00000025-D71A-43FA-AC80-B14CB25F696A}"/>
            </c:ext>
          </c:extLst>
        </c:ser>
        <c:ser>
          <c:idx val="22"/>
          <c:order val="8"/>
          <c:tx>
            <c:strRef>
              <c:f>Chart!$B$23</c:f>
              <c:strCache>
                <c:ptCount val="1"/>
                <c:pt idx="0">
                  <c:v>Curtailed </c:v>
                </c:pt>
              </c:strCache>
            </c:strRef>
          </c:tx>
          <c:spPr>
            <a:ln w="12700" cap="flat" cmpd="sng" algn="ctr">
              <a:solidFill>
                <a:schemeClr val="tx1"/>
              </a:solidFill>
              <a:round/>
            </a:ln>
            <a:effectLst/>
          </c:spPr>
          <c:marker>
            <c:symbol val="none"/>
          </c:marker>
          <c:xVal>
            <c:numRef>
              <c:f>Chart!$D$25:$D$38</c:f>
              <c:numCache>
                <c:formatCode>0.0</c:formatCode>
                <c:ptCount val="14"/>
                <c:pt idx="0">
                  <c:v>46</c:v>
                </c:pt>
                <c:pt idx="1">
                  <c:v>26</c:v>
                </c:pt>
                <c:pt idx="2">
                  <c:v>22.5</c:v>
                </c:pt>
                <c:pt idx="3">
                  <c:v>15</c:v>
                </c:pt>
                <c:pt idx="4">
                  <c:v>25</c:v>
                </c:pt>
                <c:pt idx="5">
                  <c:v>32.04</c:v>
                </c:pt>
                <c:pt idx="8">
                  <c:v>120</c:v>
                </c:pt>
                <c:pt idx="9">
                  <c:v>112.5</c:v>
                </c:pt>
                <c:pt idx="10">
                  <c:v>104.5</c:v>
                </c:pt>
                <c:pt idx="11">
                  <c:v>99</c:v>
                </c:pt>
                <c:pt idx="12">
                  <c:v>86.5</c:v>
                </c:pt>
                <c:pt idx="13">
                  <c:v>84.5</c:v>
                </c:pt>
              </c:numCache>
            </c:numRef>
          </c:xVal>
          <c:yVal>
            <c:numRef>
              <c:f>Chart!$B$25:$B$38</c:f>
              <c:numCache>
                <c:formatCode>_-* #,##0_-;\-* #,##0_-;_-* "-"??_-;_-@_-</c:formatCode>
                <c:ptCount val="14"/>
                <c:pt idx="0">
                  <c:v>70000</c:v>
                </c:pt>
                <c:pt idx="1">
                  <c:v>112946</c:v>
                </c:pt>
                <c:pt idx="2">
                  <c:v>112946</c:v>
                </c:pt>
                <c:pt idx="3">
                  <c:v>127913</c:v>
                </c:pt>
                <c:pt idx="4">
                  <c:v>146057</c:v>
                </c:pt>
                <c:pt idx="5">
                  <c:v>159755</c:v>
                </c:pt>
                <c:pt idx="8">
                  <c:v>157027</c:v>
                </c:pt>
                <c:pt idx="9">
                  <c:v>140000</c:v>
                </c:pt>
                <c:pt idx="10">
                  <c:v>120657</c:v>
                </c:pt>
                <c:pt idx="11">
                  <c:v>120657</c:v>
                </c:pt>
                <c:pt idx="12">
                  <c:v>76203</c:v>
                </c:pt>
                <c:pt idx="13">
                  <c:v>69000</c:v>
                </c:pt>
              </c:numCache>
            </c:numRef>
          </c:yVal>
          <c:smooth val="0"/>
          <c:extLst>
            <c:ext xmlns:c16="http://schemas.microsoft.com/office/drawing/2014/chart" uri="{C3380CC4-5D6E-409C-BE32-E72D297353CC}">
              <c16:uniqueId val="{00000026-D71A-43FA-AC80-B14CB25F696A}"/>
            </c:ext>
          </c:extLst>
        </c:ser>
        <c:ser>
          <c:idx val="8"/>
          <c:order val="9"/>
          <c:tx>
            <c:strRef>
              <c:f>Chart!$R$5</c:f>
              <c:strCache>
                <c:ptCount val="1"/>
                <c:pt idx="0">
                  <c:v>10%</c:v>
                </c:pt>
              </c:strCache>
            </c:strRef>
          </c:tx>
          <c:spPr>
            <a:ln w="15875" cap="flat" cmpd="sng" algn="ctr">
              <a:solidFill>
                <a:schemeClr val="tx1">
                  <a:alpha val="75000"/>
                </a:schemeClr>
              </a:solidFill>
              <a:prstDash val="sysDash"/>
              <a:round/>
            </a:ln>
            <a:effectLst/>
          </c:spPr>
          <c:marker>
            <c:symbol val="none"/>
          </c:marker>
          <c:xVal>
            <c:numRef>
              <c:f>Chart!$S$5:$S$6</c:f>
              <c:numCache>
                <c:formatCode>_(* #,##0.00_);_(* \(#,##0.00\);_(* "-"??_);_(@_)</c:formatCode>
                <c:ptCount val="2"/>
                <c:pt idx="0">
                  <c:v>33.825735294117671</c:v>
                </c:pt>
                <c:pt idx="1">
                  <c:v>-19.124999999999943</c:v>
                </c:pt>
              </c:numCache>
            </c:numRef>
          </c:xVal>
          <c:yVal>
            <c:numRef>
              <c:f>Chart!$Q$5:$Q$6</c:f>
              <c:numCache>
                <c:formatCode>_-* #,##0_-;\-* #,##0_-;_-* "-"??_-;_-@_-</c:formatCode>
                <c:ptCount val="2"/>
                <c:pt idx="0">
                  <c:v>69000</c:v>
                </c:pt>
                <c:pt idx="1">
                  <c:v>170000</c:v>
                </c:pt>
              </c:numCache>
            </c:numRef>
          </c:yVal>
          <c:smooth val="0"/>
          <c:extLst>
            <c:ext xmlns:c16="http://schemas.microsoft.com/office/drawing/2014/chart" uri="{C3380CC4-5D6E-409C-BE32-E72D297353CC}">
              <c16:uniqueId val="{00000027-D71A-43FA-AC80-B14CB25F696A}"/>
            </c:ext>
          </c:extLst>
        </c:ser>
        <c:ser>
          <c:idx val="9"/>
          <c:order val="10"/>
          <c:tx>
            <c:strRef>
              <c:f>Chart!$R$7</c:f>
              <c:strCache>
                <c:ptCount val="1"/>
                <c:pt idx="0">
                  <c:v>12%</c:v>
                </c:pt>
              </c:strCache>
            </c:strRef>
          </c:tx>
          <c:spPr>
            <a:ln w="15875" cap="flat" cmpd="sng" algn="ctr">
              <a:solidFill>
                <a:schemeClr val="tx1">
                  <a:alpha val="75000"/>
                </a:schemeClr>
              </a:solidFill>
              <a:prstDash val="sysDash"/>
              <a:round/>
            </a:ln>
            <a:effectLst/>
          </c:spPr>
          <c:marker>
            <c:symbol val="none"/>
          </c:marker>
          <c:xVal>
            <c:numRef>
              <c:f>Chart!$S$7:$S$8</c:f>
              <c:numCache>
                <c:formatCode>_(* #,##0.00_);_(* \(#,##0.00\);_(* "-"??_);_(@_)</c:formatCode>
                <c:ptCount val="2"/>
                <c:pt idx="0">
                  <c:v>38.645588235294142</c:v>
                </c:pt>
                <c:pt idx="1">
                  <c:v>-7.2499999999999432</c:v>
                </c:pt>
              </c:numCache>
            </c:numRef>
          </c:xVal>
          <c:yVal>
            <c:numRef>
              <c:f>Chart!$Q$7:$Q$8</c:f>
              <c:numCache>
                <c:formatCode>_-* #,##0_-;\-* #,##0_-;_-* "-"??_-;_-@_-</c:formatCode>
                <c:ptCount val="2"/>
                <c:pt idx="0">
                  <c:v>69000</c:v>
                </c:pt>
                <c:pt idx="1">
                  <c:v>170000</c:v>
                </c:pt>
              </c:numCache>
            </c:numRef>
          </c:yVal>
          <c:smooth val="0"/>
          <c:extLst>
            <c:ext xmlns:c16="http://schemas.microsoft.com/office/drawing/2014/chart" uri="{C3380CC4-5D6E-409C-BE32-E72D297353CC}">
              <c16:uniqueId val="{00000028-D71A-43FA-AC80-B14CB25F696A}"/>
            </c:ext>
          </c:extLst>
        </c:ser>
        <c:ser>
          <c:idx val="10"/>
          <c:order val="11"/>
          <c:tx>
            <c:strRef>
              <c:f>Chart!$R$9</c:f>
              <c:strCache>
                <c:ptCount val="1"/>
                <c:pt idx="0">
                  <c:v>14%</c:v>
                </c:pt>
              </c:strCache>
            </c:strRef>
          </c:tx>
          <c:spPr>
            <a:ln w="15875" cap="flat" cmpd="sng" algn="ctr">
              <a:solidFill>
                <a:schemeClr val="tx1">
                  <a:alpha val="75000"/>
                </a:schemeClr>
              </a:solidFill>
              <a:prstDash val="sysDash"/>
              <a:round/>
            </a:ln>
            <a:effectLst/>
          </c:spPr>
          <c:marker>
            <c:symbol val="none"/>
          </c:marker>
          <c:dLbls>
            <c:dLbl>
              <c:idx val="1"/>
              <c:layout>
                <c:manualLayout>
                  <c:x val="-2.5272416858932889E-2"/>
                  <c:y val="-2.0523395054346596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A-D71A-43FA-AC80-B14CB25F696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Chart!$S$9:$S$10</c:f>
              <c:numCache>
                <c:formatCode>_(* #,##0.00_);_(* \(#,##0.00\);_(* "-"??_);_(@_)</c:formatCode>
                <c:ptCount val="2"/>
                <c:pt idx="0">
                  <c:v>43.465441176470613</c:v>
                </c:pt>
                <c:pt idx="1">
                  <c:v>4.6250000000000568</c:v>
                </c:pt>
              </c:numCache>
            </c:numRef>
          </c:xVal>
          <c:yVal>
            <c:numRef>
              <c:f>Chart!$Q$9:$Q$10</c:f>
              <c:numCache>
                <c:formatCode>_-* #,##0_-;\-* #,##0_-;_-* "-"??_-;_-@_-</c:formatCode>
                <c:ptCount val="2"/>
                <c:pt idx="0">
                  <c:v>69000</c:v>
                </c:pt>
                <c:pt idx="1">
                  <c:v>170000</c:v>
                </c:pt>
              </c:numCache>
            </c:numRef>
          </c:yVal>
          <c:smooth val="0"/>
          <c:extLst>
            <c:ext xmlns:c16="http://schemas.microsoft.com/office/drawing/2014/chart" uri="{C3380CC4-5D6E-409C-BE32-E72D297353CC}">
              <c16:uniqueId val="{00000029-D71A-43FA-AC80-B14CB25F696A}"/>
            </c:ext>
          </c:extLst>
        </c:ser>
        <c:ser>
          <c:idx val="11"/>
          <c:order val="12"/>
          <c:tx>
            <c:strRef>
              <c:f>Chart!$R$11</c:f>
              <c:strCache>
                <c:ptCount val="1"/>
                <c:pt idx="0">
                  <c:v>16%</c:v>
                </c:pt>
              </c:strCache>
            </c:strRef>
          </c:tx>
          <c:spPr>
            <a:ln w="15875" cap="flat" cmpd="sng" algn="ctr">
              <a:solidFill>
                <a:schemeClr val="tx1">
                  <a:alpha val="75000"/>
                </a:schemeClr>
              </a:solidFill>
              <a:prstDash val="sysDash"/>
              <a:round/>
            </a:ln>
            <a:effectLst/>
          </c:spPr>
          <c:marker>
            <c:symbol val="none"/>
          </c:marker>
          <c:dLbls>
            <c:dLbl>
              <c:idx val="1"/>
              <c:layout>
                <c:manualLayout>
                  <c:x val="-2.3942289655831159E-2"/>
                  <c:y val="-1.7365949661370197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39-D71A-43FA-AC80-B14CB25F696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Chart!$S$11:$S$12</c:f>
              <c:numCache>
                <c:formatCode>_(* #,##0.00_);_(* \(#,##0.00\);_(* "-"??_);_(@_)</c:formatCode>
                <c:ptCount val="2"/>
                <c:pt idx="0">
                  <c:v>48.285294117647084</c:v>
                </c:pt>
                <c:pt idx="1">
                  <c:v>16.500000000000057</c:v>
                </c:pt>
              </c:numCache>
            </c:numRef>
          </c:xVal>
          <c:yVal>
            <c:numRef>
              <c:f>Chart!$Q$11:$Q$12</c:f>
              <c:numCache>
                <c:formatCode>_-* #,##0_-;\-* #,##0_-;_-* "-"??_-;_-@_-</c:formatCode>
                <c:ptCount val="2"/>
                <c:pt idx="0">
                  <c:v>69000</c:v>
                </c:pt>
                <c:pt idx="1">
                  <c:v>170000</c:v>
                </c:pt>
              </c:numCache>
            </c:numRef>
          </c:yVal>
          <c:smooth val="0"/>
          <c:extLst>
            <c:ext xmlns:c16="http://schemas.microsoft.com/office/drawing/2014/chart" uri="{C3380CC4-5D6E-409C-BE32-E72D297353CC}">
              <c16:uniqueId val="{0000002A-D71A-43FA-AC80-B14CB25F696A}"/>
            </c:ext>
          </c:extLst>
        </c:ser>
        <c:ser>
          <c:idx val="12"/>
          <c:order val="13"/>
          <c:tx>
            <c:strRef>
              <c:f>Chart!$R$13</c:f>
              <c:strCache>
                <c:ptCount val="1"/>
                <c:pt idx="0">
                  <c:v>18%</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Chart!$S$13:$S$14</c:f>
              <c:numCache>
                <c:formatCode>_(* #,##0.00_);_(* \(#,##0.00\);_(* "-"??_);_(@_)</c:formatCode>
                <c:ptCount val="2"/>
                <c:pt idx="0">
                  <c:v>53.105147058823555</c:v>
                </c:pt>
                <c:pt idx="1">
                  <c:v>28.375000000000057</c:v>
                </c:pt>
              </c:numCache>
            </c:numRef>
          </c:xVal>
          <c:yVal>
            <c:numRef>
              <c:f>Chart!$Q$13:$Q$14</c:f>
              <c:numCache>
                <c:formatCode>_-* #,##0_-;\-* #,##0_-;_-* "-"??_-;_-@_-</c:formatCode>
                <c:ptCount val="2"/>
                <c:pt idx="0">
                  <c:v>69000</c:v>
                </c:pt>
                <c:pt idx="1">
                  <c:v>170000</c:v>
                </c:pt>
              </c:numCache>
            </c:numRef>
          </c:yVal>
          <c:smooth val="0"/>
          <c:extLst>
            <c:ext xmlns:c16="http://schemas.microsoft.com/office/drawing/2014/chart" uri="{C3380CC4-5D6E-409C-BE32-E72D297353CC}">
              <c16:uniqueId val="{0000002B-D71A-43FA-AC80-B14CB25F696A}"/>
            </c:ext>
          </c:extLst>
        </c:ser>
        <c:ser>
          <c:idx val="13"/>
          <c:order val="14"/>
          <c:tx>
            <c:strRef>
              <c:f>Chart!$R$15</c:f>
              <c:strCache>
                <c:ptCount val="1"/>
                <c:pt idx="0">
                  <c:v>20%</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Chart!$S$15:$S$16</c:f>
              <c:numCache>
                <c:formatCode>_(* #,##0.00_);_(* \(#,##0.00\);_(* "-"??_);_(@_)</c:formatCode>
                <c:ptCount val="2"/>
                <c:pt idx="0">
                  <c:v>57.925000000000026</c:v>
                </c:pt>
                <c:pt idx="1">
                  <c:v>40.250000000000057</c:v>
                </c:pt>
              </c:numCache>
            </c:numRef>
          </c:xVal>
          <c:yVal>
            <c:numRef>
              <c:f>Chart!$Q$15:$Q$16</c:f>
              <c:numCache>
                <c:formatCode>_-* #,##0_-;\-* #,##0_-;_-* "-"??_-;_-@_-</c:formatCode>
                <c:ptCount val="2"/>
                <c:pt idx="0">
                  <c:v>69000</c:v>
                </c:pt>
                <c:pt idx="1">
                  <c:v>170000</c:v>
                </c:pt>
              </c:numCache>
            </c:numRef>
          </c:yVal>
          <c:smooth val="0"/>
          <c:extLst>
            <c:ext xmlns:c16="http://schemas.microsoft.com/office/drawing/2014/chart" uri="{C3380CC4-5D6E-409C-BE32-E72D297353CC}">
              <c16:uniqueId val="{0000002C-D71A-43FA-AC80-B14CB25F696A}"/>
            </c:ext>
          </c:extLst>
        </c:ser>
        <c:ser>
          <c:idx val="14"/>
          <c:order val="15"/>
          <c:tx>
            <c:strRef>
              <c:f>Chart!$R$17</c:f>
              <c:strCache>
                <c:ptCount val="1"/>
                <c:pt idx="0">
                  <c:v>22%</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Chart!$S$17:$S$18</c:f>
              <c:numCache>
                <c:formatCode>_(* #,##0.00_);_(* \(#,##0.00\);_(* "-"??_);_(@_)</c:formatCode>
                <c:ptCount val="2"/>
                <c:pt idx="0">
                  <c:v>62.744852941176497</c:v>
                </c:pt>
                <c:pt idx="1">
                  <c:v>52.125000000000057</c:v>
                </c:pt>
              </c:numCache>
            </c:numRef>
          </c:xVal>
          <c:yVal>
            <c:numRef>
              <c:f>Chart!$Q$17:$Q$18</c:f>
              <c:numCache>
                <c:formatCode>_-* #,##0_-;\-* #,##0_-;_-* "-"??_-;_-@_-</c:formatCode>
                <c:ptCount val="2"/>
                <c:pt idx="0">
                  <c:v>69000</c:v>
                </c:pt>
                <c:pt idx="1">
                  <c:v>170000</c:v>
                </c:pt>
              </c:numCache>
            </c:numRef>
          </c:yVal>
          <c:smooth val="0"/>
          <c:extLst>
            <c:ext xmlns:c16="http://schemas.microsoft.com/office/drawing/2014/chart" uri="{C3380CC4-5D6E-409C-BE32-E72D297353CC}">
              <c16:uniqueId val="{0000002D-D71A-43FA-AC80-B14CB25F696A}"/>
            </c:ext>
          </c:extLst>
        </c:ser>
        <c:ser>
          <c:idx val="15"/>
          <c:order val="16"/>
          <c:tx>
            <c:strRef>
              <c:f>Chart!$R$19</c:f>
              <c:strCache>
                <c:ptCount val="1"/>
                <c:pt idx="0">
                  <c:v>24%</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Chart!$S$19:$S$20</c:f>
              <c:numCache>
                <c:formatCode>_(* #,##0.00_);_(* \(#,##0.00\);_(* "-"??_);_(@_)</c:formatCode>
                <c:ptCount val="2"/>
                <c:pt idx="0">
                  <c:v>67.564705882352968</c:v>
                </c:pt>
                <c:pt idx="1">
                  <c:v>64.000000000000057</c:v>
                </c:pt>
              </c:numCache>
            </c:numRef>
          </c:xVal>
          <c:yVal>
            <c:numRef>
              <c:f>Chart!$Q$19:$Q$20</c:f>
              <c:numCache>
                <c:formatCode>_-* #,##0_-;\-* #,##0_-;_-* "-"??_-;_-@_-</c:formatCode>
                <c:ptCount val="2"/>
                <c:pt idx="0">
                  <c:v>69000</c:v>
                </c:pt>
                <c:pt idx="1">
                  <c:v>170000</c:v>
                </c:pt>
              </c:numCache>
            </c:numRef>
          </c:yVal>
          <c:smooth val="0"/>
          <c:extLst>
            <c:ext xmlns:c16="http://schemas.microsoft.com/office/drawing/2014/chart" uri="{C3380CC4-5D6E-409C-BE32-E72D297353CC}">
              <c16:uniqueId val="{0000002E-D71A-43FA-AC80-B14CB25F696A}"/>
            </c:ext>
          </c:extLst>
        </c:ser>
        <c:ser>
          <c:idx val="16"/>
          <c:order val="17"/>
          <c:tx>
            <c:strRef>
              <c:f>Chart!$R$21</c:f>
              <c:strCache>
                <c:ptCount val="1"/>
                <c:pt idx="0">
                  <c:v>26%</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Chart!$S$21:$S$22</c:f>
              <c:numCache>
                <c:formatCode>_(* #,##0.00_);_(* \(#,##0.00\);_(* "-"??_);_(@_)</c:formatCode>
                <c:ptCount val="2"/>
                <c:pt idx="0">
                  <c:v>72.384558823529431</c:v>
                </c:pt>
                <c:pt idx="1">
                  <c:v>75.875000000000057</c:v>
                </c:pt>
              </c:numCache>
            </c:numRef>
          </c:xVal>
          <c:yVal>
            <c:numRef>
              <c:f>Chart!$Q$21:$Q$22</c:f>
              <c:numCache>
                <c:formatCode>_-* #,##0_-;\-* #,##0_-;_-* "-"??_-;_-@_-</c:formatCode>
                <c:ptCount val="2"/>
                <c:pt idx="0">
                  <c:v>69000</c:v>
                </c:pt>
                <c:pt idx="1">
                  <c:v>170000</c:v>
                </c:pt>
              </c:numCache>
            </c:numRef>
          </c:yVal>
          <c:smooth val="0"/>
          <c:extLst>
            <c:ext xmlns:c16="http://schemas.microsoft.com/office/drawing/2014/chart" uri="{C3380CC4-5D6E-409C-BE32-E72D297353CC}">
              <c16:uniqueId val="{0000002F-D71A-43FA-AC80-B14CB25F696A}"/>
            </c:ext>
          </c:extLst>
        </c:ser>
        <c:ser>
          <c:idx val="17"/>
          <c:order val="18"/>
          <c:tx>
            <c:strRef>
              <c:f>Chart!$R$23</c:f>
              <c:strCache>
                <c:ptCount val="1"/>
                <c:pt idx="0">
                  <c:v>28%</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Chart!$S$23:$S$24</c:f>
              <c:numCache>
                <c:formatCode>_(* #,##0.00_);_(* \(#,##0.00\);_(* "-"??_);_(@_)</c:formatCode>
                <c:ptCount val="2"/>
                <c:pt idx="0">
                  <c:v>77.20441176470591</c:v>
                </c:pt>
                <c:pt idx="1">
                  <c:v>87.750000000000057</c:v>
                </c:pt>
              </c:numCache>
            </c:numRef>
          </c:xVal>
          <c:yVal>
            <c:numRef>
              <c:f>Chart!$Q$23:$Q$24</c:f>
              <c:numCache>
                <c:formatCode>_-* #,##0_-;\-* #,##0_-;_-* "-"??_-;_-@_-</c:formatCode>
                <c:ptCount val="2"/>
                <c:pt idx="0">
                  <c:v>69000</c:v>
                </c:pt>
                <c:pt idx="1">
                  <c:v>170000</c:v>
                </c:pt>
              </c:numCache>
            </c:numRef>
          </c:yVal>
          <c:smooth val="0"/>
          <c:extLst>
            <c:ext xmlns:c16="http://schemas.microsoft.com/office/drawing/2014/chart" uri="{C3380CC4-5D6E-409C-BE32-E72D297353CC}">
              <c16:uniqueId val="{00000030-D71A-43FA-AC80-B14CB25F696A}"/>
            </c:ext>
          </c:extLst>
        </c:ser>
        <c:ser>
          <c:idx val="18"/>
          <c:order val="19"/>
          <c:tx>
            <c:strRef>
              <c:f>Chart!$R$25</c:f>
              <c:strCache>
                <c:ptCount val="1"/>
                <c:pt idx="0">
                  <c:v>30%</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Chart!$S$25:$S$26</c:f>
              <c:numCache>
                <c:formatCode>_(* #,##0.00_);_(* \(#,##0.00\);_(* "-"??_);_(@_)</c:formatCode>
                <c:ptCount val="2"/>
                <c:pt idx="0">
                  <c:v>82.024264705882374</c:v>
                </c:pt>
                <c:pt idx="1">
                  <c:v>99.625000000000057</c:v>
                </c:pt>
              </c:numCache>
            </c:numRef>
          </c:xVal>
          <c:yVal>
            <c:numRef>
              <c:f>Chart!$Q$27:$Q$28</c:f>
              <c:numCache>
                <c:formatCode>_-* #,##0_-;\-* #,##0_-;_-* "-"??_-;_-@_-</c:formatCode>
                <c:ptCount val="2"/>
                <c:pt idx="0">
                  <c:v>69000</c:v>
                </c:pt>
                <c:pt idx="1">
                  <c:v>170000</c:v>
                </c:pt>
              </c:numCache>
            </c:numRef>
          </c:yVal>
          <c:smooth val="0"/>
          <c:extLst>
            <c:ext xmlns:c16="http://schemas.microsoft.com/office/drawing/2014/chart" uri="{C3380CC4-5D6E-409C-BE32-E72D297353CC}">
              <c16:uniqueId val="{00000031-D71A-43FA-AC80-B14CB25F696A}"/>
            </c:ext>
          </c:extLst>
        </c:ser>
        <c:ser>
          <c:idx val="19"/>
          <c:order val="20"/>
          <c:tx>
            <c:strRef>
              <c:f>Chart!$R$27</c:f>
              <c:strCache>
                <c:ptCount val="1"/>
                <c:pt idx="0">
                  <c:v>32%</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Chart!$S$27:$S$28</c:f>
              <c:numCache>
                <c:formatCode>_(* #,##0.00_);_(* \(#,##0.00\);_(* "-"??_);_(@_)</c:formatCode>
                <c:ptCount val="2"/>
                <c:pt idx="0">
                  <c:v>86.844117647058852</c:v>
                </c:pt>
                <c:pt idx="1">
                  <c:v>111.50000000000006</c:v>
                </c:pt>
              </c:numCache>
            </c:numRef>
          </c:xVal>
          <c:yVal>
            <c:numRef>
              <c:f>Chart!$Q$27:$Q$28</c:f>
              <c:numCache>
                <c:formatCode>_-* #,##0_-;\-* #,##0_-;_-* "-"??_-;_-@_-</c:formatCode>
                <c:ptCount val="2"/>
                <c:pt idx="0">
                  <c:v>69000</c:v>
                </c:pt>
                <c:pt idx="1">
                  <c:v>170000</c:v>
                </c:pt>
              </c:numCache>
            </c:numRef>
          </c:yVal>
          <c:smooth val="0"/>
          <c:extLst>
            <c:ext xmlns:c16="http://schemas.microsoft.com/office/drawing/2014/chart" uri="{C3380CC4-5D6E-409C-BE32-E72D297353CC}">
              <c16:uniqueId val="{00000032-D71A-43FA-AC80-B14CB25F696A}"/>
            </c:ext>
          </c:extLst>
        </c:ser>
        <c:ser>
          <c:idx val="20"/>
          <c:order val="21"/>
          <c:tx>
            <c:strRef>
              <c:f>Chart!$R$29</c:f>
              <c:strCache>
                <c:ptCount val="1"/>
                <c:pt idx="0">
                  <c:v>34%</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Chart!$S$29:$S$30</c:f>
              <c:numCache>
                <c:formatCode>_(* #,##0.00_);_(* \(#,##0.00\);_(* "-"??_);_(@_)</c:formatCode>
                <c:ptCount val="2"/>
                <c:pt idx="0">
                  <c:v>91.663970588235316</c:v>
                </c:pt>
                <c:pt idx="1">
                  <c:v>123.37500000000006</c:v>
                </c:pt>
              </c:numCache>
            </c:numRef>
          </c:xVal>
          <c:yVal>
            <c:numRef>
              <c:f>Chart!$Q$29:$Q$30</c:f>
              <c:numCache>
                <c:formatCode>_-* #,##0_-;\-* #,##0_-;_-* "-"??_-;_-@_-</c:formatCode>
                <c:ptCount val="2"/>
                <c:pt idx="0">
                  <c:v>69000</c:v>
                </c:pt>
                <c:pt idx="1">
                  <c:v>170000</c:v>
                </c:pt>
              </c:numCache>
            </c:numRef>
          </c:yVal>
          <c:smooth val="0"/>
          <c:extLst>
            <c:ext xmlns:c16="http://schemas.microsoft.com/office/drawing/2014/chart" uri="{C3380CC4-5D6E-409C-BE32-E72D297353CC}">
              <c16:uniqueId val="{00000033-D71A-43FA-AC80-B14CB25F696A}"/>
            </c:ext>
          </c:extLst>
        </c:ser>
        <c:ser>
          <c:idx val="21"/>
          <c:order val="22"/>
          <c:tx>
            <c:strRef>
              <c:f>Chart!$R$31</c:f>
              <c:strCache>
                <c:ptCount val="1"/>
                <c:pt idx="0">
                  <c:v>36%</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Chart!$S$31:$S$32</c:f>
              <c:numCache>
                <c:formatCode>_(* #,##0.00_);_(* \(#,##0.00\);_(* "-"??_);_(@_)</c:formatCode>
                <c:ptCount val="2"/>
                <c:pt idx="0">
                  <c:v>96.483823529411794</c:v>
                </c:pt>
                <c:pt idx="1">
                  <c:v>135.25000000000006</c:v>
                </c:pt>
              </c:numCache>
            </c:numRef>
          </c:xVal>
          <c:yVal>
            <c:numRef>
              <c:f>Chart!$Q$31:$Q$32</c:f>
              <c:numCache>
                <c:formatCode>_-* #,##0_-;\-* #,##0_-;_-* "-"??_-;_-@_-</c:formatCode>
                <c:ptCount val="2"/>
                <c:pt idx="0">
                  <c:v>69000</c:v>
                </c:pt>
                <c:pt idx="1">
                  <c:v>170000</c:v>
                </c:pt>
              </c:numCache>
            </c:numRef>
          </c:yVal>
          <c:smooth val="0"/>
          <c:extLst>
            <c:ext xmlns:c16="http://schemas.microsoft.com/office/drawing/2014/chart" uri="{C3380CC4-5D6E-409C-BE32-E72D297353CC}">
              <c16:uniqueId val="{00000034-D71A-43FA-AC80-B14CB25F696A}"/>
            </c:ext>
          </c:extLst>
        </c:ser>
        <c:ser>
          <c:idx val="23"/>
          <c:order val="23"/>
          <c:tx>
            <c:strRef>
              <c:f>Chart!$U$10</c:f>
              <c:strCache>
                <c:ptCount val="1"/>
                <c:pt idx="0">
                  <c:v>TOW</c:v>
                </c:pt>
              </c:strCache>
            </c:strRef>
          </c:tx>
          <c:spPr>
            <a:ln w="25400" cap="flat" cmpd="dbl" algn="ctr">
              <a:solidFill>
                <a:srgbClr val="00D661">
                  <a:alpha val="50000"/>
                </a:srgbClr>
              </a:solidFill>
              <a:round/>
            </a:ln>
            <a:effectLst/>
          </c:spPr>
          <c:marker>
            <c:symbol val="plus"/>
            <c:size val="8"/>
            <c:spPr>
              <a:noFill/>
              <a:ln w="25400" cap="flat" cmpd="sng" algn="ctr">
                <a:solidFill>
                  <a:srgbClr val="00D661"/>
                </a:solidFill>
                <a:round/>
              </a:ln>
              <a:effectLst/>
            </c:spPr>
          </c:marker>
          <c:dLbls>
            <c:spPr>
              <a:solidFill>
                <a:srgbClr val="00D66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Chart!$W$10</c:f>
              <c:numCache>
                <c:formatCode>0.0</c:formatCode>
                <c:ptCount val="1"/>
                <c:pt idx="0">
                  <c:v>64.3</c:v>
                </c:pt>
              </c:numCache>
            </c:numRef>
          </c:xVal>
          <c:yVal>
            <c:numRef>
              <c:f>Chart!$V$10</c:f>
              <c:numCache>
                <c:formatCode>#,##0</c:formatCode>
                <c:ptCount val="1"/>
                <c:pt idx="0">
                  <c:v>140216.6530612245</c:v>
                </c:pt>
              </c:numCache>
            </c:numRef>
          </c:yVal>
          <c:smooth val="0"/>
          <c:extLst>
            <c:ext xmlns:c16="http://schemas.microsoft.com/office/drawing/2014/chart" uri="{C3380CC4-5D6E-409C-BE32-E72D297353CC}">
              <c16:uniqueId val="{00000035-D71A-43FA-AC80-B14CB25F696A}"/>
            </c:ext>
          </c:extLst>
        </c:ser>
        <c:ser>
          <c:idx val="24"/>
          <c:order val="24"/>
          <c:tx>
            <c:strRef>
              <c:f>Chart!$U$9</c:f>
              <c:strCache>
                <c:ptCount val="1"/>
                <c:pt idx="0">
                  <c:v>AZFW</c:v>
                </c:pt>
              </c:strCache>
            </c:strRef>
          </c:tx>
          <c:spPr>
            <a:ln w="25400" cap="flat" cmpd="dbl" algn="ctr">
              <a:noFill/>
              <a:round/>
            </a:ln>
            <a:effectLst/>
          </c:spPr>
          <c:marker>
            <c:symbol val="plus"/>
            <c:size val="8"/>
            <c:spPr>
              <a:noFill/>
              <a:ln w="25400" cap="flat" cmpd="sng" algn="ctr">
                <a:solidFill>
                  <a:schemeClr val="accent2"/>
                </a:solidFill>
                <a:round/>
              </a:ln>
              <a:effectLst/>
            </c:spPr>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Chart!$W$9</c:f>
              <c:numCache>
                <c:formatCode>0.0</c:formatCode>
                <c:ptCount val="1"/>
                <c:pt idx="0">
                  <c:v>66.599999999999994</c:v>
                </c:pt>
              </c:numCache>
            </c:numRef>
          </c:xVal>
          <c:yVal>
            <c:numRef>
              <c:f>Chart!$V$9</c:f>
              <c:numCache>
                <c:formatCode>#,##0</c:formatCode>
                <c:ptCount val="1"/>
                <c:pt idx="0">
                  <c:v>113716.6530612245</c:v>
                </c:pt>
              </c:numCache>
            </c:numRef>
          </c:yVal>
          <c:smooth val="0"/>
          <c:extLst>
            <c:ext xmlns:c16="http://schemas.microsoft.com/office/drawing/2014/chart" uri="{C3380CC4-5D6E-409C-BE32-E72D297353CC}">
              <c16:uniqueId val="{00000036-D71A-43FA-AC80-B14CB25F696A}"/>
            </c:ext>
          </c:extLst>
        </c:ser>
        <c:ser>
          <c:idx val="25"/>
          <c:order val="25"/>
          <c:tx>
            <c:strRef>
              <c:f>Chart!$U$11</c:f>
              <c:strCache>
                <c:ptCount val="1"/>
                <c:pt idx="0">
                  <c:v>LW</c:v>
                </c:pt>
              </c:strCache>
            </c:strRef>
          </c:tx>
          <c:spPr>
            <a:ln w="25400" cap="flat" cmpd="dbl" algn="ctr">
              <a:noFill/>
              <a:round/>
            </a:ln>
            <a:effectLst/>
          </c:spPr>
          <c:marker>
            <c:symbol val="plus"/>
            <c:size val="8"/>
            <c:spPr>
              <a:noFill/>
              <a:ln w="25400" cap="flat" cmpd="sng" algn="ctr">
                <a:solidFill>
                  <a:schemeClr val="accent1"/>
                </a:solidFill>
                <a:round/>
              </a:ln>
              <a:effectLst/>
            </c:spPr>
          </c:marker>
          <c:dPt>
            <c:idx val="0"/>
            <c:marker>
              <c:symbol val="plus"/>
              <c:size val="8"/>
              <c:spPr>
                <a:noFill/>
                <a:ln w="25400" cap="flat" cmpd="sng" algn="ctr">
                  <a:solidFill>
                    <a:schemeClr val="accent1"/>
                  </a:solidFill>
                  <a:round/>
                </a:ln>
                <a:effectLst/>
              </c:spPr>
            </c:marker>
            <c:bubble3D val="0"/>
            <c:extLst>
              <c:ext xmlns:c16="http://schemas.microsoft.com/office/drawing/2014/chart" uri="{C3380CC4-5D6E-409C-BE32-E72D297353CC}">
                <c16:uniqueId val="{00000037-D71A-43FA-AC80-B14CB25F696A}"/>
              </c:ext>
            </c:extLst>
          </c:dPt>
          <c:dLbls>
            <c:spPr>
              <a:solidFill>
                <a:srgbClr val="00B0F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Chart!$W$11</c:f>
              <c:numCache>
                <c:formatCode>0.0</c:formatCode>
                <c:ptCount val="1"/>
                <c:pt idx="0">
                  <c:v>62.499999999999993</c:v>
                </c:pt>
              </c:numCache>
            </c:numRef>
          </c:xVal>
          <c:yVal>
            <c:numRef>
              <c:f>Chart!$V$11</c:f>
              <c:numCache>
                <c:formatCode>#,##0</c:formatCode>
                <c:ptCount val="1"/>
                <c:pt idx="0">
                  <c:v>120216.6530612245</c:v>
                </c:pt>
              </c:numCache>
            </c:numRef>
          </c:yVal>
          <c:smooth val="0"/>
          <c:extLst>
            <c:ext xmlns:c16="http://schemas.microsoft.com/office/drawing/2014/chart" uri="{C3380CC4-5D6E-409C-BE32-E72D297353CC}">
              <c16:uniqueId val="{00000038-D71A-43FA-AC80-B14CB25F696A}"/>
            </c:ext>
          </c:extLst>
        </c:ser>
        <c:dLbls>
          <c:showLegendKey val="0"/>
          <c:showVal val="0"/>
          <c:showCatName val="0"/>
          <c:showSerName val="0"/>
          <c:showPercent val="0"/>
          <c:showBubbleSize val="0"/>
        </c:dLbls>
        <c:axId val="1249896432"/>
        <c:axId val="1249892592"/>
      </c:scatterChart>
      <c:valAx>
        <c:axId val="1249896432"/>
        <c:scaling>
          <c:orientation val="minMax"/>
          <c:max val="14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fr-CA" b="1"/>
                  <a:t>INDEX</a:t>
                </a:r>
              </a:p>
            </c:rich>
          </c:tx>
          <c:layout>
            <c:manualLayout>
              <c:xMode val="edge"/>
              <c:yMode val="edge"/>
              <c:x val="0.49722463544020734"/>
              <c:y val="0.94366395730739605"/>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en-KE"/>
            </a:p>
          </c:txPr>
        </c:title>
        <c:numFmt formatCode="_(* #,##0.00_);_(* \(#,##0.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none" spc="0" normalizeH="0" baseline="0">
                <a:solidFill>
                  <a:schemeClr val="tx1">
                    <a:lumMod val="65000"/>
                    <a:lumOff val="35000"/>
                  </a:schemeClr>
                </a:solidFill>
                <a:latin typeface="+mn-lt"/>
                <a:ea typeface="+mn-ea"/>
                <a:cs typeface="+mn-cs"/>
              </a:defRPr>
            </a:pPr>
            <a:endParaRPr lang="en-KE"/>
          </a:p>
        </c:txPr>
        <c:crossAx val="1249892592"/>
        <c:crosses val="autoZero"/>
        <c:crossBetween val="midCat"/>
        <c:minorUnit val="1"/>
      </c:valAx>
      <c:valAx>
        <c:axId val="1249892592"/>
        <c:scaling>
          <c:orientation val="minMax"/>
          <c:max val="170000"/>
          <c:min val="70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fr-CA" b="1"/>
                  <a:t>gROSS</a:t>
                </a:r>
                <a:r>
                  <a:rPr lang="fr-CA" b="1" baseline="0"/>
                  <a:t> mASS (Kg)</a:t>
                </a:r>
                <a:endParaRPr lang="fr-CA" b="1"/>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fr-CA"/>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KE"/>
          </a:p>
        </c:txPr>
        <c:crossAx val="124989643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Certified weight limits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199035646859932"/>
          <c:y val="8.0539539925420137E-2"/>
          <c:w val="0.82856603450884425"/>
          <c:h val="0.80081938618554893"/>
        </c:manualLayout>
      </c:layout>
      <c:scatterChart>
        <c:scatterStyle val="lineMarker"/>
        <c:varyColors val="0"/>
        <c:ser>
          <c:idx val="0"/>
          <c:order val="0"/>
          <c:tx>
            <c:strRef>
              <c:f>Chart!$B$3</c:f>
              <c:strCache>
                <c:ptCount val="1"/>
                <c:pt idx="0">
                  <c:v>MTW=159,755 Kgs</c:v>
                </c:pt>
              </c:strCache>
            </c:strRef>
          </c:tx>
          <c:spPr>
            <a:ln w="9525" cap="rnd">
              <a:solidFill>
                <a:schemeClr val="accent1"/>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xVal>
            <c:numRef>
              <c:f>Chart!$C$5:$C$21</c:f>
              <c:numCache>
                <c:formatCode>0.0%</c:formatCode>
                <c:ptCount val="17"/>
                <c:pt idx="0">
                  <c:v>0.11</c:v>
                </c:pt>
                <c:pt idx="1">
                  <c:v>0.11</c:v>
                </c:pt>
                <c:pt idx="2">
                  <c:v>0.11</c:v>
                </c:pt>
                <c:pt idx="3">
                  <c:v>0.11</c:v>
                </c:pt>
                <c:pt idx="4">
                  <c:v>0.11</c:v>
                </c:pt>
                <c:pt idx="5">
                  <c:v>0.155</c:v>
                </c:pt>
                <c:pt idx="6">
                  <c:v>0.158</c:v>
                </c:pt>
                <c:pt idx="7">
                  <c:v>0.16</c:v>
                </c:pt>
                <c:pt idx="8">
                  <c:v>0.2</c:v>
                </c:pt>
                <c:pt idx="9">
                  <c:v>0.25700000000000001</c:v>
                </c:pt>
                <c:pt idx="10">
                  <c:v>0.27200000000000002</c:v>
                </c:pt>
                <c:pt idx="11">
                  <c:v>0.36</c:v>
                </c:pt>
                <c:pt idx="12">
                  <c:v>0.36</c:v>
                </c:pt>
                <c:pt idx="13">
                  <c:v>0.36</c:v>
                </c:pt>
                <c:pt idx="14">
                  <c:v>0.36</c:v>
                </c:pt>
                <c:pt idx="15">
                  <c:v>0.36</c:v>
                </c:pt>
                <c:pt idx="16">
                  <c:v>0.36</c:v>
                </c:pt>
              </c:numCache>
            </c:numRef>
          </c:xVal>
          <c:yVal>
            <c:numRef>
              <c:f>Chart!$B$5:$B$21</c:f>
              <c:numCache>
                <c:formatCode>_-* #,##0_-;\-* #,##0_-;_-* "-"??_-;_-@_-</c:formatCode>
                <c:ptCount val="17"/>
                <c:pt idx="0">
                  <c:v>69000</c:v>
                </c:pt>
                <c:pt idx="1">
                  <c:v>76203</c:v>
                </c:pt>
                <c:pt idx="2">
                  <c:v>113352</c:v>
                </c:pt>
                <c:pt idx="3">
                  <c:v>121560</c:v>
                </c:pt>
                <c:pt idx="4">
                  <c:v>133809</c:v>
                </c:pt>
                <c:pt idx="5">
                  <c:v>157399</c:v>
                </c:pt>
                <c:pt idx="6">
                  <c:v>159210</c:v>
                </c:pt>
                <c:pt idx="7">
                  <c:v>159755</c:v>
                </c:pt>
                <c:pt idx="8">
                  <c:v>159755</c:v>
                </c:pt>
                <c:pt idx="9">
                  <c:v>159755</c:v>
                </c:pt>
                <c:pt idx="10">
                  <c:v>159210</c:v>
                </c:pt>
                <c:pt idx="11">
                  <c:v>156126</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0-79FB-4B84-9380-D90801783C21}"/>
            </c:ext>
          </c:extLst>
        </c:ser>
        <c:ser>
          <c:idx val="1"/>
          <c:order val="1"/>
          <c:tx>
            <c:strRef>
              <c:f>Chart!$E$3</c:f>
              <c:strCache>
                <c:ptCount val="1"/>
                <c:pt idx="0">
                  <c:v>MTOW=159,210 Kgs</c:v>
                </c:pt>
              </c:strCache>
            </c:strRef>
          </c:tx>
          <c:spPr>
            <a:ln w="9525" cap="rnd">
              <a:solidFill>
                <a:schemeClr val="accent2"/>
              </a:solid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Chart!$F$5:$F$21</c:f>
              <c:numCache>
                <c:formatCode>0.0%</c:formatCode>
                <c:ptCount val="17"/>
                <c:pt idx="0">
                  <c:v>0.11</c:v>
                </c:pt>
                <c:pt idx="1">
                  <c:v>0.11</c:v>
                </c:pt>
                <c:pt idx="2">
                  <c:v>0.11</c:v>
                </c:pt>
                <c:pt idx="3">
                  <c:v>0.11</c:v>
                </c:pt>
                <c:pt idx="4">
                  <c:v>0.11</c:v>
                </c:pt>
                <c:pt idx="5">
                  <c:v>0.155</c:v>
                </c:pt>
                <c:pt idx="6">
                  <c:v>0.158</c:v>
                </c:pt>
                <c:pt idx="7">
                  <c:v>0.16</c:v>
                </c:pt>
                <c:pt idx="8">
                  <c:v>0.2</c:v>
                </c:pt>
                <c:pt idx="9">
                  <c:v>0.25700000000000001</c:v>
                </c:pt>
                <c:pt idx="10">
                  <c:v>0.27200000000000002</c:v>
                </c:pt>
                <c:pt idx="11">
                  <c:v>0.36</c:v>
                </c:pt>
                <c:pt idx="12">
                  <c:v>0.36</c:v>
                </c:pt>
                <c:pt idx="13">
                  <c:v>0.36</c:v>
                </c:pt>
                <c:pt idx="14">
                  <c:v>0.36</c:v>
                </c:pt>
                <c:pt idx="15">
                  <c:v>0.36</c:v>
                </c:pt>
                <c:pt idx="16">
                  <c:v>0.36</c:v>
                </c:pt>
              </c:numCache>
            </c:numRef>
          </c:xVal>
          <c:yVal>
            <c:numRef>
              <c:f>Chart!$E$5:$E$21</c:f>
              <c:numCache>
                <c:formatCode>_-* #,##0_-;\-* #,##0_-;_-* "-"??_-;_-@_-</c:formatCode>
                <c:ptCount val="17"/>
                <c:pt idx="0">
                  <c:v>69000</c:v>
                </c:pt>
                <c:pt idx="1">
                  <c:v>76203</c:v>
                </c:pt>
                <c:pt idx="2">
                  <c:v>113352</c:v>
                </c:pt>
                <c:pt idx="3">
                  <c:v>121560</c:v>
                </c:pt>
                <c:pt idx="4">
                  <c:v>133809</c:v>
                </c:pt>
                <c:pt idx="5">
                  <c:v>157399</c:v>
                </c:pt>
                <c:pt idx="6">
                  <c:v>159210</c:v>
                </c:pt>
                <c:pt idx="7">
                  <c:v>159210</c:v>
                </c:pt>
                <c:pt idx="8">
                  <c:v>159210</c:v>
                </c:pt>
                <c:pt idx="9">
                  <c:v>159210</c:v>
                </c:pt>
                <c:pt idx="10">
                  <c:v>159210</c:v>
                </c:pt>
                <c:pt idx="11">
                  <c:v>156126</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1-79FB-4B84-9380-D90801783C21}"/>
            </c:ext>
          </c:extLst>
        </c:ser>
        <c:ser>
          <c:idx val="2"/>
          <c:order val="2"/>
          <c:tx>
            <c:strRef>
              <c:f>Chart!$E$23</c:f>
              <c:strCache>
                <c:ptCount val="1"/>
                <c:pt idx="0">
                  <c:v>Lower</c:v>
                </c:pt>
              </c:strCache>
            </c:strRef>
          </c:tx>
          <c:spPr>
            <a:ln w="9525" cap="rnd">
              <a:solidFill>
                <a:schemeClr val="accent3"/>
              </a:solidFill>
              <a:round/>
            </a:ln>
            <a:effectLst/>
          </c:spPr>
          <c:marker>
            <c:symbol val="circle"/>
            <c:size val="5"/>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c:spPr>
          </c:marker>
          <c:xVal>
            <c:numRef>
              <c:f>Chart!$F$25:$F$41</c:f>
              <c:numCache>
                <c:formatCode>0.0%</c:formatCode>
                <c:ptCount val="17"/>
                <c:pt idx="0">
                  <c:v>0.11</c:v>
                </c:pt>
                <c:pt idx="1">
                  <c:v>0.11</c:v>
                </c:pt>
                <c:pt idx="2">
                  <c:v>0.11</c:v>
                </c:pt>
                <c:pt idx="3">
                  <c:v>0.11</c:v>
                </c:pt>
                <c:pt idx="4">
                  <c:v>0.11</c:v>
                </c:pt>
                <c:pt idx="5">
                  <c:v>0.155</c:v>
                </c:pt>
                <c:pt idx="6">
                  <c:v>0.158</c:v>
                </c:pt>
                <c:pt idx="7">
                  <c:v>0.16</c:v>
                </c:pt>
                <c:pt idx="8">
                  <c:v>0.2</c:v>
                </c:pt>
                <c:pt idx="9">
                  <c:v>0.25700000000000001</c:v>
                </c:pt>
                <c:pt idx="10">
                  <c:v>0.28000000000000003</c:v>
                </c:pt>
                <c:pt idx="11">
                  <c:v>0.36</c:v>
                </c:pt>
                <c:pt idx="12">
                  <c:v>0.36</c:v>
                </c:pt>
                <c:pt idx="13">
                  <c:v>0.36</c:v>
                </c:pt>
                <c:pt idx="14">
                  <c:v>0.36</c:v>
                </c:pt>
                <c:pt idx="15">
                  <c:v>0.36</c:v>
                </c:pt>
                <c:pt idx="16">
                  <c:v>0.36</c:v>
                </c:pt>
              </c:numCache>
            </c:numRef>
          </c:xVal>
          <c:yVal>
            <c:numRef>
              <c:f>Chart!$E$25:$E$41</c:f>
              <c:numCache>
                <c:formatCode>_-* #,##0_-;\-* #,##0_-;_-* "-"??_-;_-@_-</c:formatCode>
                <c:ptCount val="17"/>
                <c:pt idx="0">
                  <c:v>69000</c:v>
                </c:pt>
                <c:pt idx="1">
                  <c:v>76203</c:v>
                </c:pt>
                <c:pt idx="2">
                  <c:v>113352</c:v>
                </c:pt>
                <c:pt idx="3">
                  <c:v>121560</c:v>
                </c:pt>
                <c:pt idx="4">
                  <c:v>133809</c:v>
                </c:pt>
                <c:pt idx="5">
                  <c:v>157399</c:v>
                </c:pt>
                <c:pt idx="6">
                  <c:v>157399</c:v>
                </c:pt>
                <c:pt idx="7">
                  <c:v>157399</c:v>
                </c:pt>
                <c:pt idx="8">
                  <c:v>157399</c:v>
                </c:pt>
                <c:pt idx="9">
                  <c:v>157399</c:v>
                </c:pt>
                <c:pt idx="10">
                  <c:v>157399</c:v>
                </c:pt>
                <c:pt idx="11">
                  <c:v>154584</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2-79FB-4B84-9380-D90801783C21}"/>
            </c:ext>
          </c:extLst>
        </c:ser>
        <c:ser>
          <c:idx val="3"/>
          <c:order val="3"/>
          <c:tx>
            <c:strRef>
              <c:f>Chart!$H$3</c:f>
              <c:strCache>
                <c:ptCount val="1"/>
                <c:pt idx="0">
                  <c:v>MLW=128,367 Kgs</c:v>
                </c:pt>
              </c:strCache>
            </c:strRef>
          </c:tx>
          <c:spPr>
            <a:ln w="9525" cap="rnd">
              <a:solidFill>
                <a:schemeClr val="accent4"/>
              </a:solidFill>
              <a:round/>
            </a:ln>
            <a:effectLst/>
          </c:spPr>
          <c:marker>
            <c:symbol val="circle"/>
            <c:size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c:spPr>
          </c:marker>
          <c:xVal>
            <c:numRef>
              <c:f>Chart!$I$5:$I$21</c:f>
              <c:numCache>
                <c:formatCode>0.0%</c:formatCode>
                <c:ptCount val="17"/>
                <c:pt idx="0">
                  <c:v>0.11</c:v>
                </c:pt>
                <c:pt idx="1">
                  <c:v>0.11</c:v>
                </c:pt>
                <c:pt idx="2">
                  <c:v>0.11</c:v>
                </c:pt>
                <c:pt idx="3">
                  <c:v>0.11</c:v>
                </c:pt>
                <c:pt idx="4">
                  <c:v>0.123</c:v>
                </c:pt>
                <c:pt idx="5">
                  <c:v>0.14299999999999999</c:v>
                </c:pt>
                <c:pt idx="6">
                  <c:v>0.17399999999999999</c:v>
                </c:pt>
                <c:pt idx="7">
                  <c:v>0.18</c:v>
                </c:pt>
                <c:pt idx="8">
                  <c:v>0.2</c:v>
                </c:pt>
                <c:pt idx="9">
                  <c:v>0.25700000000000001</c:v>
                </c:pt>
                <c:pt idx="10">
                  <c:v>0.27200000000000002</c:v>
                </c:pt>
                <c:pt idx="11">
                  <c:v>0.3</c:v>
                </c:pt>
                <c:pt idx="12">
                  <c:v>0.36</c:v>
                </c:pt>
                <c:pt idx="13">
                  <c:v>0.36</c:v>
                </c:pt>
                <c:pt idx="14">
                  <c:v>0.36</c:v>
                </c:pt>
                <c:pt idx="15">
                  <c:v>0.36</c:v>
                </c:pt>
                <c:pt idx="16">
                  <c:v>0.36</c:v>
                </c:pt>
              </c:numCache>
            </c:numRef>
          </c:xVal>
          <c:yVal>
            <c:numRef>
              <c:f>Chart!$H$5:$H$21</c:f>
              <c:numCache>
                <c:formatCode>_-* #,##0_-;\-* #,##0_-;_-* "-"??_-;_-@_-</c:formatCode>
                <c:ptCount val="17"/>
                <c:pt idx="0">
                  <c:v>69000</c:v>
                </c:pt>
                <c:pt idx="1">
                  <c:v>76203</c:v>
                </c:pt>
                <c:pt idx="2">
                  <c:v>113352</c:v>
                </c:pt>
                <c:pt idx="3">
                  <c:v>121560</c:v>
                </c:pt>
                <c:pt idx="4">
                  <c:v>123377</c:v>
                </c:pt>
                <c:pt idx="5">
                  <c:v>126098</c:v>
                </c:pt>
                <c:pt idx="6">
                  <c:v>128367</c:v>
                </c:pt>
                <c:pt idx="7">
                  <c:v>128367</c:v>
                </c:pt>
                <c:pt idx="8">
                  <c:v>128367</c:v>
                </c:pt>
                <c:pt idx="9">
                  <c:v>128367</c:v>
                </c:pt>
                <c:pt idx="10">
                  <c:v>128367</c:v>
                </c:pt>
                <c:pt idx="11">
                  <c:v>128367</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3-79FB-4B84-9380-D90801783C21}"/>
            </c:ext>
          </c:extLst>
        </c:ser>
        <c:ser>
          <c:idx val="4"/>
          <c:order val="4"/>
          <c:tx>
            <c:strRef>
              <c:f>Chart!$H$23</c:f>
              <c:strCache>
                <c:ptCount val="1"/>
                <c:pt idx="0">
                  <c:v>Lower1</c:v>
                </c:pt>
              </c:strCache>
            </c:strRef>
          </c:tx>
          <c:spPr>
            <a:ln w="9525" cap="rnd">
              <a:solidFill>
                <a:schemeClr val="accent5"/>
              </a:solidFill>
              <a:round/>
            </a:ln>
            <a:effectLst/>
          </c:spPr>
          <c:marker>
            <c:symbol val="circle"/>
            <c:size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c:spPr>
          </c:marker>
          <c:xVal>
            <c:numRef>
              <c:f>Chart!$I$25:$I$41</c:f>
              <c:numCache>
                <c:formatCode>0.0%</c:formatCode>
                <c:ptCount val="17"/>
                <c:pt idx="0">
                  <c:v>0.11</c:v>
                </c:pt>
                <c:pt idx="1">
                  <c:v>0.11</c:v>
                </c:pt>
                <c:pt idx="2">
                  <c:v>0.11</c:v>
                </c:pt>
                <c:pt idx="3">
                  <c:v>0.11</c:v>
                </c:pt>
                <c:pt idx="4">
                  <c:v>0.123</c:v>
                </c:pt>
                <c:pt idx="5">
                  <c:v>0.155</c:v>
                </c:pt>
                <c:pt idx="6">
                  <c:v>0.158</c:v>
                </c:pt>
                <c:pt idx="7">
                  <c:v>0.16</c:v>
                </c:pt>
                <c:pt idx="8">
                  <c:v>0.2</c:v>
                </c:pt>
                <c:pt idx="9">
                  <c:v>0.25700000000000001</c:v>
                </c:pt>
                <c:pt idx="10">
                  <c:v>0.28000000000000003</c:v>
                </c:pt>
                <c:pt idx="11">
                  <c:v>0.28999999999999998</c:v>
                </c:pt>
                <c:pt idx="12">
                  <c:v>0.3</c:v>
                </c:pt>
                <c:pt idx="13">
                  <c:v>0.36</c:v>
                </c:pt>
                <c:pt idx="14">
                  <c:v>0.36</c:v>
                </c:pt>
                <c:pt idx="15">
                  <c:v>0.36</c:v>
                </c:pt>
                <c:pt idx="16">
                  <c:v>0.36</c:v>
                </c:pt>
              </c:numCache>
            </c:numRef>
          </c:xVal>
          <c:yVal>
            <c:numRef>
              <c:f>Chart!$H$25:$H$41</c:f>
              <c:numCache>
                <c:formatCode>_-* #,##0_-;\-* #,##0_-;_-* "-"??_-;_-@_-</c:formatCode>
                <c:ptCount val="17"/>
                <c:pt idx="0">
                  <c:v>69000</c:v>
                </c:pt>
                <c:pt idx="1">
                  <c:v>76203</c:v>
                </c:pt>
                <c:pt idx="2">
                  <c:v>113352</c:v>
                </c:pt>
                <c:pt idx="3">
                  <c:v>121560</c:v>
                </c:pt>
                <c:pt idx="4">
                  <c:v>123377</c:v>
                </c:pt>
                <c:pt idx="5">
                  <c:v>123377</c:v>
                </c:pt>
                <c:pt idx="6">
                  <c:v>123377</c:v>
                </c:pt>
                <c:pt idx="7">
                  <c:v>123377</c:v>
                </c:pt>
                <c:pt idx="8">
                  <c:v>123377</c:v>
                </c:pt>
                <c:pt idx="9">
                  <c:v>123377</c:v>
                </c:pt>
                <c:pt idx="10">
                  <c:v>123377</c:v>
                </c:pt>
                <c:pt idx="11">
                  <c:v>123377</c:v>
                </c:pt>
                <c:pt idx="12">
                  <c:v>123377</c:v>
                </c:pt>
                <c:pt idx="13">
                  <c:v>123377</c:v>
                </c:pt>
                <c:pt idx="14">
                  <c:v>120657</c:v>
                </c:pt>
                <c:pt idx="15">
                  <c:v>76203</c:v>
                </c:pt>
                <c:pt idx="16">
                  <c:v>69000</c:v>
                </c:pt>
              </c:numCache>
            </c:numRef>
          </c:yVal>
          <c:smooth val="0"/>
          <c:extLst>
            <c:ext xmlns:c16="http://schemas.microsoft.com/office/drawing/2014/chart" uri="{C3380CC4-5D6E-409C-BE32-E72D297353CC}">
              <c16:uniqueId val="{00000004-79FB-4B84-9380-D90801783C21}"/>
            </c:ext>
          </c:extLst>
        </c:ser>
        <c:ser>
          <c:idx val="5"/>
          <c:order val="5"/>
          <c:tx>
            <c:strRef>
              <c:f>Chart!$K$3</c:f>
              <c:strCache>
                <c:ptCount val="1"/>
                <c:pt idx="0">
                  <c:v>MZFW=120,657 Kgs</c:v>
                </c:pt>
              </c:strCache>
            </c:strRef>
          </c:tx>
          <c:spPr>
            <a:ln w="9525" cap="rnd">
              <a:solidFill>
                <a:schemeClr val="accent6"/>
              </a:solidFill>
              <a:round/>
            </a:ln>
            <a:effectLst/>
          </c:spPr>
          <c:marker>
            <c:symbol val="circle"/>
            <c:size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c:spPr>
          </c:marker>
          <c:xVal>
            <c:numRef>
              <c:f>Chart!$L$5:$L$21</c:f>
              <c:numCache>
                <c:formatCode>0.0%</c:formatCode>
                <c:ptCount val="17"/>
                <c:pt idx="0">
                  <c:v>0.11</c:v>
                </c:pt>
                <c:pt idx="1">
                  <c:v>0.11</c:v>
                </c:pt>
                <c:pt idx="2">
                  <c:v>0.11</c:v>
                </c:pt>
                <c:pt idx="3">
                  <c:v>0.14299999999999999</c:v>
                </c:pt>
                <c:pt idx="4">
                  <c:v>0.25900000000000001</c:v>
                </c:pt>
                <c:pt idx="5">
                  <c:v>0.26</c:v>
                </c:pt>
                <c:pt idx="6">
                  <c:v>0.27</c:v>
                </c:pt>
                <c:pt idx="7">
                  <c:v>0.28000000000000003</c:v>
                </c:pt>
                <c:pt idx="8">
                  <c:v>0.28999999999999998</c:v>
                </c:pt>
                <c:pt idx="9">
                  <c:v>0.3</c:v>
                </c:pt>
                <c:pt idx="10">
                  <c:v>0.31</c:v>
                </c:pt>
                <c:pt idx="11">
                  <c:v>0.32</c:v>
                </c:pt>
                <c:pt idx="12">
                  <c:v>0.33</c:v>
                </c:pt>
                <c:pt idx="13">
                  <c:v>0.34</c:v>
                </c:pt>
                <c:pt idx="14">
                  <c:v>0.36</c:v>
                </c:pt>
                <c:pt idx="15">
                  <c:v>0.36</c:v>
                </c:pt>
                <c:pt idx="16">
                  <c:v>0.36</c:v>
                </c:pt>
              </c:numCache>
            </c:numRef>
          </c:xVal>
          <c:yVal>
            <c:numRef>
              <c:f>Chart!$K$5:$K$21</c:f>
              <c:numCache>
                <c:formatCode>_-* #,##0_-;\-* #,##0_-;_-* "-"??_-;_-@_-</c:formatCode>
                <c:ptCount val="17"/>
                <c:pt idx="0">
                  <c:v>69000</c:v>
                </c:pt>
                <c:pt idx="1">
                  <c:v>76203</c:v>
                </c:pt>
                <c:pt idx="2">
                  <c:v>113352</c:v>
                </c:pt>
                <c:pt idx="3">
                  <c:v>114758</c:v>
                </c:pt>
                <c:pt idx="4">
                  <c:v>120657</c:v>
                </c:pt>
                <c:pt idx="5">
                  <c:v>120657</c:v>
                </c:pt>
                <c:pt idx="6">
                  <c:v>120657</c:v>
                </c:pt>
                <c:pt idx="7">
                  <c:v>120657</c:v>
                </c:pt>
                <c:pt idx="8">
                  <c:v>120657</c:v>
                </c:pt>
                <c:pt idx="9">
                  <c:v>120657</c:v>
                </c:pt>
                <c:pt idx="10">
                  <c:v>120657</c:v>
                </c:pt>
                <c:pt idx="11">
                  <c:v>120657</c:v>
                </c:pt>
                <c:pt idx="12">
                  <c:v>120657</c:v>
                </c:pt>
                <c:pt idx="13">
                  <c:v>120657</c:v>
                </c:pt>
                <c:pt idx="14">
                  <c:v>120657</c:v>
                </c:pt>
                <c:pt idx="15">
                  <c:v>76203</c:v>
                </c:pt>
                <c:pt idx="16">
                  <c:v>69000</c:v>
                </c:pt>
              </c:numCache>
            </c:numRef>
          </c:yVal>
          <c:smooth val="0"/>
          <c:extLst>
            <c:ext xmlns:c16="http://schemas.microsoft.com/office/drawing/2014/chart" uri="{C3380CC4-5D6E-409C-BE32-E72D297353CC}">
              <c16:uniqueId val="{00000005-79FB-4B84-9380-D90801783C21}"/>
            </c:ext>
          </c:extLst>
        </c:ser>
        <c:ser>
          <c:idx val="6"/>
          <c:order val="6"/>
          <c:tx>
            <c:strRef>
              <c:f>Chart!$K$23</c:f>
              <c:strCache>
                <c:ptCount val="1"/>
                <c:pt idx="0">
                  <c:v>Lower 2</c:v>
                </c:pt>
              </c:strCache>
            </c:strRef>
          </c:tx>
          <c:spPr>
            <a:ln w="9525" cap="rnd">
              <a:solidFill>
                <a:schemeClr val="accent1">
                  <a:lumMod val="60000"/>
                </a:schemeClr>
              </a:solidFill>
              <a:round/>
            </a:ln>
            <a:effectLst/>
          </c:spPr>
          <c:marker>
            <c:symbol val="circle"/>
            <c:size val="5"/>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c:spPr>
          </c:marker>
          <c:xVal>
            <c:numRef>
              <c:f>Chart!$L$25:$L$41</c:f>
              <c:numCache>
                <c:formatCode>0.0%</c:formatCode>
                <c:ptCount val="17"/>
                <c:pt idx="0">
                  <c:v>0.11</c:v>
                </c:pt>
                <c:pt idx="1">
                  <c:v>0.11</c:v>
                </c:pt>
                <c:pt idx="2">
                  <c:v>0.11</c:v>
                </c:pt>
                <c:pt idx="3">
                  <c:v>0.14299999999999999</c:v>
                </c:pt>
                <c:pt idx="4">
                  <c:v>0.25900000000000001</c:v>
                </c:pt>
                <c:pt idx="5">
                  <c:v>0.26</c:v>
                </c:pt>
                <c:pt idx="6">
                  <c:v>0.27</c:v>
                </c:pt>
                <c:pt idx="7">
                  <c:v>0.28000000000000003</c:v>
                </c:pt>
                <c:pt idx="8">
                  <c:v>0.28999999999999998</c:v>
                </c:pt>
                <c:pt idx="9">
                  <c:v>0.3</c:v>
                </c:pt>
                <c:pt idx="10">
                  <c:v>0.31</c:v>
                </c:pt>
                <c:pt idx="11">
                  <c:v>0.32</c:v>
                </c:pt>
                <c:pt idx="12">
                  <c:v>0.33</c:v>
                </c:pt>
                <c:pt idx="13">
                  <c:v>0.34</c:v>
                </c:pt>
                <c:pt idx="14">
                  <c:v>0.36</c:v>
                </c:pt>
                <c:pt idx="15">
                  <c:v>0.36</c:v>
                </c:pt>
                <c:pt idx="16">
                  <c:v>0.36</c:v>
                </c:pt>
              </c:numCache>
            </c:numRef>
          </c:xVal>
          <c:yVal>
            <c:numRef>
              <c:f>Chart!$K$25:$K$41</c:f>
              <c:numCache>
                <c:formatCode>_-* #,##0_-;\-* #,##0_-;_-* "-"??_-;_-@_-</c:formatCode>
                <c:ptCount val="17"/>
                <c:pt idx="0">
                  <c:v>69000</c:v>
                </c:pt>
                <c:pt idx="1">
                  <c:v>76203</c:v>
                </c:pt>
                <c:pt idx="2">
                  <c:v>114758</c:v>
                </c:pt>
                <c:pt idx="3">
                  <c:v>114758</c:v>
                </c:pt>
                <c:pt idx="4">
                  <c:v>120657</c:v>
                </c:pt>
                <c:pt idx="5">
                  <c:v>120657</c:v>
                </c:pt>
                <c:pt idx="6">
                  <c:v>120657</c:v>
                </c:pt>
                <c:pt idx="7">
                  <c:v>120657</c:v>
                </c:pt>
                <c:pt idx="8">
                  <c:v>120657</c:v>
                </c:pt>
                <c:pt idx="9">
                  <c:v>120657</c:v>
                </c:pt>
                <c:pt idx="10">
                  <c:v>120657</c:v>
                </c:pt>
                <c:pt idx="11">
                  <c:v>120657</c:v>
                </c:pt>
                <c:pt idx="12">
                  <c:v>120657</c:v>
                </c:pt>
                <c:pt idx="13">
                  <c:v>120657</c:v>
                </c:pt>
                <c:pt idx="14">
                  <c:v>120657</c:v>
                </c:pt>
                <c:pt idx="15">
                  <c:v>76203</c:v>
                </c:pt>
                <c:pt idx="16">
                  <c:v>69000</c:v>
                </c:pt>
              </c:numCache>
            </c:numRef>
          </c:yVal>
          <c:smooth val="0"/>
          <c:extLst>
            <c:ext xmlns:c16="http://schemas.microsoft.com/office/drawing/2014/chart" uri="{C3380CC4-5D6E-409C-BE32-E72D297353CC}">
              <c16:uniqueId val="{00000006-79FB-4B84-9380-D90801783C21}"/>
            </c:ext>
          </c:extLst>
        </c:ser>
        <c:ser>
          <c:idx val="7"/>
          <c:order val="7"/>
          <c:tx>
            <c:strRef>
              <c:f>Chart!$N$3</c:f>
              <c:strCache>
                <c:ptCount val="1"/>
                <c:pt idx="0">
                  <c:v>Min Flight=76,203 Kgs</c:v>
                </c:pt>
              </c:strCache>
            </c:strRef>
          </c:tx>
          <c:spPr>
            <a:ln w="9525" cap="rnd">
              <a:solidFill>
                <a:schemeClr val="accent2">
                  <a:lumMod val="60000"/>
                </a:schemeClr>
              </a:solidFill>
              <a:round/>
            </a:ln>
            <a:effectLst/>
          </c:spPr>
          <c:marker>
            <c:symbol val="circle"/>
            <c:size val="5"/>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c:spPr>
          </c:marker>
          <c:xVal>
            <c:numRef>
              <c:f>Chart!$O$5:$O$21</c:f>
              <c:numCache>
                <c:formatCode>0.0%</c:formatCode>
                <c:ptCount val="17"/>
                <c:pt idx="0">
                  <c:v>0.11</c:v>
                </c:pt>
                <c:pt idx="1">
                  <c:v>0.11</c:v>
                </c:pt>
                <c:pt idx="2">
                  <c:v>0.11</c:v>
                </c:pt>
                <c:pt idx="3">
                  <c:v>0.11</c:v>
                </c:pt>
                <c:pt idx="4">
                  <c:v>0.11</c:v>
                </c:pt>
                <c:pt idx="5">
                  <c:v>0.155</c:v>
                </c:pt>
                <c:pt idx="6">
                  <c:v>0.158</c:v>
                </c:pt>
                <c:pt idx="7">
                  <c:v>0.16</c:v>
                </c:pt>
                <c:pt idx="8">
                  <c:v>0.2</c:v>
                </c:pt>
                <c:pt idx="9">
                  <c:v>0.25700000000000001</c:v>
                </c:pt>
                <c:pt idx="10">
                  <c:v>0.27200000000000002</c:v>
                </c:pt>
                <c:pt idx="11">
                  <c:v>0.36</c:v>
                </c:pt>
                <c:pt idx="12">
                  <c:v>0.36</c:v>
                </c:pt>
                <c:pt idx="13">
                  <c:v>0.36</c:v>
                </c:pt>
                <c:pt idx="14">
                  <c:v>0.36</c:v>
                </c:pt>
                <c:pt idx="15">
                  <c:v>0.36</c:v>
                </c:pt>
                <c:pt idx="16">
                  <c:v>0.36</c:v>
                </c:pt>
              </c:numCache>
            </c:numRef>
          </c:xVal>
          <c:yVal>
            <c:numRef>
              <c:f>Chart!$N$5:$N$21</c:f>
              <c:numCache>
                <c:formatCode>_-* #,##0_-;\-* #,##0_-;_-* "-"??_-;_-@_-</c:formatCode>
                <c:ptCount val="17"/>
                <c:pt idx="0">
                  <c:v>76203</c:v>
                </c:pt>
                <c:pt idx="1">
                  <c:v>76203</c:v>
                </c:pt>
                <c:pt idx="2">
                  <c:v>76203</c:v>
                </c:pt>
                <c:pt idx="3">
                  <c:v>76203</c:v>
                </c:pt>
                <c:pt idx="4">
                  <c:v>76203</c:v>
                </c:pt>
                <c:pt idx="5">
                  <c:v>76203</c:v>
                </c:pt>
                <c:pt idx="6">
                  <c:v>76203</c:v>
                </c:pt>
                <c:pt idx="7">
                  <c:v>76203</c:v>
                </c:pt>
                <c:pt idx="8">
                  <c:v>76203</c:v>
                </c:pt>
                <c:pt idx="9">
                  <c:v>76203</c:v>
                </c:pt>
                <c:pt idx="10">
                  <c:v>76203</c:v>
                </c:pt>
                <c:pt idx="11">
                  <c:v>76203</c:v>
                </c:pt>
                <c:pt idx="12">
                  <c:v>76203</c:v>
                </c:pt>
                <c:pt idx="13">
                  <c:v>76203</c:v>
                </c:pt>
                <c:pt idx="14">
                  <c:v>76203</c:v>
                </c:pt>
                <c:pt idx="15">
                  <c:v>76203</c:v>
                </c:pt>
                <c:pt idx="16">
                  <c:v>76203</c:v>
                </c:pt>
              </c:numCache>
            </c:numRef>
          </c:yVal>
          <c:smooth val="0"/>
          <c:extLst>
            <c:ext xmlns:c16="http://schemas.microsoft.com/office/drawing/2014/chart" uri="{C3380CC4-5D6E-409C-BE32-E72D297353CC}">
              <c16:uniqueId val="{00000007-79FB-4B84-9380-D90801783C21}"/>
            </c:ext>
          </c:extLst>
        </c:ser>
        <c:ser>
          <c:idx val="8"/>
          <c:order val="8"/>
          <c:tx>
            <c:strRef>
              <c:f>Chart!$U$9</c:f>
              <c:strCache>
                <c:ptCount val="1"/>
                <c:pt idx="0">
                  <c:v>AZFW</c:v>
                </c:pt>
              </c:strCache>
            </c:strRef>
          </c:tx>
          <c:spPr>
            <a:ln w="9525" cap="rnd">
              <a:solidFill>
                <a:schemeClr val="accent3">
                  <a:lumMod val="60000"/>
                </a:schemeClr>
              </a:solidFill>
              <a:round/>
            </a:ln>
            <a:effectLst/>
          </c:spPr>
          <c:marker>
            <c:symbol val="circle"/>
            <c:size val="5"/>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c:spPr>
          </c:marker>
          <c:dLbls>
            <c:spPr>
              <a:solidFill>
                <a:srgbClr val="139D3E"/>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Chart!$Z$9</c:f>
              <c:numCache>
                <c:formatCode>0.0%</c:formatCode>
                <c:ptCount val="1"/>
                <c:pt idx="0">
                  <c:v>0.24154474314605068</c:v>
                </c:pt>
              </c:numCache>
            </c:numRef>
          </c:xVal>
          <c:yVal>
            <c:numRef>
              <c:f>Chart!$V$9</c:f>
              <c:numCache>
                <c:formatCode>#,##0</c:formatCode>
                <c:ptCount val="1"/>
                <c:pt idx="0">
                  <c:v>113716.6530612245</c:v>
                </c:pt>
              </c:numCache>
            </c:numRef>
          </c:yVal>
          <c:smooth val="0"/>
          <c:extLst>
            <c:ext xmlns:c16="http://schemas.microsoft.com/office/drawing/2014/chart" uri="{C3380CC4-5D6E-409C-BE32-E72D297353CC}">
              <c16:uniqueId val="{00000008-79FB-4B84-9380-D90801783C21}"/>
            </c:ext>
          </c:extLst>
        </c:ser>
        <c:ser>
          <c:idx val="9"/>
          <c:order val="9"/>
          <c:tx>
            <c:strRef>
              <c:f>Chart!$U$10</c:f>
              <c:strCache>
                <c:ptCount val="1"/>
                <c:pt idx="0">
                  <c:v>TOW</c:v>
                </c:pt>
              </c:strCache>
            </c:strRef>
          </c:tx>
          <c:spPr>
            <a:ln w="9525" cap="rnd">
              <a:solidFill>
                <a:schemeClr val="accent4">
                  <a:lumMod val="60000"/>
                </a:schemeClr>
              </a:solidFill>
              <a:round/>
            </a:ln>
            <a:effectLst/>
          </c:spPr>
          <c:marker>
            <c:symbol val="circle"/>
            <c:size val="5"/>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c:spPr>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Chart!$Z$10</c:f>
              <c:numCache>
                <c:formatCode>0.0%</c:formatCode>
                <c:ptCount val="1"/>
                <c:pt idx="0">
                  <c:v>0.23846613211054749</c:v>
                </c:pt>
              </c:numCache>
            </c:numRef>
          </c:xVal>
          <c:yVal>
            <c:numRef>
              <c:f>Chart!$V$10</c:f>
              <c:numCache>
                <c:formatCode>#,##0</c:formatCode>
                <c:ptCount val="1"/>
                <c:pt idx="0">
                  <c:v>140216.6530612245</c:v>
                </c:pt>
              </c:numCache>
            </c:numRef>
          </c:yVal>
          <c:smooth val="0"/>
          <c:extLst>
            <c:ext xmlns:c16="http://schemas.microsoft.com/office/drawing/2014/chart" uri="{C3380CC4-5D6E-409C-BE32-E72D297353CC}">
              <c16:uniqueId val="{00000009-79FB-4B84-9380-D90801783C21}"/>
            </c:ext>
          </c:extLst>
        </c:ser>
        <c:ser>
          <c:idx val="10"/>
          <c:order val="10"/>
          <c:tx>
            <c:strRef>
              <c:f>Chart!$U$11</c:f>
              <c:strCache>
                <c:ptCount val="1"/>
                <c:pt idx="0">
                  <c:v>LW</c:v>
                </c:pt>
              </c:strCache>
            </c:strRef>
          </c:tx>
          <c:spPr>
            <a:ln w="9525" cap="rnd">
              <a:solidFill>
                <a:schemeClr val="accent5">
                  <a:lumMod val="60000"/>
                </a:schemeClr>
              </a:solidFill>
              <a:round/>
            </a:ln>
            <a:effectLst/>
          </c:spPr>
          <c:marker>
            <c:symbol val="circle"/>
            <c:size val="5"/>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c:spPr>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Chart!$Z$11</c:f>
              <c:numCache>
                <c:formatCode>0.0%</c:formatCode>
                <c:ptCount val="1"/>
                <c:pt idx="0">
                  <c:v>0.23224277600348184</c:v>
                </c:pt>
              </c:numCache>
            </c:numRef>
          </c:xVal>
          <c:yVal>
            <c:numRef>
              <c:f>Chart!$V$11</c:f>
              <c:numCache>
                <c:formatCode>#,##0</c:formatCode>
                <c:ptCount val="1"/>
                <c:pt idx="0">
                  <c:v>120216.6530612245</c:v>
                </c:pt>
              </c:numCache>
            </c:numRef>
          </c:yVal>
          <c:smooth val="0"/>
          <c:extLst>
            <c:ext xmlns:c16="http://schemas.microsoft.com/office/drawing/2014/chart" uri="{C3380CC4-5D6E-409C-BE32-E72D297353CC}">
              <c16:uniqueId val="{0000000A-79FB-4B84-9380-D90801783C21}"/>
            </c:ext>
          </c:extLst>
        </c:ser>
        <c:dLbls>
          <c:showLegendKey val="0"/>
          <c:showVal val="0"/>
          <c:showCatName val="0"/>
          <c:showSerName val="0"/>
          <c:showPercent val="0"/>
          <c:showBubbleSize val="0"/>
        </c:dLbls>
        <c:axId val="368859935"/>
        <c:axId val="368862015"/>
      </c:scatterChart>
      <c:valAx>
        <c:axId val="368859935"/>
        <c:scaling>
          <c:orientation val="minMax"/>
          <c:max val="0.4"/>
          <c:min val="0"/>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 MAC</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 sourceLinked="0"/>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8862015"/>
        <c:crosses val="autoZero"/>
        <c:crossBetween val="midCat"/>
      </c:valAx>
      <c:valAx>
        <c:axId val="368862015"/>
        <c:scaling>
          <c:orientation val="minMax"/>
          <c:max val="170000"/>
          <c:min val="70000"/>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Gross Weight (Kgs)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8859935"/>
        <c:crosses val="autoZero"/>
        <c:crossBetween val="midCat"/>
        <c:majorUnit val="5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r>
              <a:rPr lang="fr-CA" b="1"/>
              <a:t>Curtailed Weight Limits</a:t>
            </a:r>
          </a:p>
          <a:p>
            <a:pPr>
              <a:defRPr/>
            </a:pPr>
            <a:r>
              <a:rPr lang="fr-CA" b="1"/>
              <a:t>SN-22217</a:t>
            </a:r>
          </a:p>
        </c:rich>
      </c:tx>
      <c:layout>
        <c:manualLayout>
          <c:xMode val="edge"/>
          <c:yMode val="edge"/>
          <c:x val="0.40474420742086753"/>
          <c:y val="4.0928461191962924E-3"/>
        </c:manualLayout>
      </c:layout>
      <c:overlay val="0"/>
      <c:spPr>
        <a:noFill/>
        <a:ln>
          <a:noFill/>
        </a:ln>
        <a:effectLst/>
      </c:spPr>
      <c:txPr>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endParaRPr lang="en-KE"/>
        </a:p>
      </c:txPr>
    </c:title>
    <c:autoTitleDeleted val="0"/>
    <c:plotArea>
      <c:layout/>
      <c:scatterChart>
        <c:scatterStyle val="lineMarker"/>
        <c:varyColors val="0"/>
        <c:ser>
          <c:idx val="0"/>
          <c:order val="0"/>
          <c:tx>
            <c:strRef>
              <c:f>Chart!$E$3</c:f>
              <c:strCache>
                <c:ptCount val="1"/>
                <c:pt idx="0">
                  <c:v>MTOW=159,210 Kgs</c:v>
                </c:pt>
              </c:strCache>
            </c:strRef>
          </c:tx>
          <c:spPr>
            <a:ln w="19050" cap="flat" cmpd="sng" algn="ctr">
              <a:solidFill>
                <a:srgbClr val="00B050"/>
              </a:solidFill>
              <a:round/>
            </a:ln>
            <a:effectLst/>
          </c:spPr>
          <c:marker>
            <c:symbol val="none"/>
          </c:marker>
          <c:xVal>
            <c:numRef>
              <c:f>Chart!$G$5:$G$21</c:f>
              <c:numCache>
                <c:formatCode>_(* #,##0.00_);_(* \(#,##0.00\);_(* "-"??_);_(@_)</c:formatCode>
                <c:ptCount val="17"/>
                <c:pt idx="0">
                  <c:v>36.235661764705902</c:v>
                </c:pt>
                <c:pt idx="1">
                  <c:v>32.710958455882377</c:v>
                </c:pt>
                <c:pt idx="2">
                  <c:v>14.53253235294121</c:v>
                </c:pt>
                <c:pt idx="3">
                  <c:v>10.516044117647098</c:v>
                </c:pt>
                <c:pt idx="4">
                  <c:v>4.5221400735294566</c:v>
                </c:pt>
                <c:pt idx="5">
                  <c:v>17.716913051470641</c:v>
                </c:pt>
                <c:pt idx="6">
                  <c:v>18.783547794117645</c:v>
                </c:pt>
                <c:pt idx="7">
                  <c:v>19.895676470588292</c:v>
                </c:pt>
                <c:pt idx="8">
                  <c:v>42.138250000000056</c:v>
                </c:pt>
                <c:pt idx="9">
                  <c:v>73.833917279411878</c:v>
                </c:pt>
                <c:pt idx="10">
                  <c:v>82.174882352941282</c:v>
                </c:pt>
                <c:pt idx="11">
                  <c:v>129.92483235294122</c:v>
                </c:pt>
                <c:pt idx="12">
                  <c:v>119.27027500000004</c:v>
                </c:pt>
                <c:pt idx="13">
                  <c:v>117.35499558823534</c:v>
                </c:pt>
                <c:pt idx="14">
                  <c:v>116.31099558823533</c:v>
                </c:pt>
                <c:pt idx="15">
                  <c:v>99.248504411764728</c:v>
                </c:pt>
                <c:pt idx="16">
                  <c:v>96.483823529411794</c:v>
                </c:pt>
              </c:numCache>
            </c:numRef>
          </c:xVal>
          <c:yVal>
            <c:numRef>
              <c:f>Chart!$E$5:$E$21</c:f>
              <c:numCache>
                <c:formatCode>_-* #,##0_-;\-* #,##0_-;_-* "-"??_-;_-@_-</c:formatCode>
                <c:ptCount val="17"/>
                <c:pt idx="0">
                  <c:v>69000</c:v>
                </c:pt>
                <c:pt idx="1">
                  <c:v>76203</c:v>
                </c:pt>
                <c:pt idx="2">
                  <c:v>113352</c:v>
                </c:pt>
                <c:pt idx="3">
                  <c:v>121560</c:v>
                </c:pt>
                <c:pt idx="4">
                  <c:v>133809</c:v>
                </c:pt>
                <c:pt idx="5">
                  <c:v>157399</c:v>
                </c:pt>
                <c:pt idx="6">
                  <c:v>159210</c:v>
                </c:pt>
                <c:pt idx="7">
                  <c:v>159210</c:v>
                </c:pt>
                <c:pt idx="8">
                  <c:v>159210</c:v>
                </c:pt>
                <c:pt idx="9">
                  <c:v>159210</c:v>
                </c:pt>
                <c:pt idx="10">
                  <c:v>159210</c:v>
                </c:pt>
                <c:pt idx="11">
                  <c:v>156126</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0-1BDB-4AD9-9487-E7C5998D48B2}"/>
            </c:ext>
          </c:extLst>
        </c:ser>
        <c:ser>
          <c:idx val="2"/>
          <c:order val="1"/>
          <c:tx>
            <c:strRef>
              <c:f>Chart!$H$3</c:f>
              <c:strCache>
                <c:ptCount val="1"/>
                <c:pt idx="0">
                  <c:v>MLW=128,367 Kgs</c:v>
                </c:pt>
              </c:strCache>
            </c:strRef>
          </c:tx>
          <c:spPr>
            <a:ln w="19050" cap="flat" cmpd="sng" algn="ctr">
              <a:solidFill>
                <a:schemeClr val="accent1"/>
              </a:solidFill>
              <a:round/>
            </a:ln>
            <a:effectLst/>
          </c:spPr>
          <c:marker>
            <c:symbol val="none"/>
          </c:marker>
          <c:xVal>
            <c:numRef>
              <c:f>Chart!$J$5:$J$21</c:f>
              <c:numCache>
                <c:formatCode>_(* #,##0.00_);_(* \(#,##0.00\);_(* "-"??_);_(@_)</c:formatCode>
                <c:ptCount val="17"/>
                <c:pt idx="0">
                  <c:v>36.235661764705902</c:v>
                </c:pt>
                <c:pt idx="1">
                  <c:v>32.710958455882377</c:v>
                </c:pt>
                <c:pt idx="2">
                  <c:v>14.53253235294121</c:v>
                </c:pt>
                <c:pt idx="3">
                  <c:v>10.516044117647098</c:v>
                </c:pt>
                <c:pt idx="4">
                  <c:v>15.228776654411767</c:v>
                </c:pt>
                <c:pt idx="5">
                  <c:v>22.829148897058822</c:v>
                </c:pt>
                <c:pt idx="6">
                  <c:v>35.878918750000132</c:v>
                </c:pt>
                <c:pt idx="7">
                  <c:v>38.56896250000004</c:v>
                </c:pt>
                <c:pt idx="8">
                  <c:v>47.535775000000044</c:v>
                </c:pt>
                <c:pt idx="9">
                  <c:v>73.091190625000081</c:v>
                </c:pt>
                <c:pt idx="10">
                  <c:v>79.816300000000084</c:v>
                </c:pt>
                <c:pt idx="11">
                  <c:v>92.369837500000045</c:v>
                </c:pt>
                <c:pt idx="12">
                  <c:v>119.27027500000004</c:v>
                </c:pt>
                <c:pt idx="13">
                  <c:v>117.35499558823534</c:v>
                </c:pt>
                <c:pt idx="14">
                  <c:v>116.31099558823533</c:v>
                </c:pt>
                <c:pt idx="15">
                  <c:v>99.248504411764728</c:v>
                </c:pt>
                <c:pt idx="16">
                  <c:v>96.483823529411794</c:v>
                </c:pt>
              </c:numCache>
            </c:numRef>
          </c:xVal>
          <c:yVal>
            <c:numRef>
              <c:f>Chart!$H$5:$H$21</c:f>
              <c:numCache>
                <c:formatCode>_-* #,##0_-;\-* #,##0_-;_-* "-"??_-;_-@_-</c:formatCode>
                <c:ptCount val="17"/>
                <c:pt idx="0">
                  <c:v>69000</c:v>
                </c:pt>
                <c:pt idx="1">
                  <c:v>76203</c:v>
                </c:pt>
                <c:pt idx="2">
                  <c:v>113352</c:v>
                </c:pt>
                <c:pt idx="3">
                  <c:v>121560</c:v>
                </c:pt>
                <c:pt idx="4">
                  <c:v>123377</c:v>
                </c:pt>
                <c:pt idx="5">
                  <c:v>126098</c:v>
                </c:pt>
                <c:pt idx="6">
                  <c:v>128367</c:v>
                </c:pt>
                <c:pt idx="7">
                  <c:v>128367</c:v>
                </c:pt>
                <c:pt idx="8">
                  <c:v>128367</c:v>
                </c:pt>
                <c:pt idx="9">
                  <c:v>128367</c:v>
                </c:pt>
                <c:pt idx="10">
                  <c:v>128367</c:v>
                </c:pt>
                <c:pt idx="11">
                  <c:v>128367</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1-1BDB-4AD9-9487-E7C5998D48B2}"/>
            </c:ext>
          </c:extLst>
        </c:ser>
        <c:ser>
          <c:idx val="3"/>
          <c:order val="2"/>
          <c:tx>
            <c:strRef>
              <c:f>Chart!$E$23</c:f>
              <c:strCache>
                <c:ptCount val="1"/>
                <c:pt idx="0">
                  <c:v>Lower</c:v>
                </c:pt>
              </c:strCache>
            </c:strRef>
          </c:tx>
          <c:spPr>
            <a:ln w="19050" cap="flat" cmpd="thickThin" algn="ctr">
              <a:solidFill>
                <a:schemeClr val="tx1">
                  <a:lumMod val="50000"/>
                  <a:lumOff val="50000"/>
                </a:schemeClr>
              </a:solidFill>
              <a:round/>
            </a:ln>
            <a:effectLst/>
          </c:spPr>
          <c:marker>
            <c:symbol val="none"/>
          </c:marker>
          <c:xVal>
            <c:numRef>
              <c:f>Chart!$G$25:$G$41</c:f>
              <c:numCache>
                <c:formatCode>_(* #,##0.00_);_(* \(#,##0.00\);_(* "-"??_);_(@_)</c:formatCode>
                <c:ptCount val="17"/>
                <c:pt idx="0">
                  <c:v>36.235661764705902</c:v>
                </c:pt>
                <c:pt idx="1">
                  <c:v>32.710958455882377</c:v>
                </c:pt>
                <c:pt idx="2">
                  <c:v>14.53253235294121</c:v>
                </c:pt>
                <c:pt idx="3">
                  <c:v>10.516044117647098</c:v>
                </c:pt>
                <c:pt idx="4">
                  <c:v>4.5221400735294566</c:v>
                </c:pt>
                <c:pt idx="5">
                  <c:v>17.716913051470641</c:v>
                </c:pt>
                <c:pt idx="6">
                  <c:v>19.36613051470588</c:v>
                </c:pt>
                <c:pt idx="7">
                  <c:v>20.465608823529465</c:v>
                </c:pt>
                <c:pt idx="8">
                  <c:v>42.455175000000054</c:v>
                </c:pt>
                <c:pt idx="9">
                  <c:v>73.790306801470692</c:v>
                </c:pt>
                <c:pt idx="10">
                  <c:v>86.434307352941232</c:v>
                </c:pt>
                <c:pt idx="11">
                  <c:v>129.33297647058828</c:v>
                </c:pt>
                <c:pt idx="12">
                  <c:v>119.27027500000004</c:v>
                </c:pt>
                <c:pt idx="13">
                  <c:v>117.35499558823534</c:v>
                </c:pt>
                <c:pt idx="14">
                  <c:v>116.31099558823533</c:v>
                </c:pt>
                <c:pt idx="15">
                  <c:v>99.248504411764728</c:v>
                </c:pt>
                <c:pt idx="16">
                  <c:v>96.483823529411794</c:v>
                </c:pt>
              </c:numCache>
            </c:numRef>
          </c:xVal>
          <c:yVal>
            <c:numRef>
              <c:f>Chart!$E$25:$E$41</c:f>
              <c:numCache>
                <c:formatCode>_-* #,##0_-;\-* #,##0_-;_-* "-"??_-;_-@_-</c:formatCode>
                <c:ptCount val="17"/>
                <c:pt idx="0">
                  <c:v>69000</c:v>
                </c:pt>
                <c:pt idx="1">
                  <c:v>76203</c:v>
                </c:pt>
                <c:pt idx="2">
                  <c:v>113352</c:v>
                </c:pt>
                <c:pt idx="3">
                  <c:v>121560</c:v>
                </c:pt>
                <c:pt idx="4">
                  <c:v>133809</c:v>
                </c:pt>
                <c:pt idx="5">
                  <c:v>157399</c:v>
                </c:pt>
                <c:pt idx="6">
                  <c:v>157399</c:v>
                </c:pt>
                <c:pt idx="7">
                  <c:v>157399</c:v>
                </c:pt>
                <c:pt idx="8">
                  <c:v>157399</c:v>
                </c:pt>
                <c:pt idx="9">
                  <c:v>157399</c:v>
                </c:pt>
                <c:pt idx="10">
                  <c:v>157399</c:v>
                </c:pt>
                <c:pt idx="11">
                  <c:v>154584</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2-1BDB-4AD9-9487-E7C5998D48B2}"/>
            </c:ext>
          </c:extLst>
        </c:ser>
        <c:ser>
          <c:idx val="4"/>
          <c:order val="3"/>
          <c:tx>
            <c:strRef>
              <c:f>Chart!$K$4</c:f>
              <c:strCache>
                <c:ptCount val="1"/>
                <c:pt idx="0">
                  <c:v>Weight(Kgs)</c:v>
                </c:pt>
              </c:strCache>
            </c:strRef>
          </c:tx>
          <c:spPr>
            <a:ln w="25400" cap="flat" cmpd="dbl" algn="ctr">
              <a:solidFill>
                <a:schemeClr val="accent5">
                  <a:alpha val="50000"/>
                </a:schemeClr>
              </a:solidFill>
              <a:round/>
            </a:ln>
            <a:effectLst/>
          </c:spPr>
          <c:marker>
            <c:symbol val="none"/>
          </c:marker>
          <c:xVal>
            <c:numRef>
              <c:f>Chart!$M$5:$M$21</c:f>
              <c:numCache>
                <c:formatCode>_(* #,##0.00_);_(* \(#,##0.00\);_(* "-"??_);_(@_)</c:formatCode>
                <c:ptCount val="17"/>
                <c:pt idx="0">
                  <c:v>36.235661764705902</c:v>
                </c:pt>
                <c:pt idx="1">
                  <c:v>32.710958455882377</c:v>
                </c:pt>
                <c:pt idx="2">
                  <c:v>14.53253235294121</c:v>
                </c:pt>
                <c:pt idx="3">
                  <c:v>27.071226102941175</c:v>
                </c:pt>
                <c:pt idx="4">
                  <c:v>73.748351654411891</c:v>
                </c:pt>
                <c:pt idx="5">
                  <c:v>74.169763970588278</c:v>
                </c:pt>
                <c:pt idx="6">
                  <c:v>78.383887132352982</c:v>
                </c:pt>
                <c:pt idx="7">
                  <c:v>82.598010294117685</c:v>
                </c:pt>
                <c:pt idx="8">
                  <c:v>86.812133455882389</c:v>
                </c:pt>
                <c:pt idx="9">
                  <c:v>91.026256617647107</c:v>
                </c:pt>
                <c:pt idx="10">
                  <c:v>95.240379779411796</c:v>
                </c:pt>
                <c:pt idx="11">
                  <c:v>99.454502941176514</c:v>
                </c:pt>
                <c:pt idx="12">
                  <c:v>103.6686261029412</c:v>
                </c:pt>
                <c:pt idx="13">
                  <c:v>107.88274926470592</c:v>
                </c:pt>
                <c:pt idx="14">
                  <c:v>116.31099558823533</c:v>
                </c:pt>
                <c:pt idx="15">
                  <c:v>99.248504411764728</c:v>
                </c:pt>
                <c:pt idx="16">
                  <c:v>96.483823529411794</c:v>
                </c:pt>
              </c:numCache>
            </c:numRef>
          </c:xVal>
          <c:yVal>
            <c:numRef>
              <c:f>Chart!$K$5:$K$21</c:f>
              <c:numCache>
                <c:formatCode>_-* #,##0_-;\-* #,##0_-;_-* "-"??_-;_-@_-</c:formatCode>
                <c:ptCount val="17"/>
                <c:pt idx="0">
                  <c:v>69000</c:v>
                </c:pt>
                <c:pt idx="1">
                  <c:v>76203</c:v>
                </c:pt>
                <c:pt idx="2">
                  <c:v>113352</c:v>
                </c:pt>
                <c:pt idx="3">
                  <c:v>114758</c:v>
                </c:pt>
                <c:pt idx="4">
                  <c:v>120657</c:v>
                </c:pt>
                <c:pt idx="5">
                  <c:v>120657</c:v>
                </c:pt>
                <c:pt idx="6">
                  <c:v>120657</c:v>
                </c:pt>
                <c:pt idx="7">
                  <c:v>120657</c:v>
                </c:pt>
                <c:pt idx="8">
                  <c:v>120657</c:v>
                </c:pt>
                <c:pt idx="9">
                  <c:v>120657</c:v>
                </c:pt>
                <c:pt idx="10">
                  <c:v>120657</c:v>
                </c:pt>
                <c:pt idx="11">
                  <c:v>120657</c:v>
                </c:pt>
                <c:pt idx="12">
                  <c:v>120657</c:v>
                </c:pt>
                <c:pt idx="13">
                  <c:v>120657</c:v>
                </c:pt>
                <c:pt idx="14">
                  <c:v>120657</c:v>
                </c:pt>
                <c:pt idx="15">
                  <c:v>76203</c:v>
                </c:pt>
                <c:pt idx="16">
                  <c:v>69000</c:v>
                </c:pt>
              </c:numCache>
            </c:numRef>
          </c:yVal>
          <c:smooth val="0"/>
          <c:extLst>
            <c:ext xmlns:c16="http://schemas.microsoft.com/office/drawing/2014/chart" uri="{C3380CC4-5D6E-409C-BE32-E72D297353CC}">
              <c16:uniqueId val="{00000003-1BDB-4AD9-9487-E7C5998D48B2}"/>
            </c:ext>
          </c:extLst>
        </c:ser>
        <c:ser>
          <c:idx val="5"/>
          <c:order val="4"/>
          <c:tx>
            <c:strRef>
              <c:f>Chart!$N$3</c:f>
              <c:strCache>
                <c:ptCount val="1"/>
                <c:pt idx="0">
                  <c:v>Min Flight=76,203 Kgs</c:v>
                </c:pt>
              </c:strCache>
            </c:strRef>
          </c:tx>
          <c:spPr>
            <a:ln w="19050" cap="flat" cmpd="sng" algn="ctr">
              <a:solidFill>
                <a:srgbClr val="FF0000"/>
              </a:solidFill>
              <a:round/>
            </a:ln>
            <a:effectLst/>
          </c:spPr>
          <c:marker>
            <c:symbol val="none"/>
          </c:marker>
          <c:xVal>
            <c:numRef>
              <c:f>Chart!$P$5:$P$21</c:f>
              <c:numCache>
                <c:formatCode>_(* #,##0.00_);_(* \(#,##0.00\);_(* "-"??_);_(@_)</c:formatCode>
                <c:ptCount val="17"/>
                <c:pt idx="0">
                  <c:v>32.710958455882377</c:v>
                </c:pt>
                <c:pt idx="1">
                  <c:v>32.710958455882377</c:v>
                </c:pt>
                <c:pt idx="2">
                  <c:v>32.710958455882377</c:v>
                </c:pt>
                <c:pt idx="3">
                  <c:v>32.710958455882377</c:v>
                </c:pt>
                <c:pt idx="4">
                  <c:v>32.710958455882377</c:v>
                </c:pt>
                <c:pt idx="5">
                  <c:v>44.687716727941201</c:v>
                </c:pt>
                <c:pt idx="6">
                  <c:v>45.48616727941176</c:v>
                </c:pt>
                <c:pt idx="7">
                  <c:v>46.018467647058849</c:v>
                </c:pt>
                <c:pt idx="8">
                  <c:v>56.664475000000024</c:v>
                </c:pt>
                <c:pt idx="9">
                  <c:v>71.835035477941233</c:v>
                </c:pt>
                <c:pt idx="10">
                  <c:v>75.827288235294162</c:v>
                </c:pt>
                <c:pt idx="11">
                  <c:v>99.248504411764728</c:v>
                </c:pt>
                <c:pt idx="12">
                  <c:v>99.248504411764728</c:v>
                </c:pt>
                <c:pt idx="13">
                  <c:v>99.248504411764728</c:v>
                </c:pt>
                <c:pt idx="14">
                  <c:v>99.248504411764728</c:v>
                </c:pt>
                <c:pt idx="15">
                  <c:v>99.248504411764728</c:v>
                </c:pt>
                <c:pt idx="16">
                  <c:v>99.248504411764728</c:v>
                </c:pt>
              </c:numCache>
            </c:numRef>
          </c:xVal>
          <c:yVal>
            <c:numRef>
              <c:f>Chart!$N$5:$N$21</c:f>
              <c:numCache>
                <c:formatCode>_-* #,##0_-;\-* #,##0_-;_-* "-"??_-;_-@_-</c:formatCode>
                <c:ptCount val="17"/>
                <c:pt idx="0">
                  <c:v>76203</c:v>
                </c:pt>
                <c:pt idx="1">
                  <c:v>76203</c:v>
                </c:pt>
                <c:pt idx="2">
                  <c:v>76203</c:v>
                </c:pt>
                <c:pt idx="3">
                  <c:v>76203</c:v>
                </c:pt>
                <c:pt idx="4">
                  <c:v>76203</c:v>
                </c:pt>
                <c:pt idx="5">
                  <c:v>76203</c:v>
                </c:pt>
                <c:pt idx="6">
                  <c:v>76203</c:v>
                </c:pt>
                <c:pt idx="7">
                  <c:v>76203</c:v>
                </c:pt>
                <c:pt idx="8">
                  <c:v>76203</c:v>
                </c:pt>
                <c:pt idx="9">
                  <c:v>76203</c:v>
                </c:pt>
                <c:pt idx="10">
                  <c:v>76203</c:v>
                </c:pt>
                <c:pt idx="11">
                  <c:v>76203</c:v>
                </c:pt>
                <c:pt idx="12">
                  <c:v>76203</c:v>
                </c:pt>
                <c:pt idx="13">
                  <c:v>76203</c:v>
                </c:pt>
                <c:pt idx="14">
                  <c:v>76203</c:v>
                </c:pt>
                <c:pt idx="15">
                  <c:v>76203</c:v>
                </c:pt>
                <c:pt idx="16">
                  <c:v>76203</c:v>
                </c:pt>
              </c:numCache>
            </c:numRef>
          </c:yVal>
          <c:smooth val="0"/>
          <c:extLst>
            <c:ext xmlns:c16="http://schemas.microsoft.com/office/drawing/2014/chart" uri="{C3380CC4-5D6E-409C-BE32-E72D297353CC}">
              <c16:uniqueId val="{00000004-1BDB-4AD9-9487-E7C5998D48B2}"/>
            </c:ext>
          </c:extLst>
        </c:ser>
        <c:ser>
          <c:idx val="1"/>
          <c:order val="5"/>
          <c:tx>
            <c:strRef>
              <c:f>Chart!$B$3</c:f>
              <c:strCache>
                <c:ptCount val="1"/>
                <c:pt idx="0">
                  <c:v>MTW=159,755 Kgs</c:v>
                </c:pt>
              </c:strCache>
            </c:strRef>
          </c:tx>
          <c:spPr>
            <a:ln w="15875" cap="flat" cmpd="dbl" algn="ctr">
              <a:solidFill>
                <a:schemeClr val="tx1">
                  <a:lumMod val="50000"/>
                  <a:lumOff val="50000"/>
                </a:schemeClr>
              </a:solidFill>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30-1BDB-4AD9-9487-E7C5998D48B2}"/>
                </c:ext>
              </c:extLst>
            </c:dLbl>
            <c:dLbl>
              <c:idx val="2"/>
              <c:delete val="1"/>
              <c:extLst>
                <c:ext xmlns:c15="http://schemas.microsoft.com/office/drawing/2012/chart" uri="{CE6537A1-D6FC-4f65-9D91-7224C49458BB}"/>
                <c:ext xmlns:c16="http://schemas.microsoft.com/office/drawing/2014/chart" uri="{C3380CC4-5D6E-409C-BE32-E72D297353CC}">
                  <c16:uniqueId val="{0000002D-1BDB-4AD9-9487-E7C5998D48B2}"/>
                </c:ext>
              </c:extLst>
            </c:dLbl>
            <c:dLbl>
              <c:idx val="3"/>
              <c:delete val="1"/>
              <c:extLst>
                <c:ext xmlns:c15="http://schemas.microsoft.com/office/drawing/2012/chart" uri="{CE6537A1-D6FC-4f65-9D91-7224C49458BB}"/>
                <c:ext xmlns:c16="http://schemas.microsoft.com/office/drawing/2014/chart" uri="{C3380CC4-5D6E-409C-BE32-E72D297353CC}">
                  <c16:uniqueId val="{0000002C-1BDB-4AD9-9487-E7C5998D48B2}"/>
                </c:ext>
              </c:extLst>
            </c:dLbl>
            <c:dLbl>
              <c:idx val="4"/>
              <c:delete val="1"/>
              <c:extLst>
                <c:ext xmlns:c15="http://schemas.microsoft.com/office/drawing/2012/chart" uri="{CE6537A1-D6FC-4f65-9D91-7224C49458BB}"/>
                <c:ext xmlns:c16="http://schemas.microsoft.com/office/drawing/2014/chart" uri="{C3380CC4-5D6E-409C-BE32-E72D297353CC}">
                  <c16:uniqueId val="{0000002A-1BDB-4AD9-9487-E7C5998D48B2}"/>
                </c:ext>
              </c:extLst>
            </c:dLbl>
            <c:dLbl>
              <c:idx val="5"/>
              <c:delete val="1"/>
              <c:extLst>
                <c:ext xmlns:c15="http://schemas.microsoft.com/office/drawing/2012/chart" uri="{CE6537A1-D6FC-4f65-9D91-7224C49458BB}"/>
                <c:ext xmlns:c16="http://schemas.microsoft.com/office/drawing/2014/chart" uri="{C3380CC4-5D6E-409C-BE32-E72D297353CC}">
                  <c16:uniqueId val="{0000001F-1BDB-4AD9-9487-E7C5998D48B2}"/>
                </c:ext>
              </c:extLst>
            </c:dLbl>
            <c:dLbl>
              <c:idx val="6"/>
              <c:delete val="1"/>
              <c:extLst>
                <c:ext xmlns:c15="http://schemas.microsoft.com/office/drawing/2012/chart" uri="{CE6537A1-D6FC-4f65-9D91-7224C49458BB}"/>
                <c:ext xmlns:c16="http://schemas.microsoft.com/office/drawing/2014/chart" uri="{C3380CC4-5D6E-409C-BE32-E72D297353CC}">
                  <c16:uniqueId val="{00000021-1BDB-4AD9-9487-E7C5998D48B2}"/>
                </c:ext>
              </c:extLst>
            </c:dLbl>
            <c:dLbl>
              <c:idx val="7"/>
              <c:delete val="1"/>
              <c:extLst>
                <c:ext xmlns:c15="http://schemas.microsoft.com/office/drawing/2012/chart" uri="{CE6537A1-D6FC-4f65-9D91-7224C49458BB}"/>
                <c:ext xmlns:c16="http://schemas.microsoft.com/office/drawing/2014/chart" uri="{C3380CC4-5D6E-409C-BE32-E72D297353CC}">
                  <c16:uniqueId val="{00000020-1BDB-4AD9-9487-E7C5998D48B2}"/>
                </c:ext>
              </c:extLst>
            </c:dLbl>
            <c:dLbl>
              <c:idx val="8"/>
              <c:delete val="1"/>
              <c:extLst>
                <c:ext xmlns:c15="http://schemas.microsoft.com/office/drawing/2012/chart" uri="{CE6537A1-D6FC-4f65-9D91-7224C49458BB}"/>
                <c:ext xmlns:c16="http://schemas.microsoft.com/office/drawing/2014/chart" uri="{C3380CC4-5D6E-409C-BE32-E72D297353CC}">
                  <c16:uniqueId val="{00000022-1BDB-4AD9-9487-E7C5998D48B2}"/>
                </c:ext>
              </c:extLst>
            </c:dLbl>
            <c:dLbl>
              <c:idx val="9"/>
              <c:delete val="1"/>
              <c:extLst>
                <c:ext xmlns:c15="http://schemas.microsoft.com/office/drawing/2012/chart" uri="{CE6537A1-D6FC-4f65-9D91-7224C49458BB}"/>
                <c:ext xmlns:c16="http://schemas.microsoft.com/office/drawing/2014/chart" uri="{C3380CC4-5D6E-409C-BE32-E72D297353CC}">
                  <c16:uniqueId val="{00000023-1BDB-4AD9-9487-E7C5998D48B2}"/>
                </c:ext>
              </c:extLst>
            </c:dLbl>
            <c:dLbl>
              <c:idx val="10"/>
              <c:delete val="1"/>
              <c:extLst>
                <c:ext xmlns:c15="http://schemas.microsoft.com/office/drawing/2012/chart" uri="{CE6537A1-D6FC-4f65-9D91-7224C49458BB}"/>
                <c:ext xmlns:c16="http://schemas.microsoft.com/office/drawing/2014/chart" uri="{C3380CC4-5D6E-409C-BE32-E72D297353CC}">
                  <c16:uniqueId val="{0000001E-1BDB-4AD9-9487-E7C5998D48B2}"/>
                </c:ext>
              </c:extLst>
            </c:dLbl>
            <c:dLbl>
              <c:idx val="11"/>
              <c:delete val="1"/>
              <c:extLst>
                <c:ext xmlns:c15="http://schemas.microsoft.com/office/drawing/2012/chart" uri="{CE6537A1-D6FC-4f65-9D91-7224C49458BB}"/>
                <c:ext xmlns:c16="http://schemas.microsoft.com/office/drawing/2014/chart" uri="{C3380CC4-5D6E-409C-BE32-E72D297353CC}">
                  <c16:uniqueId val="{00000040-1BDB-4AD9-9487-E7C5998D48B2}"/>
                </c:ext>
              </c:extLst>
            </c:dLbl>
            <c:dLbl>
              <c:idx val="12"/>
              <c:delete val="1"/>
              <c:extLst>
                <c:ext xmlns:c15="http://schemas.microsoft.com/office/drawing/2012/chart" uri="{CE6537A1-D6FC-4f65-9D91-7224C49458BB}"/>
                <c:ext xmlns:c16="http://schemas.microsoft.com/office/drawing/2014/chart" uri="{C3380CC4-5D6E-409C-BE32-E72D297353CC}">
                  <c16:uniqueId val="{00000041-1BDB-4AD9-9487-E7C5998D48B2}"/>
                </c:ext>
              </c:extLst>
            </c:dLbl>
            <c:dLbl>
              <c:idx val="13"/>
              <c:delete val="1"/>
              <c:extLst>
                <c:ext xmlns:c15="http://schemas.microsoft.com/office/drawing/2012/chart" uri="{CE6537A1-D6FC-4f65-9D91-7224C49458BB}"/>
                <c:ext xmlns:c16="http://schemas.microsoft.com/office/drawing/2014/chart" uri="{C3380CC4-5D6E-409C-BE32-E72D297353CC}">
                  <c16:uniqueId val="{0000003D-1BDB-4AD9-9487-E7C5998D48B2}"/>
                </c:ext>
              </c:extLst>
            </c:dLbl>
            <c:dLbl>
              <c:idx val="14"/>
              <c:delete val="1"/>
              <c:extLst>
                <c:ext xmlns:c15="http://schemas.microsoft.com/office/drawing/2012/chart" uri="{CE6537A1-D6FC-4f65-9D91-7224C49458BB}"/>
                <c:ext xmlns:c16="http://schemas.microsoft.com/office/drawing/2014/chart" uri="{C3380CC4-5D6E-409C-BE32-E72D297353CC}">
                  <c16:uniqueId val="{0000003E-1BDB-4AD9-9487-E7C5998D48B2}"/>
                </c:ext>
              </c:extLst>
            </c:dLbl>
            <c:dLbl>
              <c:idx val="15"/>
              <c:delete val="1"/>
              <c:extLst>
                <c:ext xmlns:c15="http://schemas.microsoft.com/office/drawing/2012/chart" uri="{CE6537A1-D6FC-4f65-9D91-7224C49458BB}"/>
                <c:ext xmlns:c16="http://schemas.microsoft.com/office/drawing/2014/chart" uri="{C3380CC4-5D6E-409C-BE32-E72D297353CC}">
                  <c16:uniqueId val="{00000032-1BDB-4AD9-9487-E7C5998D48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Chart!$D$5:$D$21</c:f>
              <c:numCache>
                <c:formatCode>_(* #,##0.00_);_(* \(#,##0.00\);_(* "-"??_);_(@_)</c:formatCode>
                <c:ptCount val="17"/>
                <c:pt idx="0">
                  <c:v>36.235661764705902</c:v>
                </c:pt>
                <c:pt idx="1">
                  <c:v>32.710958455882377</c:v>
                </c:pt>
                <c:pt idx="2">
                  <c:v>14.53253235294121</c:v>
                </c:pt>
                <c:pt idx="3">
                  <c:v>10.516044117647098</c:v>
                </c:pt>
                <c:pt idx="4">
                  <c:v>4.5221400735294566</c:v>
                </c:pt>
                <c:pt idx="5">
                  <c:v>17.716913051470641</c:v>
                </c:pt>
                <c:pt idx="6">
                  <c:v>18.783547794117645</c:v>
                </c:pt>
                <c:pt idx="7">
                  <c:v>19.72416176470594</c:v>
                </c:pt>
                <c:pt idx="8">
                  <c:v>42.042875000000052</c:v>
                </c:pt>
                <c:pt idx="9">
                  <c:v>73.847041360294227</c:v>
                </c:pt>
                <c:pt idx="10">
                  <c:v>82.174882352941282</c:v>
                </c:pt>
                <c:pt idx="11">
                  <c:v>129.92483235294122</c:v>
                </c:pt>
                <c:pt idx="12">
                  <c:v>119.27027500000004</c:v>
                </c:pt>
                <c:pt idx="13">
                  <c:v>117.35499558823534</c:v>
                </c:pt>
                <c:pt idx="14">
                  <c:v>116.31099558823533</c:v>
                </c:pt>
                <c:pt idx="15">
                  <c:v>99.248504411764728</c:v>
                </c:pt>
                <c:pt idx="16">
                  <c:v>96.483823529411794</c:v>
                </c:pt>
              </c:numCache>
            </c:numRef>
          </c:xVal>
          <c:yVal>
            <c:numRef>
              <c:f>Chart!$B$5:$B$21</c:f>
              <c:numCache>
                <c:formatCode>_-* #,##0_-;\-* #,##0_-;_-* "-"??_-;_-@_-</c:formatCode>
                <c:ptCount val="17"/>
                <c:pt idx="0">
                  <c:v>69000</c:v>
                </c:pt>
                <c:pt idx="1">
                  <c:v>76203</c:v>
                </c:pt>
                <c:pt idx="2">
                  <c:v>113352</c:v>
                </c:pt>
                <c:pt idx="3">
                  <c:v>121560</c:v>
                </c:pt>
                <c:pt idx="4">
                  <c:v>133809</c:v>
                </c:pt>
                <c:pt idx="5">
                  <c:v>157399</c:v>
                </c:pt>
                <c:pt idx="6">
                  <c:v>159210</c:v>
                </c:pt>
                <c:pt idx="7">
                  <c:v>159755</c:v>
                </c:pt>
                <c:pt idx="8">
                  <c:v>159755</c:v>
                </c:pt>
                <c:pt idx="9">
                  <c:v>159755</c:v>
                </c:pt>
                <c:pt idx="10">
                  <c:v>159210</c:v>
                </c:pt>
                <c:pt idx="11">
                  <c:v>156126</c:v>
                </c:pt>
                <c:pt idx="12">
                  <c:v>128367</c:v>
                </c:pt>
                <c:pt idx="13">
                  <c:v>123377</c:v>
                </c:pt>
                <c:pt idx="14">
                  <c:v>120657</c:v>
                </c:pt>
                <c:pt idx="15">
                  <c:v>76203</c:v>
                </c:pt>
                <c:pt idx="16">
                  <c:v>69000</c:v>
                </c:pt>
              </c:numCache>
            </c:numRef>
          </c:yVal>
          <c:smooth val="0"/>
          <c:extLst>
            <c:ext xmlns:c16="http://schemas.microsoft.com/office/drawing/2014/chart" uri="{C3380CC4-5D6E-409C-BE32-E72D297353CC}">
              <c16:uniqueId val="{00000005-1BDB-4AD9-9487-E7C5998D48B2}"/>
            </c:ext>
          </c:extLst>
        </c:ser>
        <c:ser>
          <c:idx val="6"/>
          <c:order val="6"/>
          <c:tx>
            <c:strRef>
              <c:f>Chart!$H$23</c:f>
              <c:strCache>
                <c:ptCount val="1"/>
                <c:pt idx="0">
                  <c:v>Lower1</c:v>
                </c:pt>
              </c:strCache>
            </c:strRef>
          </c:tx>
          <c:spPr>
            <a:ln w="19050" cap="flat" cmpd="sng" algn="ctr">
              <a:solidFill>
                <a:schemeClr val="tx1">
                  <a:lumMod val="50000"/>
                  <a:lumOff val="50000"/>
                </a:schemeClr>
              </a:solidFill>
              <a:round/>
            </a:ln>
            <a:effectLst/>
          </c:spPr>
          <c:marker>
            <c:symbol val="none"/>
          </c:marker>
          <c:xVal>
            <c:numRef>
              <c:f>Chart!$J$25:$J$41</c:f>
              <c:numCache>
                <c:formatCode>_(* #,##0.00_);_(* \(#,##0.00\);_(* "-"??_);_(@_)</c:formatCode>
                <c:ptCount val="17"/>
                <c:pt idx="0">
                  <c:v>36.235661764705902</c:v>
                </c:pt>
                <c:pt idx="1">
                  <c:v>32.710958455882377</c:v>
                </c:pt>
                <c:pt idx="2">
                  <c:v>14.53253235294121</c:v>
                </c:pt>
                <c:pt idx="3">
                  <c:v>10.516044117647098</c:v>
                </c:pt>
                <c:pt idx="4">
                  <c:v>15.228776654411767</c:v>
                </c:pt>
                <c:pt idx="5">
                  <c:v>29.017970772058867</c:v>
                </c:pt>
                <c:pt idx="6">
                  <c:v>30.310707720588233</c:v>
                </c:pt>
                <c:pt idx="7">
                  <c:v>31.172532352941218</c:v>
                </c:pt>
                <c:pt idx="8">
                  <c:v>48.409025000000042</c:v>
                </c:pt>
                <c:pt idx="9">
                  <c:v>72.971027022058905</c:v>
                </c:pt>
                <c:pt idx="10">
                  <c:v>82.882010294117691</c:v>
                </c:pt>
                <c:pt idx="11">
                  <c:v>87.191133455882394</c:v>
                </c:pt>
                <c:pt idx="12">
                  <c:v>91.500256617647096</c:v>
                </c:pt>
                <c:pt idx="13">
                  <c:v>117.35499558823534</c:v>
                </c:pt>
                <c:pt idx="14">
                  <c:v>116.31099558823533</c:v>
                </c:pt>
                <c:pt idx="15">
                  <c:v>99.248504411764728</c:v>
                </c:pt>
                <c:pt idx="16">
                  <c:v>96.483823529411794</c:v>
                </c:pt>
              </c:numCache>
            </c:numRef>
          </c:xVal>
          <c:yVal>
            <c:numRef>
              <c:f>Chart!$H$25:$H$41</c:f>
              <c:numCache>
                <c:formatCode>_-* #,##0_-;\-* #,##0_-;_-* "-"??_-;_-@_-</c:formatCode>
                <c:ptCount val="17"/>
                <c:pt idx="0">
                  <c:v>69000</c:v>
                </c:pt>
                <c:pt idx="1">
                  <c:v>76203</c:v>
                </c:pt>
                <c:pt idx="2">
                  <c:v>113352</c:v>
                </c:pt>
                <c:pt idx="3">
                  <c:v>121560</c:v>
                </c:pt>
                <c:pt idx="4">
                  <c:v>123377</c:v>
                </c:pt>
                <c:pt idx="5">
                  <c:v>123377</c:v>
                </c:pt>
                <c:pt idx="6">
                  <c:v>123377</c:v>
                </c:pt>
                <c:pt idx="7">
                  <c:v>123377</c:v>
                </c:pt>
                <c:pt idx="8">
                  <c:v>123377</c:v>
                </c:pt>
                <c:pt idx="9">
                  <c:v>123377</c:v>
                </c:pt>
                <c:pt idx="10">
                  <c:v>123377</c:v>
                </c:pt>
                <c:pt idx="11">
                  <c:v>123377</c:v>
                </c:pt>
                <c:pt idx="12">
                  <c:v>123377</c:v>
                </c:pt>
                <c:pt idx="13">
                  <c:v>123377</c:v>
                </c:pt>
                <c:pt idx="14">
                  <c:v>120657</c:v>
                </c:pt>
                <c:pt idx="15">
                  <c:v>76203</c:v>
                </c:pt>
                <c:pt idx="16">
                  <c:v>69000</c:v>
                </c:pt>
              </c:numCache>
            </c:numRef>
          </c:yVal>
          <c:smooth val="0"/>
          <c:extLst>
            <c:ext xmlns:c16="http://schemas.microsoft.com/office/drawing/2014/chart" uri="{C3380CC4-5D6E-409C-BE32-E72D297353CC}">
              <c16:uniqueId val="{00000006-1BDB-4AD9-9487-E7C5998D48B2}"/>
            </c:ext>
          </c:extLst>
        </c:ser>
        <c:ser>
          <c:idx val="7"/>
          <c:order val="7"/>
          <c:tx>
            <c:strRef>
              <c:f>Chart!$K$23</c:f>
              <c:strCache>
                <c:ptCount val="1"/>
                <c:pt idx="0">
                  <c:v>Lower 2</c:v>
                </c:pt>
              </c:strCache>
            </c:strRef>
          </c:tx>
          <c:spPr>
            <a:ln w="19050" cap="flat" cmpd="sng" algn="ctr">
              <a:solidFill>
                <a:schemeClr val="accent2"/>
              </a:solidFill>
              <a:round/>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31-1BDB-4AD9-9487-E7C5998D48B2}"/>
                </c:ext>
              </c:extLst>
            </c:dLbl>
            <c:dLbl>
              <c:idx val="2"/>
              <c:delete val="1"/>
              <c:extLst>
                <c:ext xmlns:c15="http://schemas.microsoft.com/office/drawing/2012/chart" uri="{CE6537A1-D6FC-4f65-9D91-7224C49458BB}"/>
                <c:ext xmlns:c16="http://schemas.microsoft.com/office/drawing/2014/chart" uri="{C3380CC4-5D6E-409C-BE32-E72D297353CC}">
                  <c16:uniqueId val="{0000002F-1BDB-4AD9-9487-E7C5998D48B2}"/>
                </c:ext>
              </c:extLst>
            </c:dLbl>
            <c:dLbl>
              <c:idx val="3"/>
              <c:delete val="1"/>
              <c:extLst>
                <c:ext xmlns:c15="http://schemas.microsoft.com/office/drawing/2012/chart" uri="{CE6537A1-D6FC-4f65-9D91-7224C49458BB}"/>
                <c:ext xmlns:c16="http://schemas.microsoft.com/office/drawing/2014/chart" uri="{C3380CC4-5D6E-409C-BE32-E72D297353CC}">
                  <c16:uniqueId val="{0000002E-1BDB-4AD9-9487-E7C5998D48B2}"/>
                </c:ext>
              </c:extLst>
            </c:dLbl>
            <c:dLbl>
              <c:idx val="4"/>
              <c:delete val="1"/>
              <c:extLst>
                <c:ext xmlns:c15="http://schemas.microsoft.com/office/drawing/2012/chart" uri="{CE6537A1-D6FC-4f65-9D91-7224C49458BB}"/>
                <c:ext xmlns:c16="http://schemas.microsoft.com/office/drawing/2014/chart" uri="{C3380CC4-5D6E-409C-BE32-E72D297353CC}">
                  <c16:uniqueId val="{00000035-1BDB-4AD9-9487-E7C5998D48B2}"/>
                </c:ext>
              </c:extLst>
            </c:dLbl>
            <c:dLbl>
              <c:idx val="5"/>
              <c:delete val="1"/>
              <c:extLst>
                <c:ext xmlns:c15="http://schemas.microsoft.com/office/drawing/2012/chart" uri="{CE6537A1-D6FC-4f65-9D91-7224C49458BB}"/>
                <c:ext xmlns:c16="http://schemas.microsoft.com/office/drawing/2014/chart" uri="{C3380CC4-5D6E-409C-BE32-E72D297353CC}">
                  <c16:uniqueId val="{00000034-1BDB-4AD9-9487-E7C5998D48B2}"/>
                </c:ext>
              </c:extLst>
            </c:dLbl>
            <c:dLbl>
              <c:idx val="6"/>
              <c:delete val="1"/>
              <c:extLst>
                <c:ext xmlns:c15="http://schemas.microsoft.com/office/drawing/2012/chart" uri="{CE6537A1-D6FC-4f65-9D91-7224C49458BB}"/>
                <c:ext xmlns:c16="http://schemas.microsoft.com/office/drawing/2014/chart" uri="{C3380CC4-5D6E-409C-BE32-E72D297353CC}">
                  <c16:uniqueId val="{00000036-1BDB-4AD9-9487-E7C5998D48B2}"/>
                </c:ext>
              </c:extLst>
            </c:dLbl>
            <c:dLbl>
              <c:idx val="7"/>
              <c:delete val="1"/>
              <c:extLst>
                <c:ext xmlns:c15="http://schemas.microsoft.com/office/drawing/2012/chart" uri="{CE6537A1-D6FC-4f65-9D91-7224C49458BB}"/>
                <c:ext xmlns:c16="http://schemas.microsoft.com/office/drawing/2014/chart" uri="{C3380CC4-5D6E-409C-BE32-E72D297353CC}">
                  <c16:uniqueId val="{0000001C-1BDB-4AD9-9487-E7C5998D48B2}"/>
                </c:ext>
              </c:extLst>
            </c:dLbl>
            <c:dLbl>
              <c:idx val="8"/>
              <c:delete val="1"/>
              <c:extLst>
                <c:ext xmlns:c15="http://schemas.microsoft.com/office/drawing/2012/chart" uri="{CE6537A1-D6FC-4f65-9D91-7224C49458BB}"/>
                <c:ext xmlns:c16="http://schemas.microsoft.com/office/drawing/2014/chart" uri="{C3380CC4-5D6E-409C-BE32-E72D297353CC}">
                  <c16:uniqueId val="{00000037-1BDB-4AD9-9487-E7C5998D48B2}"/>
                </c:ext>
              </c:extLst>
            </c:dLbl>
            <c:dLbl>
              <c:idx val="9"/>
              <c:delete val="1"/>
              <c:extLst>
                <c:ext xmlns:c15="http://schemas.microsoft.com/office/drawing/2012/chart" uri="{CE6537A1-D6FC-4f65-9D91-7224C49458BB}"/>
                <c:ext xmlns:c16="http://schemas.microsoft.com/office/drawing/2014/chart" uri="{C3380CC4-5D6E-409C-BE32-E72D297353CC}">
                  <c16:uniqueId val="{00000038-1BDB-4AD9-9487-E7C5998D48B2}"/>
                </c:ext>
              </c:extLst>
            </c:dLbl>
            <c:dLbl>
              <c:idx val="10"/>
              <c:delete val="1"/>
              <c:extLst>
                <c:ext xmlns:c15="http://schemas.microsoft.com/office/drawing/2012/chart" uri="{CE6537A1-D6FC-4f65-9D91-7224C49458BB}"/>
                <c:ext xmlns:c16="http://schemas.microsoft.com/office/drawing/2014/chart" uri="{C3380CC4-5D6E-409C-BE32-E72D297353CC}">
                  <c16:uniqueId val="{00000039-1BDB-4AD9-9487-E7C5998D48B2}"/>
                </c:ext>
              </c:extLst>
            </c:dLbl>
            <c:dLbl>
              <c:idx val="11"/>
              <c:delete val="1"/>
              <c:extLst>
                <c:ext xmlns:c15="http://schemas.microsoft.com/office/drawing/2012/chart" uri="{CE6537A1-D6FC-4f65-9D91-7224C49458BB}"/>
                <c:ext xmlns:c16="http://schemas.microsoft.com/office/drawing/2014/chart" uri="{C3380CC4-5D6E-409C-BE32-E72D297353CC}">
                  <c16:uniqueId val="{0000003A-1BDB-4AD9-9487-E7C5998D48B2}"/>
                </c:ext>
              </c:extLst>
            </c:dLbl>
            <c:dLbl>
              <c:idx val="12"/>
              <c:delete val="1"/>
              <c:extLst>
                <c:ext xmlns:c15="http://schemas.microsoft.com/office/drawing/2012/chart" uri="{CE6537A1-D6FC-4f65-9D91-7224C49458BB}"/>
                <c:ext xmlns:c16="http://schemas.microsoft.com/office/drawing/2014/chart" uri="{C3380CC4-5D6E-409C-BE32-E72D297353CC}">
                  <c16:uniqueId val="{0000003B-1BDB-4AD9-9487-E7C5998D48B2}"/>
                </c:ext>
              </c:extLst>
            </c:dLbl>
            <c:dLbl>
              <c:idx val="13"/>
              <c:delete val="1"/>
              <c:extLst>
                <c:ext xmlns:c15="http://schemas.microsoft.com/office/drawing/2012/chart" uri="{CE6537A1-D6FC-4f65-9D91-7224C49458BB}"/>
                <c:ext xmlns:c16="http://schemas.microsoft.com/office/drawing/2014/chart" uri="{C3380CC4-5D6E-409C-BE32-E72D297353CC}">
                  <c16:uniqueId val="{0000003C-1BDB-4AD9-9487-E7C5998D48B2}"/>
                </c:ext>
              </c:extLst>
            </c:dLbl>
            <c:dLbl>
              <c:idx val="14"/>
              <c:delete val="1"/>
              <c:extLst>
                <c:ext xmlns:c15="http://schemas.microsoft.com/office/drawing/2012/chart" uri="{CE6537A1-D6FC-4f65-9D91-7224C49458BB}"/>
                <c:ext xmlns:c16="http://schemas.microsoft.com/office/drawing/2014/chart" uri="{C3380CC4-5D6E-409C-BE32-E72D297353CC}">
                  <c16:uniqueId val="{0000003F-1BDB-4AD9-9487-E7C5998D48B2}"/>
                </c:ext>
              </c:extLst>
            </c:dLbl>
            <c:dLbl>
              <c:idx val="15"/>
              <c:delete val="1"/>
              <c:extLst>
                <c:ext xmlns:c15="http://schemas.microsoft.com/office/drawing/2012/chart" uri="{CE6537A1-D6FC-4f65-9D91-7224C49458BB}"/>
                <c:ext xmlns:c16="http://schemas.microsoft.com/office/drawing/2014/chart" uri="{C3380CC4-5D6E-409C-BE32-E72D297353CC}">
                  <c16:uniqueId val="{00000033-1BDB-4AD9-9487-E7C5998D48B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Chart!$M$25:$M$41</c:f>
              <c:numCache>
                <c:formatCode>_(* #,##0.00_);_(* \(#,##0.00\);_(* "-"??_);_(@_)</c:formatCode>
                <c:ptCount val="17"/>
                <c:pt idx="0">
                  <c:v>36.235661764705902</c:v>
                </c:pt>
                <c:pt idx="1">
                  <c:v>32.710958455882377</c:v>
                </c:pt>
                <c:pt idx="2">
                  <c:v>13.844522794117687</c:v>
                </c:pt>
                <c:pt idx="3">
                  <c:v>27.071226102941175</c:v>
                </c:pt>
                <c:pt idx="4">
                  <c:v>73.748351654411891</c:v>
                </c:pt>
                <c:pt idx="5">
                  <c:v>74.169763970588278</c:v>
                </c:pt>
                <c:pt idx="6">
                  <c:v>78.383887132352982</c:v>
                </c:pt>
                <c:pt idx="7">
                  <c:v>82.598010294117685</c:v>
                </c:pt>
                <c:pt idx="8">
                  <c:v>86.812133455882389</c:v>
                </c:pt>
                <c:pt idx="9">
                  <c:v>91.026256617647107</c:v>
                </c:pt>
                <c:pt idx="10">
                  <c:v>95.240379779411796</c:v>
                </c:pt>
                <c:pt idx="11">
                  <c:v>99.454502941176514</c:v>
                </c:pt>
                <c:pt idx="12">
                  <c:v>103.6686261029412</c:v>
                </c:pt>
                <c:pt idx="13">
                  <c:v>107.88274926470592</c:v>
                </c:pt>
                <c:pt idx="14">
                  <c:v>116.31099558823533</c:v>
                </c:pt>
                <c:pt idx="15">
                  <c:v>99.248504411764728</c:v>
                </c:pt>
                <c:pt idx="16">
                  <c:v>96.483823529411794</c:v>
                </c:pt>
              </c:numCache>
            </c:numRef>
          </c:xVal>
          <c:yVal>
            <c:numRef>
              <c:f>Chart!$K$25:$K$41</c:f>
              <c:numCache>
                <c:formatCode>_-* #,##0_-;\-* #,##0_-;_-* "-"??_-;_-@_-</c:formatCode>
                <c:ptCount val="17"/>
                <c:pt idx="0">
                  <c:v>69000</c:v>
                </c:pt>
                <c:pt idx="1">
                  <c:v>76203</c:v>
                </c:pt>
                <c:pt idx="2">
                  <c:v>114758</c:v>
                </c:pt>
                <c:pt idx="3">
                  <c:v>114758</c:v>
                </c:pt>
                <c:pt idx="4">
                  <c:v>120657</c:v>
                </c:pt>
                <c:pt idx="5">
                  <c:v>120657</c:v>
                </c:pt>
                <c:pt idx="6">
                  <c:v>120657</c:v>
                </c:pt>
                <c:pt idx="7">
                  <c:v>120657</c:v>
                </c:pt>
                <c:pt idx="8">
                  <c:v>120657</c:v>
                </c:pt>
                <c:pt idx="9">
                  <c:v>120657</c:v>
                </c:pt>
                <c:pt idx="10">
                  <c:v>120657</c:v>
                </c:pt>
                <c:pt idx="11">
                  <c:v>120657</c:v>
                </c:pt>
                <c:pt idx="12">
                  <c:v>120657</c:v>
                </c:pt>
                <c:pt idx="13">
                  <c:v>120657</c:v>
                </c:pt>
                <c:pt idx="14">
                  <c:v>120657</c:v>
                </c:pt>
                <c:pt idx="15">
                  <c:v>76203</c:v>
                </c:pt>
                <c:pt idx="16">
                  <c:v>69000</c:v>
                </c:pt>
              </c:numCache>
            </c:numRef>
          </c:yVal>
          <c:smooth val="0"/>
          <c:extLst>
            <c:ext xmlns:c16="http://schemas.microsoft.com/office/drawing/2014/chart" uri="{C3380CC4-5D6E-409C-BE32-E72D297353CC}">
              <c16:uniqueId val="{00000007-1BDB-4AD9-9487-E7C5998D48B2}"/>
            </c:ext>
          </c:extLst>
        </c:ser>
        <c:ser>
          <c:idx val="22"/>
          <c:order val="8"/>
          <c:tx>
            <c:strRef>
              <c:f>Chart!$B$23</c:f>
              <c:strCache>
                <c:ptCount val="1"/>
                <c:pt idx="0">
                  <c:v>Curtailed </c:v>
                </c:pt>
              </c:strCache>
            </c:strRef>
          </c:tx>
          <c:spPr>
            <a:ln w="12700" cap="flat" cmpd="sng" algn="ctr">
              <a:solidFill>
                <a:schemeClr val="tx1"/>
              </a:solidFill>
              <a:round/>
            </a:ln>
            <a:effectLst/>
          </c:spPr>
          <c:marker>
            <c:symbol val="none"/>
          </c:marker>
          <c:xVal>
            <c:numRef>
              <c:f>Chart!$D$25:$D$38</c:f>
              <c:numCache>
                <c:formatCode>0.0</c:formatCode>
                <c:ptCount val="14"/>
                <c:pt idx="0">
                  <c:v>46</c:v>
                </c:pt>
                <c:pt idx="1">
                  <c:v>26</c:v>
                </c:pt>
                <c:pt idx="2">
                  <c:v>22.5</c:v>
                </c:pt>
                <c:pt idx="3">
                  <c:v>15</c:v>
                </c:pt>
                <c:pt idx="4">
                  <c:v>25</c:v>
                </c:pt>
                <c:pt idx="5">
                  <c:v>32.04</c:v>
                </c:pt>
                <c:pt idx="8">
                  <c:v>120</c:v>
                </c:pt>
                <c:pt idx="9">
                  <c:v>112.5</c:v>
                </c:pt>
                <c:pt idx="10">
                  <c:v>104.5</c:v>
                </c:pt>
                <c:pt idx="11">
                  <c:v>99</c:v>
                </c:pt>
                <c:pt idx="12">
                  <c:v>86.5</c:v>
                </c:pt>
                <c:pt idx="13">
                  <c:v>84.5</c:v>
                </c:pt>
              </c:numCache>
            </c:numRef>
          </c:xVal>
          <c:yVal>
            <c:numRef>
              <c:f>Chart!$B$25:$B$38</c:f>
              <c:numCache>
                <c:formatCode>_-* #,##0_-;\-* #,##0_-;_-* "-"??_-;_-@_-</c:formatCode>
                <c:ptCount val="14"/>
                <c:pt idx="0">
                  <c:v>70000</c:v>
                </c:pt>
                <c:pt idx="1">
                  <c:v>112946</c:v>
                </c:pt>
                <c:pt idx="2">
                  <c:v>112946</c:v>
                </c:pt>
                <c:pt idx="3">
                  <c:v>127913</c:v>
                </c:pt>
                <c:pt idx="4">
                  <c:v>146057</c:v>
                </c:pt>
                <c:pt idx="5">
                  <c:v>159755</c:v>
                </c:pt>
                <c:pt idx="8">
                  <c:v>157027</c:v>
                </c:pt>
                <c:pt idx="9">
                  <c:v>140000</c:v>
                </c:pt>
                <c:pt idx="10">
                  <c:v>120657</c:v>
                </c:pt>
                <c:pt idx="11">
                  <c:v>120657</c:v>
                </c:pt>
                <c:pt idx="12">
                  <c:v>76203</c:v>
                </c:pt>
                <c:pt idx="13">
                  <c:v>69000</c:v>
                </c:pt>
              </c:numCache>
            </c:numRef>
          </c:yVal>
          <c:smooth val="0"/>
          <c:extLst>
            <c:ext xmlns:c16="http://schemas.microsoft.com/office/drawing/2014/chart" uri="{C3380CC4-5D6E-409C-BE32-E72D297353CC}">
              <c16:uniqueId val="{00000008-1BDB-4AD9-9487-E7C5998D48B2}"/>
            </c:ext>
          </c:extLst>
        </c:ser>
        <c:ser>
          <c:idx val="8"/>
          <c:order val="9"/>
          <c:tx>
            <c:strRef>
              <c:f>Chart!$R$5</c:f>
              <c:strCache>
                <c:ptCount val="1"/>
                <c:pt idx="0">
                  <c:v>10%</c:v>
                </c:pt>
              </c:strCache>
            </c:strRef>
          </c:tx>
          <c:spPr>
            <a:ln w="15875" cap="flat" cmpd="sng" algn="ctr">
              <a:solidFill>
                <a:schemeClr val="tx1">
                  <a:alpha val="75000"/>
                </a:schemeClr>
              </a:solidFill>
              <a:prstDash val="sysDash"/>
              <a:round/>
            </a:ln>
            <a:effectLst/>
          </c:spPr>
          <c:marker>
            <c:symbol val="none"/>
          </c:marker>
          <c:xVal>
            <c:numRef>
              <c:f>Chart!$S$5:$S$6</c:f>
              <c:numCache>
                <c:formatCode>_(* #,##0.00_);_(* \(#,##0.00\);_(* "-"??_);_(@_)</c:formatCode>
                <c:ptCount val="2"/>
                <c:pt idx="0">
                  <c:v>33.825735294117671</c:v>
                </c:pt>
                <c:pt idx="1">
                  <c:v>-19.124999999999943</c:v>
                </c:pt>
              </c:numCache>
            </c:numRef>
          </c:xVal>
          <c:yVal>
            <c:numRef>
              <c:f>Chart!$Q$5:$Q$6</c:f>
              <c:numCache>
                <c:formatCode>_-* #,##0_-;\-* #,##0_-;_-* "-"??_-;_-@_-</c:formatCode>
                <c:ptCount val="2"/>
                <c:pt idx="0">
                  <c:v>69000</c:v>
                </c:pt>
                <c:pt idx="1">
                  <c:v>170000</c:v>
                </c:pt>
              </c:numCache>
            </c:numRef>
          </c:yVal>
          <c:smooth val="0"/>
          <c:extLst>
            <c:ext xmlns:c16="http://schemas.microsoft.com/office/drawing/2014/chart" uri="{C3380CC4-5D6E-409C-BE32-E72D297353CC}">
              <c16:uniqueId val="{00000009-1BDB-4AD9-9487-E7C5998D48B2}"/>
            </c:ext>
          </c:extLst>
        </c:ser>
        <c:ser>
          <c:idx val="9"/>
          <c:order val="10"/>
          <c:tx>
            <c:strRef>
              <c:f>Chart!$R$7</c:f>
              <c:strCache>
                <c:ptCount val="1"/>
                <c:pt idx="0">
                  <c:v>12%</c:v>
                </c:pt>
              </c:strCache>
            </c:strRef>
          </c:tx>
          <c:spPr>
            <a:ln w="15875" cap="flat" cmpd="sng" algn="ctr">
              <a:solidFill>
                <a:schemeClr val="tx1">
                  <a:alpha val="75000"/>
                </a:schemeClr>
              </a:solidFill>
              <a:prstDash val="sysDash"/>
              <a:round/>
            </a:ln>
            <a:effectLst/>
          </c:spPr>
          <c:marker>
            <c:symbol val="none"/>
          </c:marker>
          <c:xVal>
            <c:numRef>
              <c:f>Chart!$S$7:$S$8</c:f>
              <c:numCache>
                <c:formatCode>_(* #,##0.00_);_(* \(#,##0.00\);_(* "-"??_);_(@_)</c:formatCode>
                <c:ptCount val="2"/>
                <c:pt idx="0">
                  <c:v>38.645588235294142</c:v>
                </c:pt>
                <c:pt idx="1">
                  <c:v>-7.2499999999999432</c:v>
                </c:pt>
              </c:numCache>
            </c:numRef>
          </c:xVal>
          <c:yVal>
            <c:numRef>
              <c:f>Chart!$Q$7:$Q$8</c:f>
              <c:numCache>
                <c:formatCode>_-* #,##0_-;\-* #,##0_-;_-* "-"??_-;_-@_-</c:formatCode>
                <c:ptCount val="2"/>
                <c:pt idx="0">
                  <c:v>69000</c:v>
                </c:pt>
                <c:pt idx="1">
                  <c:v>170000</c:v>
                </c:pt>
              </c:numCache>
            </c:numRef>
          </c:yVal>
          <c:smooth val="0"/>
          <c:extLst>
            <c:ext xmlns:c16="http://schemas.microsoft.com/office/drawing/2014/chart" uri="{C3380CC4-5D6E-409C-BE32-E72D297353CC}">
              <c16:uniqueId val="{0000000A-1BDB-4AD9-9487-E7C5998D48B2}"/>
            </c:ext>
          </c:extLst>
        </c:ser>
        <c:ser>
          <c:idx val="10"/>
          <c:order val="11"/>
          <c:tx>
            <c:strRef>
              <c:f>Chart!$R$9</c:f>
              <c:strCache>
                <c:ptCount val="1"/>
                <c:pt idx="0">
                  <c:v>14%</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Chart!$S$9:$S$10</c:f>
              <c:numCache>
                <c:formatCode>_(* #,##0.00_);_(* \(#,##0.00\);_(* "-"??_);_(@_)</c:formatCode>
                <c:ptCount val="2"/>
                <c:pt idx="0">
                  <c:v>43.465441176470613</c:v>
                </c:pt>
                <c:pt idx="1">
                  <c:v>4.6250000000000568</c:v>
                </c:pt>
              </c:numCache>
            </c:numRef>
          </c:xVal>
          <c:yVal>
            <c:numRef>
              <c:f>Chart!$Q$9:$Q$10</c:f>
              <c:numCache>
                <c:formatCode>_-* #,##0_-;\-* #,##0_-;_-* "-"??_-;_-@_-</c:formatCode>
                <c:ptCount val="2"/>
                <c:pt idx="0">
                  <c:v>69000</c:v>
                </c:pt>
                <c:pt idx="1">
                  <c:v>170000</c:v>
                </c:pt>
              </c:numCache>
            </c:numRef>
          </c:yVal>
          <c:smooth val="0"/>
          <c:extLst>
            <c:ext xmlns:c16="http://schemas.microsoft.com/office/drawing/2014/chart" uri="{C3380CC4-5D6E-409C-BE32-E72D297353CC}">
              <c16:uniqueId val="{0000000B-1BDB-4AD9-9487-E7C5998D48B2}"/>
            </c:ext>
          </c:extLst>
        </c:ser>
        <c:ser>
          <c:idx val="11"/>
          <c:order val="12"/>
          <c:tx>
            <c:strRef>
              <c:f>Chart!$R$11</c:f>
              <c:strCache>
                <c:ptCount val="1"/>
                <c:pt idx="0">
                  <c:v>16%</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Chart!$S$11:$S$12</c:f>
              <c:numCache>
                <c:formatCode>_(* #,##0.00_);_(* \(#,##0.00\);_(* "-"??_);_(@_)</c:formatCode>
                <c:ptCount val="2"/>
                <c:pt idx="0">
                  <c:v>48.285294117647084</c:v>
                </c:pt>
                <c:pt idx="1">
                  <c:v>16.500000000000057</c:v>
                </c:pt>
              </c:numCache>
            </c:numRef>
          </c:xVal>
          <c:yVal>
            <c:numRef>
              <c:f>Chart!$Q$11:$Q$12</c:f>
              <c:numCache>
                <c:formatCode>_-* #,##0_-;\-* #,##0_-;_-* "-"??_-;_-@_-</c:formatCode>
                <c:ptCount val="2"/>
                <c:pt idx="0">
                  <c:v>69000</c:v>
                </c:pt>
                <c:pt idx="1">
                  <c:v>170000</c:v>
                </c:pt>
              </c:numCache>
            </c:numRef>
          </c:yVal>
          <c:smooth val="0"/>
          <c:extLst>
            <c:ext xmlns:c16="http://schemas.microsoft.com/office/drawing/2014/chart" uri="{C3380CC4-5D6E-409C-BE32-E72D297353CC}">
              <c16:uniqueId val="{0000000C-1BDB-4AD9-9487-E7C5998D48B2}"/>
            </c:ext>
          </c:extLst>
        </c:ser>
        <c:ser>
          <c:idx val="12"/>
          <c:order val="13"/>
          <c:tx>
            <c:strRef>
              <c:f>Chart!$R$13</c:f>
              <c:strCache>
                <c:ptCount val="1"/>
                <c:pt idx="0">
                  <c:v>18%</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Chart!$S$13:$S$14</c:f>
              <c:numCache>
                <c:formatCode>_(* #,##0.00_);_(* \(#,##0.00\);_(* "-"??_);_(@_)</c:formatCode>
                <c:ptCount val="2"/>
                <c:pt idx="0">
                  <c:v>53.105147058823555</c:v>
                </c:pt>
                <c:pt idx="1">
                  <c:v>28.375000000000057</c:v>
                </c:pt>
              </c:numCache>
            </c:numRef>
          </c:xVal>
          <c:yVal>
            <c:numRef>
              <c:f>Chart!$Q$13:$Q$14</c:f>
              <c:numCache>
                <c:formatCode>_-* #,##0_-;\-* #,##0_-;_-* "-"??_-;_-@_-</c:formatCode>
                <c:ptCount val="2"/>
                <c:pt idx="0">
                  <c:v>69000</c:v>
                </c:pt>
                <c:pt idx="1">
                  <c:v>170000</c:v>
                </c:pt>
              </c:numCache>
            </c:numRef>
          </c:yVal>
          <c:smooth val="0"/>
          <c:extLst>
            <c:ext xmlns:c16="http://schemas.microsoft.com/office/drawing/2014/chart" uri="{C3380CC4-5D6E-409C-BE32-E72D297353CC}">
              <c16:uniqueId val="{0000000D-1BDB-4AD9-9487-E7C5998D48B2}"/>
            </c:ext>
          </c:extLst>
        </c:ser>
        <c:ser>
          <c:idx val="13"/>
          <c:order val="14"/>
          <c:tx>
            <c:strRef>
              <c:f>Chart!$R$15</c:f>
              <c:strCache>
                <c:ptCount val="1"/>
                <c:pt idx="0">
                  <c:v>20%</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Chart!$S$15:$S$16</c:f>
              <c:numCache>
                <c:formatCode>_(* #,##0.00_);_(* \(#,##0.00\);_(* "-"??_);_(@_)</c:formatCode>
                <c:ptCount val="2"/>
                <c:pt idx="0">
                  <c:v>57.925000000000026</c:v>
                </c:pt>
                <c:pt idx="1">
                  <c:v>40.250000000000057</c:v>
                </c:pt>
              </c:numCache>
            </c:numRef>
          </c:xVal>
          <c:yVal>
            <c:numRef>
              <c:f>Chart!$Q$15:$Q$16</c:f>
              <c:numCache>
                <c:formatCode>_-* #,##0_-;\-* #,##0_-;_-* "-"??_-;_-@_-</c:formatCode>
                <c:ptCount val="2"/>
                <c:pt idx="0">
                  <c:v>69000</c:v>
                </c:pt>
                <c:pt idx="1">
                  <c:v>170000</c:v>
                </c:pt>
              </c:numCache>
            </c:numRef>
          </c:yVal>
          <c:smooth val="0"/>
          <c:extLst>
            <c:ext xmlns:c16="http://schemas.microsoft.com/office/drawing/2014/chart" uri="{C3380CC4-5D6E-409C-BE32-E72D297353CC}">
              <c16:uniqueId val="{0000000E-1BDB-4AD9-9487-E7C5998D48B2}"/>
            </c:ext>
          </c:extLst>
        </c:ser>
        <c:ser>
          <c:idx val="14"/>
          <c:order val="15"/>
          <c:tx>
            <c:strRef>
              <c:f>Chart!$R$17</c:f>
              <c:strCache>
                <c:ptCount val="1"/>
                <c:pt idx="0">
                  <c:v>22%</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Chart!$S$17:$S$18</c:f>
              <c:numCache>
                <c:formatCode>_(* #,##0.00_);_(* \(#,##0.00\);_(* "-"??_);_(@_)</c:formatCode>
                <c:ptCount val="2"/>
                <c:pt idx="0">
                  <c:v>62.744852941176497</c:v>
                </c:pt>
                <c:pt idx="1">
                  <c:v>52.125000000000057</c:v>
                </c:pt>
              </c:numCache>
            </c:numRef>
          </c:xVal>
          <c:yVal>
            <c:numRef>
              <c:f>Chart!$Q$17:$Q$18</c:f>
              <c:numCache>
                <c:formatCode>_-* #,##0_-;\-* #,##0_-;_-* "-"??_-;_-@_-</c:formatCode>
                <c:ptCount val="2"/>
                <c:pt idx="0">
                  <c:v>69000</c:v>
                </c:pt>
                <c:pt idx="1">
                  <c:v>170000</c:v>
                </c:pt>
              </c:numCache>
            </c:numRef>
          </c:yVal>
          <c:smooth val="0"/>
          <c:extLst>
            <c:ext xmlns:c16="http://schemas.microsoft.com/office/drawing/2014/chart" uri="{C3380CC4-5D6E-409C-BE32-E72D297353CC}">
              <c16:uniqueId val="{0000000F-1BDB-4AD9-9487-E7C5998D48B2}"/>
            </c:ext>
          </c:extLst>
        </c:ser>
        <c:ser>
          <c:idx val="15"/>
          <c:order val="16"/>
          <c:tx>
            <c:strRef>
              <c:f>Chart!$R$19</c:f>
              <c:strCache>
                <c:ptCount val="1"/>
                <c:pt idx="0">
                  <c:v>24%</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Chart!$S$19:$S$20</c:f>
              <c:numCache>
                <c:formatCode>_(* #,##0.00_);_(* \(#,##0.00\);_(* "-"??_);_(@_)</c:formatCode>
                <c:ptCount val="2"/>
                <c:pt idx="0">
                  <c:v>67.564705882352968</c:v>
                </c:pt>
                <c:pt idx="1">
                  <c:v>64.000000000000057</c:v>
                </c:pt>
              </c:numCache>
            </c:numRef>
          </c:xVal>
          <c:yVal>
            <c:numRef>
              <c:f>Chart!$Q$19:$Q$20</c:f>
              <c:numCache>
                <c:formatCode>_-* #,##0_-;\-* #,##0_-;_-* "-"??_-;_-@_-</c:formatCode>
                <c:ptCount val="2"/>
                <c:pt idx="0">
                  <c:v>69000</c:v>
                </c:pt>
                <c:pt idx="1">
                  <c:v>170000</c:v>
                </c:pt>
              </c:numCache>
            </c:numRef>
          </c:yVal>
          <c:smooth val="0"/>
          <c:extLst>
            <c:ext xmlns:c16="http://schemas.microsoft.com/office/drawing/2014/chart" uri="{C3380CC4-5D6E-409C-BE32-E72D297353CC}">
              <c16:uniqueId val="{00000010-1BDB-4AD9-9487-E7C5998D48B2}"/>
            </c:ext>
          </c:extLst>
        </c:ser>
        <c:ser>
          <c:idx val="16"/>
          <c:order val="17"/>
          <c:tx>
            <c:strRef>
              <c:f>Chart!$R$21</c:f>
              <c:strCache>
                <c:ptCount val="1"/>
                <c:pt idx="0">
                  <c:v>26%</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Chart!$S$21:$S$22</c:f>
              <c:numCache>
                <c:formatCode>_(* #,##0.00_);_(* \(#,##0.00\);_(* "-"??_);_(@_)</c:formatCode>
                <c:ptCount val="2"/>
                <c:pt idx="0">
                  <c:v>72.384558823529431</c:v>
                </c:pt>
                <c:pt idx="1">
                  <c:v>75.875000000000057</c:v>
                </c:pt>
              </c:numCache>
            </c:numRef>
          </c:xVal>
          <c:yVal>
            <c:numRef>
              <c:f>Chart!$Q$21:$Q$22</c:f>
              <c:numCache>
                <c:formatCode>_-* #,##0_-;\-* #,##0_-;_-* "-"??_-;_-@_-</c:formatCode>
                <c:ptCount val="2"/>
                <c:pt idx="0">
                  <c:v>69000</c:v>
                </c:pt>
                <c:pt idx="1">
                  <c:v>170000</c:v>
                </c:pt>
              </c:numCache>
            </c:numRef>
          </c:yVal>
          <c:smooth val="0"/>
          <c:extLst>
            <c:ext xmlns:c16="http://schemas.microsoft.com/office/drawing/2014/chart" uri="{C3380CC4-5D6E-409C-BE32-E72D297353CC}">
              <c16:uniqueId val="{00000011-1BDB-4AD9-9487-E7C5998D48B2}"/>
            </c:ext>
          </c:extLst>
        </c:ser>
        <c:ser>
          <c:idx val="17"/>
          <c:order val="18"/>
          <c:tx>
            <c:strRef>
              <c:f>Chart!$R$23</c:f>
              <c:strCache>
                <c:ptCount val="1"/>
                <c:pt idx="0">
                  <c:v>28%</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Chart!$S$23:$S$24</c:f>
              <c:numCache>
                <c:formatCode>_(* #,##0.00_);_(* \(#,##0.00\);_(* "-"??_);_(@_)</c:formatCode>
                <c:ptCount val="2"/>
                <c:pt idx="0">
                  <c:v>77.20441176470591</c:v>
                </c:pt>
                <c:pt idx="1">
                  <c:v>87.750000000000057</c:v>
                </c:pt>
              </c:numCache>
            </c:numRef>
          </c:xVal>
          <c:yVal>
            <c:numRef>
              <c:f>Chart!$Q$23:$Q$24</c:f>
              <c:numCache>
                <c:formatCode>_-* #,##0_-;\-* #,##0_-;_-* "-"??_-;_-@_-</c:formatCode>
                <c:ptCount val="2"/>
                <c:pt idx="0">
                  <c:v>69000</c:v>
                </c:pt>
                <c:pt idx="1">
                  <c:v>170000</c:v>
                </c:pt>
              </c:numCache>
            </c:numRef>
          </c:yVal>
          <c:smooth val="0"/>
          <c:extLst>
            <c:ext xmlns:c16="http://schemas.microsoft.com/office/drawing/2014/chart" uri="{C3380CC4-5D6E-409C-BE32-E72D297353CC}">
              <c16:uniqueId val="{00000012-1BDB-4AD9-9487-E7C5998D48B2}"/>
            </c:ext>
          </c:extLst>
        </c:ser>
        <c:ser>
          <c:idx val="18"/>
          <c:order val="19"/>
          <c:tx>
            <c:strRef>
              <c:f>Chart!$R$25</c:f>
              <c:strCache>
                <c:ptCount val="1"/>
                <c:pt idx="0">
                  <c:v>30%</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Chart!$S$25:$S$26</c:f>
              <c:numCache>
                <c:formatCode>_(* #,##0.00_);_(* \(#,##0.00\);_(* "-"??_);_(@_)</c:formatCode>
                <c:ptCount val="2"/>
                <c:pt idx="0">
                  <c:v>82.024264705882374</c:v>
                </c:pt>
                <c:pt idx="1">
                  <c:v>99.625000000000057</c:v>
                </c:pt>
              </c:numCache>
            </c:numRef>
          </c:xVal>
          <c:yVal>
            <c:numRef>
              <c:f>Chart!$Q$27:$Q$28</c:f>
              <c:numCache>
                <c:formatCode>_-* #,##0_-;\-* #,##0_-;_-* "-"??_-;_-@_-</c:formatCode>
                <c:ptCount val="2"/>
                <c:pt idx="0">
                  <c:v>69000</c:v>
                </c:pt>
                <c:pt idx="1">
                  <c:v>170000</c:v>
                </c:pt>
              </c:numCache>
            </c:numRef>
          </c:yVal>
          <c:smooth val="0"/>
          <c:extLst>
            <c:ext xmlns:c16="http://schemas.microsoft.com/office/drawing/2014/chart" uri="{C3380CC4-5D6E-409C-BE32-E72D297353CC}">
              <c16:uniqueId val="{00000013-1BDB-4AD9-9487-E7C5998D48B2}"/>
            </c:ext>
          </c:extLst>
        </c:ser>
        <c:ser>
          <c:idx val="19"/>
          <c:order val="20"/>
          <c:tx>
            <c:strRef>
              <c:f>Chart!$R$27</c:f>
              <c:strCache>
                <c:ptCount val="1"/>
                <c:pt idx="0">
                  <c:v>32%</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Chart!$S$27:$S$28</c:f>
              <c:numCache>
                <c:formatCode>_(* #,##0.00_);_(* \(#,##0.00\);_(* "-"??_);_(@_)</c:formatCode>
                <c:ptCount val="2"/>
                <c:pt idx="0">
                  <c:v>86.844117647058852</c:v>
                </c:pt>
                <c:pt idx="1">
                  <c:v>111.50000000000006</c:v>
                </c:pt>
              </c:numCache>
            </c:numRef>
          </c:xVal>
          <c:yVal>
            <c:numRef>
              <c:f>Chart!$Q$27:$Q$28</c:f>
              <c:numCache>
                <c:formatCode>_-* #,##0_-;\-* #,##0_-;_-* "-"??_-;_-@_-</c:formatCode>
                <c:ptCount val="2"/>
                <c:pt idx="0">
                  <c:v>69000</c:v>
                </c:pt>
                <c:pt idx="1">
                  <c:v>170000</c:v>
                </c:pt>
              </c:numCache>
            </c:numRef>
          </c:yVal>
          <c:smooth val="0"/>
          <c:extLst>
            <c:ext xmlns:c16="http://schemas.microsoft.com/office/drawing/2014/chart" uri="{C3380CC4-5D6E-409C-BE32-E72D297353CC}">
              <c16:uniqueId val="{00000014-1BDB-4AD9-9487-E7C5998D48B2}"/>
            </c:ext>
          </c:extLst>
        </c:ser>
        <c:ser>
          <c:idx val="20"/>
          <c:order val="21"/>
          <c:tx>
            <c:strRef>
              <c:f>Chart!$R$29</c:f>
              <c:strCache>
                <c:ptCount val="1"/>
                <c:pt idx="0">
                  <c:v>34%</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Chart!$S$29:$S$30</c:f>
              <c:numCache>
                <c:formatCode>_(* #,##0.00_);_(* \(#,##0.00\);_(* "-"??_);_(@_)</c:formatCode>
                <c:ptCount val="2"/>
                <c:pt idx="0">
                  <c:v>91.663970588235316</c:v>
                </c:pt>
                <c:pt idx="1">
                  <c:v>123.37500000000006</c:v>
                </c:pt>
              </c:numCache>
            </c:numRef>
          </c:xVal>
          <c:yVal>
            <c:numRef>
              <c:f>Chart!$Q$29:$Q$30</c:f>
              <c:numCache>
                <c:formatCode>_-* #,##0_-;\-* #,##0_-;_-* "-"??_-;_-@_-</c:formatCode>
                <c:ptCount val="2"/>
                <c:pt idx="0">
                  <c:v>69000</c:v>
                </c:pt>
                <c:pt idx="1">
                  <c:v>170000</c:v>
                </c:pt>
              </c:numCache>
            </c:numRef>
          </c:yVal>
          <c:smooth val="0"/>
          <c:extLst>
            <c:ext xmlns:c16="http://schemas.microsoft.com/office/drawing/2014/chart" uri="{C3380CC4-5D6E-409C-BE32-E72D297353CC}">
              <c16:uniqueId val="{00000015-1BDB-4AD9-9487-E7C5998D48B2}"/>
            </c:ext>
          </c:extLst>
        </c:ser>
        <c:ser>
          <c:idx val="21"/>
          <c:order val="22"/>
          <c:tx>
            <c:strRef>
              <c:f>Chart!$R$31</c:f>
              <c:strCache>
                <c:ptCount val="1"/>
                <c:pt idx="0">
                  <c:v>36%</c:v>
                </c:pt>
              </c:strCache>
            </c:strRef>
          </c:tx>
          <c:spPr>
            <a:ln w="15875" cap="flat" cmpd="sng" algn="ctr">
              <a:solidFill>
                <a:schemeClr val="tx1">
                  <a:alpha val="75000"/>
                </a:schemeClr>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Chart!$S$31:$S$32</c:f>
              <c:numCache>
                <c:formatCode>_(* #,##0.00_);_(* \(#,##0.00\);_(* "-"??_);_(@_)</c:formatCode>
                <c:ptCount val="2"/>
                <c:pt idx="0">
                  <c:v>96.483823529411794</c:v>
                </c:pt>
                <c:pt idx="1">
                  <c:v>135.25000000000006</c:v>
                </c:pt>
              </c:numCache>
            </c:numRef>
          </c:xVal>
          <c:yVal>
            <c:numRef>
              <c:f>Chart!$Q$31:$Q$32</c:f>
              <c:numCache>
                <c:formatCode>_-* #,##0_-;\-* #,##0_-;_-* "-"??_-;_-@_-</c:formatCode>
                <c:ptCount val="2"/>
                <c:pt idx="0">
                  <c:v>69000</c:v>
                </c:pt>
                <c:pt idx="1">
                  <c:v>170000</c:v>
                </c:pt>
              </c:numCache>
            </c:numRef>
          </c:yVal>
          <c:smooth val="0"/>
          <c:extLst>
            <c:ext xmlns:c16="http://schemas.microsoft.com/office/drawing/2014/chart" uri="{C3380CC4-5D6E-409C-BE32-E72D297353CC}">
              <c16:uniqueId val="{00000016-1BDB-4AD9-9487-E7C5998D48B2}"/>
            </c:ext>
          </c:extLst>
        </c:ser>
        <c:ser>
          <c:idx val="23"/>
          <c:order val="23"/>
          <c:tx>
            <c:strRef>
              <c:f>Chart!$U$10</c:f>
              <c:strCache>
                <c:ptCount val="1"/>
                <c:pt idx="0">
                  <c:v>TOW</c:v>
                </c:pt>
              </c:strCache>
            </c:strRef>
          </c:tx>
          <c:spPr>
            <a:ln w="25400" cap="flat" cmpd="dbl" algn="ctr">
              <a:solidFill>
                <a:srgbClr val="00D661">
                  <a:alpha val="50000"/>
                </a:srgbClr>
              </a:solidFill>
              <a:round/>
            </a:ln>
            <a:effectLst/>
          </c:spPr>
          <c:marker>
            <c:symbol val="plus"/>
            <c:size val="8"/>
            <c:spPr>
              <a:noFill/>
              <a:ln w="25400" cap="flat" cmpd="sng" algn="ctr">
                <a:solidFill>
                  <a:srgbClr val="00D661"/>
                </a:solidFill>
                <a:round/>
              </a:ln>
              <a:effectLst/>
            </c:spPr>
          </c:marker>
          <c:dLbls>
            <c:spPr>
              <a:solidFill>
                <a:srgbClr val="00D66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Chart!$W$10</c:f>
              <c:numCache>
                <c:formatCode>0.0</c:formatCode>
                <c:ptCount val="1"/>
                <c:pt idx="0">
                  <c:v>64.3</c:v>
                </c:pt>
              </c:numCache>
            </c:numRef>
          </c:xVal>
          <c:yVal>
            <c:numRef>
              <c:f>Chart!$V$10</c:f>
              <c:numCache>
                <c:formatCode>#,##0</c:formatCode>
                <c:ptCount val="1"/>
                <c:pt idx="0">
                  <c:v>140216.6530612245</c:v>
                </c:pt>
              </c:numCache>
            </c:numRef>
          </c:yVal>
          <c:smooth val="0"/>
          <c:extLst>
            <c:ext xmlns:c16="http://schemas.microsoft.com/office/drawing/2014/chart" uri="{C3380CC4-5D6E-409C-BE32-E72D297353CC}">
              <c16:uniqueId val="{00000018-1BDB-4AD9-9487-E7C5998D48B2}"/>
            </c:ext>
          </c:extLst>
        </c:ser>
        <c:ser>
          <c:idx val="24"/>
          <c:order val="24"/>
          <c:tx>
            <c:strRef>
              <c:f>Chart!$U$9</c:f>
              <c:strCache>
                <c:ptCount val="1"/>
                <c:pt idx="0">
                  <c:v>AZFW</c:v>
                </c:pt>
              </c:strCache>
            </c:strRef>
          </c:tx>
          <c:spPr>
            <a:ln w="25400" cap="flat" cmpd="dbl" algn="ctr">
              <a:noFill/>
              <a:round/>
            </a:ln>
            <a:effectLst/>
          </c:spPr>
          <c:marker>
            <c:symbol val="plus"/>
            <c:size val="8"/>
            <c:spPr>
              <a:noFill/>
              <a:ln w="25400" cap="flat" cmpd="sng" algn="ctr">
                <a:solidFill>
                  <a:schemeClr val="accent2"/>
                </a:solidFill>
                <a:round/>
              </a:ln>
              <a:effectLst/>
            </c:spPr>
          </c:marker>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Chart!$W$9</c:f>
              <c:numCache>
                <c:formatCode>0.0</c:formatCode>
                <c:ptCount val="1"/>
                <c:pt idx="0">
                  <c:v>66.599999999999994</c:v>
                </c:pt>
              </c:numCache>
            </c:numRef>
          </c:xVal>
          <c:yVal>
            <c:numRef>
              <c:f>Chart!$V$9</c:f>
              <c:numCache>
                <c:formatCode>#,##0</c:formatCode>
                <c:ptCount val="1"/>
                <c:pt idx="0">
                  <c:v>113716.6530612245</c:v>
                </c:pt>
              </c:numCache>
            </c:numRef>
          </c:yVal>
          <c:smooth val="0"/>
          <c:extLst>
            <c:ext xmlns:c16="http://schemas.microsoft.com/office/drawing/2014/chart" uri="{C3380CC4-5D6E-409C-BE32-E72D297353CC}">
              <c16:uniqueId val="{00000019-1BDB-4AD9-9487-E7C5998D48B2}"/>
            </c:ext>
          </c:extLst>
        </c:ser>
        <c:ser>
          <c:idx val="25"/>
          <c:order val="25"/>
          <c:tx>
            <c:strRef>
              <c:f>Chart!$U$11</c:f>
              <c:strCache>
                <c:ptCount val="1"/>
                <c:pt idx="0">
                  <c:v>LW</c:v>
                </c:pt>
              </c:strCache>
            </c:strRef>
          </c:tx>
          <c:spPr>
            <a:ln w="25400" cap="flat" cmpd="dbl" algn="ctr">
              <a:noFill/>
              <a:round/>
            </a:ln>
            <a:effectLst/>
          </c:spPr>
          <c:marker>
            <c:symbol val="plus"/>
            <c:size val="8"/>
            <c:spPr>
              <a:noFill/>
              <a:ln w="25400" cap="flat" cmpd="sng" algn="ctr">
                <a:solidFill>
                  <a:schemeClr val="accent1"/>
                </a:solidFill>
                <a:round/>
              </a:ln>
              <a:effectLst/>
            </c:spPr>
          </c:marker>
          <c:dPt>
            <c:idx val="0"/>
            <c:marker>
              <c:symbol val="plus"/>
              <c:size val="8"/>
              <c:spPr>
                <a:noFill/>
                <a:ln w="25400" cap="flat" cmpd="sng" algn="ctr">
                  <a:solidFill>
                    <a:schemeClr val="accent1"/>
                  </a:solidFill>
                  <a:round/>
                </a:ln>
                <a:effectLst/>
              </c:spPr>
            </c:marker>
            <c:bubble3D val="0"/>
            <c:extLst>
              <c:ext xmlns:c16="http://schemas.microsoft.com/office/drawing/2014/chart" uri="{C3380CC4-5D6E-409C-BE32-E72D297353CC}">
                <c16:uniqueId val="{00000000-30F4-4C12-BCB8-8BBC60FCE663}"/>
              </c:ext>
            </c:extLst>
          </c:dPt>
          <c:dLbls>
            <c:spPr>
              <a:solidFill>
                <a:srgbClr val="00B0F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KE"/>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Chart!$W$11</c:f>
              <c:numCache>
                <c:formatCode>0.0</c:formatCode>
                <c:ptCount val="1"/>
                <c:pt idx="0">
                  <c:v>62.499999999999993</c:v>
                </c:pt>
              </c:numCache>
            </c:numRef>
          </c:xVal>
          <c:yVal>
            <c:numRef>
              <c:f>Chart!$V$11</c:f>
              <c:numCache>
                <c:formatCode>#,##0</c:formatCode>
                <c:ptCount val="1"/>
                <c:pt idx="0">
                  <c:v>120216.6530612245</c:v>
                </c:pt>
              </c:numCache>
            </c:numRef>
          </c:yVal>
          <c:smooth val="0"/>
          <c:extLst>
            <c:ext xmlns:c16="http://schemas.microsoft.com/office/drawing/2014/chart" uri="{C3380CC4-5D6E-409C-BE32-E72D297353CC}">
              <c16:uniqueId val="{0000001A-1BDB-4AD9-9487-E7C5998D48B2}"/>
            </c:ext>
          </c:extLst>
        </c:ser>
        <c:dLbls>
          <c:showLegendKey val="0"/>
          <c:showVal val="0"/>
          <c:showCatName val="0"/>
          <c:showSerName val="0"/>
          <c:showPercent val="0"/>
          <c:showBubbleSize val="0"/>
        </c:dLbls>
        <c:axId val="1249896432"/>
        <c:axId val="1249892592"/>
      </c:scatterChart>
      <c:valAx>
        <c:axId val="1249896432"/>
        <c:scaling>
          <c:orientation val="minMax"/>
          <c:max val="14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fr-CA" b="1"/>
                  <a:t>INDEX</a:t>
                </a:r>
              </a:p>
            </c:rich>
          </c:tx>
          <c:layout>
            <c:manualLayout>
              <c:xMode val="edge"/>
              <c:yMode val="edge"/>
              <c:x val="0.49722463544020734"/>
              <c:y val="0.94366395730739605"/>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en-KE"/>
            </a:p>
          </c:txPr>
        </c:title>
        <c:numFmt formatCode="_(* #,##0.00_);_(* \(#,##0.00\);_(* &quot;-&quot;??_);_(@_)"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none" spc="0" normalizeH="0" baseline="0">
                <a:solidFill>
                  <a:schemeClr val="tx1">
                    <a:lumMod val="65000"/>
                    <a:lumOff val="35000"/>
                  </a:schemeClr>
                </a:solidFill>
                <a:latin typeface="+mn-lt"/>
                <a:ea typeface="+mn-ea"/>
                <a:cs typeface="+mn-cs"/>
              </a:defRPr>
            </a:pPr>
            <a:endParaRPr lang="en-KE"/>
          </a:p>
        </c:txPr>
        <c:crossAx val="1249892592"/>
        <c:crosses val="autoZero"/>
        <c:crossBetween val="midCat"/>
        <c:minorUnit val="1"/>
      </c:valAx>
      <c:valAx>
        <c:axId val="1249892592"/>
        <c:scaling>
          <c:orientation val="minMax"/>
          <c:max val="170000"/>
          <c:min val="70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r>
                  <a:rPr lang="fr-CA" b="1"/>
                  <a:t>gROSS</a:t>
                </a:r>
                <a:r>
                  <a:rPr lang="fr-CA" b="1" baseline="0"/>
                  <a:t> mASS (Kg)</a:t>
                </a:r>
                <a:endParaRPr lang="fr-CA" b="1"/>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tx1">
                      <a:lumMod val="65000"/>
                      <a:lumOff val="35000"/>
                    </a:schemeClr>
                  </a:solidFill>
                  <a:latin typeface="+mn-lt"/>
                  <a:ea typeface="+mn-ea"/>
                  <a:cs typeface="+mn-cs"/>
                </a:defRPr>
              </a:pPr>
              <a:endParaRPr lang="fr-CA"/>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KE"/>
          </a:p>
        </c:txPr>
        <c:crossAx val="124989643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KE"/>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Q$11" lockText="1" noThreeD="1"/>
</file>

<file path=xl/ctrlProps/ctrlProp3.xml><?xml version="1.0" encoding="utf-8"?>
<formControlPr xmlns="http://schemas.microsoft.com/office/spreadsheetml/2009/9/main" objectType="CheckBox" fmlaLink="$Q$10" lockText="1" noThreeD="1"/>
</file>

<file path=xl/ctrlProps/ctrlProp4.xml><?xml version="1.0" encoding="utf-8"?>
<formControlPr xmlns="http://schemas.microsoft.com/office/spreadsheetml/2009/9/main" objectType="CheckBox" fmlaLink="$Q$9"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16</xdr:col>
      <xdr:colOff>571500</xdr:colOff>
      <xdr:row>1</xdr:row>
      <xdr:rowOff>28575</xdr:rowOff>
    </xdr:from>
    <xdr:ext cx="8029575" cy="1990725"/>
    <xdr:pic>
      <xdr:nvPicPr>
        <xdr:cNvPr id="2" name="image3.png">
          <a:extLst>
            <a:ext uri="{FF2B5EF4-FFF2-40B4-BE49-F238E27FC236}">
              <a16:creationId xmlns:a16="http://schemas.microsoft.com/office/drawing/2014/main" id="{E5819C0B-8735-4B80-A8FE-60DF25F6F1D9}"/>
            </a:ext>
          </a:extLst>
        </xdr:cNvPr>
        <xdr:cNvPicPr preferRelativeResize="0"/>
      </xdr:nvPicPr>
      <xdr:blipFill>
        <a:blip xmlns:r="http://schemas.openxmlformats.org/officeDocument/2006/relationships" r:embed="rId1" cstate="print"/>
        <a:stretch>
          <a:fillRect/>
        </a:stretch>
      </xdr:blipFill>
      <xdr:spPr>
        <a:xfrm>
          <a:off x="11430000" y="133350"/>
          <a:ext cx="8029575" cy="1990725"/>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457200</xdr:colOff>
          <xdr:row>1</xdr:row>
          <xdr:rowOff>215900</xdr:rowOff>
        </xdr:from>
        <xdr:to>
          <xdr:col>12</xdr:col>
          <xdr:colOff>539750</xdr:colOff>
          <xdr:row>3</xdr:row>
          <xdr:rowOff>57150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KE" sz="2600" b="1"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82550</xdr:colOff>
          <xdr:row>12</xdr:row>
          <xdr:rowOff>44450</xdr:rowOff>
        </xdr:from>
        <xdr:to>
          <xdr:col>14</xdr:col>
          <xdr:colOff>254000</xdr:colOff>
          <xdr:row>12</xdr:row>
          <xdr:rowOff>177800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1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88900</xdr:colOff>
          <xdr:row>11</xdr:row>
          <xdr:rowOff>44450</xdr:rowOff>
        </xdr:from>
        <xdr:to>
          <xdr:col>14</xdr:col>
          <xdr:colOff>254000</xdr:colOff>
          <xdr:row>11</xdr:row>
          <xdr:rowOff>177800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82550</xdr:colOff>
          <xdr:row>10</xdr:row>
          <xdr:rowOff>44450</xdr:rowOff>
        </xdr:from>
        <xdr:to>
          <xdr:col>14</xdr:col>
          <xdr:colOff>273050</xdr:colOff>
          <xdr:row>10</xdr:row>
          <xdr:rowOff>177800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1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15</xdr:col>
      <xdr:colOff>278146</xdr:colOff>
      <xdr:row>3</xdr:row>
      <xdr:rowOff>93409</xdr:rowOff>
    </xdr:from>
    <xdr:to>
      <xdr:col>15</xdr:col>
      <xdr:colOff>332121</xdr:colOff>
      <xdr:row>6</xdr:row>
      <xdr:rowOff>160084</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11061724" y="687175"/>
          <a:ext cx="60325" cy="663616"/>
          <a:chOff x="4654550" y="561975"/>
          <a:chExt cx="53975" cy="600075"/>
        </a:xfrm>
      </xdr:grpSpPr>
      <xdr:cxnSp macro="">
        <xdr:nvCxnSpPr>
          <xdr:cNvPr id="6" name="Straight Arrow Connector 5">
            <a:extLst>
              <a:ext uri="{FF2B5EF4-FFF2-40B4-BE49-F238E27FC236}">
                <a16:creationId xmlns:a16="http://schemas.microsoft.com/office/drawing/2014/main" id="{00000000-0008-0000-0100-000006000000}"/>
              </a:ext>
            </a:extLst>
          </xdr:cNvPr>
          <xdr:cNvCxnSpPr/>
        </xdr:nvCxnSpPr>
        <xdr:spPr>
          <a:xfrm>
            <a:off x="4657725" y="561975"/>
            <a:ext cx="0" cy="60007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Connector 6">
            <a:extLst>
              <a:ext uri="{FF2B5EF4-FFF2-40B4-BE49-F238E27FC236}">
                <a16:creationId xmlns:a16="http://schemas.microsoft.com/office/drawing/2014/main" id="{00000000-0008-0000-0100-000007000000}"/>
              </a:ext>
            </a:extLst>
          </xdr:cNvPr>
          <xdr:cNvCxnSpPr/>
        </xdr:nvCxnSpPr>
        <xdr:spPr>
          <a:xfrm rot="-240000">
            <a:off x="4654550" y="561975"/>
            <a:ext cx="53975" cy="317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9720</xdr:colOff>
      <xdr:row>14</xdr:row>
      <xdr:rowOff>106914</xdr:rowOff>
    </xdr:from>
    <xdr:to>
      <xdr:col>14</xdr:col>
      <xdr:colOff>618866</xdr:colOff>
      <xdr:row>57</xdr:row>
      <xdr:rowOff>181494</xdr:rowOff>
    </xdr:to>
    <xdr:graphicFrame macro="">
      <xdr:nvGraphicFramePr>
        <xdr:cNvPr id="5" name="Chart 4">
          <a:extLst>
            <a:ext uri="{FF2B5EF4-FFF2-40B4-BE49-F238E27FC236}">
              <a16:creationId xmlns:a16="http://schemas.microsoft.com/office/drawing/2014/main" id="{1567FC5F-CF47-793A-37D4-F882C41E0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584006</xdr:colOff>
      <xdr:row>24</xdr:row>
      <xdr:rowOff>16264</xdr:rowOff>
    </xdr:from>
    <xdr:to>
      <xdr:col>14</xdr:col>
      <xdr:colOff>602602</xdr:colOff>
      <xdr:row>25</xdr:row>
      <xdr:rowOff>9719</xdr:rowOff>
    </xdr:to>
    <xdr:sp macro="" textlink="">
      <xdr:nvSpPr>
        <xdr:cNvPr id="6" name="TextBox 5">
          <a:extLst>
            <a:ext uri="{FF2B5EF4-FFF2-40B4-BE49-F238E27FC236}">
              <a16:creationId xmlns:a16="http://schemas.microsoft.com/office/drawing/2014/main" id="{E68DBD04-B29A-C80D-A75E-716EDEF51911}"/>
            </a:ext>
          </a:extLst>
        </xdr:cNvPr>
        <xdr:cNvSpPr txBox="1"/>
      </xdr:nvSpPr>
      <xdr:spPr>
        <a:xfrm>
          <a:off x="8466429" y="4671851"/>
          <a:ext cx="1291836" cy="178123"/>
        </a:xfrm>
        <a:prstGeom prst="rect">
          <a:avLst/>
        </a:prstGeom>
        <a:solidFill>
          <a:srgbClr val="139D3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00" b="1">
              <a:solidFill>
                <a:schemeClr val="bg1"/>
              </a:solidFill>
            </a:rPr>
            <a:t>MTW=159,210 Kgs</a:t>
          </a:r>
          <a:endParaRPr lang="en-KE" sz="1100" b="1">
            <a:solidFill>
              <a:schemeClr val="bg1"/>
            </a:solidFill>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0.11913</cdr:x>
      <cdr:y>0.1921</cdr:y>
    </cdr:from>
    <cdr:to>
      <cdr:x>0.89586</cdr:x>
      <cdr:y>0.94351</cdr:y>
    </cdr:to>
    <cdr:grpSp>
      <cdr:nvGrpSpPr>
        <cdr:cNvPr id="6" name="Group 5">
          <a:extLst xmlns:a="http://schemas.openxmlformats.org/drawingml/2006/main">
            <a:ext uri="{FF2B5EF4-FFF2-40B4-BE49-F238E27FC236}">
              <a16:creationId xmlns:a16="http://schemas.microsoft.com/office/drawing/2014/main" id="{397076E8-4B43-003E-D9BA-46CA3B55A40C}"/>
            </a:ext>
          </a:extLst>
        </cdr:cNvPr>
        <cdr:cNvGrpSpPr/>
      </cdr:nvGrpSpPr>
      <cdr:grpSpPr>
        <a:xfrm xmlns:a="http://schemas.openxmlformats.org/drawingml/2006/main">
          <a:off x="1138820" y="1514724"/>
          <a:ext cx="7425128" cy="5924928"/>
          <a:chOff x="1219518" y="1386641"/>
          <a:chExt cx="8680713" cy="4577427"/>
        </a:xfrm>
      </cdr:grpSpPr>
      <cdr:sp macro="" textlink="">
        <cdr:nvSpPr>
          <cdr:cNvPr id="3" name="Rectangle: Rounded Corners 2">
            <a:extLst xmlns:a="http://schemas.openxmlformats.org/drawingml/2006/main">
              <a:ext uri="{FF2B5EF4-FFF2-40B4-BE49-F238E27FC236}">
                <a16:creationId xmlns:a16="http://schemas.microsoft.com/office/drawing/2014/main" id="{A1E517A9-E739-778F-8D3A-16CBF69320EF}"/>
              </a:ext>
            </a:extLst>
          </cdr:cNvPr>
          <cdr:cNvSpPr/>
        </cdr:nvSpPr>
        <cdr:spPr>
          <a:xfrm xmlns:a="http://schemas.openxmlformats.org/drawingml/2006/main">
            <a:off x="6818259" y="1642725"/>
            <a:ext cx="3081972" cy="4321343"/>
          </a:xfrm>
          <a:custGeom xmlns:a="http://schemas.openxmlformats.org/drawingml/2006/main">
            <a:avLst/>
            <a:gdLst>
              <a:gd name="connsiteX0" fmla="*/ 0 w 2717132"/>
              <a:gd name="connsiteY0" fmla="*/ 452864 h 4471737"/>
              <a:gd name="connsiteX1" fmla="*/ 452864 w 2717132"/>
              <a:gd name="connsiteY1" fmla="*/ 0 h 4471737"/>
              <a:gd name="connsiteX2" fmla="*/ 2264268 w 2717132"/>
              <a:gd name="connsiteY2" fmla="*/ 0 h 4471737"/>
              <a:gd name="connsiteX3" fmla="*/ 2717132 w 2717132"/>
              <a:gd name="connsiteY3" fmla="*/ 452864 h 4471737"/>
              <a:gd name="connsiteX4" fmla="*/ 2717132 w 2717132"/>
              <a:gd name="connsiteY4" fmla="*/ 4018873 h 4471737"/>
              <a:gd name="connsiteX5" fmla="*/ 2264268 w 2717132"/>
              <a:gd name="connsiteY5" fmla="*/ 4471737 h 4471737"/>
              <a:gd name="connsiteX6" fmla="*/ 452864 w 2717132"/>
              <a:gd name="connsiteY6" fmla="*/ 4471737 h 4471737"/>
              <a:gd name="connsiteX7" fmla="*/ 0 w 2717132"/>
              <a:gd name="connsiteY7" fmla="*/ 4018873 h 4471737"/>
              <a:gd name="connsiteX8" fmla="*/ 0 w 2717132"/>
              <a:gd name="connsiteY8" fmla="*/ 452864 h 4471737"/>
              <a:gd name="connsiteX0" fmla="*/ 0 w 2717132"/>
              <a:gd name="connsiteY0" fmla="*/ 452864 h 4471737"/>
              <a:gd name="connsiteX1" fmla="*/ 2107206 w 2717132"/>
              <a:gd name="connsiteY1" fmla="*/ 110289 h 4471737"/>
              <a:gd name="connsiteX2" fmla="*/ 2264268 w 2717132"/>
              <a:gd name="connsiteY2" fmla="*/ 0 h 4471737"/>
              <a:gd name="connsiteX3" fmla="*/ 2717132 w 2717132"/>
              <a:gd name="connsiteY3" fmla="*/ 452864 h 4471737"/>
              <a:gd name="connsiteX4" fmla="*/ 2717132 w 2717132"/>
              <a:gd name="connsiteY4" fmla="*/ 4018873 h 4471737"/>
              <a:gd name="connsiteX5" fmla="*/ 2264268 w 2717132"/>
              <a:gd name="connsiteY5" fmla="*/ 4471737 h 4471737"/>
              <a:gd name="connsiteX6" fmla="*/ 452864 w 2717132"/>
              <a:gd name="connsiteY6" fmla="*/ 4471737 h 4471737"/>
              <a:gd name="connsiteX7" fmla="*/ 0 w 2717132"/>
              <a:gd name="connsiteY7" fmla="*/ 4018873 h 4471737"/>
              <a:gd name="connsiteX8" fmla="*/ 0 w 2717132"/>
              <a:gd name="connsiteY8" fmla="*/ 452864 h 4471737"/>
              <a:gd name="connsiteX0" fmla="*/ 0 w 2834515"/>
              <a:gd name="connsiteY0" fmla="*/ 342575 h 4361448"/>
              <a:gd name="connsiteX1" fmla="*/ 2107206 w 2834515"/>
              <a:gd name="connsiteY1" fmla="*/ 0 h 4361448"/>
              <a:gd name="connsiteX2" fmla="*/ 2725479 w 2834515"/>
              <a:gd name="connsiteY2" fmla="*/ 40105 h 4361448"/>
              <a:gd name="connsiteX3" fmla="*/ 2717132 w 2834515"/>
              <a:gd name="connsiteY3" fmla="*/ 342575 h 4361448"/>
              <a:gd name="connsiteX4" fmla="*/ 2717132 w 2834515"/>
              <a:gd name="connsiteY4" fmla="*/ 3908584 h 4361448"/>
              <a:gd name="connsiteX5" fmla="*/ 2264268 w 2834515"/>
              <a:gd name="connsiteY5" fmla="*/ 4361448 h 4361448"/>
              <a:gd name="connsiteX6" fmla="*/ 452864 w 2834515"/>
              <a:gd name="connsiteY6" fmla="*/ 4361448 h 4361448"/>
              <a:gd name="connsiteX7" fmla="*/ 0 w 2834515"/>
              <a:gd name="connsiteY7" fmla="*/ 3908584 h 4361448"/>
              <a:gd name="connsiteX8" fmla="*/ 0 w 2834515"/>
              <a:gd name="connsiteY8" fmla="*/ 342575 h 4361448"/>
              <a:gd name="connsiteX0" fmla="*/ 0 w 2857561"/>
              <a:gd name="connsiteY0" fmla="*/ 342575 h 4361448"/>
              <a:gd name="connsiteX1" fmla="*/ 2107206 w 2857561"/>
              <a:gd name="connsiteY1" fmla="*/ 0 h 4361448"/>
              <a:gd name="connsiteX2" fmla="*/ 2755558 w 2857561"/>
              <a:gd name="connsiteY2" fmla="*/ 50131 h 4361448"/>
              <a:gd name="connsiteX3" fmla="*/ 2717132 w 2857561"/>
              <a:gd name="connsiteY3" fmla="*/ 342575 h 4361448"/>
              <a:gd name="connsiteX4" fmla="*/ 2717132 w 2857561"/>
              <a:gd name="connsiteY4" fmla="*/ 3908584 h 4361448"/>
              <a:gd name="connsiteX5" fmla="*/ 2264268 w 2857561"/>
              <a:gd name="connsiteY5" fmla="*/ 4361448 h 4361448"/>
              <a:gd name="connsiteX6" fmla="*/ 452864 w 2857561"/>
              <a:gd name="connsiteY6" fmla="*/ 4361448 h 4361448"/>
              <a:gd name="connsiteX7" fmla="*/ 0 w 2857561"/>
              <a:gd name="connsiteY7" fmla="*/ 3908584 h 4361448"/>
              <a:gd name="connsiteX8" fmla="*/ 0 w 2857561"/>
              <a:gd name="connsiteY8" fmla="*/ 342575 h 4361448"/>
              <a:gd name="connsiteX0" fmla="*/ 0 w 2812179"/>
              <a:gd name="connsiteY0" fmla="*/ 342575 h 4361448"/>
              <a:gd name="connsiteX1" fmla="*/ 2107206 w 2812179"/>
              <a:gd name="connsiteY1" fmla="*/ 0 h 4361448"/>
              <a:gd name="connsiteX2" fmla="*/ 2755558 w 2812179"/>
              <a:gd name="connsiteY2" fmla="*/ 50131 h 4361448"/>
              <a:gd name="connsiteX3" fmla="*/ 2346158 w 2812179"/>
              <a:gd name="connsiteY3" fmla="*/ 873970 h 4361448"/>
              <a:gd name="connsiteX4" fmla="*/ 2717132 w 2812179"/>
              <a:gd name="connsiteY4" fmla="*/ 3908584 h 4361448"/>
              <a:gd name="connsiteX5" fmla="*/ 2264268 w 2812179"/>
              <a:gd name="connsiteY5" fmla="*/ 4361448 h 4361448"/>
              <a:gd name="connsiteX6" fmla="*/ 452864 w 2812179"/>
              <a:gd name="connsiteY6" fmla="*/ 4361448 h 4361448"/>
              <a:gd name="connsiteX7" fmla="*/ 0 w 2812179"/>
              <a:gd name="connsiteY7" fmla="*/ 3908584 h 4361448"/>
              <a:gd name="connsiteX8" fmla="*/ 0 w 2812179"/>
              <a:gd name="connsiteY8" fmla="*/ 342575 h 4361448"/>
              <a:gd name="connsiteX0" fmla="*/ 410279 w 3222458"/>
              <a:gd name="connsiteY0" fmla="*/ 342575 h 4361448"/>
              <a:gd name="connsiteX1" fmla="*/ 2517485 w 3222458"/>
              <a:gd name="connsiteY1" fmla="*/ 0 h 4361448"/>
              <a:gd name="connsiteX2" fmla="*/ 3165837 w 3222458"/>
              <a:gd name="connsiteY2" fmla="*/ 50131 h 4361448"/>
              <a:gd name="connsiteX3" fmla="*/ 2756437 w 3222458"/>
              <a:gd name="connsiteY3" fmla="*/ 873970 h 4361448"/>
              <a:gd name="connsiteX4" fmla="*/ 3127411 w 3222458"/>
              <a:gd name="connsiteY4" fmla="*/ 3908584 h 4361448"/>
              <a:gd name="connsiteX5" fmla="*/ 2674547 w 3222458"/>
              <a:gd name="connsiteY5" fmla="*/ 4361448 h 4361448"/>
              <a:gd name="connsiteX6" fmla="*/ 61038 w 3222458"/>
              <a:gd name="connsiteY6" fmla="*/ 4351422 h 4361448"/>
              <a:gd name="connsiteX7" fmla="*/ 410279 w 3222458"/>
              <a:gd name="connsiteY7" fmla="*/ 3908584 h 4361448"/>
              <a:gd name="connsiteX8" fmla="*/ 410279 w 3222458"/>
              <a:gd name="connsiteY8" fmla="*/ 342575 h 4361448"/>
              <a:gd name="connsiteX0" fmla="*/ 410279 w 3222458"/>
              <a:gd name="connsiteY0" fmla="*/ 342575 h 4351422"/>
              <a:gd name="connsiteX1" fmla="*/ 2517485 w 3222458"/>
              <a:gd name="connsiteY1" fmla="*/ 0 h 4351422"/>
              <a:gd name="connsiteX2" fmla="*/ 3165837 w 3222458"/>
              <a:gd name="connsiteY2" fmla="*/ 50131 h 4351422"/>
              <a:gd name="connsiteX3" fmla="*/ 2756437 w 3222458"/>
              <a:gd name="connsiteY3" fmla="*/ 873970 h 4351422"/>
              <a:gd name="connsiteX4" fmla="*/ 3127411 w 3222458"/>
              <a:gd name="connsiteY4" fmla="*/ 3908584 h 4351422"/>
              <a:gd name="connsiteX5" fmla="*/ 849758 w 3222458"/>
              <a:gd name="connsiteY5" fmla="*/ 4351421 h 4351422"/>
              <a:gd name="connsiteX6" fmla="*/ 61038 w 3222458"/>
              <a:gd name="connsiteY6" fmla="*/ 4351422 h 4351422"/>
              <a:gd name="connsiteX7" fmla="*/ 410279 w 3222458"/>
              <a:gd name="connsiteY7" fmla="*/ 3908584 h 4351422"/>
              <a:gd name="connsiteX8" fmla="*/ 410279 w 3222458"/>
              <a:gd name="connsiteY8" fmla="*/ 342575 h 4351422"/>
              <a:gd name="connsiteX0" fmla="*/ 383262 w 3195441"/>
              <a:gd name="connsiteY0" fmla="*/ 342575 h 4351422"/>
              <a:gd name="connsiteX1" fmla="*/ 2490468 w 3195441"/>
              <a:gd name="connsiteY1" fmla="*/ 0 h 4351422"/>
              <a:gd name="connsiteX2" fmla="*/ 3138820 w 3195441"/>
              <a:gd name="connsiteY2" fmla="*/ 50131 h 4351422"/>
              <a:gd name="connsiteX3" fmla="*/ 2729420 w 3195441"/>
              <a:gd name="connsiteY3" fmla="*/ 873970 h 4351422"/>
              <a:gd name="connsiteX4" fmla="*/ 3100394 w 3195441"/>
              <a:gd name="connsiteY4" fmla="*/ 3908584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383262 w 3195441"/>
              <a:gd name="connsiteY8" fmla="*/ 342575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3100394 w 3195441"/>
              <a:gd name="connsiteY4" fmla="*/ 3908584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387385 w 3166853"/>
              <a:gd name="connsiteY0" fmla="*/ 1826470 h 4351422"/>
              <a:gd name="connsiteX1" fmla="*/ 2461880 w 3166853"/>
              <a:gd name="connsiteY1" fmla="*/ 0 h 4351422"/>
              <a:gd name="connsiteX2" fmla="*/ 3110232 w 3166853"/>
              <a:gd name="connsiteY2" fmla="*/ 50131 h 4351422"/>
              <a:gd name="connsiteX3" fmla="*/ 2700832 w 3166853"/>
              <a:gd name="connsiteY3" fmla="*/ 873970 h 4351422"/>
              <a:gd name="connsiteX4" fmla="*/ 1557832 w 3166853"/>
              <a:gd name="connsiteY4" fmla="*/ 2936032 h 4351422"/>
              <a:gd name="connsiteX5" fmla="*/ 794153 w 3166853"/>
              <a:gd name="connsiteY5" fmla="*/ 4351421 h 4351422"/>
              <a:gd name="connsiteX6" fmla="*/ 5433 w 3166853"/>
              <a:gd name="connsiteY6" fmla="*/ 4351422 h 4351422"/>
              <a:gd name="connsiteX7" fmla="*/ 966280 w 3166853"/>
              <a:gd name="connsiteY7" fmla="*/ 1803058 h 4351422"/>
              <a:gd name="connsiteX8" fmla="*/ 1387385 w 3166853"/>
              <a:gd name="connsiteY8" fmla="*/ 1826470 h 4351422"/>
              <a:gd name="connsiteX0" fmla="*/ 1387385 w 3111657"/>
              <a:gd name="connsiteY0" fmla="*/ 1826470 h 4351422"/>
              <a:gd name="connsiteX1" fmla="*/ 2461880 w 3111657"/>
              <a:gd name="connsiteY1" fmla="*/ 0 h 4351422"/>
              <a:gd name="connsiteX2" fmla="*/ 3110232 w 3111657"/>
              <a:gd name="connsiteY2" fmla="*/ 50131 h 4351422"/>
              <a:gd name="connsiteX3" fmla="*/ 2700832 w 3111657"/>
              <a:gd name="connsiteY3" fmla="*/ 873970 h 4351422"/>
              <a:gd name="connsiteX4" fmla="*/ 1557832 w 3111657"/>
              <a:gd name="connsiteY4" fmla="*/ 2936032 h 4351422"/>
              <a:gd name="connsiteX5" fmla="*/ 794153 w 3111657"/>
              <a:gd name="connsiteY5" fmla="*/ 4351421 h 4351422"/>
              <a:gd name="connsiteX6" fmla="*/ 5433 w 3111657"/>
              <a:gd name="connsiteY6" fmla="*/ 4351422 h 4351422"/>
              <a:gd name="connsiteX7" fmla="*/ 966280 w 3111657"/>
              <a:gd name="connsiteY7" fmla="*/ 1803058 h 4351422"/>
              <a:gd name="connsiteX8" fmla="*/ 1387385 w 3111657"/>
              <a:gd name="connsiteY8" fmla="*/ 1826470 h 4351422"/>
              <a:gd name="connsiteX0" fmla="*/ 1387385 w 3131651"/>
              <a:gd name="connsiteY0" fmla="*/ 1826470 h 4351422"/>
              <a:gd name="connsiteX1" fmla="*/ 2461880 w 3131651"/>
              <a:gd name="connsiteY1" fmla="*/ 0 h 4351422"/>
              <a:gd name="connsiteX2" fmla="*/ 3130285 w 3131651"/>
              <a:gd name="connsiteY2" fmla="*/ 30078 h 4351422"/>
              <a:gd name="connsiteX3" fmla="*/ 2700832 w 3131651"/>
              <a:gd name="connsiteY3" fmla="*/ 873970 h 4351422"/>
              <a:gd name="connsiteX4" fmla="*/ 1557832 w 3131651"/>
              <a:gd name="connsiteY4" fmla="*/ 2936032 h 4351422"/>
              <a:gd name="connsiteX5" fmla="*/ 794153 w 3131651"/>
              <a:gd name="connsiteY5" fmla="*/ 4351421 h 4351422"/>
              <a:gd name="connsiteX6" fmla="*/ 5433 w 3131651"/>
              <a:gd name="connsiteY6" fmla="*/ 4351422 h 4351422"/>
              <a:gd name="connsiteX7" fmla="*/ 966280 w 3131651"/>
              <a:gd name="connsiteY7" fmla="*/ 1803058 h 4351422"/>
              <a:gd name="connsiteX8" fmla="*/ 1387385 w 3131651"/>
              <a:gd name="connsiteY8" fmla="*/ 1826470 h 4351422"/>
              <a:gd name="connsiteX0" fmla="*/ 1387385 w 3131651"/>
              <a:gd name="connsiteY0" fmla="*/ 1826470 h 4351422"/>
              <a:gd name="connsiteX1" fmla="*/ 2461880 w 3131651"/>
              <a:gd name="connsiteY1" fmla="*/ 0 h 4351422"/>
              <a:gd name="connsiteX2" fmla="*/ 3130285 w 3131651"/>
              <a:gd name="connsiteY2" fmla="*/ 30078 h 4351422"/>
              <a:gd name="connsiteX3" fmla="*/ 2700832 w 3131651"/>
              <a:gd name="connsiteY3" fmla="*/ 873970 h 4351422"/>
              <a:gd name="connsiteX4" fmla="*/ 1557832 w 3131651"/>
              <a:gd name="connsiteY4" fmla="*/ 2936032 h 4351422"/>
              <a:gd name="connsiteX5" fmla="*/ 794153 w 3131651"/>
              <a:gd name="connsiteY5" fmla="*/ 4351421 h 4351422"/>
              <a:gd name="connsiteX6" fmla="*/ 5433 w 3131651"/>
              <a:gd name="connsiteY6" fmla="*/ 4351422 h 4351422"/>
              <a:gd name="connsiteX7" fmla="*/ 966280 w 3131651"/>
              <a:gd name="connsiteY7" fmla="*/ 1803058 h 4351422"/>
              <a:gd name="connsiteX8" fmla="*/ 1387385 w 3131651"/>
              <a:gd name="connsiteY8" fmla="*/ 1826470 h 4351422"/>
              <a:gd name="connsiteX0" fmla="*/ 1387385 w 3081680"/>
              <a:gd name="connsiteY0" fmla="*/ 1826470 h 4351422"/>
              <a:gd name="connsiteX1" fmla="*/ 2461880 w 3081680"/>
              <a:gd name="connsiteY1" fmla="*/ 0 h 4351422"/>
              <a:gd name="connsiteX2" fmla="*/ 3080154 w 3081680"/>
              <a:gd name="connsiteY2" fmla="*/ 60157 h 4351422"/>
              <a:gd name="connsiteX3" fmla="*/ 2700832 w 3081680"/>
              <a:gd name="connsiteY3" fmla="*/ 873970 h 4351422"/>
              <a:gd name="connsiteX4" fmla="*/ 1557832 w 3081680"/>
              <a:gd name="connsiteY4" fmla="*/ 2936032 h 4351422"/>
              <a:gd name="connsiteX5" fmla="*/ 794153 w 3081680"/>
              <a:gd name="connsiteY5" fmla="*/ 4351421 h 4351422"/>
              <a:gd name="connsiteX6" fmla="*/ 5433 w 3081680"/>
              <a:gd name="connsiteY6" fmla="*/ 4351422 h 4351422"/>
              <a:gd name="connsiteX7" fmla="*/ 966280 w 3081680"/>
              <a:gd name="connsiteY7" fmla="*/ 1803058 h 4351422"/>
              <a:gd name="connsiteX8" fmla="*/ 1387385 w 3081680"/>
              <a:gd name="connsiteY8" fmla="*/ 1826470 h 4351422"/>
              <a:gd name="connsiteX0" fmla="*/ 1387385 w 3081680"/>
              <a:gd name="connsiteY0" fmla="*/ 1796391 h 4321343"/>
              <a:gd name="connsiteX1" fmla="*/ 2461880 w 3081680"/>
              <a:gd name="connsiteY1" fmla="*/ 0 h 4321343"/>
              <a:gd name="connsiteX2" fmla="*/ 3080154 w 3081680"/>
              <a:gd name="connsiteY2" fmla="*/ 30078 h 4321343"/>
              <a:gd name="connsiteX3" fmla="*/ 2700832 w 3081680"/>
              <a:gd name="connsiteY3" fmla="*/ 843891 h 4321343"/>
              <a:gd name="connsiteX4" fmla="*/ 1557832 w 3081680"/>
              <a:gd name="connsiteY4" fmla="*/ 2905953 h 4321343"/>
              <a:gd name="connsiteX5" fmla="*/ 794153 w 3081680"/>
              <a:gd name="connsiteY5" fmla="*/ 4321342 h 4321343"/>
              <a:gd name="connsiteX6" fmla="*/ 5433 w 3081680"/>
              <a:gd name="connsiteY6" fmla="*/ 4321343 h 4321343"/>
              <a:gd name="connsiteX7" fmla="*/ 966280 w 3081680"/>
              <a:gd name="connsiteY7" fmla="*/ 1772979 h 4321343"/>
              <a:gd name="connsiteX8" fmla="*/ 1387385 w 3081680"/>
              <a:gd name="connsiteY8" fmla="*/ 1796391 h 4321343"/>
              <a:gd name="connsiteX0" fmla="*/ 1387385 w 3081680"/>
              <a:gd name="connsiteY0" fmla="*/ 1796391 h 4321343"/>
              <a:gd name="connsiteX1" fmla="*/ 2461880 w 3081680"/>
              <a:gd name="connsiteY1" fmla="*/ 0 h 4321343"/>
              <a:gd name="connsiteX2" fmla="*/ 3080154 w 3081680"/>
              <a:gd name="connsiteY2" fmla="*/ 20052 h 4321343"/>
              <a:gd name="connsiteX3" fmla="*/ 2700832 w 3081680"/>
              <a:gd name="connsiteY3" fmla="*/ 843891 h 4321343"/>
              <a:gd name="connsiteX4" fmla="*/ 1557832 w 3081680"/>
              <a:gd name="connsiteY4" fmla="*/ 2905953 h 4321343"/>
              <a:gd name="connsiteX5" fmla="*/ 794153 w 3081680"/>
              <a:gd name="connsiteY5" fmla="*/ 4321342 h 4321343"/>
              <a:gd name="connsiteX6" fmla="*/ 5433 w 3081680"/>
              <a:gd name="connsiteY6" fmla="*/ 4321343 h 4321343"/>
              <a:gd name="connsiteX7" fmla="*/ 966280 w 3081680"/>
              <a:gd name="connsiteY7" fmla="*/ 1772979 h 4321343"/>
              <a:gd name="connsiteX8" fmla="*/ 1387385 w 3081680"/>
              <a:gd name="connsiteY8" fmla="*/ 1796391 h 4321343"/>
              <a:gd name="connsiteX0" fmla="*/ 1387385 w 3081680"/>
              <a:gd name="connsiteY0" fmla="*/ 1796391 h 4321343"/>
              <a:gd name="connsiteX1" fmla="*/ 2461880 w 3081680"/>
              <a:gd name="connsiteY1" fmla="*/ 0 h 4321343"/>
              <a:gd name="connsiteX2" fmla="*/ 3080154 w 3081680"/>
              <a:gd name="connsiteY2" fmla="*/ 20052 h 4321343"/>
              <a:gd name="connsiteX3" fmla="*/ 2700832 w 3081680"/>
              <a:gd name="connsiteY3" fmla="*/ 843891 h 4321343"/>
              <a:gd name="connsiteX4" fmla="*/ 1557832 w 3081680"/>
              <a:gd name="connsiteY4" fmla="*/ 2905953 h 4321343"/>
              <a:gd name="connsiteX5" fmla="*/ 794153 w 3081680"/>
              <a:gd name="connsiteY5" fmla="*/ 4321342 h 4321343"/>
              <a:gd name="connsiteX6" fmla="*/ 5433 w 3081680"/>
              <a:gd name="connsiteY6" fmla="*/ 4321343 h 4321343"/>
              <a:gd name="connsiteX7" fmla="*/ 966280 w 3081680"/>
              <a:gd name="connsiteY7" fmla="*/ 1772979 h 4321343"/>
              <a:gd name="connsiteX8" fmla="*/ 1387385 w 3081680"/>
              <a:gd name="connsiteY8" fmla="*/ 1796391 h 4321343"/>
              <a:gd name="connsiteX0" fmla="*/ 1387385 w 3081973"/>
              <a:gd name="connsiteY0" fmla="*/ 1796391 h 4321343"/>
              <a:gd name="connsiteX1" fmla="*/ 2461880 w 3081973"/>
              <a:gd name="connsiteY1" fmla="*/ 0 h 4321343"/>
              <a:gd name="connsiteX2" fmla="*/ 3080154 w 3081973"/>
              <a:gd name="connsiteY2" fmla="*/ 20052 h 4321343"/>
              <a:gd name="connsiteX3" fmla="*/ 2700832 w 3081973"/>
              <a:gd name="connsiteY3" fmla="*/ 843891 h 4321343"/>
              <a:gd name="connsiteX4" fmla="*/ 1557832 w 3081973"/>
              <a:gd name="connsiteY4" fmla="*/ 2905953 h 4321343"/>
              <a:gd name="connsiteX5" fmla="*/ 794153 w 3081973"/>
              <a:gd name="connsiteY5" fmla="*/ 4321342 h 4321343"/>
              <a:gd name="connsiteX6" fmla="*/ 5433 w 3081973"/>
              <a:gd name="connsiteY6" fmla="*/ 4321343 h 4321343"/>
              <a:gd name="connsiteX7" fmla="*/ 966280 w 3081973"/>
              <a:gd name="connsiteY7" fmla="*/ 1772979 h 4321343"/>
              <a:gd name="connsiteX8" fmla="*/ 1387385 w 3081973"/>
              <a:gd name="connsiteY8" fmla="*/ 1796391 h 43213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081973" h="4321343">
                <a:moveTo>
                  <a:pt x="1387385" y="1796391"/>
                </a:moveTo>
                <a:cubicBezTo>
                  <a:pt x="1537779" y="1556307"/>
                  <a:pt x="2302007" y="120315"/>
                  <a:pt x="2461880" y="0"/>
                </a:cubicBezTo>
                <a:cubicBezTo>
                  <a:pt x="3075707" y="0"/>
                  <a:pt x="2476353" y="20052"/>
                  <a:pt x="3080154" y="20052"/>
                </a:cubicBezTo>
                <a:cubicBezTo>
                  <a:pt x="3109685" y="160420"/>
                  <a:pt x="2771017" y="573728"/>
                  <a:pt x="2700832" y="843891"/>
                </a:cubicBezTo>
                <a:lnTo>
                  <a:pt x="1557832" y="2905953"/>
                </a:lnTo>
                <a:cubicBezTo>
                  <a:pt x="1457568" y="3186142"/>
                  <a:pt x="954026" y="4040605"/>
                  <a:pt x="794153" y="4321342"/>
                </a:cubicBezTo>
                <a:lnTo>
                  <a:pt x="5433" y="4321343"/>
                </a:lnTo>
                <a:cubicBezTo>
                  <a:pt x="-84256" y="4251158"/>
                  <a:pt x="966280" y="2023089"/>
                  <a:pt x="966280" y="1772979"/>
                </a:cubicBezTo>
                <a:lnTo>
                  <a:pt x="1387385" y="1796391"/>
                </a:lnTo>
                <a:close/>
              </a:path>
            </a:pathLst>
          </a:custGeom>
          <a:solidFill xmlns:a="http://schemas.openxmlformats.org/drawingml/2006/main">
            <a:srgbClr val="7F7F7F">
              <a:alpha val="69804"/>
            </a:srgb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KE" kern="1200"/>
          </a:p>
        </cdr:txBody>
      </cdr:sp>
      <cdr:sp macro="" textlink="">
        <cdr:nvSpPr>
          <cdr:cNvPr id="2" name="Rectangle: Rounded Corners 1">
            <a:extLst xmlns:a="http://schemas.openxmlformats.org/drawingml/2006/main">
              <a:ext uri="{FF2B5EF4-FFF2-40B4-BE49-F238E27FC236}">
                <a16:creationId xmlns:a16="http://schemas.microsoft.com/office/drawing/2014/main" id="{75589E4F-4441-BFAA-2AA5-F6CF32C31DA1}"/>
              </a:ext>
            </a:extLst>
          </cdr:cNvPr>
          <cdr:cNvSpPr/>
        </cdr:nvSpPr>
        <cdr:spPr>
          <a:xfrm xmlns:a="http://schemas.openxmlformats.org/drawingml/2006/main">
            <a:off x="1219518" y="1386641"/>
            <a:ext cx="2885897" cy="4511842"/>
          </a:xfrm>
          <a:custGeom xmlns:a="http://schemas.openxmlformats.org/drawingml/2006/main">
            <a:avLst/>
            <a:gdLst>
              <a:gd name="connsiteX0" fmla="*/ 0 w 3378868"/>
              <a:gd name="connsiteY0" fmla="*/ 563156 h 4501815"/>
              <a:gd name="connsiteX1" fmla="*/ 563156 w 3378868"/>
              <a:gd name="connsiteY1" fmla="*/ 0 h 4501815"/>
              <a:gd name="connsiteX2" fmla="*/ 2815712 w 3378868"/>
              <a:gd name="connsiteY2" fmla="*/ 0 h 4501815"/>
              <a:gd name="connsiteX3" fmla="*/ 3378868 w 3378868"/>
              <a:gd name="connsiteY3" fmla="*/ 563156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815712 w 3378868"/>
              <a:gd name="connsiteY2" fmla="*/ 0 h 4501815"/>
              <a:gd name="connsiteX3" fmla="*/ 3378868 w 3378868"/>
              <a:gd name="connsiteY3" fmla="*/ 563156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3378868 w 3378868"/>
              <a:gd name="connsiteY3" fmla="*/ 563156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3368842 w 3378868"/>
              <a:gd name="connsiteY3" fmla="*/ 583209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70447 w 3378868"/>
              <a:gd name="connsiteY0" fmla="*/ 1254972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70447 w 3378868"/>
              <a:gd name="connsiteY8" fmla="*/ 1254972 h 4501815"/>
              <a:gd name="connsiteX0" fmla="*/ 170447 w 3378868"/>
              <a:gd name="connsiteY0" fmla="*/ 1254972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70447 w 3378868"/>
              <a:gd name="connsiteY8" fmla="*/ 1254972 h 4501815"/>
              <a:gd name="connsiteX0" fmla="*/ 0 w 3208421"/>
              <a:gd name="connsiteY0" fmla="*/ 1254972 h 4501815"/>
              <a:gd name="connsiteX1" fmla="*/ 974235 w 3208421"/>
              <a:gd name="connsiteY1" fmla="*/ 30079 h 4501815"/>
              <a:gd name="connsiteX2" fmla="*/ 1843160 w 3208421"/>
              <a:gd name="connsiteY2" fmla="*/ 0 h 4501815"/>
              <a:gd name="connsiteX3" fmla="*/ 721895 w 3208421"/>
              <a:gd name="connsiteY3" fmla="*/ 1605893 h 4501815"/>
              <a:gd name="connsiteX4" fmla="*/ 3208421 w 3208421"/>
              <a:gd name="connsiteY4" fmla="*/ 3938659 h 4501815"/>
              <a:gd name="connsiteX5" fmla="*/ 2645265 w 3208421"/>
              <a:gd name="connsiteY5" fmla="*/ 4501815 h 4501815"/>
              <a:gd name="connsiteX6" fmla="*/ 392709 w 3208421"/>
              <a:gd name="connsiteY6" fmla="*/ 4501815 h 4501815"/>
              <a:gd name="connsiteX7" fmla="*/ 1453817 w 3208421"/>
              <a:gd name="connsiteY7" fmla="*/ 3427317 h 4501815"/>
              <a:gd name="connsiteX8" fmla="*/ 0 w 3208421"/>
              <a:gd name="connsiteY8" fmla="*/ 1254972 h 4501815"/>
              <a:gd name="connsiteX0" fmla="*/ 0 w 3208421"/>
              <a:gd name="connsiteY0" fmla="*/ 1254972 h 4501815"/>
              <a:gd name="connsiteX1" fmla="*/ 974235 w 3208421"/>
              <a:gd name="connsiteY1" fmla="*/ 30079 h 4501815"/>
              <a:gd name="connsiteX2" fmla="*/ 1843160 w 3208421"/>
              <a:gd name="connsiteY2" fmla="*/ 0 h 4501815"/>
              <a:gd name="connsiteX3" fmla="*/ 721895 w 3208421"/>
              <a:gd name="connsiteY3" fmla="*/ 1605893 h 4501815"/>
              <a:gd name="connsiteX4" fmla="*/ 3208421 w 3208421"/>
              <a:gd name="connsiteY4" fmla="*/ 3938659 h 4501815"/>
              <a:gd name="connsiteX5" fmla="*/ 2645265 w 3208421"/>
              <a:gd name="connsiteY5" fmla="*/ 4501815 h 4501815"/>
              <a:gd name="connsiteX6" fmla="*/ 392709 w 3208421"/>
              <a:gd name="connsiteY6" fmla="*/ 4501815 h 4501815"/>
              <a:gd name="connsiteX7" fmla="*/ 1453817 w 3208421"/>
              <a:gd name="connsiteY7" fmla="*/ 3427317 h 4501815"/>
              <a:gd name="connsiteX8" fmla="*/ 0 w 3208421"/>
              <a:gd name="connsiteY8" fmla="*/ 1254972 h 4501815"/>
              <a:gd name="connsiteX0" fmla="*/ 0 w 3208421"/>
              <a:gd name="connsiteY0" fmla="*/ 1254972 h 4511842"/>
              <a:gd name="connsiteX1" fmla="*/ 974235 w 3208421"/>
              <a:gd name="connsiteY1" fmla="*/ 30079 h 4511842"/>
              <a:gd name="connsiteX2" fmla="*/ 1843160 w 3208421"/>
              <a:gd name="connsiteY2" fmla="*/ 0 h 4511842"/>
              <a:gd name="connsiteX3" fmla="*/ 721895 w 3208421"/>
              <a:gd name="connsiteY3" fmla="*/ 1605893 h 4511842"/>
              <a:gd name="connsiteX4" fmla="*/ 3208421 w 3208421"/>
              <a:gd name="connsiteY4" fmla="*/ 3938659 h 4511842"/>
              <a:gd name="connsiteX5" fmla="*/ 2645265 w 3208421"/>
              <a:gd name="connsiteY5" fmla="*/ 4501815 h 4511842"/>
              <a:gd name="connsiteX6" fmla="*/ 2177393 w 3208421"/>
              <a:gd name="connsiteY6" fmla="*/ 4511842 h 4511842"/>
              <a:gd name="connsiteX7" fmla="*/ 1453817 w 3208421"/>
              <a:gd name="connsiteY7" fmla="*/ 3427317 h 4511842"/>
              <a:gd name="connsiteX8" fmla="*/ 0 w 3208421"/>
              <a:gd name="connsiteY8" fmla="*/ 1254972 h 4511842"/>
              <a:gd name="connsiteX0" fmla="*/ 0 w 3208421"/>
              <a:gd name="connsiteY0" fmla="*/ 1254972 h 4511842"/>
              <a:gd name="connsiteX1" fmla="*/ 974235 w 3208421"/>
              <a:gd name="connsiteY1" fmla="*/ 30079 h 4511842"/>
              <a:gd name="connsiteX2" fmla="*/ 1843160 w 3208421"/>
              <a:gd name="connsiteY2" fmla="*/ 0 h 4511842"/>
              <a:gd name="connsiteX3" fmla="*/ 721895 w 3208421"/>
              <a:gd name="connsiteY3" fmla="*/ 1605893 h 4511842"/>
              <a:gd name="connsiteX4" fmla="*/ 3208421 w 3208421"/>
              <a:gd name="connsiteY4" fmla="*/ 3938659 h 4511842"/>
              <a:gd name="connsiteX5" fmla="*/ 2645265 w 3208421"/>
              <a:gd name="connsiteY5" fmla="*/ 4501815 h 4511842"/>
              <a:gd name="connsiteX6" fmla="*/ 2177393 w 3208421"/>
              <a:gd name="connsiteY6" fmla="*/ 4511842 h 4511842"/>
              <a:gd name="connsiteX7" fmla="*/ 1453817 w 3208421"/>
              <a:gd name="connsiteY7" fmla="*/ 3427317 h 4511842"/>
              <a:gd name="connsiteX8" fmla="*/ 0 w 3208421"/>
              <a:gd name="connsiteY8" fmla="*/ 1254972 h 4511842"/>
              <a:gd name="connsiteX0" fmla="*/ 0 w 3208421"/>
              <a:gd name="connsiteY0" fmla="*/ 1254972 h 4511842"/>
              <a:gd name="connsiteX1" fmla="*/ 974235 w 3208421"/>
              <a:gd name="connsiteY1" fmla="*/ 30079 h 4511842"/>
              <a:gd name="connsiteX2" fmla="*/ 1843160 w 3208421"/>
              <a:gd name="connsiteY2" fmla="*/ 0 h 4511842"/>
              <a:gd name="connsiteX3" fmla="*/ 721895 w 3208421"/>
              <a:gd name="connsiteY3" fmla="*/ 1605893 h 4511842"/>
              <a:gd name="connsiteX4" fmla="*/ 3208421 w 3208421"/>
              <a:gd name="connsiteY4" fmla="*/ 3938659 h 4511842"/>
              <a:gd name="connsiteX5" fmla="*/ 2645265 w 3208421"/>
              <a:gd name="connsiteY5" fmla="*/ 4501815 h 4511842"/>
              <a:gd name="connsiteX6" fmla="*/ 2177393 w 3208421"/>
              <a:gd name="connsiteY6" fmla="*/ 4511842 h 4511842"/>
              <a:gd name="connsiteX7" fmla="*/ 1453817 w 3208421"/>
              <a:gd name="connsiteY7" fmla="*/ 3427317 h 4511842"/>
              <a:gd name="connsiteX8" fmla="*/ 0 w 3208421"/>
              <a:gd name="connsiteY8" fmla="*/ 1254972 h 4511842"/>
              <a:gd name="connsiteX0" fmla="*/ 0 w 2688412"/>
              <a:gd name="connsiteY0" fmla="*/ 1254972 h 4511842"/>
              <a:gd name="connsiteX1" fmla="*/ 974235 w 2688412"/>
              <a:gd name="connsiteY1" fmla="*/ 30079 h 4511842"/>
              <a:gd name="connsiteX2" fmla="*/ 1843160 w 2688412"/>
              <a:gd name="connsiteY2" fmla="*/ 0 h 4511842"/>
              <a:gd name="connsiteX3" fmla="*/ 721895 w 2688412"/>
              <a:gd name="connsiteY3" fmla="*/ 1605893 h 4511842"/>
              <a:gd name="connsiteX4" fmla="*/ 1483894 w 2688412"/>
              <a:gd name="connsiteY4" fmla="*/ 2354501 h 4511842"/>
              <a:gd name="connsiteX5" fmla="*/ 2645265 w 2688412"/>
              <a:gd name="connsiteY5" fmla="*/ 4501815 h 4511842"/>
              <a:gd name="connsiteX6" fmla="*/ 2177393 w 2688412"/>
              <a:gd name="connsiteY6" fmla="*/ 4511842 h 4511842"/>
              <a:gd name="connsiteX7" fmla="*/ 1453817 w 2688412"/>
              <a:gd name="connsiteY7" fmla="*/ 3427317 h 4511842"/>
              <a:gd name="connsiteX8" fmla="*/ 0 w 2688412"/>
              <a:gd name="connsiteY8"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483894 w 2645265"/>
              <a:gd name="connsiteY4" fmla="*/ 2354501 h 4511842"/>
              <a:gd name="connsiteX5" fmla="*/ 2645265 w 2645265"/>
              <a:gd name="connsiteY5" fmla="*/ 4501815 h 4511842"/>
              <a:gd name="connsiteX6" fmla="*/ 2177393 w 2645265"/>
              <a:gd name="connsiteY6" fmla="*/ 4511842 h 4511842"/>
              <a:gd name="connsiteX7" fmla="*/ 1453817 w 2645265"/>
              <a:gd name="connsiteY7" fmla="*/ 3427317 h 4511842"/>
              <a:gd name="connsiteX8" fmla="*/ 0 w 2645265"/>
              <a:gd name="connsiteY8"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483894 w 2645265"/>
              <a:gd name="connsiteY4" fmla="*/ 2354501 h 4511842"/>
              <a:gd name="connsiteX5" fmla="*/ 2645265 w 2645265"/>
              <a:gd name="connsiteY5" fmla="*/ 4501815 h 4511842"/>
              <a:gd name="connsiteX6" fmla="*/ 2177393 w 2645265"/>
              <a:gd name="connsiteY6" fmla="*/ 4511842 h 4511842"/>
              <a:gd name="connsiteX7" fmla="*/ 1453817 w 2645265"/>
              <a:gd name="connsiteY7" fmla="*/ 3427317 h 4511842"/>
              <a:gd name="connsiteX8" fmla="*/ 0 w 2645265"/>
              <a:gd name="connsiteY8"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213185 w 2645265"/>
              <a:gd name="connsiteY4" fmla="*/ 2336130 h 4511842"/>
              <a:gd name="connsiteX5" fmla="*/ 1483894 w 2645265"/>
              <a:gd name="connsiteY5" fmla="*/ 2354501 h 4511842"/>
              <a:gd name="connsiteX6" fmla="*/ 2645265 w 2645265"/>
              <a:gd name="connsiteY6" fmla="*/ 4501815 h 4511842"/>
              <a:gd name="connsiteX7" fmla="*/ 2177393 w 2645265"/>
              <a:gd name="connsiteY7" fmla="*/ 4511842 h 4511842"/>
              <a:gd name="connsiteX8" fmla="*/ 1453817 w 2645265"/>
              <a:gd name="connsiteY8" fmla="*/ 3427317 h 4511842"/>
              <a:gd name="connsiteX9" fmla="*/ 0 w 2645265"/>
              <a:gd name="connsiteY9"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213185 w 2645265"/>
              <a:gd name="connsiteY4" fmla="*/ 2336130 h 4511842"/>
              <a:gd name="connsiteX5" fmla="*/ 1483894 w 2645265"/>
              <a:gd name="connsiteY5" fmla="*/ 2354501 h 4511842"/>
              <a:gd name="connsiteX6" fmla="*/ 2645265 w 2645265"/>
              <a:gd name="connsiteY6" fmla="*/ 4501815 h 4511842"/>
              <a:gd name="connsiteX7" fmla="*/ 2177393 w 2645265"/>
              <a:gd name="connsiteY7" fmla="*/ 4511842 h 4511842"/>
              <a:gd name="connsiteX8" fmla="*/ 1453817 w 2645265"/>
              <a:gd name="connsiteY8" fmla="*/ 3427317 h 4511842"/>
              <a:gd name="connsiteX9" fmla="*/ 0 w 2645265"/>
              <a:gd name="connsiteY9"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213185 w 2645265"/>
              <a:gd name="connsiteY4" fmla="*/ 2336130 h 4511842"/>
              <a:gd name="connsiteX5" fmla="*/ 1483894 w 2645265"/>
              <a:gd name="connsiteY5" fmla="*/ 2354501 h 4511842"/>
              <a:gd name="connsiteX6" fmla="*/ 2645265 w 2645265"/>
              <a:gd name="connsiteY6" fmla="*/ 4501815 h 4511842"/>
              <a:gd name="connsiteX7" fmla="*/ 2177393 w 2645265"/>
              <a:gd name="connsiteY7" fmla="*/ 4511842 h 4511842"/>
              <a:gd name="connsiteX8" fmla="*/ 1453817 w 2645265"/>
              <a:gd name="connsiteY8" fmla="*/ 3427317 h 4511842"/>
              <a:gd name="connsiteX9" fmla="*/ 0 w 2645265"/>
              <a:gd name="connsiteY9"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213185 w 2645265"/>
              <a:gd name="connsiteY4" fmla="*/ 2336130 h 4511842"/>
              <a:gd name="connsiteX5" fmla="*/ 1483894 w 2645265"/>
              <a:gd name="connsiteY5" fmla="*/ 2354501 h 4511842"/>
              <a:gd name="connsiteX6" fmla="*/ 2645265 w 2645265"/>
              <a:gd name="connsiteY6" fmla="*/ 4501815 h 4511842"/>
              <a:gd name="connsiteX7" fmla="*/ 2177393 w 2645265"/>
              <a:gd name="connsiteY7" fmla="*/ 4511842 h 4511842"/>
              <a:gd name="connsiteX8" fmla="*/ 1453817 w 2645265"/>
              <a:gd name="connsiteY8" fmla="*/ 3427317 h 4511842"/>
              <a:gd name="connsiteX9" fmla="*/ 0 w 2645265"/>
              <a:gd name="connsiteY9" fmla="*/ 1254972 h 4511842"/>
              <a:gd name="connsiteX0" fmla="*/ 0 w 2865844"/>
              <a:gd name="connsiteY0" fmla="*/ 1254972 h 4531894"/>
              <a:gd name="connsiteX1" fmla="*/ 974235 w 2865844"/>
              <a:gd name="connsiteY1" fmla="*/ 30079 h 4531894"/>
              <a:gd name="connsiteX2" fmla="*/ 1843160 w 2865844"/>
              <a:gd name="connsiteY2" fmla="*/ 0 h 4531894"/>
              <a:gd name="connsiteX3" fmla="*/ 721895 w 2865844"/>
              <a:gd name="connsiteY3" fmla="*/ 1605893 h 4531894"/>
              <a:gd name="connsiteX4" fmla="*/ 1213185 w 2865844"/>
              <a:gd name="connsiteY4" fmla="*/ 2336130 h 4531894"/>
              <a:gd name="connsiteX5" fmla="*/ 1483894 w 2865844"/>
              <a:gd name="connsiteY5" fmla="*/ 2354501 h 4531894"/>
              <a:gd name="connsiteX6" fmla="*/ 2865844 w 2865844"/>
              <a:gd name="connsiteY6" fmla="*/ 4531894 h 4531894"/>
              <a:gd name="connsiteX7" fmla="*/ 2177393 w 2865844"/>
              <a:gd name="connsiteY7" fmla="*/ 4511842 h 4531894"/>
              <a:gd name="connsiteX8" fmla="*/ 1453817 w 2865844"/>
              <a:gd name="connsiteY8" fmla="*/ 3427317 h 4531894"/>
              <a:gd name="connsiteX9" fmla="*/ 0 w 2865844"/>
              <a:gd name="connsiteY9" fmla="*/ 1254972 h 4531894"/>
              <a:gd name="connsiteX0" fmla="*/ 0 w 2865844"/>
              <a:gd name="connsiteY0" fmla="*/ 1254972 h 4531894"/>
              <a:gd name="connsiteX1" fmla="*/ 974235 w 2865844"/>
              <a:gd name="connsiteY1" fmla="*/ 30079 h 4531894"/>
              <a:gd name="connsiteX2" fmla="*/ 1843160 w 2865844"/>
              <a:gd name="connsiteY2" fmla="*/ 0 h 4531894"/>
              <a:gd name="connsiteX3" fmla="*/ 721895 w 2865844"/>
              <a:gd name="connsiteY3" fmla="*/ 1605893 h 4531894"/>
              <a:gd name="connsiteX4" fmla="*/ 1213185 w 2865844"/>
              <a:gd name="connsiteY4" fmla="*/ 2336130 h 4531894"/>
              <a:gd name="connsiteX5" fmla="*/ 1483894 w 2865844"/>
              <a:gd name="connsiteY5" fmla="*/ 2354501 h 4531894"/>
              <a:gd name="connsiteX6" fmla="*/ 2865844 w 2865844"/>
              <a:gd name="connsiteY6" fmla="*/ 4531894 h 4531894"/>
              <a:gd name="connsiteX7" fmla="*/ 2177393 w 2865844"/>
              <a:gd name="connsiteY7" fmla="*/ 4511842 h 4531894"/>
              <a:gd name="connsiteX8" fmla="*/ 1453817 w 2865844"/>
              <a:gd name="connsiteY8" fmla="*/ 3427317 h 4531894"/>
              <a:gd name="connsiteX9" fmla="*/ 0 w 2865844"/>
              <a:gd name="connsiteY9" fmla="*/ 1254972 h 4531894"/>
              <a:gd name="connsiteX0" fmla="*/ 0 w 2865844"/>
              <a:gd name="connsiteY0" fmla="*/ 1254972 h 4531894"/>
              <a:gd name="connsiteX1" fmla="*/ 974235 w 2865844"/>
              <a:gd name="connsiteY1" fmla="*/ 30079 h 4531894"/>
              <a:gd name="connsiteX2" fmla="*/ 1843160 w 2865844"/>
              <a:gd name="connsiteY2" fmla="*/ 0 h 4531894"/>
              <a:gd name="connsiteX3" fmla="*/ 721895 w 2865844"/>
              <a:gd name="connsiteY3" fmla="*/ 1605893 h 4531894"/>
              <a:gd name="connsiteX4" fmla="*/ 1213185 w 2865844"/>
              <a:gd name="connsiteY4" fmla="*/ 2336130 h 4531894"/>
              <a:gd name="connsiteX5" fmla="*/ 1483894 w 2865844"/>
              <a:gd name="connsiteY5" fmla="*/ 2354501 h 4531894"/>
              <a:gd name="connsiteX6" fmla="*/ 2865844 w 2865844"/>
              <a:gd name="connsiteY6" fmla="*/ 4531894 h 4531894"/>
              <a:gd name="connsiteX7" fmla="*/ 2177393 w 2865844"/>
              <a:gd name="connsiteY7" fmla="*/ 4511842 h 4531894"/>
              <a:gd name="connsiteX8" fmla="*/ 1453817 w 2865844"/>
              <a:gd name="connsiteY8" fmla="*/ 3427317 h 4531894"/>
              <a:gd name="connsiteX9" fmla="*/ 0 w 2865844"/>
              <a:gd name="connsiteY9" fmla="*/ 1254972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85897"/>
              <a:gd name="connsiteY0" fmla="*/ 1285051 h 4511842"/>
              <a:gd name="connsiteX1" fmla="*/ 1004314 w 2885897"/>
              <a:gd name="connsiteY1" fmla="*/ 30079 h 4511842"/>
              <a:gd name="connsiteX2" fmla="*/ 1873239 w 2885897"/>
              <a:gd name="connsiteY2" fmla="*/ 0 h 4511842"/>
              <a:gd name="connsiteX3" fmla="*/ 751974 w 2885897"/>
              <a:gd name="connsiteY3" fmla="*/ 1605893 h 4511842"/>
              <a:gd name="connsiteX4" fmla="*/ 1243264 w 2885897"/>
              <a:gd name="connsiteY4" fmla="*/ 2336130 h 4511842"/>
              <a:gd name="connsiteX5" fmla="*/ 1513973 w 2885897"/>
              <a:gd name="connsiteY5" fmla="*/ 2354501 h 4511842"/>
              <a:gd name="connsiteX6" fmla="*/ 2885897 w 2885897"/>
              <a:gd name="connsiteY6" fmla="*/ 4501815 h 4511842"/>
              <a:gd name="connsiteX7" fmla="*/ 2207472 w 2885897"/>
              <a:gd name="connsiteY7" fmla="*/ 4511842 h 4511842"/>
              <a:gd name="connsiteX8" fmla="*/ 1483896 w 2885897"/>
              <a:gd name="connsiteY8" fmla="*/ 3427317 h 4511842"/>
              <a:gd name="connsiteX9" fmla="*/ 0 w 2885897"/>
              <a:gd name="connsiteY9" fmla="*/ 1285051 h 4511842"/>
              <a:gd name="connsiteX0" fmla="*/ 0 w 2885897"/>
              <a:gd name="connsiteY0" fmla="*/ 1295078 h 4521869"/>
              <a:gd name="connsiteX1" fmla="*/ 1004314 w 2885897"/>
              <a:gd name="connsiteY1" fmla="*/ 0 h 4521869"/>
              <a:gd name="connsiteX2" fmla="*/ 1873239 w 2885897"/>
              <a:gd name="connsiteY2" fmla="*/ 10027 h 4521869"/>
              <a:gd name="connsiteX3" fmla="*/ 751974 w 2885897"/>
              <a:gd name="connsiteY3" fmla="*/ 1615920 h 4521869"/>
              <a:gd name="connsiteX4" fmla="*/ 1243264 w 2885897"/>
              <a:gd name="connsiteY4" fmla="*/ 2346157 h 4521869"/>
              <a:gd name="connsiteX5" fmla="*/ 1513973 w 2885897"/>
              <a:gd name="connsiteY5" fmla="*/ 2364528 h 4521869"/>
              <a:gd name="connsiteX6" fmla="*/ 2885897 w 2885897"/>
              <a:gd name="connsiteY6" fmla="*/ 4511842 h 4521869"/>
              <a:gd name="connsiteX7" fmla="*/ 2207472 w 2885897"/>
              <a:gd name="connsiteY7" fmla="*/ 4521869 h 4521869"/>
              <a:gd name="connsiteX8" fmla="*/ 1483896 w 2885897"/>
              <a:gd name="connsiteY8" fmla="*/ 3437344 h 4521869"/>
              <a:gd name="connsiteX9" fmla="*/ 0 w 2885897"/>
              <a:gd name="connsiteY9" fmla="*/ 1295078 h 4521869"/>
              <a:gd name="connsiteX0" fmla="*/ 0 w 2885897"/>
              <a:gd name="connsiteY0" fmla="*/ 1285051 h 4511842"/>
              <a:gd name="connsiteX1" fmla="*/ 1004314 w 2885897"/>
              <a:gd name="connsiteY1" fmla="*/ 20052 h 4511842"/>
              <a:gd name="connsiteX2" fmla="*/ 1873239 w 2885897"/>
              <a:gd name="connsiteY2" fmla="*/ 0 h 4511842"/>
              <a:gd name="connsiteX3" fmla="*/ 751974 w 2885897"/>
              <a:gd name="connsiteY3" fmla="*/ 1605893 h 4511842"/>
              <a:gd name="connsiteX4" fmla="*/ 1243264 w 2885897"/>
              <a:gd name="connsiteY4" fmla="*/ 2336130 h 4511842"/>
              <a:gd name="connsiteX5" fmla="*/ 1513973 w 2885897"/>
              <a:gd name="connsiteY5" fmla="*/ 2354501 h 4511842"/>
              <a:gd name="connsiteX6" fmla="*/ 2885897 w 2885897"/>
              <a:gd name="connsiteY6" fmla="*/ 4501815 h 4511842"/>
              <a:gd name="connsiteX7" fmla="*/ 2207472 w 2885897"/>
              <a:gd name="connsiteY7" fmla="*/ 4511842 h 4511842"/>
              <a:gd name="connsiteX8" fmla="*/ 1483896 w 2885897"/>
              <a:gd name="connsiteY8" fmla="*/ 3427317 h 4511842"/>
              <a:gd name="connsiteX9" fmla="*/ 0 w 2885897"/>
              <a:gd name="connsiteY9" fmla="*/ 1285051 h 4511842"/>
              <a:gd name="connsiteX0" fmla="*/ 0 w 2885897"/>
              <a:gd name="connsiteY0" fmla="*/ 1285051 h 4511842"/>
              <a:gd name="connsiteX1" fmla="*/ 1004314 w 2885897"/>
              <a:gd name="connsiteY1" fmla="*/ 20052 h 4511842"/>
              <a:gd name="connsiteX2" fmla="*/ 1833134 w 2885897"/>
              <a:gd name="connsiteY2" fmla="*/ 0 h 4511842"/>
              <a:gd name="connsiteX3" fmla="*/ 751974 w 2885897"/>
              <a:gd name="connsiteY3" fmla="*/ 1605893 h 4511842"/>
              <a:gd name="connsiteX4" fmla="*/ 1243264 w 2885897"/>
              <a:gd name="connsiteY4" fmla="*/ 2336130 h 4511842"/>
              <a:gd name="connsiteX5" fmla="*/ 1513973 w 2885897"/>
              <a:gd name="connsiteY5" fmla="*/ 2354501 h 4511842"/>
              <a:gd name="connsiteX6" fmla="*/ 2885897 w 2885897"/>
              <a:gd name="connsiteY6" fmla="*/ 4501815 h 4511842"/>
              <a:gd name="connsiteX7" fmla="*/ 2207472 w 2885897"/>
              <a:gd name="connsiteY7" fmla="*/ 4511842 h 4511842"/>
              <a:gd name="connsiteX8" fmla="*/ 1483896 w 2885897"/>
              <a:gd name="connsiteY8" fmla="*/ 3427317 h 4511842"/>
              <a:gd name="connsiteX9" fmla="*/ 0 w 2885897"/>
              <a:gd name="connsiteY9" fmla="*/ 1285051 h 4511842"/>
              <a:gd name="connsiteX0" fmla="*/ 0 w 2885897"/>
              <a:gd name="connsiteY0" fmla="*/ 1285051 h 4511842"/>
              <a:gd name="connsiteX1" fmla="*/ 1004314 w 2885897"/>
              <a:gd name="connsiteY1" fmla="*/ 20052 h 4511842"/>
              <a:gd name="connsiteX2" fmla="*/ 1883265 w 2885897"/>
              <a:gd name="connsiteY2" fmla="*/ 0 h 4511842"/>
              <a:gd name="connsiteX3" fmla="*/ 751974 w 2885897"/>
              <a:gd name="connsiteY3" fmla="*/ 1605893 h 4511842"/>
              <a:gd name="connsiteX4" fmla="*/ 1243264 w 2885897"/>
              <a:gd name="connsiteY4" fmla="*/ 2336130 h 4511842"/>
              <a:gd name="connsiteX5" fmla="*/ 1513973 w 2885897"/>
              <a:gd name="connsiteY5" fmla="*/ 2354501 h 4511842"/>
              <a:gd name="connsiteX6" fmla="*/ 2885897 w 2885897"/>
              <a:gd name="connsiteY6" fmla="*/ 4501815 h 4511842"/>
              <a:gd name="connsiteX7" fmla="*/ 2207472 w 2885897"/>
              <a:gd name="connsiteY7" fmla="*/ 4511842 h 4511842"/>
              <a:gd name="connsiteX8" fmla="*/ 1483896 w 2885897"/>
              <a:gd name="connsiteY8" fmla="*/ 3427317 h 4511842"/>
              <a:gd name="connsiteX9" fmla="*/ 0 w 2885897"/>
              <a:gd name="connsiteY9" fmla="*/ 1285051 h 4511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885897" h="4511842">
                <a:moveTo>
                  <a:pt x="0" y="1285051"/>
                </a:moveTo>
                <a:cubicBezTo>
                  <a:pt x="220580" y="1034187"/>
                  <a:pt x="733397" y="300789"/>
                  <a:pt x="1004314" y="20052"/>
                </a:cubicBezTo>
                <a:cubicBezTo>
                  <a:pt x="1755166" y="30078"/>
                  <a:pt x="1012097" y="30079"/>
                  <a:pt x="1883265" y="0"/>
                </a:cubicBezTo>
                <a:cubicBezTo>
                  <a:pt x="1813288" y="230604"/>
                  <a:pt x="872290" y="1365055"/>
                  <a:pt x="751974" y="1605893"/>
                </a:cubicBezTo>
                <a:cubicBezTo>
                  <a:pt x="838869" y="1799174"/>
                  <a:pt x="1096210" y="2122797"/>
                  <a:pt x="1243264" y="2336130"/>
                </a:cubicBezTo>
                <a:lnTo>
                  <a:pt x="1513973" y="2354501"/>
                </a:lnTo>
                <a:cubicBezTo>
                  <a:pt x="1694447" y="2675550"/>
                  <a:pt x="2705628" y="4130842"/>
                  <a:pt x="2885897" y="4501815"/>
                </a:cubicBezTo>
                <a:lnTo>
                  <a:pt x="2207472" y="4511842"/>
                </a:lnTo>
                <a:cubicBezTo>
                  <a:pt x="1996713" y="4160921"/>
                  <a:pt x="1644317" y="3758392"/>
                  <a:pt x="1483896" y="3427317"/>
                </a:cubicBezTo>
                <a:cubicBezTo>
                  <a:pt x="939132" y="2703203"/>
                  <a:pt x="554789" y="2059297"/>
                  <a:pt x="0" y="1285051"/>
                </a:cubicBezTo>
                <a:close/>
              </a:path>
            </a:pathLst>
          </a:custGeom>
          <a:solidFill xmlns:a="http://schemas.openxmlformats.org/drawingml/2006/main">
            <a:srgbClr val="7F7F7F">
              <a:alpha val="69804"/>
            </a:srgb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KE" kern="1200"/>
          </a:p>
        </cdr:txBody>
      </cdr:sp>
    </cdr:grpSp>
  </cdr:relSizeAnchor>
  <cdr:relSizeAnchor xmlns:cdr="http://schemas.openxmlformats.org/drawingml/2006/chartDrawing">
    <cdr:from>
      <cdr:x>0.45829</cdr:x>
      <cdr:y>0.42878</cdr:y>
    </cdr:from>
    <cdr:to>
      <cdr:x>0.54171</cdr:x>
      <cdr:y>0.57122</cdr:y>
    </cdr:to>
    <cdr:sp macro="" textlink="">
      <cdr:nvSpPr>
        <cdr:cNvPr id="4" name="TextBox 3">
          <a:extLst xmlns:a="http://schemas.openxmlformats.org/drawingml/2006/main">
            <a:ext uri="{FF2B5EF4-FFF2-40B4-BE49-F238E27FC236}">
              <a16:creationId xmlns:a16="http://schemas.microsoft.com/office/drawing/2014/main" id="{AE4C42E4-1A7A-7FC4-32D2-B4845BC4CC14}"/>
            </a:ext>
          </a:extLst>
        </cdr:cNvPr>
        <cdr:cNvSpPr txBox="1"/>
      </cdr:nvSpPr>
      <cdr:spPr>
        <a:xfrm xmlns:a="http://schemas.openxmlformats.org/drawingml/2006/main">
          <a:off x="5023852" y="275272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KE" sz="1100" kern="1200"/>
        </a:p>
      </cdr:txBody>
    </cdr:sp>
  </cdr:relSizeAnchor>
  <cdr:relSizeAnchor xmlns:cdr="http://schemas.openxmlformats.org/drawingml/2006/chartDrawing">
    <cdr:from>
      <cdr:x>0.45829</cdr:x>
      <cdr:y>0.42878</cdr:y>
    </cdr:from>
    <cdr:to>
      <cdr:x>0.54171</cdr:x>
      <cdr:y>0.57122</cdr:y>
    </cdr:to>
    <cdr:sp macro="" textlink="">
      <cdr:nvSpPr>
        <cdr:cNvPr id="5" name="TextBox 4">
          <a:extLst xmlns:a="http://schemas.openxmlformats.org/drawingml/2006/main">
            <a:ext uri="{FF2B5EF4-FFF2-40B4-BE49-F238E27FC236}">
              <a16:creationId xmlns:a16="http://schemas.microsoft.com/office/drawing/2014/main" id="{FD7E696F-68A7-6E7B-60DA-AAB2C17265C2}"/>
            </a:ext>
          </a:extLst>
        </cdr:cNvPr>
        <cdr:cNvSpPr txBox="1"/>
      </cdr:nvSpPr>
      <cdr:spPr>
        <a:xfrm xmlns:a="http://schemas.openxmlformats.org/drawingml/2006/main">
          <a:off x="5023852" y="275272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KE" sz="1100" kern="1200"/>
        </a:p>
      </cdr:txBody>
    </cdr:sp>
  </cdr:relSizeAnchor>
  <cdr:relSizeAnchor xmlns:cdr="http://schemas.openxmlformats.org/drawingml/2006/chartDrawing">
    <cdr:from>
      <cdr:x>0.83317</cdr:x>
      <cdr:y>0.44462</cdr:y>
    </cdr:from>
    <cdr:to>
      <cdr:x>0.96746</cdr:x>
      <cdr:y>0.46144</cdr:y>
    </cdr:to>
    <cdr:sp macro="" textlink="">
      <cdr:nvSpPr>
        <cdr:cNvPr id="8" name="TextBox 5">
          <a:extLst xmlns:a="http://schemas.openxmlformats.org/drawingml/2006/main">
            <a:ext uri="{FF2B5EF4-FFF2-40B4-BE49-F238E27FC236}">
              <a16:creationId xmlns:a16="http://schemas.microsoft.com/office/drawing/2014/main" id="{5214DD09-A1BC-E41A-E929-4E4847345862}"/>
            </a:ext>
          </a:extLst>
        </cdr:cNvPr>
        <cdr:cNvSpPr txBox="1"/>
      </cdr:nvSpPr>
      <cdr:spPr>
        <a:xfrm xmlns:a="http://schemas.openxmlformats.org/drawingml/2006/main">
          <a:off x="7965660" y="3576734"/>
          <a:ext cx="1283907" cy="135335"/>
        </a:xfrm>
        <a:prstGeom xmlns:a="http://schemas.openxmlformats.org/drawingml/2006/main" prst="rect">
          <a:avLst/>
        </a:prstGeom>
        <a:solidFill xmlns:a="http://schemas.openxmlformats.org/drawingml/2006/main">
          <a:schemeClr val="accen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chemeClr val="bg1"/>
              </a:solidFill>
            </a:rPr>
            <a:t>MLW=128,367 Kgs</a:t>
          </a:r>
          <a:endParaRPr lang="en-KE" sz="1100" b="1">
            <a:solidFill>
              <a:schemeClr val="bg1"/>
            </a:solidFill>
          </a:endParaRPr>
        </a:p>
      </cdr:txBody>
    </cdr:sp>
  </cdr:relSizeAnchor>
  <cdr:relSizeAnchor xmlns:cdr="http://schemas.openxmlformats.org/drawingml/2006/chartDrawing">
    <cdr:from>
      <cdr:x>0.81764</cdr:x>
      <cdr:y>0.50261</cdr:y>
    </cdr:from>
    <cdr:to>
      <cdr:x>0.95627</cdr:x>
      <cdr:y>0.5224</cdr:y>
    </cdr:to>
    <cdr:sp macro="" textlink="">
      <cdr:nvSpPr>
        <cdr:cNvPr id="9" name="TextBox 5">
          <a:extLst xmlns:a="http://schemas.openxmlformats.org/drawingml/2006/main">
            <a:ext uri="{FF2B5EF4-FFF2-40B4-BE49-F238E27FC236}">
              <a16:creationId xmlns:a16="http://schemas.microsoft.com/office/drawing/2014/main" id="{6E330339-3E14-9FF6-42D9-2AB8C3373480}"/>
            </a:ext>
          </a:extLst>
        </cdr:cNvPr>
        <cdr:cNvSpPr txBox="1"/>
      </cdr:nvSpPr>
      <cdr:spPr>
        <a:xfrm xmlns:a="http://schemas.openxmlformats.org/drawingml/2006/main">
          <a:off x="7817212" y="4043266"/>
          <a:ext cx="1325401" cy="159167"/>
        </a:xfrm>
        <a:prstGeom xmlns:a="http://schemas.openxmlformats.org/drawingml/2006/main" prst="rect">
          <a:avLst/>
        </a:prstGeom>
        <a:solidFill xmlns:a="http://schemas.openxmlformats.org/drawingml/2006/main">
          <a:schemeClr val="accent2"/>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chemeClr val="bg1"/>
              </a:solidFill>
            </a:rPr>
            <a:t>MZWF=120,657 Kgs</a:t>
          </a:r>
          <a:endParaRPr lang="en-KE" sz="1100" b="1">
            <a:solidFill>
              <a:schemeClr val="bg1"/>
            </a:solidFill>
          </a:endParaRPr>
        </a:p>
      </cdr:txBody>
    </cdr:sp>
  </cdr:relSizeAnchor>
  <cdr:relSizeAnchor xmlns:cdr="http://schemas.openxmlformats.org/drawingml/2006/chartDrawing">
    <cdr:from>
      <cdr:x>0.71263</cdr:x>
      <cdr:y>0.87354</cdr:y>
    </cdr:from>
    <cdr:to>
      <cdr:x>0.9807</cdr:x>
      <cdr:y>0.89447</cdr:y>
    </cdr:to>
    <cdr:sp macro="" textlink="">
      <cdr:nvSpPr>
        <cdr:cNvPr id="10" name="TextBox 5">
          <a:extLst xmlns:a="http://schemas.openxmlformats.org/drawingml/2006/main">
            <a:ext uri="{FF2B5EF4-FFF2-40B4-BE49-F238E27FC236}">
              <a16:creationId xmlns:a16="http://schemas.microsoft.com/office/drawing/2014/main" id="{3F7C5862-B6E6-0DAA-D849-0B8DC299A432}"/>
            </a:ext>
          </a:extLst>
        </cdr:cNvPr>
        <cdr:cNvSpPr txBox="1"/>
      </cdr:nvSpPr>
      <cdr:spPr>
        <a:xfrm xmlns:a="http://schemas.openxmlformats.org/drawingml/2006/main">
          <a:off x="6817815" y="7027143"/>
          <a:ext cx="2564569" cy="168378"/>
        </a:xfrm>
        <a:prstGeom xmlns:a="http://schemas.openxmlformats.org/drawingml/2006/main" prst="rect">
          <a:avLst/>
        </a:prstGeom>
        <a:solidFill xmlns:a="http://schemas.openxmlformats.org/drawingml/2006/main">
          <a:srgbClr val="FF0000">
            <a:alpha val="69804"/>
          </a:srgbClr>
        </a:solidFill>
        <a:ln xmlns:a="http://schemas.openxmlformats.org/drawingml/2006/main" w="9525" cmpd="sng">
          <a:solidFill>
            <a:srgbClr val="BCBCBC">
              <a:alpha val="85882"/>
            </a:srgb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1100" b="1">
              <a:solidFill>
                <a:schemeClr val="bg1"/>
              </a:solidFill>
            </a:rPr>
            <a:t>MINIMUM</a:t>
          </a:r>
          <a:r>
            <a:rPr lang="en-GB" sz="1100" b="1" baseline="0">
              <a:solidFill>
                <a:schemeClr val="bg1"/>
              </a:solidFill>
            </a:rPr>
            <a:t> FREIGHT WEIGHT=76,203 Kgs</a:t>
          </a:r>
          <a:endParaRPr lang="en-KE" sz="1100" b="1">
            <a:solidFill>
              <a:schemeClr val="bg1"/>
            </a:solidFil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0</xdr:col>
      <xdr:colOff>577851</xdr:colOff>
      <xdr:row>41</xdr:row>
      <xdr:rowOff>53975</xdr:rowOff>
    </xdr:from>
    <xdr:to>
      <xdr:col>8</xdr:col>
      <xdr:colOff>571500</xdr:colOff>
      <xdr:row>78</xdr:row>
      <xdr:rowOff>158750</xdr:rowOff>
    </xdr:to>
    <xdr:graphicFrame macro="">
      <xdr:nvGraphicFramePr>
        <xdr:cNvPr id="2" name="Chart 1">
          <a:extLst>
            <a:ext uri="{FF2B5EF4-FFF2-40B4-BE49-F238E27FC236}">
              <a16:creationId xmlns:a16="http://schemas.microsoft.com/office/drawing/2014/main" id="{B7CCD465-543C-4C4E-8584-D4DC15508B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578351</xdr:colOff>
      <xdr:row>41</xdr:row>
      <xdr:rowOff>50131</xdr:rowOff>
    </xdr:from>
    <xdr:to>
      <xdr:col>20</xdr:col>
      <xdr:colOff>631436</xdr:colOff>
      <xdr:row>78</xdr:row>
      <xdr:rowOff>150394</xdr:rowOff>
    </xdr:to>
    <xdr:graphicFrame macro="">
      <xdr:nvGraphicFramePr>
        <xdr:cNvPr id="3" name="Chart 2">
          <a:extLst>
            <a:ext uri="{FF2B5EF4-FFF2-40B4-BE49-F238E27FC236}">
              <a16:creationId xmlns:a16="http://schemas.microsoft.com/office/drawing/2014/main" id="{0A54757B-F47E-47E4-A783-C9D1D2BF45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602986</xdr:colOff>
      <xdr:row>48</xdr:row>
      <xdr:rowOff>145043</xdr:rowOff>
    </xdr:from>
    <xdr:to>
      <xdr:col>20</xdr:col>
      <xdr:colOff>641684</xdr:colOff>
      <xdr:row>50</xdr:row>
      <xdr:rowOff>40105</xdr:rowOff>
    </xdr:to>
    <xdr:sp macro="" textlink="">
      <xdr:nvSpPr>
        <xdr:cNvPr id="6" name="TextBox 5">
          <a:extLst>
            <a:ext uri="{FF2B5EF4-FFF2-40B4-BE49-F238E27FC236}">
              <a16:creationId xmlns:a16="http://schemas.microsoft.com/office/drawing/2014/main" id="{5214DD09-A1BC-E41A-E929-4E4847345862}"/>
            </a:ext>
          </a:extLst>
        </xdr:cNvPr>
        <xdr:cNvSpPr txBox="1"/>
      </xdr:nvSpPr>
      <xdr:spPr>
        <a:xfrm>
          <a:off x="17056170" y="8988254"/>
          <a:ext cx="1261909" cy="256009"/>
        </a:xfrm>
        <a:prstGeom prst="rect">
          <a:avLst/>
        </a:prstGeom>
        <a:solidFill>
          <a:srgbClr val="139D3E"/>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MTW=159,210 Kgs</a:t>
          </a:r>
          <a:endParaRPr lang="en-KE" sz="1100" b="1">
            <a:solidFill>
              <a:schemeClr val="bg1"/>
            </a:solidFill>
          </a:endParaRPr>
        </a:p>
      </xdr:txBody>
    </xdr:sp>
    <xdr:clientData/>
  </xdr:twoCellAnchor>
</xdr:wsDr>
</file>

<file path=xl/drawings/drawing7.xml><?xml version="1.0" encoding="utf-8"?>
<c:userShapes xmlns:c="http://schemas.openxmlformats.org/drawingml/2006/chart">
  <cdr:relSizeAnchor xmlns:cdr="http://schemas.openxmlformats.org/drawingml/2006/chartDrawing">
    <cdr:from>
      <cdr:x>0.12122</cdr:x>
      <cdr:y>0.21075</cdr:y>
    </cdr:from>
    <cdr:to>
      <cdr:x>0.89565</cdr:x>
      <cdr:y>0.92016</cdr:y>
    </cdr:to>
    <cdr:grpSp>
      <cdr:nvGrpSpPr>
        <cdr:cNvPr id="6" name="Group 5">
          <a:extLst xmlns:a="http://schemas.openxmlformats.org/drawingml/2006/main">
            <a:ext uri="{FF2B5EF4-FFF2-40B4-BE49-F238E27FC236}">
              <a16:creationId xmlns:a16="http://schemas.microsoft.com/office/drawing/2014/main" id="{397076E8-4B43-003E-D9BA-46CA3B55A40C}"/>
            </a:ext>
          </a:extLst>
        </cdr:cNvPr>
        <cdr:cNvGrpSpPr/>
      </cdr:nvGrpSpPr>
      <cdr:grpSpPr>
        <a:xfrm xmlns:a="http://schemas.openxmlformats.org/drawingml/2006/main">
          <a:off x="1082886" y="1429088"/>
          <a:ext cx="6918158" cy="4810484"/>
          <a:chOff x="1186112" y="1386641"/>
          <a:chExt cx="8702984" cy="4511842"/>
        </a:xfrm>
      </cdr:grpSpPr>
      <cdr:sp macro="" textlink="">
        <cdr:nvSpPr>
          <cdr:cNvPr id="3" name="Rectangle: Rounded Corners 2">
            <a:extLst xmlns:a="http://schemas.openxmlformats.org/drawingml/2006/main">
              <a:ext uri="{FF2B5EF4-FFF2-40B4-BE49-F238E27FC236}">
                <a16:creationId xmlns:a16="http://schemas.microsoft.com/office/drawing/2014/main" id="{A1E517A9-E739-778F-8D3A-16CBF69320EF}"/>
              </a:ext>
            </a:extLst>
          </cdr:cNvPr>
          <cdr:cNvSpPr/>
        </cdr:nvSpPr>
        <cdr:spPr>
          <a:xfrm xmlns:a="http://schemas.openxmlformats.org/drawingml/2006/main">
            <a:off x="6807123" y="1547061"/>
            <a:ext cx="3081973" cy="4321343"/>
          </a:xfrm>
          <a:custGeom xmlns:a="http://schemas.openxmlformats.org/drawingml/2006/main">
            <a:avLst/>
            <a:gdLst>
              <a:gd name="connsiteX0" fmla="*/ 0 w 2717132"/>
              <a:gd name="connsiteY0" fmla="*/ 452864 h 4471737"/>
              <a:gd name="connsiteX1" fmla="*/ 452864 w 2717132"/>
              <a:gd name="connsiteY1" fmla="*/ 0 h 4471737"/>
              <a:gd name="connsiteX2" fmla="*/ 2264268 w 2717132"/>
              <a:gd name="connsiteY2" fmla="*/ 0 h 4471737"/>
              <a:gd name="connsiteX3" fmla="*/ 2717132 w 2717132"/>
              <a:gd name="connsiteY3" fmla="*/ 452864 h 4471737"/>
              <a:gd name="connsiteX4" fmla="*/ 2717132 w 2717132"/>
              <a:gd name="connsiteY4" fmla="*/ 4018873 h 4471737"/>
              <a:gd name="connsiteX5" fmla="*/ 2264268 w 2717132"/>
              <a:gd name="connsiteY5" fmla="*/ 4471737 h 4471737"/>
              <a:gd name="connsiteX6" fmla="*/ 452864 w 2717132"/>
              <a:gd name="connsiteY6" fmla="*/ 4471737 h 4471737"/>
              <a:gd name="connsiteX7" fmla="*/ 0 w 2717132"/>
              <a:gd name="connsiteY7" fmla="*/ 4018873 h 4471737"/>
              <a:gd name="connsiteX8" fmla="*/ 0 w 2717132"/>
              <a:gd name="connsiteY8" fmla="*/ 452864 h 4471737"/>
              <a:gd name="connsiteX0" fmla="*/ 0 w 2717132"/>
              <a:gd name="connsiteY0" fmla="*/ 452864 h 4471737"/>
              <a:gd name="connsiteX1" fmla="*/ 2107206 w 2717132"/>
              <a:gd name="connsiteY1" fmla="*/ 110289 h 4471737"/>
              <a:gd name="connsiteX2" fmla="*/ 2264268 w 2717132"/>
              <a:gd name="connsiteY2" fmla="*/ 0 h 4471737"/>
              <a:gd name="connsiteX3" fmla="*/ 2717132 w 2717132"/>
              <a:gd name="connsiteY3" fmla="*/ 452864 h 4471737"/>
              <a:gd name="connsiteX4" fmla="*/ 2717132 w 2717132"/>
              <a:gd name="connsiteY4" fmla="*/ 4018873 h 4471737"/>
              <a:gd name="connsiteX5" fmla="*/ 2264268 w 2717132"/>
              <a:gd name="connsiteY5" fmla="*/ 4471737 h 4471737"/>
              <a:gd name="connsiteX6" fmla="*/ 452864 w 2717132"/>
              <a:gd name="connsiteY6" fmla="*/ 4471737 h 4471737"/>
              <a:gd name="connsiteX7" fmla="*/ 0 w 2717132"/>
              <a:gd name="connsiteY7" fmla="*/ 4018873 h 4471737"/>
              <a:gd name="connsiteX8" fmla="*/ 0 w 2717132"/>
              <a:gd name="connsiteY8" fmla="*/ 452864 h 4471737"/>
              <a:gd name="connsiteX0" fmla="*/ 0 w 2834515"/>
              <a:gd name="connsiteY0" fmla="*/ 342575 h 4361448"/>
              <a:gd name="connsiteX1" fmla="*/ 2107206 w 2834515"/>
              <a:gd name="connsiteY1" fmla="*/ 0 h 4361448"/>
              <a:gd name="connsiteX2" fmla="*/ 2725479 w 2834515"/>
              <a:gd name="connsiteY2" fmla="*/ 40105 h 4361448"/>
              <a:gd name="connsiteX3" fmla="*/ 2717132 w 2834515"/>
              <a:gd name="connsiteY3" fmla="*/ 342575 h 4361448"/>
              <a:gd name="connsiteX4" fmla="*/ 2717132 w 2834515"/>
              <a:gd name="connsiteY4" fmla="*/ 3908584 h 4361448"/>
              <a:gd name="connsiteX5" fmla="*/ 2264268 w 2834515"/>
              <a:gd name="connsiteY5" fmla="*/ 4361448 h 4361448"/>
              <a:gd name="connsiteX6" fmla="*/ 452864 w 2834515"/>
              <a:gd name="connsiteY6" fmla="*/ 4361448 h 4361448"/>
              <a:gd name="connsiteX7" fmla="*/ 0 w 2834515"/>
              <a:gd name="connsiteY7" fmla="*/ 3908584 h 4361448"/>
              <a:gd name="connsiteX8" fmla="*/ 0 w 2834515"/>
              <a:gd name="connsiteY8" fmla="*/ 342575 h 4361448"/>
              <a:gd name="connsiteX0" fmla="*/ 0 w 2857561"/>
              <a:gd name="connsiteY0" fmla="*/ 342575 h 4361448"/>
              <a:gd name="connsiteX1" fmla="*/ 2107206 w 2857561"/>
              <a:gd name="connsiteY1" fmla="*/ 0 h 4361448"/>
              <a:gd name="connsiteX2" fmla="*/ 2755558 w 2857561"/>
              <a:gd name="connsiteY2" fmla="*/ 50131 h 4361448"/>
              <a:gd name="connsiteX3" fmla="*/ 2717132 w 2857561"/>
              <a:gd name="connsiteY3" fmla="*/ 342575 h 4361448"/>
              <a:gd name="connsiteX4" fmla="*/ 2717132 w 2857561"/>
              <a:gd name="connsiteY4" fmla="*/ 3908584 h 4361448"/>
              <a:gd name="connsiteX5" fmla="*/ 2264268 w 2857561"/>
              <a:gd name="connsiteY5" fmla="*/ 4361448 h 4361448"/>
              <a:gd name="connsiteX6" fmla="*/ 452864 w 2857561"/>
              <a:gd name="connsiteY6" fmla="*/ 4361448 h 4361448"/>
              <a:gd name="connsiteX7" fmla="*/ 0 w 2857561"/>
              <a:gd name="connsiteY7" fmla="*/ 3908584 h 4361448"/>
              <a:gd name="connsiteX8" fmla="*/ 0 w 2857561"/>
              <a:gd name="connsiteY8" fmla="*/ 342575 h 4361448"/>
              <a:gd name="connsiteX0" fmla="*/ 0 w 2812179"/>
              <a:gd name="connsiteY0" fmla="*/ 342575 h 4361448"/>
              <a:gd name="connsiteX1" fmla="*/ 2107206 w 2812179"/>
              <a:gd name="connsiteY1" fmla="*/ 0 h 4361448"/>
              <a:gd name="connsiteX2" fmla="*/ 2755558 w 2812179"/>
              <a:gd name="connsiteY2" fmla="*/ 50131 h 4361448"/>
              <a:gd name="connsiteX3" fmla="*/ 2346158 w 2812179"/>
              <a:gd name="connsiteY3" fmla="*/ 873970 h 4361448"/>
              <a:gd name="connsiteX4" fmla="*/ 2717132 w 2812179"/>
              <a:gd name="connsiteY4" fmla="*/ 3908584 h 4361448"/>
              <a:gd name="connsiteX5" fmla="*/ 2264268 w 2812179"/>
              <a:gd name="connsiteY5" fmla="*/ 4361448 h 4361448"/>
              <a:gd name="connsiteX6" fmla="*/ 452864 w 2812179"/>
              <a:gd name="connsiteY6" fmla="*/ 4361448 h 4361448"/>
              <a:gd name="connsiteX7" fmla="*/ 0 w 2812179"/>
              <a:gd name="connsiteY7" fmla="*/ 3908584 h 4361448"/>
              <a:gd name="connsiteX8" fmla="*/ 0 w 2812179"/>
              <a:gd name="connsiteY8" fmla="*/ 342575 h 4361448"/>
              <a:gd name="connsiteX0" fmla="*/ 410279 w 3222458"/>
              <a:gd name="connsiteY0" fmla="*/ 342575 h 4361448"/>
              <a:gd name="connsiteX1" fmla="*/ 2517485 w 3222458"/>
              <a:gd name="connsiteY1" fmla="*/ 0 h 4361448"/>
              <a:gd name="connsiteX2" fmla="*/ 3165837 w 3222458"/>
              <a:gd name="connsiteY2" fmla="*/ 50131 h 4361448"/>
              <a:gd name="connsiteX3" fmla="*/ 2756437 w 3222458"/>
              <a:gd name="connsiteY3" fmla="*/ 873970 h 4361448"/>
              <a:gd name="connsiteX4" fmla="*/ 3127411 w 3222458"/>
              <a:gd name="connsiteY4" fmla="*/ 3908584 h 4361448"/>
              <a:gd name="connsiteX5" fmla="*/ 2674547 w 3222458"/>
              <a:gd name="connsiteY5" fmla="*/ 4361448 h 4361448"/>
              <a:gd name="connsiteX6" fmla="*/ 61038 w 3222458"/>
              <a:gd name="connsiteY6" fmla="*/ 4351422 h 4361448"/>
              <a:gd name="connsiteX7" fmla="*/ 410279 w 3222458"/>
              <a:gd name="connsiteY7" fmla="*/ 3908584 h 4361448"/>
              <a:gd name="connsiteX8" fmla="*/ 410279 w 3222458"/>
              <a:gd name="connsiteY8" fmla="*/ 342575 h 4361448"/>
              <a:gd name="connsiteX0" fmla="*/ 410279 w 3222458"/>
              <a:gd name="connsiteY0" fmla="*/ 342575 h 4351422"/>
              <a:gd name="connsiteX1" fmla="*/ 2517485 w 3222458"/>
              <a:gd name="connsiteY1" fmla="*/ 0 h 4351422"/>
              <a:gd name="connsiteX2" fmla="*/ 3165837 w 3222458"/>
              <a:gd name="connsiteY2" fmla="*/ 50131 h 4351422"/>
              <a:gd name="connsiteX3" fmla="*/ 2756437 w 3222458"/>
              <a:gd name="connsiteY3" fmla="*/ 873970 h 4351422"/>
              <a:gd name="connsiteX4" fmla="*/ 3127411 w 3222458"/>
              <a:gd name="connsiteY4" fmla="*/ 3908584 h 4351422"/>
              <a:gd name="connsiteX5" fmla="*/ 849758 w 3222458"/>
              <a:gd name="connsiteY5" fmla="*/ 4351421 h 4351422"/>
              <a:gd name="connsiteX6" fmla="*/ 61038 w 3222458"/>
              <a:gd name="connsiteY6" fmla="*/ 4351422 h 4351422"/>
              <a:gd name="connsiteX7" fmla="*/ 410279 w 3222458"/>
              <a:gd name="connsiteY7" fmla="*/ 3908584 h 4351422"/>
              <a:gd name="connsiteX8" fmla="*/ 410279 w 3222458"/>
              <a:gd name="connsiteY8" fmla="*/ 342575 h 4351422"/>
              <a:gd name="connsiteX0" fmla="*/ 383262 w 3195441"/>
              <a:gd name="connsiteY0" fmla="*/ 342575 h 4351422"/>
              <a:gd name="connsiteX1" fmla="*/ 2490468 w 3195441"/>
              <a:gd name="connsiteY1" fmla="*/ 0 h 4351422"/>
              <a:gd name="connsiteX2" fmla="*/ 3138820 w 3195441"/>
              <a:gd name="connsiteY2" fmla="*/ 50131 h 4351422"/>
              <a:gd name="connsiteX3" fmla="*/ 2729420 w 3195441"/>
              <a:gd name="connsiteY3" fmla="*/ 873970 h 4351422"/>
              <a:gd name="connsiteX4" fmla="*/ 3100394 w 3195441"/>
              <a:gd name="connsiteY4" fmla="*/ 3908584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383262 w 3195441"/>
              <a:gd name="connsiteY8" fmla="*/ 342575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3100394 w 3195441"/>
              <a:gd name="connsiteY4" fmla="*/ 3908584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415973 w 3195441"/>
              <a:gd name="connsiteY0" fmla="*/ 1826470 h 4351422"/>
              <a:gd name="connsiteX1" fmla="*/ 2490468 w 3195441"/>
              <a:gd name="connsiteY1" fmla="*/ 0 h 4351422"/>
              <a:gd name="connsiteX2" fmla="*/ 3138820 w 3195441"/>
              <a:gd name="connsiteY2" fmla="*/ 50131 h 4351422"/>
              <a:gd name="connsiteX3" fmla="*/ 2729420 w 3195441"/>
              <a:gd name="connsiteY3" fmla="*/ 873970 h 4351422"/>
              <a:gd name="connsiteX4" fmla="*/ 1586420 w 3195441"/>
              <a:gd name="connsiteY4" fmla="*/ 2936032 h 4351422"/>
              <a:gd name="connsiteX5" fmla="*/ 822741 w 3195441"/>
              <a:gd name="connsiteY5" fmla="*/ 4351421 h 4351422"/>
              <a:gd name="connsiteX6" fmla="*/ 34021 w 3195441"/>
              <a:gd name="connsiteY6" fmla="*/ 4351422 h 4351422"/>
              <a:gd name="connsiteX7" fmla="*/ 994868 w 3195441"/>
              <a:gd name="connsiteY7" fmla="*/ 1803058 h 4351422"/>
              <a:gd name="connsiteX8" fmla="*/ 1415973 w 3195441"/>
              <a:gd name="connsiteY8" fmla="*/ 1826470 h 4351422"/>
              <a:gd name="connsiteX0" fmla="*/ 1387385 w 3166853"/>
              <a:gd name="connsiteY0" fmla="*/ 1826470 h 4351422"/>
              <a:gd name="connsiteX1" fmla="*/ 2461880 w 3166853"/>
              <a:gd name="connsiteY1" fmla="*/ 0 h 4351422"/>
              <a:gd name="connsiteX2" fmla="*/ 3110232 w 3166853"/>
              <a:gd name="connsiteY2" fmla="*/ 50131 h 4351422"/>
              <a:gd name="connsiteX3" fmla="*/ 2700832 w 3166853"/>
              <a:gd name="connsiteY3" fmla="*/ 873970 h 4351422"/>
              <a:gd name="connsiteX4" fmla="*/ 1557832 w 3166853"/>
              <a:gd name="connsiteY4" fmla="*/ 2936032 h 4351422"/>
              <a:gd name="connsiteX5" fmla="*/ 794153 w 3166853"/>
              <a:gd name="connsiteY5" fmla="*/ 4351421 h 4351422"/>
              <a:gd name="connsiteX6" fmla="*/ 5433 w 3166853"/>
              <a:gd name="connsiteY6" fmla="*/ 4351422 h 4351422"/>
              <a:gd name="connsiteX7" fmla="*/ 966280 w 3166853"/>
              <a:gd name="connsiteY7" fmla="*/ 1803058 h 4351422"/>
              <a:gd name="connsiteX8" fmla="*/ 1387385 w 3166853"/>
              <a:gd name="connsiteY8" fmla="*/ 1826470 h 4351422"/>
              <a:gd name="connsiteX0" fmla="*/ 1387385 w 3111657"/>
              <a:gd name="connsiteY0" fmla="*/ 1826470 h 4351422"/>
              <a:gd name="connsiteX1" fmla="*/ 2461880 w 3111657"/>
              <a:gd name="connsiteY1" fmla="*/ 0 h 4351422"/>
              <a:gd name="connsiteX2" fmla="*/ 3110232 w 3111657"/>
              <a:gd name="connsiteY2" fmla="*/ 50131 h 4351422"/>
              <a:gd name="connsiteX3" fmla="*/ 2700832 w 3111657"/>
              <a:gd name="connsiteY3" fmla="*/ 873970 h 4351422"/>
              <a:gd name="connsiteX4" fmla="*/ 1557832 w 3111657"/>
              <a:gd name="connsiteY4" fmla="*/ 2936032 h 4351422"/>
              <a:gd name="connsiteX5" fmla="*/ 794153 w 3111657"/>
              <a:gd name="connsiteY5" fmla="*/ 4351421 h 4351422"/>
              <a:gd name="connsiteX6" fmla="*/ 5433 w 3111657"/>
              <a:gd name="connsiteY6" fmla="*/ 4351422 h 4351422"/>
              <a:gd name="connsiteX7" fmla="*/ 966280 w 3111657"/>
              <a:gd name="connsiteY7" fmla="*/ 1803058 h 4351422"/>
              <a:gd name="connsiteX8" fmla="*/ 1387385 w 3111657"/>
              <a:gd name="connsiteY8" fmla="*/ 1826470 h 4351422"/>
              <a:gd name="connsiteX0" fmla="*/ 1387385 w 3131651"/>
              <a:gd name="connsiteY0" fmla="*/ 1826470 h 4351422"/>
              <a:gd name="connsiteX1" fmla="*/ 2461880 w 3131651"/>
              <a:gd name="connsiteY1" fmla="*/ 0 h 4351422"/>
              <a:gd name="connsiteX2" fmla="*/ 3130285 w 3131651"/>
              <a:gd name="connsiteY2" fmla="*/ 30078 h 4351422"/>
              <a:gd name="connsiteX3" fmla="*/ 2700832 w 3131651"/>
              <a:gd name="connsiteY3" fmla="*/ 873970 h 4351422"/>
              <a:gd name="connsiteX4" fmla="*/ 1557832 w 3131651"/>
              <a:gd name="connsiteY4" fmla="*/ 2936032 h 4351422"/>
              <a:gd name="connsiteX5" fmla="*/ 794153 w 3131651"/>
              <a:gd name="connsiteY5" fmla="*/ 4351421 h 4351422"/>
              <a:gd name="connsiteX6" fmla="*/ 5433 w 3131651"/>
              <a:gd name="connsiteY6" fmla="*/ 4351422 h 4351422"/>
              <a:gd name="connsiteX7" fmla="*/ 966280 w 3131651"/>
              <a:gd name="connsiteY7" fmla="*/ 1803058 h 4351422"/>
              <a:gd name="connsiteX8" fmla="*/ 1387385 w 3131651"/>
              <a:gd name="connsiteY8" fmla="*/ 1826470 h 4351422"/>
              <a:gd name="connsiteX0" fmla="*/ 1387385 w 3131651"/>
              <a:gd name="connsiteY0" fmla="*/ 1826470 h 4351422"/>
              <a:gd name="connsiteX1" fmla="*/ 2461880 w 3131651"/>
              <a:gd name="connsiteY1" fmla="*/ 0 h 4351422"/>
              <a:gd name="connsiteX2" fmla="*/ 3130285 w 3131651"/>
              <a:gd name="connsiteY2" fmla="*/ 30078 h 4351422"/>
              <a:gd name="connsiteX3" fmla="*/ 2700832 w 3131651"/>
              <a:gd name="connsiteY3" fmla="*/ 873970 h 4351422"/>
              <a:gd name="connsiteX4" fmla="*/ 1557832 w 3131651"/>
              <a:gd name="connsiteY4" fmla="*/ 2936032 h 4351422"/>
              <a:gd name="connsiteX5" fmla="*/ 794153 w 3131651"/>
              <a:gd name="connsiteY5" fmla="*/ 4351421 h 4351422"/>
              <a:gd name="connsiteX6" fmla="*/ 5433 w 3131651"/>
              <a:gd name="connsiteY6" fmla="*/ 4351422 h 4351422"/>
              <a:gd name="connsiteX7" fmla="*/ 966280 w 3131651"/>
              <a:gd name="connsiteY7" fmla="*/ 1803058 h 4351422"/>
              <a:gd name="connsiteX8" fmla="*/ 1387385 w 3131651"/>
              <a:gd name="connsiteY8" fmla="*/ 1826470 h 4351422"/>
              <a:gd name="connsiteX0" fmla="*/ 1387385 w 3081680"/>
              <a:gd name="connsiteY0" fmla="*/ 1826470 h 4351422"/>
              <a:gd name="connsiteX1" fmla="*/ 2461880 w 3081680"/>
              <a:gd name="connsiteY1" fmla="*/ 0 h 4351422"/>
              <a:gd name="connsiteX2" fmla="*/ 3080154 w 3081680"/>
              <a:gd name="connsiteY2" fmla="*/ 60157 h 4351422"/>
              <a:gd name="connsiteX3" fmla="*/ 2700832 w 3081680"/>
              <a:gd name="connsiteY3" fmla="*/ 873970 h 4351422"/>
              <a:gd name="connsiteX4" fmla="*/ 1557832 w 3081680"/>
              <a:gd name="connsiteY4" fmla="*/ 2936032 h 4351422"/>
              <a:gd name="connsiteX5" fmla="*/ 794153 w 3081680"/>
              <a:gd name="connsiteY5" fmla="*/ 4351421 h 4351422"/>
              <a:gd name="connsiteX6" fmla="*/ 5433 w 3081680"/>
              <a:gd name="connsiteY6" fmla="*/ 4351422 h 4351422"/>
              <a:gd name="connsiteX7" fmla="*/ 966280 w 3081680"/>
              <a:gd name="connsiteY7" fmla="*/ 1803058 h 4351422"/>
              <a:gd name="connsiteX8" fmla="*/ 1387385 w 3081680"/>
              <a:gd name="connsiteY8" fmla="*/ 1826470 h 4351422"/>
              <a:gd name="connsiteX0" fmla="*/ 1387385 w 3081680"/>
              <a:gd name="connsiteY0" fmla="*/ 1796391 h 4321343"/>
              <a:gd name="connsiteX1" fmla="*/ 2461880 w 3081680"/>
              <a:gd name="connsiteY1" fmla="*/ 0 h 4321343"/>
              <a:gd name="connsiteX2" fmla="*/ 3080154 w 3081680"/>
              <a:gd name="connsiteY2" fmla="*/ 30078 h 4321343"/>
              <a:gd name="connsiteX3" fmla="*/ 2700832 w 3081680"/>
              <a:gd name="connsiteY3" fmla="*/ 843891 h 4321343"/>
              <a:gd name="connsiteX4" fmla="*/ 1557832 w 3081680"/>
              <a:gd name="connsiteY4" fmla="*/ 2905953 h 4321343"/>
              <a:gd name="connsiteX5" fmla="*/ 794153 w 3081680"/>
              <a:gd name="connsiteY5" fmla="*/ 4321342 h 4321343"/>
              <a:gd name="connsiteX6" fmla="*/ 5433 w 3081680"/>
              <a:gd name="connsiteY6" fmla="*/ 4321343 h 4321343"/>
              <a:gd name="connsiteX7" fmla="*/ 966280 w 3081680"/>
              <a:gd name="connsiteY7" fmla="*/ 1772979 h 4321343"/>
              <a:gd name="connsiteX8" fmla="*/ 1387385 w 3081680"/>
              <a:gd name="connsiteY8" fmla="*/ 1796391 h 4321343"/>
              <a:gd name="connsiteX0" fmla="*/ 1387385 w 3081680"/>
              <a:gd name="connsiteY0" fmla="*/ 1796391 h 4321343"/>
              <a:gd name="connsiteX1" fmla="*/ 2461880 w 3081680"/>
              <a:gd name="connsiteY1" fmla="*/ 0 h 4321343"/>
              <a:gd name="connsiteX2" fmla="*/ 3080154 w 3081680"/>
              <a:gd name="connsiteY2" fmla="*/ 20052 h 4321343"/>
              <a:gd name="connsiteX3" fmla="*/ 2700832 w 3081680"/>
              <a:gd name="connsiteY3" fmla="*/ 843891 h 4321343"/>
              <a:gd name="connsiteX4" fmla="*/ 1557832 w 3081680"/>
              <a:gd name="connsiteY4" fmla="*/ 2905953 h 4321343"/>
              <a:gd name="connsiteX5" fmla="*/ 794153 w 3081680"/>
              <a:gd name="connsiteY5" fmla="*/ 4321342 h 4321343"/>
              <a:gd name="connsiteX6" fmla="*/ 5433 w 3081680"/>
              <a:gd name="connsiteY6" fmla="*/ 4321343 h 4321343"/>
              <a:gd name="connsiteX7" fmla="*/ 966280 w 3081680"/>
              <a:gd name="connsiteY7" fmla="*/ 1772979 h 4321343"/>
              <a:gd name="connsiteX8" fmla="*/ 1387385 w 3081680"/>
              <a:gd name="connsiteY8" fmla="*/ 1796391 h 4321343"/>
              <a:gd name="connsiteX0" fmla="*/ 1387385 w 3081680"/>
              <a:gd name="connsiteY0" fmla="*/ 1796391 h 4321343"/>
              <a:gd name="connsiteX1" fmla="*/ 2461880 w 3081680"/>
              <a:gd name="connsiteY1" fmla="*/ 0 h 4321343"/>
              <a:gd name="connsiteX2" fmla="*/ 3080154 w 3081680"/>
              <a:gd name="connsiteY2" fmla="*/ 20052 h 4321343"/>
              <a:gd name="connsiteX3" fmla="*/ 2700832 w 3081680"/>
              <a:gd name="connsiteY3" fmla="*/ 843891 h 4321343"/>
              <a:gd name="connsiteX4" fmla="*/ 1557832 w 3081680"/>
              <a:gd name="connsiteY4" fmla="*/ 2905953 h 4321343"/>
              <a:gd name="connsiteX5" fmla="*/ 794153 w 3081680"/>
              <a:gd name="connsiteY5" fmla="*/ 4321342 h 4321343"/>
              <a:gd name="connsiteX6" fmla="*/ 5433 w 3081680"/>
              <a:gd name="connsiteY6" fmla="*/ 4321343 h 4321343"/>
              <a:gd name="connsiteX7" fmla="*/ 966280 w 3081680"/>
              <a:gd name="connsiteY7" fmla="*/ 1772979 h 4321343"/>
              <a:gd name="connsiteX8" fmla="*/ 1387385 w 3081680"/>
              <a:gd name="connsiteY8" fmla="*/ 1796391 h 4321343"/>
              <a:gd name="connsiteX0" fmla="*/ 1387385 w 3081973"/>
              <a:gd name="connsiteY0" fmla="*/ 1796391 h 4321343"/>
              <a:gd name="connsiteX1" fmla="*/ 2461880 w 3081973"/>
              <a:gd name="connsiteY1" fmla="*/ 0 h 4321343"/>
              <a:gd name="connsiteX2" fmla="*/ 3080154 w 3081973"/>
              <a:gd name="connsiteY2" fmla="*/ 20052 h 4321343"/>
              <a:gd name="connsiteX3" fmla="*/ 2700832 w 3081973"/>
              <a:gd name="connsiteY3" fmla="*/ 843891 h 4321343"/>
              <a:gd name="connsiteX4" fmla="*/ 1557832 w 3081973"/>
              <a:gd name="connsiteY4" fmla="*/ 2905953 h 4321343"/>
              <a:gd name="connsiteX5" fmla="*/ 794153 w 3081973"/>
              <a:gd name="connsiteY5" fmla="*/ 4321342 h 4321343"/>
              <a:gd name="connsiteX6" fmla="*/ 5433 w 3081973"/>
              <a:gd name="connsiteY6" fmla="*/ 4321343 h 4321343"/>
              <a:gd name="connsiteX7" fmla="*/ 966280 w 3081973"/>
              <a:gd name="connsiteY7" fmla="*/ 1772979 h 4321343"/>
              <a:gd name="connsiteX8" fmla="*/ 1387385 w 3081973"/>
              <a:gd name="connsiteY8" fmla="*/ 1796391 h 432134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081973" h="4321343">
                <a:moveTo>
                  <a:pt x="1387385" y="1796391"/>
                </a:moveTo>
                <a:cubicBezTo>
                  <a:pt x="1537779" y="1556307"/>
                  <a:pt x="2302007" y="120315"/>
                  <a:pt x="2461880" y="0"/>
                </a:cubicBezTo>
                <a:cubicBezTo>
                  <a:pt x="3075707" y="0"/>
                  <a:pt x="2476353" y="20052"/>
                  <a:pt x="3080154" y="20052"/>
                </a:cubicBezTo>
                <a:cubicBezTo>
                  <a:pt x="3109685" y="160420"/>
                  <a:pt x="2771017" y="573728"/>
                  <a:pt x="2700832" y="843891"/>
                </a:cubicBezTo>
                <a:lnTo>
                  <a:pt x="1557832" y="2905953"/>
                </a:lnTo>
                <a:cubicBezTo>
                  <a:pt x="1457568" y="3186142"/>
                  <a:pt x="954026" y="4040605"/>
                  <a:pt x="794153" y="4321342"/>
                </a:cubicBezTo>
                <a:lnTo>
                  <a:pt x="5433" y="4321343"/>
                </a:lnTo>
                <a:cubicBezTo>
                  <a:pt x="-84256" y="4251158"/>
                  <a:pt x="966280" y="2023089"/>
                  <a:pt x="966280" y="1772979"/>
                </a:cubicBezTo>
                <a:lnTo>
                  <a:pt x="1387385" y="1796391"/>
                </a:lnTo>
                <a:close/>
              </a:path>
            </a:pathLst>
          </a:custGeom>
          <a:solidFill xmlns:a="http://schemas.openxmlformats.org/drawingml/2006/main">
            <a:srgbClr val="7F7F7F">
              <a:alpha val="69804"/>
            </a:srgb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KE" kern="1200"/>
          </a:p>
        </cdr:txBody>
      </cdr:sp>
      <cdr:sp macro="" textlink="">
        <cdr:nvSpPr>
          <cdr:cNvPr id="2" name="Rectangle: Rounded Corners 1">
            <a:extLst xmlns:a="http://schemas.openxmlformats.org/drawingml/2006/main">
              <a:ext uri="{FF2B5EF4-FFF2-40B4-BE49-F238E27FC236}">
                <a16:creationId xmlns:a16="http://schemas.microsoft.com/office/drawing/2014/main" id="{75589E4F-4441-BFAA-2AA5-F6CF32C31DA1}"/>
              </a:ext>
            </a:extLst>
          </cdr:cNvPr>
          <cdr:cNvSpPr/>
        </cdr:nvSpPr>
        <cdr:spPr>
          <a:xfrm xmlns:a="http://schemas.openxmlformats.org/drawingml/2006/main">
            <a:off x="1186112" y="1386641"/>
            <a:ext cx="2885897" cy="4511842"/>
          </a:xfrm>
          <a:custGeom xmlns:a="http://schemas.openxmlformats.org/drawingml/2006/main">
            <a:avLst/>
            <a:gdLst>
              <a:gd name="connsiteX0" fmla="*/ 0 w 3378868"/>
              <a:gd name="connsiteY0" fmla="*/ 563156 h 4501815"/>
              <a:gd name="connsiteX1" fmla="*/ 563156 w 3378868"/>
              <a:gd name="connsiteY1" fmla="*/ 0 h 4501815"/>
              <a:gd name="connsiteX2" fmla="*/ 2815712 w 3378868"/>
              <a:gd name="connsiteY2" fmla="*/ 0 h 4501815"/>
              <a:gd name="connsiteX3" fmla="*/ 3378868 w 3378868"/>
              <a:gd name="connsiteY3" fmla="*/ 563156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815712 w 3378868"/>
              <a:gd name="connsiteY2" fmla="*/ 0 h 4501815"/>
              <a:gd name="connsiteX3" fmla="*/ 3378868 w 3378868"/>
              <a:gd name="connsiteY3" fmla="*/ 563156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3378868 w 3378868"/>
              <a:gd name="connsiteY3" fmla="*/ 563156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3368842 w 3378868"/>
              <a:gd name="connsiteY3" fmla="*/ 583209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0 w 3378868"/>
              <a:gd name="connsiteY0" fmla="*/ 563156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0 w 3378868"/>
              <a:gd name="connsiteY8" fmla="*/ 563156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50395 w 3378868"/>
              <a:gd name="connsiteY0" fmla="*/ 1335183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50395 w 3378868"/>
              <a:gd name="connsiteY8" fmla="*/ 1335183 h 4501815"/>
              <a:gd name="connsiteX0" fmla="*/ 170447 w 3378868"/>
              <a:gd name="connsiteY0" fmla="*/ 1254972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70447 w 3378868"/>
              <a:gd name="connsiteY8" fmla="*/ 1254972 h 4501815"/>
              <a:gd name="connsiteX0" fmla="*/ 170447 w 3378868"/>
              <a:gd name="connsiteY0" fmla="*/ 1254972 h 4501815"/>
              <a:gd name="connsiteX1" fmla="*/ 1144682 w 3378868"/>
              <a:gd name="connsiteY1" fmla="*/ 30079 h 4501815"/>
              <a:gd name="connsiteX2" fmla="*/ 2013607 w 3378868"/>
              <a:gd name="connsiteY2" fmla="*/ 0 h 4501815"/>
              <a:gd name="connsiteX3" fmla="*/ 892342 w 3378868"/>
              <a:gd name="connsiteY3" fmla="*/ 1605893 h 4501815"/>
              <a:gd name="connsiteX4" fmla="*/ 3378868 w 3378868"/>
              <a:gd name="connsiteY4" fmla="*/ 3938659 h 4501815"/>
              <a:gd name="connsiteX5" fmla="*/ 2815712 w 3378868"/>
              <a:gd name="connsiteY5" fmla="*/ 4501815 h 4501815"/>
              <a:gd name="connsiteX6" fmla="*/ 563156 w 3378868"/>
              <a:gd name="connsiteY6" fmla="*/ 4501815 h 4501815"/>
              <a:gd name="connsiteX7" fmla="*/ 0 w 3378868"/>
              <a:gd name="connsiteY7" fmla="*/ 3938659 h 4501815"/>
              <a:gd name="connsiteX8" fmla="*/ 170447 w 3378868"/>
              <a:gd name="connsiteY8" fmla="*/ 1254972 h 4501815"/>
              <a:gd name="connsiteX0" fmla="*/ 0 w 3208421"/>
              <a:gd name="connsiteY0" fmla="*/ 1254972 h 4501815"/>
              <a:gd name="connsiteX1" fmla="*/ 974235 w 3208421"/>
              <a:gd name="connsiteY1" fmla="*/ 30079 h 4501815"/>
              <a:gd name="connsiteX2" fmla="*/ 1843160 w 3208421"/>
              <a:gd name="connsiteY2" fmla="*/ 0 h 4501815"/>
              <a:gd name="connsiteX3" fmla="*/ 721895 w 3208421"/>
              <a:gd name="connsiteY3" fmla="*/ 1605893 h 4501815"/>
              <a:gd name="connsiteX4" fmla="*/ 3208421 w 3208421"/>
              <a:gd name="connsiteY4" fmla="*/ 3938659 h 4501815"/>
              <a:gd name="connsiteX5" fmla="*/ 2645265 w 3208421"/>
              <a:gd name="connsiteY5" fmla="*/ 4501815 h 4501815"/>
              <a:gd name="connsiteX6" fmla="*/ 392709 w 3208421"/>
              <a:gd name="connsiteY6" fmla="*/ 4501815 h 4501815"/>
              <a:gd name="connsiteX7" fmla="*/ 1453817 w 3208421"/>
              <a:gd name="connsiteY7" fmla="*/ 3427317 h 4501815"/>
              <a:gd name="connsiteX8" fmla="*/ 0 w 3208421"/>
              <a:gd name="connsiteY8" fmla="*/ 1254972 h 4501815"/>
              <a:gd name="connsiteX0" fmla="*/ 0 w 3208421"/>
              <a:gd name="connsiteY0" fmla="*/ 1254972 h 4501815"/>
              <a:gd name="connsiteX1" fmla="*/ 974235 w 3208421"/>
              <a:gd name="connsiteY1" fmla="*/ 30079 h 4501815"/>
              <a:gd name="connsiteX2" fmla="*/ 1843160 w 3208421"/>
              <a:gd name="connsiteY2" fmla="*/ 0 h 4501815"/>
              <a:gd name="connsiteX3" fmla="*/ 721895 w 3208421"/>
              <a:gd name="connsiteY3" fmla="*/ 1605893 h 4501815"/>
              <a:gd name="connsiteX4" fmla="*/ 3208421 w 3208421"/>
              <a:gd name="connsiteY4" fmla="*/ 3938659 h 4501815"/>
              <a:gd name="connsiteX5" fmla="*/ 2645265 w 3208421"/>
              <a:gd name="connsiteY5" fmla="*/ 4501815 h 4501815"/>
              <a:gd name="connsiteX6" fmla="*/ 392709 w 3208421"/>
              <a:gd name="connsiteY6" fmla="*/ 4501815 h 4501815"/>
              <a:gd name="connsiteX7" fmla="*/ 1453817 w 3208421"/>
              <a:gd name="connsiteY7" fmla="*/ 3427317 h 4501815"/>
              <a:gd name="connsiteX8" fmla="*/ 0 w 3208421"/>
              <a:gd name="connsiteY8" fmla="*/ 1254972 h 4501815"/>
              <a:gd name="connsiteX0" fmla="*/ 0 w 3208421"/>
              <a:gd name="connsiteY0" fmla="*/ 1254972 h 4511842"/>
              <a:gd name="connsiteX1" fmla="*/ 974235 w 3208421"/>
              <a:gd name="connsiteY1" fmla="*/ 30079 h 4511842"/>
              <a:gd name="connsiteX2" fmla="*/ 1843160 w 3208421"/>
              <a:gd name="connsiteY2" fmla="*/ 0 h 4511842"/>
              <a:gd name="connsiteX3" fmla="*/ 721895 w 3208421"/>
              <a:gd name="connsiteY3" fmla="*/ 1605893 h 4511842"/>
              <a:gd name="connsiteX4" fmla="*/ 3208421 w 3208421"/>
              <a:gd name="connsiteY4" fmla="*/ 3938659 h 4511842"/>
              <a:gd name="connsiteX5" fmla="*/ 2645265 w 3208421"/>
              <a:gd name="connsiteY5" fmla="*/ 4501815 h 4511842"/>
              <a:gd name="connsiteX6" fmla="*/ 2177393 w 3208421"/>
              <a:gd name="connsiteY6" fmla="*/ 4511842 h 4511842"/>
              <a:gd name="connsiteX7" fmla="*/ 1453817 w 3208421"/>
              <a:gd name="connsiteY7" fmla="*/ 3427317 h 4511842"/>
              <a:gd name="connsiteX8" fmla="*/ 0 w 3208421"/>
              <a:gd name="connsiteY8" fmla="*/ 1254972 h 4511842"/>
              <a:gd name="connsiteX0" fmla="*/ 0 w 3208421"/>
              <a:gd name="connsiteY0" fmla="*/ 1254972 h 4511842"/>
              <a:gd name="connsiteX1" fmla="*/ 974235 w 3208421"/>
              <a:gd name="connsiteY1" fmla="*/ 30079 h 4511842"/>
              <a:gd name="connsiteX2" fmla="*/ 1843160 w 3208421"/>
              <a:gd name="connsiteY2" fmla="*/ 0 h 4511842"/>
              <a:gd name="connsiteX3" fmla="*/ 721895 w 3208421"/>
              <a:gd name="connsiteY3" fmla="*/ 1605893 h 4511842"/>
              <a:gd name="connsiteX4" fmla="*/ 3208421 w 3208421"/>
              <a:gd name="connsiteY4" fmla="*/ 3938659 h 4511842"/>
              <a:gd name="connsiteX5" fmla="*/ 2645265 w 3208421"/>
              <a:gd name="connsiteY5" fmla="*/ 4501815 h 4511842"/>
              <a:gd name="connsiteX6" fmla="*/ 2177393 w 3208421"/>
              <a:gd name="connsiteY6" fmla="*/ 4511842 h 4511842"/>
              <a:gd name="connsiteX7" fmla="*/ 1453817 w 3208421"/>
              <a:gd name="connsiteY7" fmla="*/ 3427317 h 4511842"/>
              <a:gd name="connsiteX8" fmla="*/ 0 w 3208421"/>
              <a:gd name="connsiteY8" fmla="*/ 1254972 h 4511842"/>
              <a:gd name="connsiteX0" fmla="*/ 0 w 3208421"/>
              <a:gd name="connsiteY0" fmla="*/ 1254972 h 4511842"/>
              <a:gd name="connsiteX1" fmla="*/ 974235 w 3208421"/>
              <a:gd name="connsiteY1" fmla="*/ 30079 h 4511842"/>
              <a:gd name="connsiteX2" fmla="*/ 1843160 w 3208421"/>
              <a:gd name="connsiteY2" fmla="*/ 0 h 4511842"/>
              <a:gd name="connsiteX3" fmla="*/ 721895 w 3208421"/>
              <a:gd name="connsiteY3" fmla="*/ 1605893 h 4511842"/>
              <a:gd name="connsiteX4" fmla="*/ 3208421 w 3208421"/>
              <a:gd name="connsiteY4" fmla="*/ 3938659 h 4511842"/>
              <a:gd name="connsiteX5" fmla="*/ 2645265 w 3208421"/>
              <a:gd name="connsiteY5" fmla="*/ 4501815 h 4511842"/>
              <a:gd name="connsiteX6" fmla="*/ 2177393 w 3208421"/>
              <a:gd name="connsiteY6" fmla="*/ 4511842 h 4511842"/>
              <a:gd name="connsiteX7" fmla="*/ 1453817 w 3208421"/>
              <a:gd name="connsiteY7" fmla="*/ 3427317 h 4511842"/>
              <a:gd name="connsiteX8" fmla="*/ 0 w 3208421"/>
              <a:gd name="connsiteY8" fmla="*/ 1254972 h 4511842"/>
              <a:gd name="connsiteX0" fmla="*/ 0 w 2688412"/>
              <a:gd name="connsiteY0" fmla="*/ 1254972 h 4511842"/>
              <a:gd name="connsiteX1" fmla="*/ 974235 w 2688412"/>
              <a:gd name="connsiteY1" fmla="*/ 30079 h 4511842"/>
              <a:gd name="connsiteX2" fmla="*/ 1843160 w 2688412"/>
              <a:gd name="connsiteY2" fmla="*/ 0 h 4511842"/>
              <a:gd name="connsiteX3" fmla="*/ 721895 w 2688412"/>
              <a:gd name="connsiteY3" fmla="*/ 1605893 h 4511842"/>
              <a:gd name="connsiteX4" fmla="*/ 1483894 w 2688412"/>
              <a:gd name="connsiteY4" fmla="*/ 2354501 h 4511842"/>
              <a:gd name="connsiteX5" fmla="*/ 2645265 w 2688412"/>
              <a:gd name="connsiteY5" fmla="*/ 4501815 h 4511842"/>
              <a:gd name="connsiteX6" fmla="*/ 2177393 w 2688412"/>
              <a:gd name="connsiteY6" fmla="*/ 4511842 h 4511842"/>
              <a:gd name="connsiteX7" fmla="*/ 1453817 w 2688412"/>
              <a:gd name="connsiteY7" fmla="*/ 3427317 h 4511842"/>
              <a:gd name="connsiteX8" fmla="*/ 0 w 2688412"/>
              <a:gd name="connsiteY8"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483894 w 2645265"/>
              <a:gd name="connsiteY4" fmla="*/ 2354501 h 4511842"/>
              <a:gd name="connsiteX5" fmla="*/ 2645265 w 2645265"/>
              <a:gd name="connsiteY5" fmla="*/ 4501815 h 4511842"/>
              <a:gd name="connsiteX6" fmla="*/ 2177393 w 2645265"/>
              <a:gd name="connsiteY6" fmla="*/ 4511842 h 4511842"/>
              <a:gd name="connsiteX7" fmla="*/ 1453817 w 2645265"/>
              <a:gd name="connsiteY7" fmla="*/ 3427317 h 4511842"/>
              <a:gd name="connsiteX8" fmla="*/ 0 w 2645265"/>
              <a:gd name="connsiteY8"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483894 w 2645265"/>
              <a:gd name="connsiteY4" fmla="*/ 2354501 h 4511842"/>
              <a:gd name="connsiteX5" fmla="*/ 2645265 w 2645265"/>
              <a:gd name="connsiteY5" fmla="*/ 4501815 h 4511842"/>
              <a:gd name="connsiteX6" fmla="*/ 2177393 w 2645265"/>
              <a:gd name="connsiteY6" fmla="*/ 4511842 h 4511842"/>
              <a:gd name="connsiteX7" fmla="*/ 1453817 w 2645265"/>
              <a:gd name="connsiteY7" fmla="*/ 3427317 h 4511842"/>
              <a:gd name="connsiteX8" fmla="*/ 0 w 2645265"/>
              <a:gd name="connsiteY8"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213185 w 2645265"/>
              <a:gd name="connsiteY4" fmla="*/ 2336130 h 4511842"/>
              <a:gd name="connsiteX5" fmla="*/ 1483894 w 2645265"/>
              <a:gd name="connsiteY5" fmla="*/ 2354501 h 4511842"/>
              <a:gd name="connsiteX6" fmla="*/ 2645265 w 2645265"/>
              <a:gd name="connsiteY6" fmla="*/ 4501815 h 4511842"/>
              <a:gd name="connsiteX7" fmla="*/ 2177393 w 2645265"/>
              <a:gd name="connsiteY7" fmla="*/ 4511842 h 4511842"/>
              <a:gd name="connsiteX8" fmla="*/ 1453817 w 2645265"/>
              <a:gd name="connsiteY8" fmla="*/ 3427317 h 4511842"/>
              <a:gd name="connsiteX9" fmla="*/ 0 w 2645265"/>
              <a:gd name="connsiteY9"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213185 w 2645265"/>
              <a:gd name="connsiteY4" fmla="*/ 2336130 h 4511842"/>
              <a:gd name="connsiteX5" fmla="*/ 1483894 w 2645265"/>
              <a:gd name="connsiteY5" fmla="*/ 2354501 h 4511842"/>
              <a:gd name="connsiteX6" fmla="*/ 2645265 w 2645265"/>
              <a:gd name="connsiteY6" fmla="*/ 4501815 h 4511842"/>
              <a:gd name="connsiteX7" fmla="*/ 2177393 w 2645265"/>
              <a:gd name="connsiteY7" fmla="*/ 4511842 h 4511842"/>
              <a:gd name="connsiteX8" fmla="*/ 1453817 w 2645265"/>
              <a:gd name="connsiteY8" fmla="*/ 3427317 h 4511842"/>
              <a:gd name="connsiteX9" fmla="*/ 0 w 2645265"/>
              <a:gd name="connsiteY9"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213185 w 2645265"/>
              <a:gd name="connsiteY4" fmla="*/ 2336130 h 4511842"/>
              <a:gd name="connsiteX5" fmla="*/ 1483894 w 2645265"/>
              <a:gd name="connsiteY5" fmla="*/ 2354501 h 4511842"/>
              <a:gd name="connsiteX6" fmla="*/ 2645265 w 2645265"/>
              <a:gd name="connsiteY6" fmla="*/ 4501815 h 4511842"/>
              <a:gd name="connsiteX7" fmla="*/ 2177393 w 2645265"/>
              <a:gd name="connsiteY7" fmla="*/ 4511842 h 4511842"/>
              <a:gd name="connsiteX8" fmla="*/ 1453817 w 2645265"/>
              <a:gd name="connsiteY8" fmla="*/ 3427317 h 4511842"/>
              <a:gd name="connsiteX9" fmla="*/ 0 w 2645265"/>
              <a:gd name="connsiteY9" fmla="*/ 1254972 h 4511842"/>
              <a:gd name="connsiteX0" fmla="*/ 0 w 2645265"/>
              <a:gd name="connsiteY0" fmla="*/ 1254972 h 4511842"/>
              <a:gd name="connsiteX1" fmla="*/ 974235 w 2645265"/>
              <a:gd name="connsiteY1" fmla="*/ 30079 h 4511842"/>
              <a:gd name="connsiteX2" fmla="*/ 1843160 w 2645265"/>
              <a:gd name="connsiteY2" fmla="*/ 0 h 4511842"/>
              <a:gd name="connsiteX3" fmla="*/ 721895 w 2645265"/>
              <a:gd name="connsiteY3" fmla="*/ 1605893 h 4511842"/>
              <a:gd name="connsiteX4" fmla="*/ 1213185 w 2645265"/>
              <a:gd name="connsiteY4" fmla="*/ 2336130 h 4511842"/>
              <a:gd name="connsiteX5" fmla="*/ 1483894 w 2645265"/>
              <a:gd name="connsiteY5" fmla="*/ 2354501 h 4511842"/>
              <a:gd name="connsiteX6" fmla="*/ 2645265 w 2645265"/>
              <a:gd name="connsiteY6" fmla="*/ 4501815 h 4511842"/>
              <a:gd name="connsiteX7" fmla="*/ 2177393 w 2645265"/>
              <a:gd name="connsiteY7" fmla="*/ 4511842 h 4511842"/>
              <a:gd name="connsiteX8" fmla="*/ 1453817 w 2645265"/>
              <a:gd name="connsiteY8" fmla="*/ 3427317 h 4511842"/>
              <a:gd name="connsiteX9" fmla="*/ 0 w 2645265"/>
              <a:gd name="connsiteY9" fmla="*/ 1254972 h 4511842"/>
              <a:gd name="connsiteX0" fmla="*/ 0 w 2865844"/>
              <a:gd name="connsiteY0" fmla="*/ 1254972 h 4531894"/>
              <a:gd name="connsiteX1" fmla="*/ 974235 w 2865844"/>
              <a:gd name="connsiteY1" fmla="*/ 30079 h 4531894"/>
              <a:gd name="connsiteX2" fmla="*/ 1843160 w 2865844"/>
              <a:gd name="connsiteY2" fmla="*/ 0 h 4531894"/>
              <a:gd name="connsiteX3" fmla="*/ 721895 w 2865844"/>
              <a:gd name="connsiteY3" fmla="*/ 1605893 h 4531894"/>
              <a:gd name="connsiteX4" fmla="*/ 1213185 w 2865844"/>
              <a:gd name="connsiteY4" fmla="*/ 2336130 h 4531894"/>
              <a:gd name="connsiteX5" fmla="*/ 1483894 w 2865844"/>
              <a:gd name="connsiteY5" fmla="*/ 2354501 h 4531894"/>
              <a:gd name="connsiteX6" fmla="*/ 2865844 w 2865844"/>
              <a:gd name="connsiteY6" fmla="*/ 4531894 h 4531894"/>
              <a:gd name="connsiteX7" fmla="*/ 2177393 w 2865844"/>
              <a:gd name="connsiteY7" fmla="*/ 4511842 h 4531894"/>
              <a:gd name="connsiteX8" fmla="*/ 1453817 w 2865844"/>
              <a:gd name="connsiteY8" fmla="*/ 3427317 h 4531894"/>
              <a:gd name="connsiteX9" fmla="*/ 0 w 2865844"/>
              <a:gd name="connsiteY9" fmla="*/ 1254972 h 4531894"/>
              <a:gd name="connsiteX0" fmla="*/ 0 w 2865844"/>
              <a:gd name="connsiteY0" fmla="*/ 1254972 h 4531894"/>
              <a:gd name="connsiteX1" fmla="*/ 974235 w 2865844"/>
              <a:gd name="connsiteY1" fmla="*/ 30079 h 4531894"/>
              <a:gd name="connsiteX2" fmla="*/ 1843160 w 2865844"/>
              <a:gd name="connsiteY2" fmla="*/ 0 h 4531894"/>
              <a:gd name="connsiteX3" fmla="*/ 721895 w 2865844"/>
              <a:gd name="connsiteY3" fmla="*/ 1605893 h 4531894"/>
              <a:gd name="connsiteX4" fmla="*/ 1213185 w 2865844"/>
              <a:gd name="connsiteY4" fmla="*/ 2336130 h 4531894"/>
              <a:gd name="connsiteX5" fmla="*/ 1483894 w 2865844"/>
              <a:gd name="connsiteY5" fmla="*/ 2354501 h 4531894"/>
              <a:gd name="connsiteX6" fmla="*/ 2865844 w 2865844"/>
              <a:gd name="connsiteY6" fmla="*/ 4531894 h 4531894"/>
              <a:gd name="connsiteX7" fmla="*/ 2177393 w 2865844"/>
              <a:gd name="connsiteY7" fmla="*/ 4511842 h 4531894"/>
              <a:gd name="connsiteX8" fmla="*/ 1453817 w 2865844"/>
              <a:gd name="connsiteY8" fmla="*/ 3427317 h 4531894"/>
              <a:gd name="connsiteX9" fmla="*/ 0 w 2865844"/>
              <a:gd name="connsiteY9" fmla="*/ 1254972 h 4531894"/>
              <a:gd name="connsiteX0" fmla="*/ 0 w 2865844"/>
              <a:gd name="connsiteY0" fmla="*/ 1254972 h 4531894"/>
              <a:gd name="connsiteX1" fmla="*/ 974235 w 2865844"/>
              <a:gd name="connsiteY1" fmla="*/ 30079 h 4531894"/>
              <a:gd name="connsiteX2" fmla="*/ 1843160 w 2865844"/>
              <a:gd name="connsiteY2" fmla="*/ 0 h 4531894"/>
              <a:gd name="connsiteX3" fmla="*/ 721895 w 2865844"/>
              <a:gd name="connsiteY3" fmla="*/ 1605893 h 4531894"/>
              <a:gd name="connsiteX4" fmla="*/ 1213185 w 2865844"/>
              <a:gd name="connsiteY4" fmla="*/ 2336130 h 4531894"/>
              <a:gd name="connsiteX5" fmla="*/ 1483894 w 2865844"/>
              <a:gd name="connsiteY5" fmla="*/ 2354501 h 4531894"/>
              <a:gd name="connsiteX6" fmla="*/ 2865844 w 2865844"/>
              <a:gd name="connsiteY6" fmla="*/ 4531894 h 4531894"/>
              <a:gd name="connsiteX7" fmla="*/ 2177393 w 2865844"/>
              <a:gd name="connsiteY7" fmla="*/ 4511842 h 4531894"/>
              <a:gd name="connsiteX8" fmla="*/ 1453817 w 2865844"/>
              <a:gd name="connsiteY8" fmla="*/ 3427317 h 4531894"/>
              <a:gd name="connsiteX9" fmla="*/ 0 w 2865844"/>
              <a:gd name="connsiteY9" fmla="*/ 1254972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95923"/>
              <a:gd name="connsiteY0" fmla="*/ 1285051 h 4531894"/>
              <a:gd name="connsiteX1" fmla="*/ 1004314 w 2895923"/>
              <a:gd name="connsiteY1" fmla="*/ 30079 h 4531894"/>
              <a:gd name="connsiteX2" fmla="*/ 1873239 w 2895923"/>
              <a:gd name="connsiteY2" fmla="*/ 0 h 4531894"/>
              <a:gd name="connsiteX3" fmla="*/ 751974 w 2895923"/>
              <a:gd name="connsiteY3" fmla="*/ 1605893 h 4531894"/>
              <a:gd name="connsiteX4" fmla="*/ 1243264 w 2895923"/>
              <a:gd name="connsiteY4" fmla="*/ 2336130 h 4531894"/>
              <a:gd name="connsiteX5" fmla="*/ 1513973 w 2895923"/>
              <a:gd name="connsiteY5" fmla="*/ 2354501 h 4531894"/>
              <a:gd name="connsiteX6" fmla="*/ 2895923 w 2895923"/>
              <a:gd name="connsiteY6" fmla="*/ 4531894 h 4531894"/>
              <a:gd name="connsiteX7" fmla="*/ 2207472 w 2895923"/>
              <a:gd name="connsiteY7" fmla="*/ 4511842 h 4531894"/>
              <a:gd name="connsiteX8" fmla="*/ 1483896 w 2895923"/>
              <a:gd name="connsiteY8" fmla="*/ 3427317 h 4531894"/>
              <a:gd name="connsiteX9" fmla="*/ 0 w 2895923"/>
              <a:gd name="connsiteY9" fmla="*/ 1285051 h 4531894"/>
              <a:gd name="connsiteX0" fmla="*/ 0 w 2885897"/>
              <a:gd name="connsiteY0" fmla="*/ 1285051 h 4511842"/>
              <a:gd name="connsiteX1" fmla="*/ 1004314 w 2885897"/>
              <a:gd name="connsiteY1" fmla="*/ 30079 h 4511842"/>
              <a:gd name="connsiteX2" fmla="*/ 1873239 w 2885897"/>
              <a:gd name="connsiteY2" fmla="*/ 0 h 4511842"/>
              <a:gd name="connsiteX3" fmla="*/ 751974 w 2885897"/>
              <a:gd name="connsiteY3" fmla="*/ 1605893 h 4511842"/>
              <a:gd name="connsiteX4" fmla="*/ 1243264 w 2885897"/>
              <a:gd name="connsiteY4" fmla="*/ 2336130 h 4511842"/>
              <a:gd name="connsiteX5" fmla="*/ 1513973 w 2885897"/>
              <a:gd name="connsiteY5" fmla="*/ 2354501 h 4511842"/>
              <a:gd name="connsiteX6" fmla="*/ 2885897 w 2885897"/>
              <a:gd name="connsiteY6" fmla="*/ 4501815 h 4511842"/>
              <a:gd name="connsiteX7" fmla="*/ 2207472 w 2885897"/>
              <a:gd name="connsiteY7" fmla="*/ 4511842 h 4511842"/>
              <a:gd name="connsiteX8" fmla="*/ 1483896 w 2885897"/>
              <a:gd name="connsiteY8" fmla="*/ 3427317 h 4511842"/>
              <a:gd name="connsiteX9" fmla="*/ 0 w 2885897"/>
              <a:gd name="connsiteY9" fmla="*/ 1285051 h 4511842"/>
              <a:gd name="connsiteX0" fmla="*/ 0 w 2885897"/>
              <a:gd name="connsiteY0" fmla="*/ 1295078 h 4521869"/>
              <a:gd name="connsiteX1" fmla="*/ 1004314 w 2885897"/>
              <a:gd name="connsiteY1" fmla="*/ 0 h 4521869"/>
              <a:gd name="connsiteX2" fmla="*/ 1873239 w 2885897"/>
              <a:gd name="connsiteY2" fmla="*/ 10027 h 4521869"/>
              <a:gd name="connsiteX3" fmla="*/ 751974 w 2885897"/>
              <a:gd name="connsiteY3" fmla="*/ 1615920 h 4521869"/>
              <a:gd name="connsiteX4" fmla="*/ 1243264 w 2885897"/>
              <a:gd name="connsiteY4" fmla="*/ 2346157 h 4521869"/>
              <a:gd name="connsiteX5" fmla="*/ 1513973 w 2885897"/>
              <a:gd name="connsiteY5" fmla="*/ 2364528 h 4521869"/>
              <a:gd name="connsiteX6" fmla="*/ 2885897 w 2885897"/>
              <a:gd name="connsiteY6" fmla="*/ 4511842 h 4521869"/>
              <a:gd name="connsiteX7" fmla="*/ 2207472 w 2885897"/>
              <a:gd name="connsiteY7" fmla="*/ 4521869 h 4521869"/>
              <a:gd name="connsiteX8" fmla="*/ 1483896 w 2885897"/>
              <a:gd name="connsiteY8" fmla="*/ 3437344 h 4521869"/>
              <a:gd name="connsiteX9" fmla="*/ 0 w 2885897"/>
              <a:gd name="connsiteY9" fmla="*/ 1295078 h 4521869"/>
              <a:gd name="connsiteX0" fmla="*/ 0 w 2885897"/>
              <a:gd name="connsiteY0" fmla="*/ 1285051 h 4511842"/>
              <a:gd name="connsiteX1" fmla="*/ 1004314 w 2885897"/>
              <a:gd name="connsiteY1" fmla="*/ 20052 h 4511842"/>
              <a:gd name="connsiteX2" fmla="*/ 1873239 w 2885897"/>
              <a:gd name="connsiteY2" fmla="*/ 0 h 4511842"/>
              <a:gd name="connsiteX3" fmla="*/ 751974 w 2885897"/>
              <a:gd name="connsiteY3" fmla="*/ 1605893 h 4511842"/>
              <a:gd name="connsiteX4" fmla="*/ 1243264 w 2885897"/>
              <a:gd name="connsiteY4" fmla="*/ 2336130 h 4511842"/>
              <a:gd name="connsiteX5" fmla="*/ 1513973 w 2885897"/>
              <a:gd name="connsiteY5" fmla="*/ 2354501 h 4511842"/>
              <a:gd name="connsiteX6" fmla="*/ 2885897 w 2885897"/>
              <a:gd name="connsiteY6" fmla="*/ 4501815 h 4511842"/>
              <a:gd name="connsiteX7" fmla="*/ 2207472 w 2885897"/>
              <a:gd name="connsiteY7" fmla="*/ 4511842 h 4511842"/>
              <a:gd name="connsiteX8" fmla="*/ 1483896 w 2885897"/>
              <a:gd name="connsiteY8" fmla="*/ 3427317 h 4511842"/>
              <a:gd name="connsiteX9" fmla="*/ 0 w 2885897"/>
              <a:gd name="connsiteY9" fmla="*/ 1285051 h 4511842"/>
              <a:gd name="connsiteX0" fmla="*/ 0 w 2885897"/>
              <a:gd name="connsiteY0" fmla="*/ 1285051 h 4511842"/>
              <a:gd name="connsiteX1" fmla="*/ 1004314 w 2885897"/>
              <a:gd name="connsiteY1" fmla="*/ 20052 h 4511842"/>
              <a:gd name="connsiteX2" fmla="*/ 1833134 w 2885897"/>
              <a:gd name="connsiteY2" fmla="*/ 0 h 4511842"/>
              <a:gd name="connsiteX3" fmla="*/ 751974 w 2885897"/>
              <a:gd name="connsiteY3" fmla="*/ 1605893 h 4511842"/>
              <a:gd name="connsiteX4" fmla="*/ 1243264 w 2885897"/>
              <a:gd name="connsiteY4" fmla="*/ 2336130 h 4511842"/>
              <a:gd name="connsiteX5" fmla="*/ 1513973 w 2885897"/>
              <a:gd name="connsiteY5" fmla="*/ 2354501 h 4511842"/>
              <a:gd name="connsiteX6" fmla="*/ 2885897 w 2885897"/>
              <a:gd name="connsiteY6" fmla="*/ 4501815 h 4511842"/>
              <a:gd name="connsiteX7" fmla="*/ 2207472 w 2885897"/>
              <a:gd name="connsiteY7" fmla="*/ 4511842 h 4511842"/>
              <a:gd name="connsiteX8" fmla="*/ 1483896 w 2885897"/>
              <a:gd name="connsiteY8" fmla="*/ 3427317 h 4511842"/>
              <a:gd name="connsiteX9" fmla="*/ 0 w 2885897"/>
              <a:gd name="connsiteY9" fmla="*/ 1285051 h 4511842"/>
              <a:gd name="connsiteX0" fmla="*/ 0 w 2885897"/>
              <a:gd name="connsiteY0" fmla="*/ 1285051 h 4511842"/>
              <a:gd name="connsiteX1" fmla="*/ 1004314 w 2885897"/>
              <a:gd name="connsiteY1" fmla="*/ 20052 h 4511842"/>
              <a:gd name="connsiteX2" fmla="*/ 1883265 w 2885897"/>
              <a:gd name="connsiteY2" fmla="*/ 0 h 4511842"/>
              <a:gd name="connsiteX3" fmla="*/ 751974 w 2885897"/>
              <a:gd name="connsiteY3" fmla="*/ 1605893 h 4511842"/>
              <a:gd name="connsiteX4" fmla="*/ 1243264 w 2885897"/>
              <a:gd name="connsiteY4" fmla="*/ 2336130 h 4511842"/>
              <a:gd name="connsiteX5" fmla="*/ 1513973 w 2885897"/>
              <a:gd name="connsiteY5" fmla="*/ 2354501 h 4511842"/>
              <a:gd name="connsiteX6" fmla="*/ 2885897 w 2885897"/>
              <a:gd name="connsiteY6" fmla="*/ 4501815 h 4511842"/>
              <a:gd name="connsiteX7" fmla="*/ 2207472 w 2885897"/>
              <a:gd name="connsiteY7" fmla="*/ 4511842 h 4511842"/>
              <a:gd name="connsiteX8" fmla="*/ 1483896 w 2885897"/>
              <a:gd name="connsiteY8" fmla="*/ 3427317 h 4511842"/>
              <a:gd name="connsiteX9" fmla="*/ 0 w 2885897"/>
              <a:gd name="connsiteY9" fmla="*/ 1285051 h 4511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885897" h="4511842">
                <a:moveTo>
                  <a:pt x="0" y="1285051"/>
                </a:moveTo>
                <a:cubicBezTo>
                  <a:pt x="220580" y="1034187"/>
                  <a:pt x="733397" y="300789"/>
                  <a:pt x="1004314" y="20052"/>
                </a:cubicBezTo>
                <a:cubicBezTo>
                  <a:pt x="1755166" y="30078"/>
                  <a:pt x="1012097" y="30079"/>
                  <a:pt x="1883265" y="0"/>
                </a:cubicBezTo>
                <a:cubicBezTo>
                  <a:pt x="1813288" y="230604"/>
                  <a:pt x="872290" y="1365055"/>
                  <a:pt x="751974" y="1605893"/>
                </a:cubicBezTo>
                <a:cubicBezTo>
                  <a:pt x="838869" y="1799174"/>
                  <a:pt x="1096210" y="2122797"/>
                  <a:pt x="1243264" y="2336130"/>
                </a:cubicBezTo>
                <a:lnTo>
                  <a:pt x="1513973" y="2354501"/>
                </a:lnTo>
                <a:cubicBezTo>
                  <a:pt x="1694447" y="2675550"/>
                  <a:pt x="2705628" y="4130842"/>
                  <a:pt x="2885897" y="4501815"/>
                </a:cubicBezTo>
                <a:lnTo>
                  <a:pt x="2207472" y="4511842"/>
                </a:lnTo>
                <a:cubicBezTo>
                  <a:pt x="1996713" y="4160921"/>
                  <a:pt x="1644317" y="3758392"/>
                  <a:pt x="1483896" y="3427317"/>
                </a:cubicBezTo>
                <a:cubicBezTo>
                  <a:pt x="939132" y="2703203"/>
                  <a:pt x="554789" y="2059297"/>
                  <a:pt x="0" y="1285051"/>
                </a:cubicBezTo>
                <a:close/>
              </a:path>
            </a:pathLst>
          </a:custGeom>
          <a:solidFill xmlns:a="http://schemas.openxmlformats.org/drawingml/2006/main">
            <a:srgbClr val="7F7F7F">
              <a:alpha val="69804"/>
            </a:srgbClr>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KE" kern="1200"/>
          </a:p>
        </cdr:txBody>
      </cdr:sp>
    </cdr:grpSp>
  </cdr:relSizeAnchor>
  <cdr:relSizeAnchor xmlns:cdr="http://schemas.openxmlformats.org/drawingml/2006/chartDrawing">
    <cdr:from>
      <cdr:x>0.45829</cdr:x>
      <cdr:y>0.42878</cdr:y>
    </cdr:from>
    <cdr:to>
      <cdr:x>0.54171</cdr:x>
      <cdr:y>0.57122</cdr:y>
    </cdr:to>
    <cdr:sp macro="" textlink="">
      <cdr:nvSpPr>
        <cdr:cNvPr id="4" name="TextBox 3">
          <a:extLst xmlns:a="http://schemas.openxmlformats.org/drawingml/2006/main">
            <a:ext uri="{FF2B5EF4-FFF2-40B4-BE49-F238E27FC236}">
              <a16:creationId xmlns:a16="http://schemas.microsoft.com/office/drawing/2014/main" id="{AE4C42E4-1A7A-7FC4-32D2-B4845BC4CC14}"/>
            </a:ext>
          </a:extLst>
        </cdr:cNvPr>
        <cdr:cNvSpPr txBox="1"/>
      </cdr:nvSpPr>
      <cdr:spPr>
        <a:xfrm xmlns:a="http://schemas.openxmlformats.org/drawingml/2006/main">
          <a:off x="5023852" y="275272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KE" sz="1100" kern="1200"/>
        </a:p>
      </cdr:txBody>
    </cdr:sp>
  </cdr:relSizeAnchor>
  <cdr:relSizeAnchor xmlns:cdr="http://schemas.openxmlformats.org/drawingml/2006/chartDrawing">
    <cdr:from>
      <cdr:x>0.45829</cdr:x>
      <cdr:y>0.42878</cdr:y>
    </cdr:from>
    <cdr:to>
      <cdr:x>0.54171</cdr:x>
      <cdr:y>0.57122</cdr:y>
    </cdr:to>
    <cdr:sp macro="" textlink="">
      <cdr:nvSpPr>
        <cdr:cNvPr id="5" name="TextBox 4">
          <a:extLst xmlns:a="http://schemas.openxmlformats.org/drawingml/2006/main">
            <a:ext uri="{FF2B5EF4-FFF2-40B4-BE49-F238E27FC236}">
              <a16:creationId xmlns:a16="http://schemas.microsoft.com/office/drawing/2014/main" id="{FD7E696F-68A7-6E7B-60DA-AAB2C17265C2}"/>
            </a:ext>
          </a:extLst>
        </cdr:cNvPr>
        <cdr:cNvSpPr txBox="1"/>
      </cdr:nvSpPr>
      <cdr:spPr>
        <a:xfrm xmlns:a="http://schemas.openxmlformats.org/drawingml/2006/main">
          <a:off x="5023852" y="2752725"/>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KE" sz="1100" kern="1200"/>
        </a:p>
      </cdr:txBody>
    </cdr:sp>
  </cdr:relSizeAnchor>
  <cdr:relSizeAnchor xmlns:cdr="http://schemas.openxmlformats.org/drawingml/2006/chartDrawing">
    <cdr:from>
      <cdr:x>0.81588</cdr:x>
      <cdr:y>0.44082</cdr:y>
    </cdr:from>
    <cdr:to>
      <cdr:x>0.96635</cdr:x>
      <cdr:y>0.47957</cdr:y>
    </cdr:to>
    <cdr:sp macro="" textlink="">
      <cdr:nvSpPr>
        <cdr:cNvPr id="8" name="TextBox 5">
          <a:extLst xmlns:a="http://schemas.openxmlformats.org/drawingml/2006/main">
            <a:ext uri="{FF2B5EF4-FFF2-40B4-BE49-F238E27FC236}">
              <a16:creationId xmlns:a16="http://schemas.microsoft.com/office/drawing/2014/main" id="{5214DD09-A1BC-E41A-E929-4E4847345862}"/>
            </a:ext>
          </a:extLst>
        </cdr:cNvPr>
        <cdr:cNvSpPr txBox="1"/>
      </cdr:nvSpPr>
      <cdr:spPr>
        <a:xfrm xmlns:a="http://schemas.openxmlformats.org/drawingml/2006/main">
          <a:off x="7288450" y="2754864"/>
          <a:ext cx="1344208" cy="242185"/>
        </a:xfrm>
        <a:prstGeom xmlns:a="http://schemas.openxmlformats.org/drawingml/2006/main" prst="rect">
          <a:avLst/>
        </a:prstGeom>
        <a:solidFill xmlns:a="http://schemas.openxmlformats.org/drawingml/2006/main">
          <a:schemeClr val="accen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chemeClr val="bg1"/>
              </a:solidFill>
            </a:rPr>
            <a:t>MLW=128,367 Kgs</a:t>
          </a:r>
          <a:endParaRPr lang="en-KE" sz="1100" b="1">
            <a:solidFill>
              <a:schemeClr val="bg1"/>
            </a:solidFill>
          </a:endParaRPr>
        </a:p>
      </cdr:txBody>
    </cdr:sp>
  </cdr:relSizeAnchor>
  <cdr:relSizeAnchor xmlns:cdr="http://schemas.openxmlformats.org/drawingml/2006/chartDrawing">
    <cdr:from>
      <cdr:x>0.77086</cdr:x>
      <cdr:y>0.50768</cdr:y>
    </cdr:from>
    <cdr:to>
      <cdr:x>0.92595</cdr:x>
      <cdr:y>0.54548</cdr:y>
    </cdr:to>
    <cdr:sp macro="" textlink="">
      <cdr:nvSpPr>
        <cdr:cNvPr id="9" name="TextBox 5">
          <a:extLst xmlns:a="http://schemas.openxmlformats.org/drawingml/2006/main">
            <a:ext uri="{FF2B5EF4-FFF2-40B4-BE49-F238E27FC236}">
              <a16:creationId xmlns:a16="http://schemas.microsoft.com/office/drawing/2014/main" id="{6E330339-3E14-9FF6-42D9-2AB8C3373480}"/>
            </a:ext>
          </a:extLst>
        </cdr:cNvPr>
        <cdr:cNvSpPr txBox="1"/>
      </cdr:nvSpPr>
      <cdr:spPr>
        <a:xfrm xmlns:a="http://schemas.openxmlformats.org/drawingml/2006/main">
          <a:off x="6886242" y="3172726"/>
          <a:ext cx="1385469" cy="236221"/>
        </a:xfrm>
        <a:prstGeom xmlns:a="http://schemas.openxmlformats.org/drawingml/2006/main" prst="rect">
          <a:avLst/>
        </a:prstGeom>
        <a:solidFill xmlns:a="http://schemas.openxmlformats.org/drawingml/2006/main">
          <a:schemeClr val="accent2"/>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1100" b="1">
              <a:solidFill>
                <a:schemeClr val="bg1"/>
              </a:solidFill>
            </a:rPr>
            <a:t>MZWF=120,657 Kgs</a:t>
          </a:r>
          <a:endParaRPr lang="en-KE" sz="1100" b="1">
            <a:solidFill>
              <a:schemeClr val="bg1"/>
            </a:solidFill>
          </a:endParaRPr>
        </a:p>
      </cdr:txBody>
    </cdr:sp>
  </cdr:relSizeAnchor>
  <cdr:relSizeAnchor xmlns:cdr="http://schemas.openxmlformats.org/drawingml/2006/chartDrawing">
    <cdr:from>
      <cdr:x>0.30119</cdr:x>
      <cdr:y>0.86881</cdr:y>
    </cdr:from>
    <cdr:to>
      <cdr:x>0.70088</cdr:x>
      <cdr:y>0.9141</cdr:y>
    </cdr:to>
    <cdr:sp macro="" textlink="">
      <cdr:nvSpPr>
        <cdr:cNvPr id="10" name="TextBox 5">
          <a:extLst xmlns:a="http://schemas.openxmlformats.org/drawingml/2006/main">
            <a:ext uri="{FF2B5EF4-FFF2-40B4-BE49-F238E27FC236}">
              <a16:creationId xmlns:a16="http://schemas.microsoft.com/office/drawing/2014/main" id="{3F7C5862-B6E6-0DAA-D849-0B8DC299A432}"/>
            </a:ext>
          </a:extLst>
        </cdr:cNvPr>
        <cdr:cNvSpPr txBox="1"/>
      </cdr:nvSpPr>
      <cdr:spPr>
        <a:xfrm xmlns:a="http://schemas.openxmlformats.org/drawingml/2006/main">
          <a:off x="3301666" y="5577640"/>
          <a:ext cx="4381500" cy="290763"/>
        </a:xfrm>
        <a:prstGeom xmlns:a="http://schemas.openxmlformats.org/drawingml/2006/main" prst="rect">
          <a:avLst/>
        </a:prstGeom>
        <a:solidFill xmlns:a="http://schemas.openxmlformats.org/drawingml/2006/main">
          <a:srgbClr val="FF00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GB" sz="1100" b="1">
              <a:solidFill>
                <a:schemeClr val="bg1"/>
              </a:solidFill>
            </a:rPr>
            <a:t>MINIMUM</a:t>
          </a:r>
          <a:r>
            <a:rPr lang="en-GB" sz="1100" b="1" baseline="0">
              <a:solidFill>
                <a:schemeClr val="bg1"/>
              </a:solidFill>
            </a:rPr>
            <a:t> FREIGHT WEIGHT=76,203 Kgs</a:t>
          </a:r>
          <a:endParaRPr lang="en-KE" sz="1100" b="1">
            <a:solidFill>
              <a:schemeClr val="bg1"/>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5YSNL\Desktop\chart.xlsm" TargetMode="External"/><Relationship Id="rId1" Type="http://schemas.openxmlformats.org/officeDocument/2006/relationships/externalLinkPath" Target="file:///C:\Users\5YSNL\Desktop\char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issing Constrains"/>
      <sheetName val="Load Plan "/>
      <sheetName val="Load Sheet"/>
      <sheetName val="Trim Sheet"/>
      <sheetName val="Indeces"/>
      <sheetName val="Chart Buildup"/>
      <sheetName val="Chart"/>
      <sheetName val="Center of gravity"/>
      <sheetName val="Stab Refrence table"/>
      <sheetName val="Combined IATA Codes"/>
    </sheetNames>
    <sheetDataSet>
      <sheetData sheetId="0" refreshError="1"/>
      <sheetData sheetId="1"/>
      <sheetData sheetId="2">
        <row r="3">
          <cell r="J3">
            <v>2</v>
          </cell>
        </row>
        <row r="11">
          <cell r="E11">
            <v>168</v>
          </cell>
        </row>
        <row r="12">
          <cell r="E12">
            <v>30</v>
          </cell>
        </row>
        <row r="13">
          <cell r="E13">
            <v>30</v>
          </cell>
        </row>
        <row r="14">
          <cell r="E14">
            <v>50</v>
          </cell>
        </row>
        <row r="16">
          <cell r="E16">
            <v>0</v>
          </cell>
        </row>
      </sheetData>
      <sheetData sheetId="3" refreshError="1"/>
      <sheetData sheetId="4" refreshError="1"/>
      <sheetData sheetId="5" refreshError="1"/>
      <sheetData sheetId="6">
        <row r="3">
          <cell r="B3" t="str">
            <v>MTW=159,755 Kgs</v>
          </cell>
        </row>
      </sheetData>
      <sheetData sheetId="7" refreshError="1"/>
      <sheetData sheetId="8" refreshError="1"/>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B05B9C6-A50D-4A46-8159-BB4A667E7B29}" name="Combined_IATA_Codes" displayName="Combined_IATA_Codes" ref="A1:C7806" totalsRowShown="0">
  <autoFilter ref="A1:C7806" xr:uid="{4B05B9C6-A50D-4A46-8159-BB4A667E7B29}"/>
  <tableColumns count="3">
    <tableColumn id="1" xr3:uid="{0FC4A255-B15E-4DF5-BBDB-B406D354CDE7}" name="IATA" dataDxfId="2"/>
    <tableColumn id="2" xr3:uid="{0D1C4C98-3F08-4FA4-BEA3-E6F0268B1BF6}" name="ICAO" dataDxfId="1"/>
    <tableColumn id="3" xr3:uid="{C6E4AA57-3204-4AC2-AAEA-67C74645D74C}" name="NAME"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9EF53-F9C4-40BB-9855-D582D6D45797}">
  <sheetPr codeName="Sheet11"/>
  <dimension ref="B1:AC90"/>
  <sheetViews>
    <sheetView topLeftCell="E28" workbookViewId="0">
      <selection activeCell="L26" sqref="L26"/>
    </sheetView>
  </sheetViews>
  <sheetFormatPr defaultRowHeight="14.5" x14ac:dyDescent="0.35"/>
  <cols>
    <col min="1" max="1" width="2.54296875" bestFit="1" customWidth="1"/>
    <col min="2" max="2" width="11.1796875" bestFit="1" customWidth="1"/>
    <col min="3" max="3" width="6.26953125" bestFit="1" customWidth="1"/>
    <col min="4" max="4" width="16.26953125" bestFit="1" customWidth="1"/>
    <col min="5" max="5" width="11.6328125" bestFit="1" customWidth="1"/>
    <col min="6" max="6" width="20" bestFit="1" customWidth="1"/>
    <col min="7" max="7" width="9" bestFit="1" customWidth="1"/>
    <col min="11" max="11" width="6.7265625" bestFit="1" customWidth="1"/>
    <col min="12" max="12" width="13.453125" bestFit="1" customWidth="1"/>
    <col min="18" max="18" width="8.81640625" bestFit="1" customWidth="1"/>
    <col min="20" max="20" width="10.08984375" bestFit="1" customWidth="1"/>
    <col min="23" max="23" width="15" bestFit="1" customWidth="1"/>
    <col min="24" max="24" width="14.90625" customWidth="1"/>
    <col min="25" max="25" width="17.90625" customWidth="1"/>
    <col min="26" max="26" width="18.26953125" customWidth="1"/>
    <col min="27" max="27" width="25.26953125" customWidth="1"/>
    <col min="28" max="28" width="22.81640625" customWidth="1"/>
    <col min="29" max="29" width="48.26953125" bestFit="1" customWidth="1"/>
  </cols>
  <sheetData>
    <row r="1" spans="2:29" ht="8" customHeight="1" thickBot="1" x14ac:dyDescent="0.4"/>
    <row r="2" spans="2:29" ht="16.5" customHeight="1" x14ac:dyDescent="0.35">
      <c r="B2" s="434" t="s">
        <v>65</v>
      </c>
      <c r="C2" s="432" t="s">
        <v>23157</v>
      </c>
      <c r="D2" s="432" t="s">
        <v>23177</v>
      </c>
      <c r="E2" s="432" t="s">
        <v>23158</v>
      </c>
      <c r="F2" s="432" t="s">
        <v>23211</v>
      </c>
      <c r="G2" s="432" t="s">
        <v>23178</v>
      </c>
    </row>
    <row r="3" spans="2:29" ht="17" customHeight="1" thickBot="1" x14ac:dyDescent="0.4">
      <c r="B3" s="435"/>
      <c r="C3" s="433"/>
      <c r="D3" s="433"/>
      <c r="E3" s="433"/>
      <c r="F3" s="433"/>
      <c r="G3" s="433"/>
      <c r="I3" s="430" t="s">
        <v>23212</v>
      </c>
      <c r="J3" s="430"/>
      <c r="K3" s="430"/>
      <c r="L3" s="430"/>
      <c r="M3" s="430"/>
      <c r="N3" s="430"/>
      <c r="O3" s="430"/>
      <c r="P3" s="430"/>
    </row>
    <row r="4" spans="2:29" ht="16.5" thickBot="1" x14ac:dyDescent="0.4">
      <c r="B4" s="192" t="s">
        <v>23146</v>
      </c>
      <c r="C4" s="191">
        <v>3429</v>
      </c>
      <c r="D4" s="191">
        <v>2408</v>
      </c>
      <c r="E4" s="191">
        <v>1726</v>
      </c>
      <c r="F4" s="191">
        <v>2409</v>
      </c>
      <c r="G4" s="191">
        <v>1859</v>
      </c>
    </row>
    <row r="5" spans="2:29" ht="16.5" thickBot="1" x14ac:dyDescent="0.4">
      <c r="B5" s="192" t="s">
        <v>23159</v>
      </c>
      <c r="C5" s="191">
        <v>3429</v>
      </c>
      <c r="D5" s="191">
        <v>2357</v>
      </c>
      <c r="E5" s="191">
        <v>1587</v>
      </c>
      <c r="F5" s="191">
        <v>2393</v>
      </c>
      <c r="G5" s="191">
        <v>2049</v>
      </c>
    </row>
    <row r="6" spans="2:29" ht="16.5" thickBot="1" x14ac:dyDescent="0.4">
      <c r="B6" s="192" t="s">
        <v>23160</v>
      </c>
      <c r="C6" s="191">
        <v>3429</v>
      </c>
      <c r="D6" s="191">
        <v>2409</v>
      </c>
      <c r="E6" s="191">
        <v>2409</v>
      </c>
      <c r="F6" s="191">
        <v>2409</v>
      </c>
      <c r="G6" s="191">
        <v>2048</v>
      </c>
      <c r="K6" t="s">
        <v>23252</v>
      </c>
      <c r="L6" t="s">
        <v>23257</v>
      </c>
    </row>
    <row r="7" spans="2:29" ht="16.5" thickBot="1" x14ac:dyDescent="0.4">
      <c r="B7" s="192" t="s">
        <v>23161</v>
      </c>
      <c r="C7" s="191">
        <v>4627</v>
      </c>
      <c r="D7" s="191">
        <v>3402</v>
      </c>
      <c r="E7" s="191">
        <v>3402</v>
      </c>
      <c r="F7" s="191">
        <v>3402</v>
      </c>
      <c r="G7" s="191">
        <v>2777</v>
      </c>
      <c r="K7" t="s">
        <v>23253</v>
      </c>
      <c r="L7">
        <v>1587</v>
      </c>
    </row>
    <row r="8" spans="2:29" ht="16.5" thickBot="1" x14ac:dyDescent="0.4">
      <c r="B8" s="192" t="s">
        <v>23162</v>
      </c>
      <c r="C8" s="191">
        <v>4627</v>
      </c>
      <c r="D8" s="191">
        <v>3121</v>
      </c>
      <c r="E8" s="191">
        <v>2796</v>
      </c>
      <c r="F8" s="191">
        <v>3402</v>
      </c>
      <c r="G8" s="191">
        <v>2348</v>
      </c>
      <c r="K8" t="s">
        <v>23254</v>
      </c>
      <c r="L8">
        <v>1224</v>
      </c>
    </row>
    <row r="9" spans="2:29" ht="16.5" thickBot="1" x14ac:dyDescent="0.4">
      <c r="B9" s="192" t="s">
        <v>23163</v>
      </c>
      <c r="C9" s="191">
        <v>3429</v>
      </c>
      <c r="D9" s="191">
        <v>2409</v>
      </c>
      <c r="E9" s="191">
        <v>2409</v>
      </c>
      <c r="F9" s="191">
        <v>2409</v>
      </c>
      <c r="G9" s="191">
        <v>2147</v>
      </c>
      <c r="K9" t="s">
        <v>23255</v>
      </c>
      <c r="L9">
        <v>1587</v>
      </c>
    </row>
    <row r="10" spans="2:29" ht="16.5" thickBot="1" x14ac:dyDescent="0.4">
      <c r="B10" s="192" t="s">
        <v>23164</v>
      </c>
      <c r="C10" s="191">
        <v>3429</v>
      </c>
      <c r="D10" s="191">
        <v>2409</v>
      </c>
      <c r="E10" s="191">
        <v>1946</v>
      </c>
      <c r="F10" s="191">
        <v>2409</v>
      </c>
      <c r="G10" s="191">
        <v>1927</v>
      </c>
      <c r="K10" t="s">
        <v>23245</v>
      </c>
      <c r="L10">
        <v>2449</v>
      </c>
    </row>
    <row r="11" spans="2:29" ht="16.5" thickBot="1" x14ac:dyDescent="0.4">
      <c r="B11" s="192" t="s">
        <v>23165</v>
      </c>
      <c r="C11" s="191">
        <v>3429</v>
      </c>
      <c r="D11" s="191">
        <v>2409</v>
      </c>
      <c r="E11" s="191">
        <v>2409</v>
      </c>
      <c r="F11" s="191">
        <v>2409</v>
      </c>
      <c r="G11" s="191">
        <v>2310</v>
      </c>
      <c r="K11" t="s">
        <v>23256</v>
      </c>
      <c r="L11">
        <v>2449</v>
      </c>
    </row>
    <row r="12" spans="2:29" ht="16.5" thickBot="1" x14ac:dyDescent="0.4">
      <c r="B12" s="192" t="s">
        <v>23166</v>
      </c>
      <c r="C12" s="191">
        <v>3429</v>
      </c>
      <c r="D12" s="191">
        <v>2409</v>
      </c>
      <c r="E12" s="191">
        <v>2307</v>
      </c>
      <c r="F12" s="191">
        <v>2409</v>
      </c>
      <c r="G12" s="191">
        <v>1759</v>
      </c>
      <c r="Y12" s="431" t="s">
        <v>23368</v>
      </c>
      <c r="Z12" s="431"/>
      <c r="AA12" s="431"/>
      <c r="AB12" s="431"/>
      <c r="AC12" s="431"/>
    </row>
    <row r="13" spans="2:29" ht="16.5" thickBot="1" x14ac:dyDescent="0.4">
      <c r="B13" s="192" t="s">
        <v>23167</v>
      </c>
      <c r="C13" s="191">
        <v>3429</v>
      </c>
      <c r="D13" s="191">
        <v>2408</v>
      </c>
      <c r="E13" s="191">
        <v>1726</v>
      </c>
      <c r="F13" s="191">
        <v>2270</v>
      </c>
      <c r="G13" s="191">
        <v>1859</v>
      </c>
      <c r="R13" t="s">
        <v>23352</v>
      </c>
      <c r="S13" t="s">
        <v>23222</v>
      </c>
      <c r="T13" t="s">
        <v>23261</v>
      </c>
      <c r="V13" s="43" t="s">
        <v>23365</v>
      </c>
      <c r="W13" s="43" t="s">
        <v>23366</v>
      </c>
      <c r="X13" s="43" t="s">
        <v>23367</v>
      </c>
      <c r="Y13" s="43" t="s">
        <v>23335</v>
      </c>
      <c r="Z13" s="43" t="s">
        <v>23369</v>
      </c>
      <c r="AA13" s="43" t="s">
        <v>23370</v>
      </c>
      <c r="AB13" s="43" t="s">
        <v>23363</v>
      </c>
      <c r="AC13" s="43" t="s">
        <v>23371</v>
      </c>
    </row>
    <row r="14" spans="2:29" ht="16.5" thickBot="1" x14ac:dyDescent="0.4">
      <c r="B14" s="192" t="s">
        <v>23168</v>
      </c>
      <c r="C14" s="191">
        <v>3429</v>
      </c>
      <c r="D14" s="191">
        <v>2409</v>
      </c>
      <c r="E14" s="191">
        <v>1587</v>
      </c>
      <c r="F14" s="191">
        <v>2409</v>
      </c>
      <c r="G14" s="191">
        <v>2248</v>
      </c>
      <c r="Q14" t="s">
        <v>23146</v>
      </c>
      <c r="R14" t="s">
        <v>23354</v>
      </c>
      <c r="S14">
        <v>11968</v>
      </c>
      <c r="T14" s="417">
        <f>SUM('Load Sheet'!$F$25,'Load Sheet'!$K$25:$K$26)</f>
        <v>4251</v>
      </c>
      <c r="V14">
        <v>1</v>
      </c>
      <c r="W14" s="425">
        <v>368.95</v>
      </c>
      <c r="X14" s="425">
        <v>493.95</v>
      </c>
      <c r="Y14" t="s">
        <v>23372</v>
      </c>
      <c r="Z14" t="s">
        <v>23395</v>
      </c>
      <c r="AA14" t="s">
        <v>23382</v>
      </c>
      <c r="AB14" t="s">
        <v>23392</v>
      </c>
      <c r="AC14" t="s">
        <v>23413</v>
      </c>
    </row>
    <row r="15" spans="2:29" ht="16.5" thickBot="1" x14ac:dyDescent="0.4">
      <c r="B15" s="192" t="s">
        <v>23169</v>
      </c>
      <c r="C15" s="191">
        <v>3429</v>
      </c>
      <c r="D15" s="191">
        <v>2409</v>
      </c>
      <c r="E15" s="191">
        <v>2409</v>
      </c>
      <c r="F15" s="191">
        <v>2299</v>
      </c>
      <c r="G15" s="191">
        <v>2048</v>
      </c>
      <c r="Q15" t="s">
        <v>23159</v>
      </c>
      <c r="R15" t="s">
        <v>23355</v>
      </c>
      <c r="S15">
        <v>18716</v>
      </c>
      <c r="T15" s="417">
        <f>SUM('Load Sheet'!$F$25:$F$27,'Load Sheet'!$K$25:$K$28)</f>
        <v>9484</v>
      </c>
      <c r="V15">
        <v>2</v>
      </c>
      <c r="W15" s="425">
        <v>493.95</v>
      </c>
      <c r="X15" s="425">
        <v>621.95000000000005</v>
      </c>
      <c r="Y15" t="s">
        <v>23373</v>
      </c>
      <c r="Z15" t="s">
        <v>23396</v>
      </c>
      <c r="AA15" t="s">
        <v>23383</v>
      </c>
      <c r="AB15" t="s">
        <v>23393</v>
      </c>
      <c r="AC15" t="s">
        <v>23414</v>
      </c>
    </row>
    <row r="16" spans="2:29" ht="16.5" thickBot="1" x14ac:dyDescent="0.4">
      <c r="B16" s="192" t="s">
        <v>23170</v>
      </c>
      <c r="C16" s="191">
        <v>4627</v>
      </c>
      <c r="D16" s="191">
        <v>3402</v>
      </c>
      <c r="E16" s="191">
        <v>3402</v>
      </c>
      <c r="F16" s="191">
        <v>3402</v>
      </c>
      <c r="G16" s="191">
        <v>2777</v>
      </c>
      <c r="Q16" t="s">
        <v>23160</v>
      </c>
      <c r="R16" t="s">
        <v>23356</v>
      </c>
      <c r="S16">
        <v>21643</v>
      </c>
      <c r="T16" s="417">
        <f>SUM('Load Sheet'!$K$25:$K$30)</f>
        <v>3186</v>
      </c>
      <c r="V16">
        <v>3</v>
      </c>
      <c r="W16" s="425">
        <v>621.95000000000005</v>
      </c>
      <c r="X16" s="425">
        <v>749.95</v>
      </c>
      <c r="Y16" t="s">
        <v>23375</v>
      </c>
      <c r="Z16" t="s">
        <v>23397</v>
      </c>
      <c r="AA16" t="s">
        <v>23384</v>
      </c>
      <c r="AB16" t="s">
        <v>23405</v>
      </c>
      <c r="AC16" t="s">
        <v>23415</v>
      </c>
    </row>
    <row r="17" spans="2:29" ht="16.5" thickBot="1" x14ac:dyDescent="0.4">
      <c r="B17" s="192" t="s">
        <v>23171</v>
      </c>
      <c r="C17" s="191">
        <v>4627</v>
      </c>
      <c r="D17" s="191">
        <v>3121</v>
      </c>
      <c r="E17" s="191">
        <v>2796</v>
      </c>
      <c r="F17" s="191">
        <v>3402</v>
      </c>
      <c r="G17" s="191">
        <v>2348</v>
      </c>
      <c r="Q17" t="s">
        <v>23161</v>
      </c>
      <c r="R17" t="s">
        <v>23357</v>
      </c>
      <c r="S17">
        <v>28501</v>
      </c>
      <c r="T17" s="417">
        <f>SUM('Load Sheet'!$F$25:$F$28,'Load Sheet'!$K$25:$K$30)</f>
        <v>12640</v>
      </c>
      <c r="V17" s="424">
        <v>4</v>
      </c>
      <c r="W17" s="426">
        <v>749.95</v>
      </c>
      <c r="X17" s="426">
        <v>876.95</v>
      </c>
      <c r="Y17" s="424" t="s">
        <v>23374</v>
      </c>
      <c r="Z17" s="424" t="s">
        <v>23398</v>
      </c>
      <c r="AA17" s="424" t="s">
        <v>23385</v>
      </c>
      <c r="AB17" s="424" t="s">
        <v>23406</v>
      </c>
      <c r="AC17" s="424" t="s">
        <v>23416</v>
      </c>
    </row>
    <row r="18" spans="2:29" ht="16.5" thickBot="1" x14ac:dyDescent="0.4">
      <c r="B18" s="192" t="s">
        <v>23172</v>
      </c>
      <c r="C18" s="191">
        <v>3429</v>
      </c>
      <c r="D18" s="191">
        <v>2409</v>
      </c>
      <c r="E18" s="191">
        <v>2409</v>
      </c>
      <c r="F18" s="191">
        <v>2409</v>
      </c>
      <c r="G18" s="191">
        <v>2147</v>
      </c>
      <c r="Q18" t="s">
        <v>23162</v>
      </c>
      <c r="R18" t="s">
        <v>23358</v>
      </c>
      <c r="S18">
        <v>35180</v>
      </c>
      <c r="T18" s="417">
        <f>SUM('Load Sheet'!$F$30:$F$31,'Load Sheet'!$F$33:$F$34,'Load Sheet'!$F$36:$F$37,'Load Sheet'!$K$32:$K$36,'Load Sheet'!$J$37:$K$37)</f>
        <v>24798</v>
      </c>
      <c r="V18">
        <v>5</v>
      </c>
      <c r="W18" s="425">
        <v>876.95</v>
      </c>
      <c r="X18" s="425">
        <v>1002.95</v>
      </c>
      <c r="Y18" t="s">
        <v>23376</v>
      </c>
      <c r="Z18" t="s">
        <v>23399</v>
      </c>
      <c r="AA18" t="s">
        <v>23386</v>
      </c>
      <c r="AB18" t="s">
        <v>23407</v>
      </c>
      <c r="AC18" t="s">
        <v>23419</v>
      </c>
    </row>
    <row r="19" spans="2:29" ht="16.5" thickBot="1" x14ac:dyDescent="0.4">
      <c r="B19" s="192" t="s">
        <v>23173</v>
      </c>
      <c r="C19" s="191">
        <v>3429</v>
      </c>
      <c r="D19" s="191">
        <v>2409</v>
      </c>
      <c r="E19" s="191">
        <v>1946</v>
      </c>
      <c r="F19" s="191">
        <v>2409</v>
      </c>
      <c r="G19" s="191">
        <v>1927</v>
      </c>
      <c r="Q19" t="s">
        <v>23163</v>
      </c>
      <c r="R19" t="s">
        <v>23359</v>
      </c>
      <c r="S19">
        <v>28322</v>
      </c>
      <c r="T19" s="417">
        <f>SUM('Load Sheet'!$F$31,'Load Sheet'!$F$33:$F$34,'Load Sheet'!$F$36:$F$37,'Load Sheet'!$K$32:$K$36,'Load Sheet'!$J$37:$K$37)</f>
        <v>20362</v>
      </c>
      <c r="V19">
        <v>6</v>
      </c>
      <c r="W19" s="427">
        <v>1002.95</v>
      </c>
      <c r="X19" s="427">
        <v>1128.95</v>
      </c>
      <c r="Y19" t="s">
        <v>23378</v>
      </c>
      <c r="Z19" t="s">
        <v>23400</v>
      </c>
      <c r="AA19" t="s">
        <v>23387</v>
      </c>
      <c r="AB19" t="s">
        <v>23408</v>
      </c>
      <c r="AC19" t="s">
        <v>23420</v>
      </c>
    </row>
    <row r="20" spans="2:29" ht="16.5" thickBot="1" x14ac:dyDescent="0.4">
      <c r="B20" s="192" t="s">
        <v>23174</v>
      </c>
      <c r="C20" s="191">
        <v>3429</v>
      </c>
      <c r="D20" s="191">
        <v>2409</v>
      </c>
      <c r="E20" s="191">
        <v>2409</v>
      </c>
      <c r="F20" s="191">
        <v>2409</v>
      </c>
      <c r="G20" s="191">
        <v>2310</v>
      </c>
      <c r="Q20" t="s">
        <v>23164</v>
      </c>
      <c r="R20" t="s">
        <v>23360</v>
      </c>
      <c r="S20">
        <v>24105</v>
      </c>
      <c r="T20" s="417">
        <f>SUM('Load Sheet'!$F$33:$F$34,'Load Sheet'!$F$36:$F$37,'Load Sheet'!K32*0.5,'Load Sheet'!$K$33,'Load Sheet'!$K$34*0.5,'Load Sheet'!$K$35:$K$36,'Load Sheet'!$J$37:$K$37)</f>
        <v>16229</v>
      </c>
      <c r="V20">
        <v>7</v>
      </c>
      <c r="W20" s="427">
        <v>1128.95</v>
      </c>
      <c r="X20" s="427">
        <v>1254.95</v>
      </c>
      <c r="Y20" t="s">
        <v>23379</v>
      </c>
      <c r="Z20" t="s">
        <v>23401</v>
      </c>
      <c r="AA20" t="s">
        <v>23388</v>
      </c>
      <c r="AB20" t="s">
        <v>23410</v>
      </c>
      <c r="AC20" t="s">
        <v>23421</v>
      </c>
    </row>
    <row r="21" spans="2:29" ht="16.5" thickBot="1" x14ac:dyDescent="0.4">
      <c r="B21" s="192" t="s">
        <v>23175</v>
      </c>
      <c r="C21" s="191">
        <v>3429</v>
      </c>
      <c r="D21" s="191">
        <v>2409</v>
      </c>
      <c r="E21" s="191">
        <v>2307</v>
      </c>
      <c r="F21" s="191">
        <v>2409</v>
      </c>
      <c r="G21" s="191">
        <v>1759</v>
      </c>
      <c r="Q21" t="s">
        <v>23165</v>
      </c>
      <c r="R21" t="s">
        <v>23361</v>
      </c>
      <c r="S21">
        <v>19419</v>
      </c>
      <c r="T21">
        <f>SUM('Load Sheet'!$F$34,'Load Sheet'!$F$36:$F$37,'Load Sheet'!$K$34*0.5,'Load Sheet'!$K$35,'Load Sheet'!$K$36*0.5)</f>
        <v>10618</v>
      </c>
      <c r="V21">
        <v>8</v>
      </c>
      <c r="W21" s="427">
        <v>1254.95</v>
      </c>
      <c r="X21" s="427">
        <v>1380.05</v>
      </c>
      <c r="Y21" t="s">
        <v>23380</v>
      </c>
      <c r="Z21" t="s">
        <v>23402</v>
      </c>
      <c r="AA21" t="s">
        <v>23389</v>
      </c>
      <c r="AB21" t="s">
        <v>23409</v>
      </c>
      <c r="AC21" t="s">
        <v>23417</v>
      </c>
    </row>
    <row r="22" spans="2:29" ht="16.5" thickBot="1" x14ac:dyDescent="0.4">
      <c r="B22" s="192" t="s">
        <v>23176</v>
      </c>
      <c r="C22" s="191">
        <v>2722</v>
      </c>
      <c r="D22" s="191">
        <v>1589</v>
      </c>
      <c r="E22" s="191">
        <v>1142</v>
      </c>
      <c r="F22" s="191">
        <v>2289</v>
      </c>
      <c r="G22" s="191">
        <v>1307</v>
      </c>
      <c r="Q22" t="s">
        <v>23166</v>
      </c>
      <c r="R22" t="s">
        <v>23362</v>
      </c>
      <c r="S22">
        <v>11380</v>
      </c>
      <c r="T22" cm="1">
        <f t="array" ref="T22">SUM('Load Sheet'!$F$36:$F$37,'Load Sheet'!$K$36*0.5,'Load Sheet'!$J$37:$K$37*0.5)</f>
        <v>6396</v>
      </c>
      <c r="V22">
        <v>9</v>
      </c>
      <c r="W22" s="427">
        <v>1380.5</v>
      </c>
      <c r="X22" s="427">
        <v>1506.95</v>
      </c>
      <c r="Y22" t="s">
        <v>23381</v>
      </c>
      <c r="Z22" t="s">
        <v>23403</v>
      </c>
      <c r="AA22" t="s">
        <v>23390</v>
      </c>
      <c r="AB22" t="s">
        <v>23411</v>
      </c>
      <c r="AC22" t="s">
        <v>23418</v>
      </c>
    </row>
    <row r="23" spans="2:29" ht="16.5" thickBot="1" x14ac:dyDescent="0.4">
      <c r="B23" s="192" t="s">
        <v>23308</v>
      </c>
      <c r="C23" s="191">
        <v>2082</v>
      </c>
      <c r="D23" s="191">
        <v>2075</v>
      </c>
      <c r="E23" s="191">
        <v>1189</v>
      </c>
      <c r="F23" s="191">
        <v>2082</v>
      </c>
      <c r="G23" s="191">
        <v>1859</v>
      </c>
      <c r="Q23" t="s">
        <v>23176</v>
      </c>
      <c r="R23" t="s">
        <v>23176</v>
      </c>
      <c r="S23">
        <v>5010</v>
      </c>
      <c r="T23" cm="1">
        <f t="array" ref="T23">SUM('Load Sheet'!$F$37,'Load Sheet'!$J$37:$K$37*0.5)</f>
        <v>2209</v>
      </c>
      <c r="V23">
        <v>10</v>
      </c>
      <c r="W23" s="427">
        <v>1506.95</v>
      </c>
      <c r="X23" s="428">
        <v>1596.95</v>
      </c>
      <c r="Y23" t="s">
        <v>23377</v>
      </c>
      <c r="Z23" t="s">
        <v>23404</v>
      </c>
      <c r="AA23" t="s">
        <v>23391</v>
      </c>
      <c r="AB23" t="s">
        <v>23412</v>
      </c>
      <c r="AC23" t="s">
        <v>23394</v>
      </c>
    </row>
    <row r="24" spans="2:29" ht="16.5" thickBot="1" x14ac:dyDescent="0.4">
      <c r="B24" s="192" t="s">
        <v>23309</v>
      </c>
      <c r="C24" s="191">
        <v>2082</v>
      </c>
      <c r="D24" s="191">
        <v>2049</v>
      </c>
      <c r="E24" s="191">
        <v>1374</v>
      </c>
      <c r="F24" s="191">
        <v>2082</v>
      </c>
      <c r="G24" s="191">
        <v>1618</v>
      </c>
      <c r="Q24" t="s">
        <v>23147</v>
      </c>
      <c r="R24" t="s">
        <v>23147</v>
      </c>
      <c r="S24">
        <v>11968</v>
      </c>
      <c r="T24" s="417">
        <f>SUM('Load Sheet'!$F$25,'Load Sheet'!$K$25:$K$26)</f>
        <v>4251</v>
      </c>
    </row>
    <row r="25" spans="2:29" ht="16.5" thickBot="1" x14ac:dyDescent="0.4">
      <c r="B25" s="192" t="s">
        <v>23310</v>
      </c>
      <c r="C25" s="191">
        <v>2082</v>
      </c>
      <c r="D25" s="191">
        <v>2082</v>
      </c>
      <c r="E25" s="191">
        <v>2082</v>
      </c>
      <c r="F25" s="191">
        <v>2082</v>
      </c>
      <c r="G25" s="191">
        <v>2048</v>
      </c>
      <c r="Q25" t="s">
        <v>23179</v>
      </c>
      <c r="R25" t="s">
        <v>23179</v>
      </c>
      <c r="S25">
        <v>18716</v>
      </c>
      <c r="T25" s="417">
        <f>SUM('Load Sheet'!$F$25:$F$27,'Load Sheet'!$K$25:$K$28)</f>
        <v>9484</v>
      </c>
    </row>
    <row r="26" spans="2:29" ht="16.5" thickBot="1" x14ac:dyDescent="0.4">
      <c r="B26" s="192" t="s">
        <v>23311</v>
      </c>
      <c r="C26" s="191">
        <v>2939</v>
      </c>
      <c r="D26" s="191">
        <v>2939</v>
      </c>
      <c r="E26" s="191">
        <v>2275</v>
      </c>
      <c r="F26" s="191">
        <v>2939</v>
      </c>
      <c r="G26" s="191">
        <v>2592</v>
      </c>
      <c r="Q26" t="s">
        <v>23180</v>
      </c>
      <c r="R26" t="s">
        <v>23180</v>
      </c>
      <c r="S26">
        <v>21643</v>
      </c>
      <c r="T26" s="417">
        <f>SUM('Load Sheet'!$K$25:$K$30)</f>
        <v>3186</v>
      </c>
    </row>
    <row r="27" spans="2:29" ht="16.5" thickBot="1" x14ac:dyDescent="0.4">
      <c r="B27" s="192" t="s">
        <v>23312</v>
      </c>
      <c r="C27" s="191">
        <v>2939</v>
      </c>
      <c r="D27" s="191">
        <v>2939</v>
      </c>
      <c r="E27" s="191">
        <v>2397</v>
      </c>
      <c r="F27" s="191">
        <v>2939</v>
      </c>
      <c r="G27" s="191">
        <v>2592</v>
      </c>
      <c r="Q27" t="s">
        <v>23181</v>
      </c>
      <c r="R27" t="s">
        <v>23181</v>
      </c>
      <c r="S27">
        <v>28501</v>
      </c>
      <c r="T27" s="417">
        <f>SUM('Load Sheet'!$F$25:$F$28,'Load Sheet'!$K$25:$K$30)</f>
        <v>12640</v>
      </c>
    </row>
    <row r="28" spans="2:29" ht="16.5" thickBot="1" x14ac:dyDescent="0.4">
      <c r="B28" s="192" t="s">
        <v>23313</v>
      </c>
      <c r="C28" s="191">
        <v>2082</v>
      </c>
      <c r="D28" s="191">
        <v>2082</v>
      </c>
      <c r="E28" s="191">
        <v>2082</v>
      </c>
      <c r="F28" s="191">
        <v>2082</v>
      </c>
      <c r="G28" s="191">
        <v>2082</v>
      </c>
      <c r="Q28" t="s">
        <v>23182</v>
      </c>
      <c r="R28" t="s">
        <v>23182</v>
      </c>
      <c r="S28">
        <v>35180</v>
      </c>
      <c r="T28" s="417">
        <f>SUM('Load Sheet'!$F$30:$F$31,'Load Sheet'!$F$33:$F$34,'Load Sheet'!$F$36:$F$37,'Load Sheet'!$K$32:$K$36,'Load Sheet'!$J$37:$K$37)</f>
        <v>24798</v>
      </c>
    </row>
    <row r="29" spans="2:29" ht="16.5" thickBot="1" x14ac:dyDescent="0.4">
      <c r="B29" s="192" t="s">
        <v>23314</v>
      </c>
      <c r="C29" s="191">
        <v>2082</v>
      </c>
      <c r="D29" s="191">
        <v>2082</v>
      </c>
      <c r="E29" s="191">
        <v>1696</v>
      </c>
      <c r="F29" s="191">
        <v>2082</v>
      </c>
      <c r="G29" s="191">
        <v>2082</v>
      </c>
      <c r="Q29" t="s">
        <v>23183</v>
      </c>
      <c r="R29" t="s">
        <v>23183</v>
      </c>
      <c r="S29">
        <v>28322</v>
      </c>
      <c r="T29" s="417">
        <f>SUM('Load Sheet'!$F$31,'Load Sheet'!$F$33:$F$34,'Load Sheet'!$F$36:$F$37,'Load Sheet'!$K$32:$K$36,'Load Sheet'!$J$37:$K$37)</f>
        <v>20362</v>
      </c>
    </row>
    <row r="30" spans="2:29" ht="16.5" thickBot="1" x14ac:dyDescent="0.4">
      <c r="B30" s="192" t="s">
        <v>23315</v>
      </c>
      <c r="C30" s="191">
        <v>2082</v>
      </c>
      <c r="D30" s="191">
        <v>2082</v>
      </c>
      <c r="E30" s="191">
        <v>1537</v>
      </c>
      <c r="F30" s="191">
        <v>2082</v>
      </c>
      <c r="G30" s="191">
        <v>2082</v>
      </c>
      <c r="Q30" t="s">
        <v>23184</v>
      </c>
      <c r="R30" t="s">
        <v>23184</v>
      </c>
      <c r="S30">
        <v>24105</v>
      </c>
      <c r="T30" s="417">
        <f>SUM('Load Sheet'!$F$33:$F$34,'Load Sheet'!$F$36:$F$37,'Load Sheet'!K42*0.5,'Load Sheet'!$K$33,'Load Sheet'!$K$34*0.5,'Load Sheet'!$K$35:$K$36,'Load Sheet'!$J$37:$K$37)</f>
        <v>16229</v>
      </c>
    </row>
    <row r="31" spans="2:29" ht="16.5" thickBot="1" x14ac:dyDescent="0.4">
      <c r="B31" s="192" t="s">
        <v>23316</v>
      </c>
      <c r="C31" s="191">
        <v>2082</v>
      </c>
      <c r="D31" s="191">
        <v>2082</v>
      </c>
      <c r="E31" s="191">
        <v>1405</v>
      </c>
      <c r="F31" s="191">
        <v>2082</v>
      </c>
      <c r="G31" s="191">
        <v>2082</v>
      </c>
      <c r="Q31" t="s">
        <v>23185</v>
      </c>
      <c r="R31" t="s">
        <v>23185</v>
      </c>
      <c r="S31">
        <v>19419</v>
      </c>
      <c r="T31">
        <f>SUM('Load Sheet'!$F$34,'Load Sheet'!$F$36:$F$37,'Load Sheet'!$K$34*0.5,'Load Sheet'!$K$35,'Load Sheet'!$K$36*0.5)</f>
        <v>10618</v>
      </c>
    </row>
    <row r="32" spans="2:29" ht="16.5" thickBot="1" x14ac:dyDescent="0.4">
      <c r="B32" s="192" t="s">
        <v>23317</v>
      </c>
      <c r="C32" s="191">
        <v>2082</v>
      </c>
      <c r="D32" s="191">
        <v>2059</v>
      </c>
      <c r="E32" s="191">
        <v>1294</v>
      </c>
      <c r="F32" s="191">
        <v>2082</v>
      </c>
      <c r="G32" s="191">
        <v>2082</v>
      </c>
      <c r="Q32" t="s">
        <v>23186</v>
      </c>
      <c r="R32" t="s">
        <v>23186</v>
      </c>
      <c r="S32">
        <v>11380</v>
      </c>
      <c r="T32" cm="1">
        <f t="array" ref="T32">SUM('Load Sheet'!$F$36:$F$37,'Load Sheet'!$K$36*0.5,'Load Sheet'!$J$37:$K$37*0.5)</f>
        <v>6396</v>
      </c>
    </row>
    <row r="33" spans="2:21" ht="16.5" thickBot="1" x14ac:dyDescent="0.4">
      <c r="B33" s="192" t="s">
        <v>23318</v>
      </c>
      <c r="C33" s="191">
        <v>2082</v>
      </c>
      <c r="D33" s="191">
        <v>2075</v>
      </c>
      <c r="E33" s="191">
        <v>1189</v>
      </c>
      <c r="F33" s="191">
        <v>2082</v>
      </c>
      <c r="G33" s="191">
        <v>1859</v>
      </c>
      <c r="Q33" t="s">
        <v>23187</v>
      </c>
      <c r="R33" t="s">
        <v>23187</v>
      </c>
      <c r="S33">
        <v>5101</v>
      </c>
      <c r="T33" cm="1">
        <f t="array" ref="T33">SUM('Load Sheet'!$F$37,'Load Sheet'!$J$37:$K$37*0.5)</f>
        <v>2209</v>
      </c>
    </row>
    <row r="34" spans="2:21" ht="16.5" thickBot="1" x14ac:dyDescent="0.4">
      <c r="B34" s="192" t="s">
        <v>23319</v>
      </c>
      <c r="C34" s="191">
        <v>2082</v>
      </c>
      <c r="D34" s="191">
        <v>2082</v>
      </c>
      <c r="E34" s="191">
        <v>1374</v>
      </c>
      <c r="F34" s="191">
        <v>2082</v>
      </c>
      <c r="G34" s="191">
        <v>1618</v>
      </c>
      <c r="Q34" t="s">
        <v>23148</v>
      </c>
      <c r="R34" t="s">
        <v>23148</v>
      </c>
      <c r="S34">
        <v>9402</v>
      </c>
      <c r="T34" s="417">
        <f>SUM('Load Sheet'!$F$25,'Load Sheet'!$K$25:$K$26)</f>
        <v>4251</v>
      </c>
    </row>
    <row r="35" spans="2:21" ht="16.5" thickBot="1" x14ac:dyDescent="0.4">
      <c r="B35" s="192" t="s">
        <v>23320</v>
      </c>
      <c r="C35" s="191">
        <v>2082</v>
      </c>
      <c r="D35" s="191">
        <v>2082</v>
      </c>
      <c r="E35" s="191">
        <v>2082</v>
      </c>
      <c r="F35" s="191">
        <v>2082</v>
      </c>
      <c r="G35" s="191">
        <v>2048</v>
      </c>
      <c r="Q35" t="s">
        <v>23188</v>
      </c>
      <c r="R35" t="s">
        <v>23188</v>
      </c>
      <c r="S35">
        <v>17489</v>
      </c>
      <c r="T35" s="417">
        <f>SUM('Load Sheet'!$F$25:$F$26,'Load Sheet'!$K$25:$K$28)</f>
        <v>7403</v>
      </c>
    </row>
    <row r="36" spans="2:21" ht="16.5" thickBot="1" x14ac:dyDescent="0.4">
      <c r="B36" s="192" t="s">
        <v>23321</v>
      </c>
      <c r="C36" s="191">
        <v>2939</v>
      </c>
      <c r="D36" s="191">
        <v>2939</v>
      </c>
      <c r="E36" s="191">
        <v>2275</v>
      </c>
      <c r="F36" s="191">
        <v>2082</v>
      </c>
      <c r="G36" s="191">
        <v>2592</v>
      </c>
      <c r="Q36" t="s">
        <v>23189</v>
      </c>
      <c r="R36" t="s">
        <v>23189</v>
      </c>
      <c r="S36">
        <v>20402</v>
      </c>
      <c r="T36" s="417">
        <f>SUM('Load Sheet'!$F$25:$F$27,'Load Sheet'!$F$28*0.5,'Load Sheet'!$K$25:$K$28)</f>
        <v>11062</v>
      </c>
      <c r="U36" s="430"/>
    </row>
    <row r="37" spans="2:21" ht="16.5" thickBot="1" x14ac:dyDescent="0.4">
      <c r="B37" s="192" t="s">
        <v>23322</v>
      </c>
      <c r="C37" s="191">
        <v>2939</v>
      </c>
      <c r="D37" s="191">
        <v>2939</v>
      </c>
      <c r="E37" s="191">
        <v>2397</v>
      </c>
      <c r="F37" s="191">
        <v>2939</v>
      </c>
      <c r="G37" s="191">
        <v>2592</v>
      </c>
      <c r="Q37" t="s">
        <v>23190</v>
      </c>
      <c r="R37" t="s">
        <v>23190</v>
      </c>
      <c r="S37">
        <v>23659</v>
      </c>
      <c r="T37" s="417">
        <f>SUM('Load Sheet'!$F$25:$F$29,'Load Sheet'!$F$29,'Load Sheet'!$K$25:$K$30)</f>
        <v>12640</v>
      </c>
      <c r="U37" s="430"/>
    </row>
    <row r="38" spans="2:21" ht="16.5" thickBot="1" x14ac:dyDescent="0.4">
      <c r="B38" s="192" t="s">
        <v>23323</v>
      </c>
      <c r="C38" s="191">
        <v>2082</v>
      </c>
      <c r="D38" s="191">
        <v>2082</v>
      </c>
      <c r="E38" s="191">
        <v>2082</v>
      </c>
      <c r="F38" s="191">
        <v>2939</v>
      </c>
      <c r="G38" s="191">
        <v>2082</v>
      </c>
      <c r="Q38" t="s">
        <v>23191</v>
      </c>
      <c r="R38" t="s">
        <v>23191</v>
      </c>
      <c r="S38">
        <v>28504</v>
      </c>
      <c r="T38" s="417">
        <f>SUM('Load Sheet'!$F$30:$F$37,'Load Sheet'!$K$32:$K$36,'Load Sheet'!$J$37:$K$37)</f>
        <v>24798</v>
      </c>
    </row>
    <row r="39" spans="2:21" ht="16.5" thickBot="1" x14ac:dyDescent="0.4">
      <c r="B39" s="192" t="s">
        <v>23324</v>
      </c>
      <c r="C39" s="191">
        <v>2082</v>
      </c>
      <c r="D39" s="191">
        <v>2082</v>
      </c>
      <c r="E39" s="191">
        <v>1696</v>
      </c>
      <c r="F39" s="191">
        <v>2082</v>
      </c>
      <c r="G39" s="191">
        <v>2082</v>
      </c>
      <c r="Q39" t="s">
        <v>23192</v>
      </c>
      <c r="R39" t="s">
        <v>23192</v>
      </c>
      <c r="S39">
        <v>35180</v>
      </c>
      <c r="T39" s="417">
        <f>SUM('Load Sheet'!$F$31*0.5,'Load Sheet'!$F$32:$F$37,'Load Sheet'!$K$32:$K$36,'Load Sheet'!$J$37:$K$37)</f>
        <v>18295.5</v>
      </c>
    </row>
    <row r="40" spans="2:21" ht="16.5" thickBot="1" x14ac:dyDescent="0.4">
      <c r="B40" s="192" t="s">
        <v>23325</v>
      </c>
      <c r="C40" s="191">
        <v>2082</v>
      </c>
      <c r="D40" s="191">
        <v>2082</v>
      </c>
      <c r="E40" s="191">
        <v>1537</v>
      </c>
      <c r="F40" s="191">
        <v>2082</v>
      </c>
      <c r="G40" s="191">
        <v>2082</v>
      </c>
      <c r="Q40" t="s">
        <v>23193</v>
      </c>
      <c r="R40" t="s">
        <v>23193</v>
      </c>
      <c r="S40">
        <v>30330</v>
      </c>
      <c r="T40" s="417">
        <f>SUM('Load Sheet'!$F$33:$F$37,'Load Sheet'!K52*0.5,'Load Sheet'!$K$33,'Load Sheet'!$K$34*0.5,'Load Sheet'!$K$35:$K$36,'Load Sheet'!$J$37:$K$37)</f>
        <v>16229</v>
      </c>
    </row>
    <row r="41" spans="2:21" ht="16.5" thickBot="1" x14ac:dyDescent="0.4">
      <c r="B41" s="192" t="s">
        <v>23326</v>
      </c>
      <c r="C41" s="191">
        <v>2082</v>
      </c>
      <c r="D41" s="191">
        <v>2082</v>
      </c>
      <c r="E41" s="191">
        <v>1300</v>
      </c>
      <c r="F41" s="191">
        <v>2082</v>
      </c>
      <c r="G41" s="191">
        <v>2082</v>
      </c>
      <c r="Q41" t="s">
        <v>23194</v>
      </c>
      <c r="R41" t="s">
        <v>23194</v>
      </c>
      <c r="S41">
        <v>26316</v>
      </c>
      <c r="T41">
        <f>SUM('Load Sheet'!$F$34:$F$37,'Load Sheet'!$K$34*0.5,'Load Sheet'!$K$35,'Load Sheet'!$K$36*0.5)</f>
        <v>10618</v>
      </c>
    </row>
    <row r="42" spans="2:21" ht="16.5" thickBot="1" x14ac:dyDescent="0.4">
      <c r="B42" s="192" t="s">
        <v>23327</v>
      </c>
      <c r="C42" s="191">
        <v>2082</v>
      </c>
      <c r="D42" s="191">
        <v>2059</v>
      </c>
      <c r="E42" s="191">
        <v>1294</v>
      </c>
      <c r="F42" s="191">
        <v>2082</v>
      </c>
      <c r="G42" s="191">
        <v>2082</v>
      </c>
      <c r="Q42" t="s">
        <v>23195</v>
      </c>
      <c r="R42" t="s">
        <v>23195</v>
      </c>
      <c r="S42">
        <v>23732</v>
      </c>
      <c r="T42" cm="1">
        <f t="array" ref="T42">SUM('Load Sheet'!$F$36:$F$37,'Load Sheet'!$K$35*0.5,'Load Sheet'!$J$37:$K$37*0.5)</f>
        <v>6261.5</v>
      </c>
    </row>
    <row r="43" spans="2:21" ht="16.5" thickBot="1" x14ac:dyDescent="0.4">
      <c r="B43" s="192" t="s">
        <v>23147</v>
      </c>
      <c r="C43" s="191">
        <v>4853</v>
      </c>
      <c r="D43" s="191">
        <v>3910</v>
      </c>
      <c r="E43" s="191">
        <v>2813</v>
      </c>
      <c r="F43" s="191">
        <v>3241</v>
      </c>
      <c r="G43" s="191">
        <v>2112</v>
      </c>
      <c r="Q43" t="s">
        <v>23196</v>
      </c>
      <c r="R43" t="s">
        <v>23196</v>
      </c>
      <c r="S43">
        <v>20824</v>
      </c>
      <c r="T43" cm="1">
        <f t="array" ref="T43">SUM('Load Sheet'!$F$33:$F$37,'Load Sheet'!$J$37:$K$37*0.5)</f>
        <v>13696</v>
      </c>
    </row>
    <row r="44" spans="2:21" ht="16.5" thickBot="1" x14ac:dyDescent="0.4">
      <c r="B44" s="192" t="s">
        <v>23179</v>
      </c>
      <c r="C44" s="191">
        <v>4853</v>
      </c>
      <c r="D44" s="191">
        <v>3496</v>
      </c>
      <c r="E44" s="191">
        <v>2335</v>
      </c>
      <c r="F44" s="191">
        <v>2700</v>
      </c>
      <c r="G44" s="191">
        <v>2362</v>
      </c>
      <c r="Q44" t="s">
        <v>23197</v>
      </c>
      <c r="R44" t="s">
        <v>23197</v>
      </c>
      <c r="S44">
        <v>12115</v>
      </c>
      <c r="T44">
        <f>SUM('Load Sheet'!$F$34:$F$37,'Load Sheet'!$K$34*0.5,'Load Sheet'!$K$35,'Load Sheet'!$K$36*0.5)</f>
        <v>10618</v>
      </c>
    </row>
    <row r="45" spans="2:21" ht="16.5" thickBot="1" x14ac:dyDescent="0.4">
      <c r="B45" s="192" t="s">
        <v>23180</v>
      </c>
      <c r="C45" s="191">
        <v>4853</v>
      </c>
      <c r="D45" s="191">
        <v>4853</v>
      </c>
      <c r="E45" s="191">
        <v>4853</v>
      </c>
      <c r="F45" s="191">
        <v>3732</v>
      </c>
      <c r="G45" s="191">
        <v>2187</v>
      </c>
      <c r="Q45" t="s">
        <v>23198</v>
      </c>
      <c r="R45" t="s">
        <v>23198</v>
      </c>
      <c r="S45">
        <v>9182</v>
      </c>
      <c r="T45" t="e" cm="1">
        <f t="array" ref="T45">SUM('Load Sheet'!$F$35*0.5,'Load Sheet'!$F$36:$F$37,'Load Sheet'!$K$36*0.5,'Load Sheet'!$J$37:$K$37*0.5)</f>
        <v>#VALUE!</v>
      </c>
    </row>
    <row r="46" spans="2:21" ht="16.5" thickBot="1" x14ac:dyDescent="0.4">
      <c r="B46" s="192" t="s">
        <v>23181</v>
      </c>
      <c r="C46" s="191">
        <v>6804</v>
      </c>
      <c r="D46" s="191">
        <v>6330</v>
      </c>
      <c r="E46" s="191">
        <v>3358</v>
      </c>
      <c r="F46" s="191">
        <v>4723</v>
      </c>
      <c r="G46" s="191">
        <v>2768</v>
      </c>
      <c r="Q46" t="s">
        <v>23199</v>
      </c>
      <c r="R46" t="s">
        <v>23199</v>
      </c>
      <c r="S46">
        <v>5010</v>
      </c>
      <c r="T46" cm="1">
        <f t="array" ref="T46">SUM('Load Sheet'!$F$37,'Load Sheet'!$J$37:$K$37*0.5)</f>
        <v>2209</v>
      </c>
    </row>
    <row r="47" spans="2:21" ht="16.5" thickBot="1" x14ac:dyDescent="0.4">
      <c r="B47" s="192" t="s">
        <v>23182</v>
      </c>
      <c r="C47" s="191">
        <v>6804</v>
      </c>
      <c r="D47" s="191">
        <v>5940</v>
      </c>
      <c r="E47" s="191">
        <v>3796</v>
      </c>
      <c r="F47" s="191">
        <v>4723</v>
      </c>
      <c r="G47" s="191">
        <v>2768</v>
      </c>
      <c r="Q47" t="s">
        <v>23149</v>
      </c>
      <c r="R47" t="s">
        <v>23149</v>
      </c>
      <c r="S47">
        <v>9973</v>
      </c>
      <c r="T47" s="417">
        <f>SUM('Load Sheet'!$F$25,0.5*'Load Sheet'!$F$26,'Load Sheet'!$K$25:$K$26)</f>
        <v>5278.5</v>
      </c>
    </row>
    <row r="48" spans="2:21" ht="16.5" thickBot="1" x14ac:dyDescent="0.4">
      <c r="B48" s="192" t="s">
        <v>23183</v>
      </c>
      <c r="C48" s="191">
        <v>4853</v>
      </c>
      <c r="D48" s="191">
        <v>4853</v>
      </c>
      <c r="E48" s="191">
        <v>3751</v>
      </c>
      <c r="F48" s="191">
        <v>4723</v>
      </c>
      <c r="G48" s="191">
        <v>2768</v>
      </c>
      <c r="Q48" t="s">
        <v>23200</v>
      </c>
      <c r="R48" t="s">
        <v>23200</v>
      </c>
      <c r="S48">
        <v>17782</v>
      </c>
      <c r="T48" s="417">
        <f>SUM('Load Sheet'!$F$25:$F$26,'Load Sheet'!$F$27*0.5,'Load Sheet'!$K$25:$K$28)</f>
        <v>8443.5</v>
      </c>
    </row>
    <row r="49" spans="2:20" ht="16.5" thickBot="1" x14ac:dyDescent="0.4">
      <c r="B49" s="192" t="s">
        <v>23184</v>
      </c>
      <c r="C49" s="191">
        <v>4853</v>
      </c>
      <c r="D49" s="191">
        <v>4118</v>
      </c>
      <c r="E49" s="191">
        <v>2645</v>
      </c>
      <c r="F49" s="191">
        <v>4723</v>
      </c>
      <c r="G49" s="191">
        <v>2768</v>
      </c>
      <c r="Q49" t="s">
        <v>23201</v>
      </c>
      <c r="R49" t="s">
        <v>23201</v>
      </c>
      <c r="S49">
        <v>20877</v>
      </c>
      <c r="T49" s="417">
        <f>SUM('Load Sheet'!$F$25:$F$27,'Load Sheet'!$F$28*0.5,'Load Sheet'!$K$25:$K$28)</f>
        <v>11062</v>
      </c>
    </row>
    <row r="50" spans="2:20" ht="16.5" thickBot="1" x14ac:dyDescent="0.4">
      <c r="B50" s="192" t="s">
        <v>23185</v>
      </c>
      <c r="C50" s="191">
        <v>4853</v>
      </c>
      <c r="D50" s="191">
        <v>4853</v>
      </c>
      <c r="E50" s="191">
        <v>4556</v>
      </c>
      <c r="F50" s="191">
        <v>4723</v>
      </c>
      <c r="G50" s="191">
        <v>2768</v>
      </c>
      <c r="Q50" t="s">
        <v>23202</v>
      </c>
      <c r="R50" t="s">
        <v>23202</v>
      </c>
      <c r="S50">
        <v>25343</v>
      </c>
      <c r="T50" s="417" t="e">
        <f>SUM('Load Sheet'!$F$25:$F$28,'Load Sheet'!$F$29*0.5,'Load Sheet'!$K$25:$K$30)</f>
        <v>#VALUE!</v>
      </c>
    </row>
    <row r="51" spans="2:20" ht="16.5" thickBot="1" x14ac:dyDescent="0.4">
      <c r="B51" s="192" t="s">
        <v>23186</v>
      </c>
      <c r="C51" s="191">
        <v>4853</v>
      </c>
      <c r="D51" s="191">
        <v>3323</v>
      </c>
      <c r="E51" s="191">
        <v>2269</v>
      </c>
      <c r="F51" s="191">
        <v>4723</v>
      </c>
      <c r="G51" s="191">
        <v>2768</v>
      </c>
      <c r="Q51" t="s">
        <v>23203</v>
      </c>
      <c r="R51" t="s">
        <v>23203</v>
      </c>
      <c r="S51">
        <v>30623</v>
      </c>
      <c r="T51" s="417" t="e">
        <f>SUM('Load Sheet'!$F$29*0.5,'Load Sheet'!$F$30:$F$37,'Load Sheet'!$K$32:$K$36,'Load Sheet'!$J$37:$K$37)</f>
        <v>#VALUE!</v>
      </c>
    </row>
    <row r="52" spans="2:20" ht="16.5" thickBot="1" x14ac:dyDescent="0.4">
      <c r="B52" s="192" t="s">
        <v>23187</v>
      </c>
      <c r="C52" s="191">
        <v>2722</v>
      </c>
      <c r="D52" s="191">
        <v>1858</v>
      </c>
      <c r="E52" s="191">
        <v>1142</v>
      </c>
      <c r="F52" s="191">
        <v>2358</v>
      </c>
      <c r="G52" s="191">
        <v>1761</v>
      </c>
      <c r="Q52" t="s">
        <v>23204</v>
      </c>
      <c r="R52" t="s">
        <v>23204</v>
      </c>
      <c r="S52">
        <v>33057</v>
      </c>
      <c r="T52" s="417">
        <f>SUM('Load Sheet'!$F$30*0.5,'Load Sheet'!$F$31:$F$37,'Load Sheet'!$K$32:$K$36,'Load Sheet'!$J$37:$K$37)</f>
        <v>22580</v>
      </c>
    </row>
    <row r="53" spans="2:20" ht="16.5" thickBot="1" x14ac:dyDescent="0.4">
      <c r="B53" s="192" t="s">
        <v>23148</v>
      </c>
      <c r="C53" s="191">
        <v>3431</v>
      </c>
      <c r="D53" s="191">
        <v>2641</v>
      </c>
      <c r="E53" s="191">
        <v>1912</v>
      </c>
      <c r="F53" s="191">
        <v>3431</v>
      </c>
      <c r="G53" s="191">
        <v>1561</v>
      </c>
      <c r="Q53" t="s">
        <v>23205</v>
      </c>
      <c r="R53" t="s">
        <v>23205</v>
      </c>
      <c r="S53">
        <v>27935</v>
      </c>
      <c r="T53" s="417" t="e">
        <f>SUM('Load Sheet'!$F$32*0.5,'Load Sheet'!$F$33:$F$37,'Load Sheet'!K65*0.5,'Load Sheet'!$K$33,'Load Sheet'!$K$34*0.5,'Load Sheet'!$K$35:$K$36,'Load Sheet'!$J$37:$K$37)</f>
        <v>#VALUE!</v>
      </c>
    </row>
    <row r="54" spans="2:20" ht="16.5" thickBot="1" x14ac:dyDescent="0.4">
      <c r="B54" s="192" t="s">
        <v>23188</v>
      </c>
      <c r="C54" s="191">
        <v>3431</v>
      </c>
      <c r="D54" s="191">
        <v>3036</v>
      </c>
      <c r="E54" s="191">
        <v>2237</v>
      </c>
      <c r="F54" s="191">
        <v>2474</v>
      </c>
      <c r="G54" s="191">
        <v>1618</v>
      </c>
      <c r="Q54" t="s">
        <v>23206</v>
      </c>
      <c r="R54" t="s">
        <v>23206</v>
      </c>
      <c r="S54">
        <v>24575</v>
      </c>
      <c r="T54">
        <f>SUM('Load Sheet'!$F$33*0.5,'Load Sheet'!$F$34:$F$37,'Load Sheet'!$K$34*0.5,'Load Sheet'!$K$35,'Load Sheet'!$K$36*0.5)</f>
        <v>12585</v>
      </c>
    </row>
    <row r="55" spans="2:20" ht="16.5" thickBot="1" x14ac:dyDescent="0.4">
      <c r="B55" s="192" t="s">
        <v>23189</v>
      </c>
      <c r="C55" s="191">
        <v>3431</v>
      </c>
      <c r="D55" s="191">
        <v>3431</v>
      </c>
      <c r="E55" s="191">
        <v>2168</v>
      </c>
      <c r="F55" s="191">
        <v>2716</v>
      </c>
      <c r="G55" s="191">
        <v>1618</v>
      </c>
      <c r="Q55" t="s">
        <v>23207</v>
      </c>
      <c r="R55" t="s">
        <v>23207</v>
      </c>
      <c r="S55">
        <v>22277</v>
      </c>
      <c r="T55" t="e" cm="1">
        <f t="array" ref="T55">SUM('Load Sheet'!$F$35*0.5,'Load Sheet'!$F$36:$F$37,'Load Sheet'!$K$36*0.5,'Load Sheet'!$J$37:$K$37*0.5)</f>
        <v>#VALUE!</v>
      </c>
    </row>
    <row r="56" spans="2:20" ht="16.5" thickBot="1" x14ac:dyDescent="0.4">
      <c r="B56" s="192" t="s">
        <v>23190</v>
      </c>
      <c r="C56" s="191">
        <v>3431</v>
      </c>
      <c r="D56" s="191">
        <v>3431</v>
      </c>
      <c r="E56" s="191">
        <v>3431</v>
      </c>
      <c r="F56" s="191">
        <v>3431</v>
      </c>
      <c r="G56" s="191">
        <v>2520</v>
      </c>
      <c r="Q56" t="s">
        <v>23208</v>
      </c>
      <c r="R56" t="s">
        <v>23208</v>
      </c>
      <c r="S56">
        <v>16209</v>
      </c>
      <c r="T56" cm="1">
        <f t="array" ref="T56">SUM('Load Sheet'!$F$33:$F$37,'Load Sheet'!$J$37:$K$37*0.5)</f>
        <v>13696</v>
      </c>
    </row>
    <row r="57" spans="2:20" ht="16.5" thickBot="1" x14ac:dyDescent="0.4">
      <c r="B57" s="192" t="s">
        <v>23191</v>
      </c>
      <c r="C57" s="191">
        <v>4844</v>
      </c>
      <c r="D57" s="191">
        <v>4721</v>
      </c>
      <c r="E57" s="191">
        <v>3200</v>
      </c>
      <c r="F57" s="191">
        <v>4172</v>
      </c>
      <c r="G57" s="191">
        <v>2592</v>
      </c>
      <c r="Q57" t="s">
        <v>23209</v>
      </c>
      <c r="R57" t="s">
        <v>23209</v>
      </c>
      <c r="S57">
        <v>10072</v>
      </c>
      <c r="T57" t="e">
        <f>SUM('Load Sheet'!$F$35*0.5,'Load Sheet'!$F$36:$F$37,'Load Sheet'!$K$34*0.5,'Load Sheet'!$K$35,'Load Sheet'!$K$36*0.5)</f>
        <v>#VALUE!</v>
      </c>
    </row>
    <row r="58" spans="2:20" ht="21" customHeight="1" thickBot="1" x14ac:dyDescent="0.4">
      <c r="B58" s="192" t="s">
        <v>23192</v>
      </c>
      <c r="C58" s="191">
        <v>4844</v>
      </c>
      <c r="D58" s="191">
        <v>4277</v>
      </c>
      <c r="E58" s="191">
        <v>2840</v>
      </c>
      <c r="F58" s="191">
        <v>4171</v>
      </c>
      <c r="G58" s="191">
        <v>2592</v>
      </c>
      <c r="Q58" t="s">
        <v>23210</v>
      </c>
      <c r="R58" t="s">
        <v>23210</v>
      </c>
      <c r="S58">
        <v>5439</v>
      </c>
      <c r="T58" t="e" cm="1">
        <f t="array" ref="T58">SUM('Load Sheet'!$F$35*0.5,'Load Sheet'!$F$36:$F$37,'Load Sheet'!$K$36*0.5,'Load Sheet'!$J$37:$K$37*0.5)</f>
        <v>#VALUE!</v>
      </c>
    </row>
    <row r="59" spans="2:20" ht="16.5" thickBot="1" x14ac:dyDescent="0.4">
      <c r="B59" s="192" t="s">
        <v>23193</v>
      </c>
      <c r="C59" s="191">
        <v>3431</v>
      </c>
      <c r="D59" s="191">
        <v>3431</v>
      </c>
      <c r="E59" s="191">
        <v>2855</v>
      </c>
      <c r="F59" s="191">
        <v>3431</v>
      </c>
      <c r="G59" s="191">
        <v>2591</v>
      </c>
      <c r="Q59" t="s">
        <v>23157</v>
      </c>
      <c r="R59" t="s">
        <v>23157</v>
      </c>
      <c r="S59">
        <v>0</v>
      </c>
      <c r="T59">
        <v>0</v>
      </c>
    </row>
    <row r="60" spans="2:20" ht="16.5" thickBot="1" x14ac:dyDescent="0.4">
      <c r="B60" s="192" t="s">
        <v>23194</v>
      </c>
      <c r="C60" s="191">
        <v>3431</v>
      </c>
      <c r="D60" s="191">
        <v>3431</v>
      </c>
      <c r="E60" s="191">
        <v>2487</v>
      </c>
      <c r="F60" s="191">
        <v>3431</v>
      </c>
      <c r="G60" s="191">
        <v>2591</v>
      </c>
    </row>
    <row r="61" spans="2:20" ht="16.5" thickBot="1" x14ac:dyDescent="0.4">
      <c r="B61" s="192" t="s">
        <v>23195</v>
      </c>
      <c r="C61" s="191">
        <v>3431</v>
      </c>
      <c r="D61" s="191">
        <v>3431</v>
      </c>
      <c r="E61" s="191">
        <v>2173</v>
      </c>
      <c r="F61" s="191">
        <v>3431</v>
      </c>
      <c r="G61" s="191">
        <v>2591</v>
      </c>
    </row>
    <row r="62" spans="2:20" ht="16.5" thickBot="1" x14ac:dyDescent="0.4">
      <c r="B62" s="192" t="s">
        <v>23196</v>
      </c>
      <c r="C62" s="191">
        <v>3431</v>
      </c>
      <c r="D62" s="191">
        <v>3421</v>
      </c>
      <c r="E62" s="191">
        <v>2002</v>
      </c>
      <c r="F62" s="191">
        <v>3431</v>
      </c>
      <c r="G62" s="191">
        <v>2500</v>
      </c>
    </row>
    <row r="63" spans="2:20" ht="16.5" thickBot="1" x14ac:dyDescent="0.4">
      <c r="B63" s="192" t="s">
        <v>23197</v>
      </c>
      <c r="C63" s="191">
        <v>3431</v>
      </c>
      <c r="D63" s="191">
        <v>3104</v>
      </c>
      <c r="E63" s="191">
        <v>1867</v>
      </c>
      <c r="F63" s="191">
        <v>2467</v>
      </c>
      <c r="G63" s="191">
        <v>1234</v>
      </c>
    </row>
    <row r="64" spans="2:20" ht="16.5" thickBot="1" x14ac:dyDescent="0.4">
      <c r="B64" s="192" t="s">
        <v>23198</v>
      </c>
      <c r="C64" s="191">
        <v>3431</v>
      </c>
      <c r="D64" s="191">
        <v>2561</v>
      </c>
      <c r="E64" s="191">
        <v>1740</v>
      </c>
      <c r="F64" s="191">
        <v>2434</v>
      </c>
      <c r="G64" s="191">
        <v>1234</v>
      </c>
    </row>
    <row r="65" spans="2:7" ht="16.5" thickBot="1" x14ac:dyDescent="0.4">
      <c r="B65" s="192" t="s">
        <v>23199</v>
      </c>
      <c r="C65" s="191">
        <v>2722</v>
      </c>
      <c r="D65" s="191">
        <v>1589</v>
      </c>
      <c r="E65" s="191">
        <v>1142</v>
      </c>
      <c r="F65" s="191">
        <v>2289</v>
      </c>
      <c r="G65" s="191">
        <v>1307</v>
      </c>
    </row>
    <row r="66" spans="2:7" ht="16.5" thickBot="1" x14ac:dyDescent="0.4">
      <c r="B66" s="192" t="s">
        <v>23149</v>
      </c>
      <c r="C66" s="191">
        <v>3740</v>
      </c>
      <c r="D66" s="191">
        <v>2963</v>
      </c>
      <c r="E66" s="191">
        <v>1912</v>
      </c>
      <c r="F66" s="191">
        <v>3638</v>
      </c>
      <c r="G66" s="191">
        <v>2179</v>
      </c>
    </row>
    <row r="67" spans="2:7" ht="16.5" thickBot="1" x14ac:dyDescent="0.4">
      <c r="B67" s="192" t="s">
        <v>23200</v>
      </c>
      <c r="C67" s="191">
        <v>3740</v>
      </c>
      <c r="D67" s="191">
        <v>3281</v>
      </c>
      <c r="E67" s="191">
        <v>2335</v>
      </c>
      <c r="F67" s="191">
        <v>2474</v>
      </c>
      <c r="G67" s="191">
        <v>1618</v>
      </c>
    </row>
    <row r="68" spans="2:7" ht="16.5" thickBot="1" x14ac:dyDescent="0.4">
      <c r="B68" s="192" t="s">
        <v>23201</v>
      </c>
      <c r="C68" s="191">
        <v>3740</v>
      </c>
      <c r="D68" s="191">
        <v>3740</v>
      </c>
      <c r="E68" s="191">
        <v>2341</v>
      </c>
      <c r="F68" s="191">
        <v>3411</v>
      </c>
      <c r="G68" s="191">
        <v>2048</v>
      </c>
    </row>
    <row r="69" spans="2:7" ht="16.5" thickBot="1" x14ac:dyDescent="0.4">
      <c r="B69" s="192" t="s">
        <v>23202</v>
      </c>
      <c r="C69" s="191">
        <v>5262</v>
      </c>
      <c r="D69" s="191">
        <v>5262</v>
      </c>
      <c r="E69" s="191">
        <v>3462</v>
      </c>
      <c r="F69" s="191">
        <v>4366</v>
      </c>
      <c r="G69" s="191">
        <v>2592</v>
      </c>
    </row>
    <row r="70" spans="2:7" ht="16.5" thickBot="1" x14ac:dyDescent="0.4">
      <c r="B70" s="192" t="s">
        <v>23203</v>
      </c>
      <c r="C70" s="191">
        <v>5262</v>
      </c>
      <c r="D70" s="191">
        <v>4370</v>
      </c>
      <c r="E70" s="191">
        <v>3021</v>
      </c>
      <c r="F70" s="191">
        <v>4286</v>
      </c>
      <c r="G70" s="191">
        <v>2531</v>
      </c>
    </row>
    <row r="71" spans="2:7" ht="16.5" thickBot="1" x14ac:dyDescent="0.4">
      <c r="B71" s="192" t="s">
        <v>23204</v>
      </c>
      <c r="C71" s="191">
        <v>5262</v>
      </c>
      <c r="D71" s="191">
        <v>4541</v>
      </c>
      <c r="E71" s="191">
        <v>4092</v>
      </c>
      <c r="F71" s="191">
        <v>3922</v>
      </c>
      <c r="G71" s="191">
        <v>2592</v>
      </c>
    </row>
    <row r="72" spans="2:7" ht="16.5" thickBot="1" x14ac:dyDescent="0.4">
      <c r="B72" s="192" t="s">
        <v>23205</v>
      </c>
      <c r="C72" s="191">
        <v>3740</v>
      </c>
      <c r="D72" s="191">
        <v>3689</v>
      </c>
      <c r="E72" s="191">
        <v>2444</v>
      </c>
      <c r="F72" s="191">
        <v>3740</v>
      </c>
      <c r="G72" s="191">
        <v>2293</v>
      </c>
    </row>
    <row r="73" spans="2:7" ht="16.5" thickBot="1" x14ac:dyDescent="0.4">
      <c r="B73" s="192" t="s">
        <v>23206</v>
      </c>
      <c r="C73" s="191">
        <v>3740</v>
      </c>
      <c r="D73" s="191">
        <v>3433</v>
      </c>
      <c r="E73" s="191">
        <v>2216</v>
      </c>
      <c r="F73" s="191">
        <v>3723</v>
      </c>
      <c r="G73" s="191">
        <v>2281</v>
      </c>
    </row>
    <row r="74" spans="2:7" ht="16.5" thickBot="1" x14ac:dyDescent="0.4">
      <c r="B74" s="192" t="s">
        <v>23207</v>
      </c>
      <c r="C74" s="191">
        <v>3740</v>
      </c>
      <c r="D74" s="191">
        <v>3408</v>
      </c>
      <c r="E74" s="191">
        <v>2039</v>
      </c>
      <c r="F74" s="191">
        <v>3647</v>
      </c>
      <c r="G74" s="191">
        <v>2362</v>
      </c>
    </row>
    <row r="75" spans="2:7" ht="21.5" customHeight="1" thickBot="1" x14ac:dyDescent="0.4">
      <c r="B75" s="192" t="s">
        <v>23208</v>
      </c>
      <c r="C75" s="191">
        <v>3740</v>
      </c>
      <c r="D75" s="191">
        <v>2721</v>
      </c>
      <c r="E75" s="191">
        <v>1888</v>
      </c>
      <c r="F75" s="191">
        <v>3537</v>
      </c>
      <c r="G75" s="191">
        <v>2056</v>
      </c>
    </row>
    <row r="76" spans="2:7" ht="22" customHeight="1" thickBot="1" x14ac:dyDescent="0.4">
      <c r="B76" s="192" t="s">
        <v>23209</v>
      </c>
      <c r="C76" s="191">
        <v>3740</v>
      </c>
      <c r="D76" s="191">
        <v>3052</v>
      </c>
      <c r="E76" s="191">
        <v>1873</v>
      </c>
      <c r="F76" s="191">
        <v>3497</v>
      </c>
      <c r="G76" s="191">
        <v>2248</v>
      </c>
    </row>
    <row r="77" spans="2:7" ht="16.5" thickBot="1" x14ac:dyDescent="0.4">
      <c r="B77" s="192" t="s">
        <v>23210</v>
      </c>
      <c r="C77" s="191">
        <v>2722</v>
      </c>
      <c r="D77" s="191">
        <v>1792</v>
      </c>
      <c r="E77" s="191">
        <v>1366</v>
      </c>
      <c r="F77" s="191">
        <v>2368</v>
      </c>
      <c r="G77" s="191">
        <v>1356</v>
      </c>
    </row>
    <row r="78" spans="2:7" ht="16.5" thickBot="1" x14ac:dyDescent="0.4">
      <c r="B78" s="192" t="s">
        <v>23157</v>
      </c>
      <c r="C78" s="191">
        <v>0</v>
      </c>
      <c r="D78" s="191">
        <v>0</v>
      </c>
      <c r="E78" s="191">
        <v>0</v>
      </c>
      <c r="F78" s="191">
        <v>0</v>
      </c>
      <c r="G78" s="191">
        <v>0</v>
      </c>
    </row>
    <row r="90" spans="2:2" ht="15.5" x14ac:dyDescent="0.35">
      <c r="B90" s="190"/>
    </row>
  </sheetData>
  <mergeCells count="9">
    <mergeCell ref="U36:U37"/>
    <mergeCell ref="Y12:AC12"/>
    <mergeCell ref="I3:P3"/>
    <mergeCell ref="G2:G3"/>
    <mergeCell ref="B2:B3"/>
    <mergeCell ref="C2:C3"/>
    <mergeCell ref="D2:D3"/>
    <mergeCell ref="E2:E3"/>
    <mergeCell ref="F2:F3"/>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16FF5-0AAA-40EC-9F53-80B86F29F272}">
  <sheetPr codeName="Sheet8">
    <pageSetUpPr fitToPage="1"/>
  </sheetPr>
  <dimension ref="A1:W76"/>
  <sheetViews>
    <sheetView showGridLines="0" zoomScale="69" zoomScaleNormal="69" zoomScalePageLayoutView="60" workbookViewId="0">
      <selection activeCell="C11" sqref="C11"/>
    </sheetView>
  </sheetViews>
  <sheetFormatPr defaultColWidth="0" defaultRowHeight="18.5" zeroHeight="1" x14ac:dyDescent="0.45"/>
  <cols>
    <col min="1" max="1" width="3.90625" style="19" customWidth="1"/>
    <col min="2" max="2" width="32.1796875" style="175" bestFit="1" customWidth="1"/>
    <col min="3" max="3" width="18" style="175" customWidth="1"/>
    <col min="4" max="4" width="20.453125" style="175" bestFit="1" customWidth="1"/>
    <col min="5" max="6" width="27.90625" style="175" bestFit="1" customWidth="1"/>
    <col min="7" max="7" width="26.1796875" style="265" bestFit="1" customWidth="1"/>
    <col min="8" max="8" width="19.08984375" style="265" customWidth="1"/>
    <col min="9" max="9" width="22.08984375" style="265" bestFit="1" customWidth="1"/>
    <col min="10" max="10" width="22.7265625" style="265" customWidth="1"/>
    <col min="11" max="14" width="19.08984375" style="265" customWidth="1"/>
    <col min="15" max="15" width="21.26953125" style="265" bestFit="1" customWidth="1"/>
    <col min="16" max="16" width="28.08984375" style="265" customWidth="1"/>
    <col min="17" max="17" width="25.81640625" style="175" customWidth="1"/>
    <col min="18" max="18" width="4.1796875" style="19" customWidth="1"/>
    <col min="19" max="19" width="25.54296875" style="19" hidden="1" customWidth="1"/>
    <col min="20" max="22" width="13.6328125" style="19" hidden="1" customWidth="1"/>
    <col min="23" max="23" width="3.90625" style="19" hidden="1" customWidth="1"/>
    <col min="24" max="16384" width="13.81640625" style="19" hidden="1"/>
  </cols>
  <sheetData>
    <row r="1" spans="1:19" ht="19" thickBot="1" x14ac:dyDescent="0.5">
      <c r="A1" s="474"/>
      <c r="B1" s="19"/>
      <c r="C1" s="19"/>
      <c r="D1" s="19"/>
      <c r="E1" s="19"/>
      <c r="F1" s="19"/>
      <c r="G1" s="19"/>
      <c r="H1" s="19"/>
      <c r="I1" s="19"/>
      <c r="J1" s="19"/>
      <c r="K1" s="19"/>
      <c r="L1" s="19"/>
      <c r="M1" s="19"/>
      <c r="N1" s="19"/>
      <c r="O1" s="19"/>
      <c r="P1" s="19"/>
      <c r="Q1" s="19"/>
    </row>
    <row r="2" spans="1:19" ht="24" customHeight="1" x14ac:dyDescent="0.45">
      <c r="A2" s="474"/>
      <c r="B2" s="40" t="s">
        <v>78</v>
      </c>
      <c r="C2" s="261"/>
      <c r="D2" s="19"/>
      <c r="E2" s="19"/>
      <c r="F2" s="19"/>
      <c r="G2" s="19"/>
      <c r="H2" s="19"/>
      <c r="I2" s="482"/>
      <c r="J2" s="482"/>
      <c r="K2" s="68"/>
      <c r="L2" s="19"/>
      <c r="M2" s="19"/>
      <c r="N2" s="19"/>
      <c r="O2" s="19"/>
      <c r="P2" s="19"/>
      <c r="Q2" s="19"/>
    </row>
    <row r="3" spans="1:19" ht="24" customHeight="1" x14ac:dyDescent="0.45">
      <c r="A3" s="474"/>
      <c r="B3" s="260" t="s">
        <v>23278</v>
      </c>
      <c r="C3" s="262"/>
      <c r="D3" s="19"/>
      <c r="E3" s="19"/>
      <c r="F3" s="19"/>
      <c r="G3" s="19"/>
      <c r="H3" s="19"/>
      <c r="I3" s="222"/>
      <c r="J3" s="222"/>
      <c r="K3" s="68"/>
      <c r="L3" s="19"/>
      <c r="M3" s="19"/>
      <c r="N3" s="19"/>
      <c r="O3" s="19"/>
      <c r="P3" s="19"/>
      <c r="Q3" s="19"/>
    </row>
    <row r="4" spans="1:19" ht="24" customHeight="1" thickBot="1" x14ac:dyDescent="0.5">
      <c r="A4" s="474"/>
      <c r="B4" s="260" t="s">
        <v>23281</v>
      </c>
      <c r="C4" s="262"/>
      <c r="D4" s="19"/>
      <c r="E4" s="19"/>
      <c r="F4" s="19"/>
      <c r="G4" s="19"/>
      <c r="H4" s="19"/>
      <c r="I4" s="222"/>
      <c r="J4" s="222"/>
      <c r="K4" s="68"/>
      <c r="L4" s="19"/>
      <c r="M4" s="19"/>
      <c r="N4" s="19"/>
      <c r="O4" s="19"/>
      <c r="P4" s="19"/>
      <c r="Q4" s="19"/>
    </row>
    <row r="5" spans="1:19" ht="22" customHeight="1" thickTop="1" thickBot="1" x14ac:dyDescent="0.55000000000000004">
      <c r="A5" s="474"/>
      <c r="B5" s="41" t="s">
        <v>72</v>
      </c>
      <c r="C5" s="37">
        <v>45880</v>
      </c>
      <c r="D5" s="19"/>
      <c r="E5" s="72" t="s">
        <v>23115</v>
      </c>
      <c r="G5" s="19"/>
      <c r="H5" s="19"/>
      <c r="I5" s="462" t="s">
        <v>62</v>
      </c>
      <c r="J5" s="463"/>
      <c r="K5" s="69" t="s">
        <v>23156</v>
      </c>
      <c r="L5" s="19"/>
      <c r="M5" s="19"/>
      <c r="N5" s="19"/>
      <c r="O5" s="377" t="s">
        <v>23155</v>
      </c>
      <c r="S5" s="60"/>
    </row>
    <row r="6" spans="1:19" ht="19" thickBot="1" x14ac:dyDescent="0.5">
      <c r="A6" s="474"/>
      <c r="B6" s="41" t="s">
        <v>73</v>
      </c>
      <c r="C6" s="30" t="s">
        <v>815</v>
      </c>
      <c r="D6" s="471" t="str">
        <f>IFERROR(VLOOKUP(C6,Combined_IATA_Codes[],3,FALSE),"")</f>
        <v>Sardar Vallabhbhai Patel International Airport</v>
      </c>
      <c r="E6" s="472"/>
      <c r="F6" s="473"/>
      <c r="H6" s="19"/>
      <c r="I6" s="460" t="s">
        <v>23337</v>
      </c>
      <c r="J6" s="461"/>
      <c r="K6" s="76">
        <v>27000</v>
      </c>
      <c r="L6" s="19"/>
      <c r="M6" s="449" t="s">
        <v>23338</v>
      </c>
      <c r="N6" s="450"/>
      <c r="O6" s="378">
        <v>30</v>
      </c>
      <c r="S6" s="61"/>
    </row>
    <row r="7" spans="1:19" ht="19" thickBot="1" x14ac:dyDescent="0.5">
      <c r="A7" s="474"/>
      <c r="B7" s="41" t="s">
        <v>67</v>
      </c>
      <c r="C7" s="30" t="s">
        <v>830</v>
      </c>
      <c r="D7" s="471" t="str">
        <f>IFERROR(VLOOKUP(C7,Combined_IATA_Codes[],3,FALSE),"")</f>
        <v>Queen Alia International Airport</v>
      </c>
      <c r="E7" s="472"/>
      <c r="F7" s="473"/>
      <c r="H7" s="19"/>
      <c r="I7" s="460" t="s">
        <v>23299</v>
      </c>
      <c r="J7" s="461"/>
      <c r="K7" s="76">
        <v>500</v>
      </c>
      <c r="L7" s="19"/>
      <c r="M7" s="451" t="s">
        <v>23128</v>
      </c>
      <c r="N7" s="452"/>
      <c r="O7" s="379">
        <v>30</v>
      </c>
      <c r="S7" s="60"/>
    </row>
    <row r="8" spans="1:19" ht="19" thickBot="1" x14ac:dyDescent="0.5">
      <c r="A8" s="474"/>
      <c r="B8" s="41" t="s">
        <v>74</v>
      </c>
      <c r="C8" s="30" t="s">
        <v>23424</v>
      </c>
      <c r="D8" s="19"/>
      <c r="E8" s="19"/>
      <c r="F8" s="19"/>
      <c r="G8" s="19"/>
      <c r="H8" s="19"/>
      <c r="I8" s="460" t="s">
        <v>23300</v>
      </c>
      <c r="J8" s="461"/>
      <c r="K8" s="319">
        <f>$K$6-$K$7</f>
        <v>26500</v>
      </c>
      <c r="L8" s="19"/>
      <c r="M8" s="447" t="s">
        <v>23127</v>
      </c>
      <c r="N8" s="448"/>
      <c r="O8" s="380">
        <v>50</v>
      </c>
      <c r="P8" s="19"/>
      <c r="Q8" s="19"/>
    </row>
    <row r="9" spans="1:19" ht="19" thickTop="1" x14ac:dyDescent="0.45">
      <c r="A9" s="474"/>
      <c r="B9" s="41" t="s">
        <v>56</v>
      </c>
      <c r="C9" s="38">
        <v>2</v>
      </c>
      <c r="D9" s="19"/>
      <c r="E9" s="370" t="s">
        <v>23305</v>
      </c>
      <c r="F9" s="337" t="s">
        <v>23304</v>
      </c>
      <c r="H9" s="19"/>
      <c r="I9" s="460" t="s">
        <v>23301</v>
      </c>
      <c r="J9" s="461"/>
      <c r="K9" s="76">
        <v>20000</v>
      </c>
      <c r="L9" s="19"/>
      <c r="M9" s="455"/>
      <c r="N9" s="455"/>
      <c r="O9" s="405"/>
      <c r="P9" s="19"/>
      <c r="Q9" s="65" t="b">
        <v>0</v>
      </c>
    </row>
    <row r="10" spans="1:19" ht="19" thickBot="1" x14ac:dyDescent="0.5">
      <c r="A10" s="474"/>
      <c r="B10" s="41" t="s">
        <v>23141</v>
      </c>
      <c r="C10" s="38">
        <v>0</v>
      </c>
      <c r="D10" s="19"/>
      <c r="E10" s="436">
        <f>SUM($C$35:$O$35,$C$55:$N$55)</f>
        <v>37438</v>
      </c>
      <c r="F10" s="469"/>
      <c r="H10" s="376"/>
      <c r="I10" s="479" t="s">
        <v>23121</v>
      </c>
      <c r="J10" s="480"/>
      <c r="K10" s="293">
        <v>141000</v>
      </c>
      <c r="L10" s="19"/>
      <c r="M10" s="75"/>
      <c r="N10" s="19"/>
      <c r="O10" s="19"/>
      <c r="P10" s="19"/>
      <c r="Q10" s="65" t="b">
        <v>0</v>
      </c>
    </row>
    <row r="11" spans="1:19" ht="19.5" thickTop="1" thickBot="1" x14ac:dyDescent="0.5">
      <c r="A11" s="474"/>
      <c r="B11" s="42" t="s">
        <v>75</v>
      </c>
      <c r="C11" s="39"/>
      <c r="D11" s="19"/>
      <c r="E11" s="437"/>
      <c r="F11" s="470"/>
      <c r="H11" s="19"/>
      <c r="L11" s="19"/>
      <c r="M11" s="449" t="s">
        <v>42</v>
      </c>
      <c r="N11" s="450"/>
      <c r="O11" s="62"/>
      <c r="P11" s="19"/>
      <c r="Q11" s="65" t="b">
        <v>0</v>
      </c>
    </row>
    <row r="12" spans="1:19" x14ac:dyDescent="0.45">
      <c r="A12" s="474"/>
      <c r="B12" s="19"/>
      <c r="C12" s="19"/>
      <c r="D12" s="19"/>
      <c r="E12" s="19"/>
      <c r="F12" s="19"/>
      <c r="G12" s="19"/>
      <c r="H12" s="19"/>
      <c r="L12" s="19"/>
      <c r="M12" s="451" t="s">
        <v>63</v>
      </c>
      <c r="N12" s="452"/>
      <c r="O12" s="63"/>
      <c r="P12" s="19"/>
      <c r="Q12" s="65"/>
    </row>
    <row r="13" spans="1:19" ht="19" thickBot="1" x14ac:dyDescent="0.5">
      <c r="A13" s="474"/>
      <c r="B13" s="19"/>
      <c r="C13" s="19"/>
      <c r="D13" s="464"/>
      <c r="E13" s="464"/>
      <c r="F13" s="464"/>
      <c r="G13" s="464"/>
      <c r="H13" s="464"/>
      <c r="I13" s="464"/>
      <c r="J13" s="464"/>
      <c r="K13" s="464"/>
      <c r="L13" s="19"/>
      <c r="M13" s="447" t="s">
        <v>43</v>
      </c>
      <c r="N13" s="448"/>
      <c r="O13" s="64"/>
      <c r="P13" s="19"/>
      <c r="Q13" s="65"/>
    </row>
    <row r="14" spans="1:19" ht="19" thickBot="1" x14ac:dyDescent="0.5">
      <c r="A14" s="474"/>
      <c r="B14" s="19"/>
      <c r="C14" s="19"/>
      <c r="D14" s="465"/>
      <c r="E14" s="465"/>
      <c r="F14" s="465"/>
      <c r="G14" s="464"/>
      <c r="H14" s="464"/>
      <c r="I14" s="464"/>
      <c r="J14" s="464"/>
      <c r="K14" s="464"/>
      <c r="L14" s="19"/>
      <c r="M14" s="19"/>
      <c r="N14" s="19"/>
      <c r="O14" s="19"/>
      <c r="P14" s="19"/>
      <c r="Q14" s="19"/>
    </row>
    <row r="15" spans="1:19" ht="24" thickBot="1" x14ac:dyDescent="0.6">
      <c r="A15" s="474"/>
      <c r="B15" s="36" t="str">
        <f>IF($C$15&gt;0,"Allowed Traffic Load","Don't Load")</f>
        <v>Allowed Traffic Load</v>
      </c>
      <c r="C15" s="66">
        <f>IF('Load Sheet'!$M$12&lt;"",('Load Sheet'!$M$12),IF('Load Sheet'!$P$12&lt;"",('Load Sheet'!$P$12),IF('Load Sheet'!$S$12&lt;"",('Load Sheet'!$S$12),"")))</f>
        <v>38221.346938775503</v>
      </c>
      <c r="D15" s="466" t="str">
        <f>IFERROR(IF(SUM($C$35:$O$35,$C$55:$N$55)&gt;$C$15,"Reduce "&amp;TEXT(SUM($C$35:$O$35,$C$55:$N$55)-$C$15,"#,##0.00")&amp;" Kgs","Underload: "&amp;$C$15-TEXT(SUM($C$35:$O$35,$C$55:$N$55),"#,##0.00")&amp;" Kgs"),"Load Aircraft")</f>
        <v>Underload: 783.346938775503 Kgs</v>
      </c>
      <c r="E15" s="467"/>
      <c r="F15" s="468"/>
      <c r="G15" s="441" t="s">
        <v>32</v>
      </c>
      <c r="H15" s="442"/>
      <c r="I15" s="442"/>
      <c r="J15" s="442"/>
      <c r="K15" s="442"/>
      <c r="L15" s="442"/>
      <c r="M15" s="442"/>
      <c r="N15" s="442"/>
      <c r="O15" s="443"/>
      <c r="P15" s="19"/>
      <c r="Q15" s="19"/>
    </row>
    <row r="16" spans="1:19" ht="21.5" thickBot="1" x14ac:dyDescent="0.55000000000000004">
      <c r="A16" s="474"/>
      <c r="B16" s="7" t="s">
        <v>23153</v>
      </c>
      <c r="C16" s="322" t="s">
        <v>23335</v>
      </c>
      <c r="D16" s="322" t="s">
        <v>23335</v>
      </c>
      <c r="E16" s="322" t="s">
        <v>23335</v>
      </c>
      <c r="F16" s="322" t="s">
        <v>23335</v>
      </c>
      <c r="G16" s="322" t="s">
        <v>23335</v>
      </c>
      <c r="H16" s="322" t="s">
        <v>23335</v>
      </c>
      <c r="I16" s="322" t="s">
        <v>23335</v>
      </c>
      <c r="J16" s="322" t="s">
        <v>23335</v>
      </c>
      <c r="K16" s="322" t="s">
        <v>23335</v>
      </c>
      <c r="L16" s="322" t="s">
        <v>23335</v>
      </c>
      <c r="M16" s="322" t="s">
        <v>23335</v>
      </c>
      <c r="N16" s="322" t="s">
        <v>23335</v>
      </c>
      <c r="O16" s="322" t="s">
        <v>23335</v>
      </c>
      <c r="P16" s="175"/>
    </row>
    <row r="17" spans="1:17" ht="19" thickBot="1" x14ac:dyDescent="0.5">
      <c r="A17" s="474"/>
      <c r="B17" s="7" t="s">
        <v>65</v>
      </c>
      <c r="C17" s="320" t="str" cm="1">
        <f t="array" ref="C17">_xlfn.IFS(C16="A","A1R",C16="C","C1",C16="D","D1",C16="E","E1",C16="None"," ",C16="","Select  A Confg")</f>
        <v>A1R</v>
      </c>
      <c r="D17" s="320" t="str" cm="1">
        <f t="array" ref="D17">_xlfn.IFS(D16="A","A2R",D16="C","C2",D16="D","D2",D16="E","E2",D16="None"," ",D16="","Select  A Confg")</f>
        <v>A2R</v>
      </c>
      <c r="E17" s="320" t="str" cm="1">
        <f t="array" ref="E17">_xlfn.IFS(E16="A","A3R",E16="C","C3",E16="D","D3",E16="E","E3",E16="None"," ",E16="","Select  A Confg")</f>
        <v>A3R</v>
      </c>
      <c r="F17" s="320" t="str" cm="1">
        <f t="array" ref="F17">_xlfn.IFS(F16="A","A4R",F16="C","C4",F16="D","D4",F16="E","E4",F16="None"," ",F16="","Select  A Confg")</f>
        <v>A4R</v>
      </c>
      <c r="G17" s="320" t="str" cm="1">
        <f t="array" ref="G17">_xlfn.IFS(G16="A"," ",G16="C"," ",G16="D","D5",G16="E","E5",G16="None"," ",G16="","Select  A Confg")</f>
        <v xml:space="preserve"> </v>
      </c>
      <c r="H17" s="320" t="str" cm="1">
        <f t="array" ref="H17">_xlfn.IFS(H16="A","A5R",H16="C","C5",H16="D","D6",H16="E","E6",H16="None"," ",H16="","Select  A Confg")</f>
        <v>A5R</v>
      </c>
      <c r="I17" s="320" t="str" cm="1">
        <f t="array" ref="I17">_xlfn.IFS(I16="A","A6R",I16="C","C6",I16="D","D7",I16="E","E7",I16="None"," ",I16="","Select  A Confg")</f>
        <v>A6R</v>
      </c>
      <c r="J17" s="320" t="str" cm="1">
        <f t="array" ref="J17">_xlfn.IFS(J16="A"," ",J16="C"," ",J16="D","D8",J16="E","E8",J16="None"," ",J16="","Select  A Confg")</f>
        <v xml:space="preserve"> </v>
      </c>
      <c r="K17" s="320" t="str" cm="1">
        <f t="array" ref="K17">_xlfn.IFS(K16="A","A7R",K16="C","C7",K16="D","D9",K16="E","E9",K16="None"," ",K16="","Select  A Confg")</f>
        <v>A7R</v>
      </c>
      <c r="L17" s="320" t="str" cm="1">
        <f t="array" ref="L17">_xlfn.IFS(L16="A","A8R",L16="C","C8",L16="D","D10",L16="E"," ",L16="None"," ",L16="","Select  A Confg")</f>
        <v>A8R</v>
      </c>
      <c r="M17" s="320" t="str" cm="1">
        <f t="array" ref="M17">_xlfn.IFS(M16="A"," ",M16="C"," ",M16="D","D11",M16="E","E10",M16="None"," ",M16="","Select  A Confg")</f>
        <v xml:space="preserve"> </v>
      </c>
      <c r="N17" s="320" t="str" cm="1">
        <f t="array" ref="N17">_xlfn.IFS(N16="A","A9R",N16="C","C9",N16="D","D12",N16="E","E11",N16="None"," ",N16="","Select  A Confg")</f>
        <v>A9R</v>
      </c>
      <c r="O17" s="320" t="str" cm="1">
        <f t="array" ref="O17">_xlfn.IFS(O16="A","A10",O16="C","C10",O16="D","D13",O16="E","E12",O16="None"," ",O16="","Select  A Confg")</f>
        <v>A10</v>
      </c>
      <c r="P17" s="19"/>
      <c r="Q17" s="19"/>
    </row>
    <row r="18" spans="1:17" x14ac:dyDescent="0.45">
      <c r="A18" s="474"/>
      <c r="B18" s="9" t="s">
        <v>66</v>
      </c>
      <c r="C18" s="26"/>
      <c r="D18" s="26"/>
      <c r="E18" s="26"/>
      <c r="F18" s="26"/>
      <c r="G18" s="26"/>
      <c r="H18" s="26"/>
      <c r="I18" s="26"/>
      <c r="J18" s="26"/>
      <c r="K18" s="26"/>
      <c r="L18" s="26"/>
      <c r="M18" s="26"/>
      <c r="N18" s="26"/>
      <c r="O18" s="26"/>
      <c r="P18" s="19"/>
      <c r="Q18" s="19"/>
    </row>
    <row r="19" spans="1:17" x14ac:dyDescent="0.45">
      <c r="A19" s="474"/>
      <c r="B19" s="10" t="s">
        <v>67</v>
      </c>
      <c r="C19" s="29"/>
      <c r="D19" s="29"/>
      <c r="E19" s="29"/>
      <c r="F19" s="29"/>
      <c r="G19" s="29"/>
      <c r="H19" s="29"/>
      <c r="I19" s="29"/>
      <c r="J19" s="29"/>
      <c r="K19" s="29"/>
      <c r="L19" s="29"/>
      <c r="M19" s="29"/>
      <c r="N19" s="29"/>
      <c r="O19" s="29"/>
      <c r="P19" s="19"/>
      <c r="Q19" s="19"/>
    </row>
    <row r="20" spans="1:17" x14ac:dyDescent="0.45">
      <c r="A20" s="474"/>
      <c r="B20" s="10" t="s">
        <v>68</v>
      </c>
      <c r="C20" s="29"/>
      <c r="D20" s="29"/>
      <c r="E20" s="29"/>
      <c r="F20" s="29"/>
      <c r="G20" s="29"/>
      <c r="H20" s="29"/>
      <c r="I20" s="29"/>
      <c r="J20" s="29"/>
      <c r="K20" s="29"/>
      <c r="L20" s="29"/>
      <c r="M20" s="29"/>
      <c r="N20" s="29"/>
      <c r="O20" s="29"/>
      <c r="P20" s="19"/>
      <c r="Q20" s="19"/>
    </row>
    <row r="21" spans="1:17" x14ac:dyDescent="0.45">
      <c r="A21" s="474"/>
      <c r="B21" s="11" t="s">
        <v>23139</v>
      </c>
      <c r="C21" s="73">
        <v>1086</v>
      </c>
      <c r="D21" s="73">
        <v>2055</v>
      </c>
      <c r="E21" s="73"/>
      <c r="F21" s="73">
        <v>1000</v>
      </c>
      <c r="G21" s="73"/>
      <c r="H21" s="73">
        <v>2103</v>
      </c>
      <c r="I21" s="73">
        <v>1949</v>
      </c>
      <c r="J21" s="73"/>
      <c r="K21" s="73">
        <v>1899</v>
      </c>
      <c r="L21" s="73">
        <v>1731</v>
      </c>
      <c r="M21" s="73">
        <v>1950</v>
      </c>
      <c r="N21" s="73">
        <v>1458</v>
      </c>
      <c r="O21" s="73">
        <v>1651</v>
      </c>
      <c r="P21" s="19"/>
      <c r="Q21" s="19"/>
    </row>
    <row r="22" spans="1:17" x14ac:dyDescent="0.45">
      <c r="A22" s="474"/>
      <c r="B22" s="11" t="s">
        <v>23150</v>
      </c>
      <c r="C22" s="73" t="s">
        <v>23178</v>
      </c>
      <c r="D22" s="73" t="s">
        <v>23157</v>
      </c>
      <c r="E22" s="73" t="s">
        <v>23157</v>
      </c>
      <c r="F22" s="73" t="s">
        <v>23157</v>
      </c>
      <c r="G22" s="73" t="s">
        <v>23157</v>
      </c>
      <c r="H22" s="73" t="s">
        <v>23157</v>
      </c>
      <c r="I22" s="73" t="s">
        <v>23157</v>
      </c>
      <c r="J22" s="73" t="s">
        <v>23157</v>
      </c>
      <c r="K22" s="73" t="s">
        <v>23157</v>
      </c>
      <c r="L22" s="73" t="s">
        <v>23157</v>
      </c>
      <c r="M22" s="73" t="s">
        <v>23157</v>
      </c>
      <c r="N22" s="73" t="s">
        <v>23157</v>
      </c>
      <c r="O22" s="73" t="s">
        <v>23157</v>
      </c>
      <c r="P22" s="19"/>
      <c r="Q22" s="19"/>
    </row>
    <row r="23" spans="1:17" ht="19" thickBot="1" x14ac:dyDescent="0.5">
      <c r="A23" s="474"/>
      <c r="B23" s="74" t="s">
        <v>23138</v>
      </c>
      <c r="C23" s="81">
        <f>IFERROR(INDEX('Missing Constrains'!$C$4:$G$77, MATCH('Load Plan '!$C$17,'Missing Constrains'!$B$4:$B$77, 0), MATCH('Load Plan '!$C$22,'Missing Constrains'!$C$2:$G$2, 0)),0)</f>
        <v>1859</v>
      </c>
      <c r="D23" s="81">
        <f>IFERROR(INDEX('Missing Constrains'!$C$4:$G$77, MATCH('Load Plan '!$D$17,'Missing Constrains'!$B$4:$B$77, 0), MATCH('Load Plan '!$D$22,'Missing Constrains'!$C$2:$G$2, 0)),0)</f>
        <v>3429</v>
      </c>
      <c r="E23" s="81">
        <f>IFERROR(INDEX('Missing Constrains'!$C$4:$G$77, MATCH('Load Plan '!$E$17,'Missing Constrains'!$B$4:$B$77, 0), MATCH('Load Plan '!$E$22,'Missing Constrains'!$C$2:$G$2, 0)),0)</f>
        <v>3429</v>
      </c>
      <c r="F23" s="81">
        <f>IFERROR(INDEX('Missing Constrains'!$C$4:$G$77, MATCH('Load Plan '!$F$17,'Missing Constrains'!$B$4:$B$77, 0), MATCH('Load Plan '!$F$22,'Missing Constrains'!$C$2:$G$2, 0)),0)</f>
        <v>4627</v>
      </c>
      <c r="G23" s="81">
        <f>IFERROR(INDEX('Missing Constrains'!$C$4:$G$77, MATCH('Load Plan '!$G$17,'Missing Constrains'!$B$4:$B$77, 0), MATCH('Load Plan '!$G$22,'Missing Constrains'!$C$2:$G$2, 0)),0)</f>
        <v>0</v>
      </c>
      <c r="H23" s="81">
        <f>IFERROR(INDEX('Missing Constrains'!$C$4:$G$77, MATCH('Load Plan '!$H$17,'Missing Constrains'!$B$4:$B$77, 0), MATCH('Load Plan '!$H$22,'Missing Constrains'!$C$2:$G$2, 0)),0)</f>
        <v>4627</v>
      </c>
      <c r="I23" s="81">
        <f>IFERROR(INDEX('Missing Constrains'!$C$4:$G$77, MATCH('Load Plan '!$I$17,'Missing Constrains'!$B$4:$B$77, 0), MATCH('Load Plan '!$I$22,'Missing Constrains'!$C$2:$G$2, 0)),0)</f>
        <v>3429</v>
      </c>
      <c r="J23" s="81">
        <f>IFERROR(INDEX('Missing Constrains'!$C$4:$G$77, MATCH('Load Plan '!$J$17,'Missing Constrains'!$B$4:$B$77, 0), MATCH('Load Plan '!$J$22,'Missing Constrains'!$C$2:$G$2, 0)),0)</f>
        <v>0</v>
      </c>
      <c r="K23" s="81">
        <f>IFERROR(INDEX('Missing Constrains'!$C$4:$G$77, MATCH('Load Plan '!$K$17,'Missing Constrains'!$B$4:$B$77, 0), MATCH('Load Plan '!$K$22,'Missing Constrains'!$C$2:$G$2, 0)),0)</f>
        <v>3429</v>
      </c>
      <c r="L23" s="429">
        <f>IFERROR(INDEX('Missing Constrains'!$C$4:$G$77, MATCH('Load Plan '!$L$17,'Missing Constrains'!$B$4:$B$77, 0), MATCH('Load Plan '!$L$22,'Missing Constrains'!$C$2:$G$2, 0)),0)</f>
        <v>3429</v>
      </c>
      <c r="M23" s="81">
        <f>IFERROR(INDEX('Missing Constrains'!$C$4:$G$77, MATCH('Load Plan '!$M$17,'Missing Constrains'!$B$4:$B$77, 0), MATCH('Load Plan '!$M$22,'Missing Constrains'!$C$2:$G$2, 0)),0)</f>
        <v>0</v>
      </c>
      <c r="N23" s="81">
        <f>IFERROR(INDEX('Missing Constrains'!$C$4:$G$77, MATCH('Load Plan '!$N$17,'Missing Constrains'!$B$4:$B$77, 0), MATCH('Load Plan '!$N$22,'Missing Constrains'!$C$2:$G$2, 0)),0)</f>
        <v>3429</v>
      </c>
      <c r="O23" s="81">
        <f>IFERROR(INDEX('Missing Constrains'!$C$4:$G$77, MATCH('Load Plan '!$O$17,'Missing Constrains'!$B$4:$B$77, 0), MATCH('Load Plan '!$O$22,'Missing Constrains'!$C$2:$G$2, 0)),0)</f>
        <v>2722</v>
      </c>
      <c r="P23" s="19"/>
      <c r="Q23" s="19"/>
    </row>
    <row r="24" spans="1:17" ht="17.5" customHeight="1" thickBot="1" x14ac:dyDescent="0.5">
      <c r="A24" s="474"/>
      <c r="B24" s="7" t="s">
        <v>65</v>
      </c>
      <c r="C24" s="320" t="str" cm="1">
        <f t="array" ref="C24">_xlfn.IFS(C16="A","A1L",C16="C"," ",C16="D"," ",C16="E"," ",C16="None"," ",C16="","Select  A Confg")</f>
        <v>A1L</v>
      </c>
      <c r="D24" s="320" t="str" cm="1">
        <f t="array" ref="D24">_xlfn.IFS(D16="A","A2L",D16="C"," ",D16="D"," ",D16="E"," ",D16="None"," ",D16="","Select  A Confg")</f>
        <v>A2L</v>
      </c>
      <c r="E24" s="320" t="str" cm="1">
        <f t="array" ref="E24">_xlfn.IFS(E16="A","A3L",E16="C","",E16="D","",E16="E","",E16="None"," ",E16="","Select  A Confg")</f>
        <v>A3L</v>
      </c>
      <c r="F24" s="320" t="str" cm="1">
        <f t="array" ref="F24">_xlfn.IFS(F16="A","A4L",F16="C"," ",F16="D"," ",F16="E"," ",F16="None"," ",F16="","Select  A Confg")</f>
        <v>A4L</v>
      </c>
      <c r="G24" s="320" t="str" cm="1">
        <f t="array" ref="G24">_xlfn.IFS(G16="A"," ",G16="C","",G16="D","",G16="E","",G16="None"," ",G16="","Select  A Confg")</f>
        <v xml:space="preserve"> </v>
      </c>
      <c r="H24" s="320" t="str" cm="1">
        <f t="array" ref="H24">_xlfn.IFS(H16="A","A5L",H16="C","",H16="D","",H16="E","",H16="None"," ",H16="","Select  A Confg")</f>
        <v>A5L</v>
      </c>
      <c r="I24" s="320" t="str" cm="1">
        <f t="array" ref="I24">_xlfn.IFS(I16="A","A6L",I16="C","",I16="D","",I16="E","",I16="None"," ",I16="","Select  A Confg")</f>
        <v>A6L</v>
      </c>
      <c r="J24" s="320" t="str" cm="1">
        <f t="array" ref="J24">_xlfn.IFS(J16="A"," ",J16="C","",J16="D","",J16="E","",J16="None"," ",J16="","Select  A Confg")</f>
        <v xml:space="preserve"> </v>
      </c>
      <c r="K24" s="320" t="str" cm="1">
        <f t="array" ref="K24">_xlfn.IFS(K16="A","A9L",K16="C","",K16="D","",K16="E","",K16="None"," ",K16="","Select  A Confg")</f>
        <v>A9L</v>
      </c>
      <c r="L24" s="320" t="str" cm="1">
        <f t="array" ref="L24">_xlfn.IFS(L16="A","A8L",L16="C","",L16="D","",L16="E","",L16="None"," ",L16="","Select  A Confg")</f>
        <v>A8L</v>
      </c>
      <c r="M24" s="320" t="str" cm="1">
        <f t="array" ref="M24">_xlfn.IFS(M16="A"," ",M16="C","",M16="D","",M16="E","",M16="None"," ",M16="","Select  A Confg")</f>
        <v xml:space="preserve"> </v>
      </c>
      <c r="N24" s="320" t="str" cm="1">
        <f t="array" ref="N24">_xlfn.IFS(N16="A","A9R",N16="C","",N16="D","",N16="E","",N16="None"," ",N16="","Select  A Confg")</f>
        <v>A9R</v>
      </c>
      <c r="O24" s="487" t="s">
        <v>23336</v>
      </c>
      <c r="P24" s="19"/>
      <c r="Q24" s="19"/>
    </row>
    <row r="25" spans="1:17" x14ac:dyDescent="0.45">
      <c r="A25" s="474"/>
      <c r="B25" s="9" t="s">
        <v>66</v>
      </c>
      <c r="C25" s="26"/>
      <c r="D25" s="27"/>
      <c r="E25" s="26"/>
      <c r="F25" s="26"/>
      <c r="G25" s="26"/>
      <c r="H25" s="26"/>
      <c r="I25" s="26"/>
      <c r="J25" s="28"/>
      <c r="K25" s="26"/>
      <c r="L25" s="26"/>
      <c r="M25" s="28"/>
      <c r="N25" s="26"/>
      <c r="O25" s="488"/>
      <c r="P25" s="19"/>
      <c r="Q25" s="19"/>
    </row>
    <row r="26" spans="1:17" x14ac:dyDescent="0.45">
      <c r="A26" s="474"/>
      <c r="B26" s="10" t="s">
        <v>67</v>
      </c>
      <c r="C26" s="29"/>
      <c r="D26" s="30"/>
      <c r="E26" s="29"/>
      <c r="F26" s="29"/>
      <c r="G26" s="29"/>
      <c r="H26" s="29"/>
      <c r="I26" s="29"/>
      <c r="J26" s="31"/>
      <c r="K26" s="29"/>
      <c r="L26" s="29"/>
      <c r="M26" s="31"/>
      <c r="N26" s="29"/>
      <c r="O26" s="488"/>
      <c r="P26" s="19"/>
      <c r="Q26" s="19"/>
    </row>
    <row r="27" spans="1:17" x14ac:dyDescent="0.45">
      <c r="A27" s="474"/>
      <c r="B27" s="10" t="s">
        <v>68</v>
      </c>
      <c r="C27" s="29"/>
      <c r="D27" s="30"/>
      <c r="E27" s="29"/>
      <c r="F27" s="29"/>
      <c r="G27" s="29"/>
      <c r="H27" s="29"/>
      <c r="I27" s="29"/>
      <c r="J27" s="29"/>
      <c r="K27" s="29"/>
      <c r="L27" s="29"/>
      <c r="M27" s="29"/>
      <c r="N27" s="29"/>
      <c r="O27" s="458">
        <f>SUM('Load Sheet'!$C$41,'Load Sheet'!$H$41)*44.5</f>
        <v>131186</v>
      </c>
      <c r="P27" s="19"/>
      <c r="Q27" s="19"/>
    </row>
    <row r="28" spans="1:17" x14ac:dyDescent="0.45">
      <c r="A28" s="474"/>
      <c r="B28" s="11" t="s">
        <v>23139</v>
      </c>
      <c r="C28" s="73">
        <v>1076</v>
      </c>
      <c r="D28" s="73"/>
      <c r="E28" s="73">
        <v>2081</v>
      </c>
      <c r="F28" s="73">
        <v>2156</v>
      </c>
      <c r="G28" s="29"/>
      <c r="H28" s="73">
        <v>2333</v>
      </c>
      <c r="I28" s="73">
        <v>2184</v>
      </c>
      <c r="J28" s="29"/>
      <c r="K28" s="73">
        <v>2035</v>
      </c>
      <c r="L28" s="73">
        <v>2196</v>
      </c>
      <c r="M28" s="29"/>
      <c r="N28" s="73">
        <v>2168</v>
      </c>
      <c r="O28" s="459"/>
      <c r="P28" s="19"/>
      <c r="Q28" s="19"/>
    </row>
    <row r="29" spans="1:17" ht="19" thickBot="1" x14ac:dyDescent="0.5">
      <c r="A29" s="474"/>
      <c r="B29" s="11" t="s">
        <v>23150</v>
      </c>
      <c r="C29" s="73" t="s">
        <v>23157</v>
      </c>
      <c r="D29" s="73" t="s">
        <v>23157</v>
      </c>
      <c r="E29" s="73" t="s">
        <v>23157</v>
      </c>
      <c r="F29" s="73" t="s">
        <v>23157</v>
      </c>
      <c r="G29" s="73" t="s">
        <v>23157</v>
      </c>
      <c r="H29" s="73" t="s">
        <v>23157</v>
      </c>
      <c r="I29" s="73" t="s">
        <v>23157</v>
      </c>
      <c r="J29" s="73" t="s">
        <v>23157</v>
      </c>
      <c r="K29" s="73" t="s">
        <v>23157</v>
      </c>
      <c r="L29" s="73" t="s">
        <v>23157</v>
      </c>
      <c r="M29" s="73"/>
      <c r="N29" s="73" t="s">
        <v>23157</v>
      </c>
      <c r="O29" s="375">
        <v>44.5</v>
      </c>
      <c r="P29" s="19"/>
      <c r="Q29" s="19"/>
    </row>
    <row r="30" spans="1:17" ht="19" thickBot="1" x14ac:dyDescent="0.5">
      <c r="A30" s="474"/>
      <c r="B30" s="74" t="s">
        <v>23138</v>
      </c>
      <c r="C30" s="81">
        <f>IFERROR(INDEX('Missing Constrains'!$C$4:$G$77, MATCH('Load Plan '!$C$24,'Missing Constrains'!$B$4:$B$77, 0), MATCH('Load Plan '!$C$29,'Missing Constrains'!$C$2:$G$2, 0)),0)</f>
        <v>3429</v>
      </c>
      <c r="D30" s="81">
        <f>IFERROR(INDEX('Missing Constrains'!$C$4:$G$77, MATCH('Load Plan '!$D$24,'Missing Constrains'!$B$4:$B$77, 0), MATCH('Load Plan '!$D$29,'Missing Constrains'!$C$2:$G$2, 0)),0)</f>
        <v>3429</v>
      </c>
      <c r="E30" s="81">
        <f>IFERROR(INDEX('Missing Constrains'!$C$4:$G$77, MATCH('Load Plan '!$E$24,'Missing Constrains'!$B$4:$B$77, 0), MATCH('Load Plan '!$E$29,'Missing Constrains'!$C$2:$G$2, 0)),0)</f>
        <v>3429</v>
      </c>
      <c r="F30" s="81">
        <f>IFERROR(INDEX('Missing Constrains'!$C$4:$G$77, MATCH('Load Plan '!$F$24,'Missing Constrains'!$B$4:$B$77, 0), MATCH('Load Plan '!$F$29,'Missing Constrains'!$C$2:$G$2, 0)),0)</f>
        <v>4627</v>
      </c>
      <c r="G30" s="81">
        <f>IFERROR(INDEX('Missing Constrains'!$C$4:$G$77, MATCH('Load Plan '!$G$24,'Missing Constrains'!$B$4:$B$77, 0), MATCH('Load Plan '!$G$29,'Missing Constrains'!$C$2:$G$2, 0)),0)</f>
        <v>0</v>
      </c>
      <c r="H30" s="81">
        <f>IFERROR(INDEX('Missing Constrains'!$C$4:$G$77, MATCH('Load Plan '!$H$24,'Missing Constrains'!$B$4:$B$77, 0), MATCH('Load Plan '!$H$29,'Missing Constrains'!$C$2:$G$2, 0)),0)</f>
        <v>4627</v>
      </c>
      <c r="I30" s="81">
        <f>IFERROR(INDEX('Missing Constrains'!$C$4:$G$77, MATCH('Load Plan '!$I$24,'Missing Constrains'!$B$4:$B$77, 0), MATCH('Load Plan '!$I$29,'Missing Constrains'!$C$2:$G$2, 0)),0)</f>
        <v>3429</v>
      </c>
      <c r="J30" s="81">
        <f>IFERROR(INDEX('Missing Constrains'!$C$4:$G$77, MATCH('Load Plan '!$J$24,'Missing Constrains'!$B$4:$B$77, 0), MATCH('Load Plan '!$J$29,'Missing Constrains'!$C$2:$G$2, 0)),0)</f>
        <v>0</v>
      </c>
      <c r="K30" s="81">
        <f>IFERROR(INDEX('Missing Constrains'!$C$4:$G$77, MATCH('Load Plan '!$K$24,'Missing Constrains'!$B$4:$B$77, 0), MATCH('Load Plan '!$K$29,'Missing Constrains'!$C$2:$G$2, 0)),0)</f>
        <v>3429</v>
      </c>
      <c r="L30" s="81">
        <f>IFERROR(INDEX('Missing Constrains'!$C$4:$G$77, MATCH('Load Plan '!$L$24,'Missing Constrains'!$B$4:$B$77, 0), MATCH('Load Plan '!$L$29,'Missing Constrains'!$C$2:$G$2, 0)),0)</f>
        <v>3429</v>
      </c>
      <c r="M30" s="81"/>
      <c r="N30" s="81">
        <f>IFERROR(INDEX('Missing Constrains'!$C$4:$G$77, MATCH('Load Plan '!$L$24,'Missing Constrains'!$B$4:$B$77, 0), MATCH('Load Plan '!$L$29,'Missing Constrains'!$C$2:$G$2, 0)),0)</f>
        <v>3429</v>
      </c>
      <c r="O30" s="183"/>
      <c r="P30" s="19"/>
      <c r="Q30" s="19"/>
    </row>
    <row r="31" spans="1:17" ht="19" thickBot="1" x14ac:dyDescent="0.5">
      <c r="A31" s="474"/>
      <c r="B31" s="12" t="s">
        <v>23142</v>
      </c>
      <c r="C31" s="475" t="str">
        <f>IF(OR(G58&lt;&gt;"",K58&lt;&gt;"",N58&lt;&gt;""),"Overlap Error, check Below","")</f>
        <v/>
      </c>
      <c r="D31" s="456"/>
      <c r="E31" s="457"/>
      <c r="F31" s="456"/>
      <c r="G31" s="457"/>
      <c r="H31" s="456"/>
      <c r="I31" s="457"/>
      <c r="J31" s="456"/>
      <c r="K31" s="457"/>
      <c r="L31" s="456"/>
      <c r="M31" s="457"/>
      <c r="N31" s="456"/>
      <c r="O31" s="457"/>
      <c r="P31" s="19"/>
      <c r="Q31" s="19"/>
    </row>
    <row r="32" spans="1:17" ht="19" thickBot="1" x14ac:dyDescent="0.5">
      <c r="A32" s="474"/>
      <c r="B32" s="12" t="s">
        <v>23143</v>
      </c>
      <c r="C32" s="476"/>
      <c r="D32" s="456"/>
      <c r="E32" s="457"/>
      <c r="F32" s="456"/>
      <c r="G32" s="457"/>
      <c r="H32" s="456"/>
      <c r="I32" s="457"/>
      <c r="J32" s="456"/>
      <c r="K32" s="457"/>
      <c r="L32" s="456"/>
      <c r="M32" s="457"/>
      <c r="N32" s="456"/>
      <c r="O32" s="457"/>
      <c r="P32" s="19"/>
      <c r="Q32" s="19"/>
    </row>
    <row r="33" spans="1:17" ht="18.75" customHeight="1" thickBot="1" x14ac:dyDescent="0.5">
      <c r="A33" s="474"/>
      <c r="B33" s="13" t="s">
        <v>23144</v>
      </c>
      <c r="C33" s="476"/>
      <c r="D33" s="477"/>
      <c r="E33" s="453"/>
      <c r="F33" s="454"/>
      <c r="G33" s="453"/>
      <c r="H33" s="454"/>
      <c r="I33" s="453"/>
      <c r="J33" s="454"/>
      <c r="K33" s="453"/>
      <c r="L33" s="454"/>
      <c r="M33" s="453"/>
      <c r="N33" s="454"/>
      <c r="O33" s="181"/>
      <c r="P33" s="19"/>
      <c r="Q33" s="19"/>
    </row>
    <row r="34" spans="1:17" ht="18.75" customHeight="1" thickBot="1" x14ac:dyDescent="0.5">
      <c r="A34" s="474"/>
      <c r="B34" s="14" t="s">
        <v>23145</v>
      </c>
      <c r="C34" s="476"/>
      <c r="D34" s="478"/>
      <c r="E34" s="453"/>
      <c r="F34" s="454"/>
      <c r="G34" s="453"/>
      <c r="H34" s="454"/>
      <c r="I34" s="453"/>
      <c r="J34" s="454"/>
      <c r="K34" s="453"/>
      <c r="L34" s="454"/>
      <c r="M34" s="453"/>
      <c r="N34" s="454"/>
      <c r="O34" s="182"/>
      <c r="P34" s="19"/>
      <c r="Q34" s="19"/>
    </row>
    <row r="35" spans="1:17" ht="18.75" customHeight="1" thickBot="1" x14ac:dyDescent="0.5">
      <c r="A35" s="474"/>
      <c r="B35" s="83" t="s">
        <v>23223</v>
      </c>
      <c r="C35" s="83" cm="1">
        <f t="array" ref="C35">_xlfn.IFS(C17=" "," ",C16="A",SUM(C21,C28),C16="None",0,C16="C",C21,C16="D",C21,C16="E",C21)</f>
        <v>2162</v>
      </c>
      <c r="D35" s="83">
        <f>IF(TRIM(D17)="","",IF(D16="A",SUM(D21,D28),IF(ISNUMBER(MATCH(D16,{"C","D","E"},0)),SUM(D21,D32/2),IF(OR(D16="None",D16=""),0))))</f>
        <v>2055</v>
      </c>
      <c r="E35" s="83">
        <f>IF(TRIM(E17)="", "",IF(E16="A",SUM(E21,E28),IF( ISNUMBER(MATCH(E16, {"C","D","E"}, 0)),SUM(E21, D32/2, E34/2),IF(OR(E16="None", E16=""), 0))))</f>
        <v>2081</v>
      </c>
      <c r="F35" s="83">
        <f>IF(TRIM(F17)="", "",IF(F16="A",SUM(F21,F28),IF( ISNUMBER(MATCH(F16, {"C","D","E"}, 0)),SUM(F21, F32/2, E34/2),IF(OR(F16="None", F16=""), 0))))</f>
        <v>3156</v>
      </c>
      <c r="G35" s="83" t="str">
        <f>IF(TRIM(G17)="", "",IF(G16="A",SUM(G21,G28),IF( ISNUMBER(MATCH(G16, {"C","D","E"}, 0)),SUM(G21, F32/2, G34/2),IF(OR(G16="None", G16=""), 0))))</f>
        <v/>
      </c>
      <c r="H35" s="83">
        <f>IF(TRIM(H17)="", "",IF(H16="A",SUM(H21,H28),IF( ISNUMBER(MATCH(H16, {"C","D","E"}, 0)),SUM(H21, H32/2, G34/2),IF(OR(H16="None", H16=""), 0))))</f>
        <v>4436</v>
      </c>
      <c r="I35" s="83">
        <f>IF(TRIM(I17)="", "",IF(I16="A",SUM(I21,I28),IF( ISNUMBER(MATCH(I16, {"C","D","E"}, 0)),SUM(I21, H32/2, I34/2),IF(OR(I16="None", I16=""), 0))))</f>
        <v>4133</v>
      </c>
      <c r="J35" s="83" t="str">
        <f>IF(TRIM(J17)="", "",IF(J16="A",SUM(J21,J28),IF( ISNUMBER(MATCH(J16, {"C","D","E"}, 0)),SUM(J21, J32/2, I34/2),IF(OR(J16="None", J16=""), 0))))</f>
        <v/>
      </c>
      <c r="K35" s="83">
        <f>IF(TRIM(K17)="", "",IF(K16="A",SUM(K21,K28),IF( ISNUMBER(MATCH(K16, {"C","D","E"}, 0)),SUM(K21, J32/2, K34/2),IF(OR(K16="None", K16=""), 0))))</f>
        <v>3934</v>
      </c>
      <c r="L35" s="83">
        <f>IF(TRIM(L17)="", "",IF(L16="A",SUM(L21,L28),IF( ISNUMBER(MATCH(L16, {"C","D","E"}, 0)),SUM(L21, L32/2, K34/2),IF(OR(L16="None", L16=""), 0))))</f>
        <v>3927</v>
      </c>
      <c r="M35" s="83" t="str">
        <f>IF(TRIM(M17)="", "",IF(M16="A",SUM(M21,M28),IF( ISNUMBER(MATCH(M16, {"C","D","E"}, 0)),SUM(M21, L32/2, M34/2),IF(OR(M16="None", M16=""), 0))))</f>
        <v/>
      </c>
      <c r="N35" s="83">
        <f>IF(TRIM(N17)="", "",IF(N16="A",SUM(N21,N28),IF( ISNUMBER(MATCH(N16, {"C","D","E"}, 0)),SUM(N21, N32/2, M34/2),IF(OR(N16="None", N16=""), 0))))</f>
        <v>3626</v>
      </c>
      <c r="O35" s="83">
        <f>IF(TRIM(O17)="", "",IF(OR(O16="A", ISNUMBER(MATCH(O16, {"C","D","E"}, 0))),SUM(O21, N32/2),IF(OR(O16="None", O16=""), 0)))</f>
        <v>1651</v>
      </c>
      <c r="P35" s="267"/>
      <c r="Q35" s="267"/>
    </row>
    <row r="36" spans="1:17" ht="19" thickBot="1" x14ac:dyDescent="0.5">
      <c r="A36" s="474"/>
      <c r="B36" s="194" t="s">
        <v>23224</v>
      </c>
      <c r="C36" s="194">
        <f>IF(C16="A",4853,SUM(C23,C30))</f>
        <v>4853</v>
      </c>
      <c r="D36" s="194">
        <f>IF(D16="A",4853,SUM(D23,D30))</f>
        <v>4853</v>
      </c>
      <c r="E36" s="194">
        <f>IF(E16="A",4853,SUM(E23,E30))</f>
        <v>4853</v>
      </c>
      <c r="F36" s="194">
        <f>IF(F16="A",6804,SUM(F23,F30))</f>
        <v>6804</v>
      </c>
      <c r="G36" s="194" t="str">
        <f>IF(G16="A","",SUM(G23,G30))</f>
        <v/>
      </c>
      <c r="H36" s="194">
        <f>IF(H16="A",4853,SUM(H23,H30))</f>
        <v>4853</v>
      </c>
      <c r="I36" s="194">
        <f>IF(I16="A",4853,SUM(I23,I30))</f>
        <v>4853</v>
      </c>
      <c r="J36" s="194" t="str">
        <f>IF(J16="A","",SUM(J23,J30))</f>
        <v/>
      </c>
      <c r="K36" s="194">
        <f>IF(K16="A",4853,SUM(K23,K30))</f>
        <v>4853</v>
      </c>
      <c r="L36" s="194">
        <f>IF(L16="A",4853,SUM(L23,L30))</f>
        <v>4853</v>
      </c>
      <c r="M36" s="194" t="str">
        <f>IF(M16="A","",SUM(M23,M30))</f>
        <v/>
      </c>
      <c r="N36" s="194">
        <f>IF(N16="A",4853,SUM(N23,N30))</f>
        <v>4853</v>
      </c>
      <c r="O36" s="194">
        <f>O23</f>
        <v>2722</v>
      </c>
      <c r="P36" s="19"/>
      <c r="Q36" s="19"/>
    </row>
    <row r="37" spans="1:17" x14ac:dyDescent="0.45">
      <c r="A37" s="474"/>
      <c r="B37" s="484" t="s">
        <v>23294</v>
      </c>
      <c r="C37" s="484"/>
      <c r="D37" s="484"/>
      <c r="E37" s="484"/>
      <c r="F37" s="484"/>
      <c r="G37" s="484"/>
      <c r="H37" s="484"/>
      <c r="I37" s="484"/>
      <c r="J37" s="484"/>
      <c r="K37" s="484"/>
      <c r="L37" s="484"/>
      <c r="M37" s="484"/>
      <c r="N37" s="19"/>
      <c r="O37" s="19"/>
      <c r="P37" s="19"/>
      <c r="Q37" s="19"/>
    </row>
    <row r="38" spans="1:17" ht="19" thickBot="1" x14ac:dyDescent="0.5">
      <c r="A38" s="474"/>
      <c r="B38" s="485"/>
      <c r="C38" s="485"/>
      <c r="D38" s="485"/>
      <c r="E38" s="485"/>
      <c r="F38" s="485"/>
      <c r="G38" s="485"/>
      <c r="H38" s="485"/>
      <c r="I38" s="485"/>
      <c r="J38" s="485"/>
      <c r="K38" s="485"/>
      <c r="L38" s="485"/>
      <c r="M38" s="485"/>
      <c r="N38" s="19"/>
      <c r="O38" s="19"/>
      <c r="P38" s="19"/>
      <c r="Q38" s="19"/>
    </row>
    <row r="39" spans="1:17" ht="24" thickBot="1" x14ac:dyDescent="0.6">
      <c r="A39" s="474"/>
      <c r="B39" s="441" t="s">
        <v>55</v>
      </c>
      <c r="C39" s="442"/>
      <c r="D39" s="442"/>
      <c r="E39" s="442"/>
      <c r="F39" s="442"/>
      <c r="G39" s="442"/>
      <c r="H39" s="442"/>
      <c r="I39" s="442"/>
      <c r="J39" s="442"/>
      <c r="K39" s="442"/>
      <c r="L39" s="442"/>
      <c r="M39" s="442"/>
      <c r="N39" s="443"/>
      <c r="O39" s="19"/>
      <c r="P39" s="19"/>
      <c r="Q39" s="19"/>
    </row>
    <row r="40" spans="1:17" ht="24" thickBot="1" x14ac:dyDescent="0.6">
      <c r="A40" s="474"/>
      <c r="B40" s="193" t="s">
        <v>65</v>
      </c>
      <c r="C40" s="444" t="s">
        <v>23214</v>
      </c>
      <c r="D40" s="445"/>
      <c r="E40" s="445"/>
      <c r="F40" s="445"/>
      <c r="G40" s="445"/>
      <c r="H40" s="446"/>
      <c r="I40" s="445" t="s">
        <v>23215</v>
      </c>
      <c r="J40" s="445"/>
      <c r="K40" s="445"/>
      <c r="L40" s="445"/>
      <c r="M40" s="445"/>
      <c r="N40" s="483"/>
      <c r="O40" s="19"/>
      <c r="P40" s="19"/>
      <c r="Q40" s="19"/>
    </row>
    <row r="41" spans="1:17" ht="19" customHeight="1" thickBot="1" x14ac:dyDescent="0.5">
      <c r="A41" s="474"/>
      <c r="B41" s="8" t="s">
        <v>71</v>
      </c>
      <c r="C41" s="25" t="s">
        <v>23152</v>
      </c>
      <c r="D41" s="25" t="s">
        <v>23225</v>
      </c>
      <c r="E41" s="25" t="s">
        <v>23226</v>
      </c>
      <c r="F41" s="25" t="s">
        <v>23227</v>
      </c>
      <c r="G41" s="25" t="s">
        <v>23228</v>
      </c>
      <c r="H41" s="325" t="s">
        <v>23229</v>
      </c>
      <c r="I41" s="186" t="s">
        <v>23235</v>
      </c>
      <c r="J41" s="25" t="s">
        <v>23236</v>
      </c>
      <c r="K41" s="25" t="s">
        <v>23237</v>
      </c>
      <c r="L41" s="186" t="s">
        <v>23238</v>
      </c>
      <c r="M41" s="25" t="s">
        <v>23239</v>
      </c>
      <c r="N41" s="438" t="s">
        <v>23213</v>
      </c>
      <c r="O41" s="19"/>
      <c r="P41" s="19"/>
      <c r="Q41" s="19"/>
    </row>
    <row r="42" spans="1:17" ht="19" customHeight="1" x14ac:dyDescent="0.45">
      <c r="A42" s="474"/>
      <c r="B42" s="15" t="s">
        <v>23151</v>
      </c>
      <c r="C42" s="29" t="s">
        <v>23256</v>
      </c>
      <c r="D42" s="30" t="s">
        <v>23256</v>
      </c>
      <c r="E42" s="30" t="s">
        <v>23256</v>
      </c>
      <c r="F42" s="30" t="s">
        <v>23157</v>
      </c>
      <c r="G42" s="30" t="s">
        <v>23157</v>
      </c>
      <c r="H42" s="326" t="s">
        <v>23157</v>
      </c>
      <c r="I42" s="30" t="s">
        <v>23157</v>
      </c>
      <c r="J42" s="30" t="s">
        <v>23157</v>
      </c>
      <c r="K42" s="30" t="s">
        <v>23157</v>
      </c>
      <c r="L42" s="30" t="s">
        <v>23157</v>
      </c>
      <c r="M42" s="30" t="s">
        <v>23157</v>
      </c>
      <c r="N42" s="439"/>
      <c r="O42" s="19"/>
      <c r="P42" s="19"/>
      <c r="Q42" s="19"/>
    </row>
    <row r="43" spans="1:17" ht="19" customHeight="1" x14ac:dyDescent="0.45">
      <c r="A43" s="474"/>
      <c r="B43" s="15" t="s">
        <v>66</v>
      </c>
      <c r="C43" s="32"/>
      <c r="D43" s="29"/>
      <c r="E43" s="30"/>
      <c r="F43" s="30"/>
      <c r="G43" s="29"/>
      <c r="H43" s="326"/>
      <c r="I43" s="30"/>
      <c r="J43" s="30"/>
      <c r="K43" s="29"/>
      <c r="L43" s="30"/>
      <c r="M43" s="29"/>
      <c r="N43" s="321"/>
      <c r="O43" s="19"/>
      <c r="P43" s="19"/>
      <c r="Q43" s="19"/>
    </row>
    <row r="44" spans="1:17" ht="19" customHeight="1" x14ac:dyDescent="0.45">
      <c r="A44" s="474"/>
      <c r="B44" s="15" t="s">
        <v>67</v>
      </c>
      <c r="C44" s="32"/>
      <c r="D44" s="32"/>
      <c r="E44" s="32"/>
      <c r="F44" s="32"/>
      <c r="G44" s="29"/>
      <c r="H44" s="326"/>
      <c r="I44" s="30"/>
      <c r="J44" s="30"/>
      <c r="K44" s="29"/>
      <c r="L44" s="30"/>
      <c r="M44" s="29"/>
      <c r="N44" s="29"/>
      <c r="O44" s="19"/>
      <c r="P44" s="19"/>
      <c r="Q44" s="19"/>
    </row>
    <row r="45" spans="1:17" ht="19" customHeight="1" x14ac:dyDescent="0.45">
      <c r="A45" s="474"/>
      <c r="B45" s="15" t="s">
        <v>68</v>
      </c>
      <c r="C45" s="32"/>
      <c r="D45" s="32"/>
      <c r="E45" s="32"/>
      <c r="F45" s="32"/>
      <c r="G45" s="29"/>
      <c r="H45" s="326"/>
      <c r="I45" s="30"/>
      <c r="J45" s="30"/>
      <c r="K45" s="29"/>
      <c r="L45" s="30"/>
      <c r="M45" s="29"/>
      <c r="N45" s="29"/>
      <c r="O45" s="19"/>
      <c r="P45" s="19"/>
      <c r="Q45" s="19"/>
    </row>
    <row r="46" spans="1:17" ht="19" customHeight="1" x14ac:dyDescent="0.45">
      <c r="A46" s="474"/>
      <c r="B46" s="15" t="s">
        <v>69</v>
      </c>
      <c r="C46" s="32">
        <v>1086</v>
      </c>
      <c r="D46" s="32">
        <v>1003</v>
      </c>
      <c r="E46" s="32">
        <v>1097</v>
      </c>
      <c r="F46" s="32">
        <v>1275</v>
      </c>
      <c r="G46" s="32">
        <v>1280</v>
      </c>
      <c r="H46" s="327">
        <v>1285</v>
      </c>
      <c r="I46" s="323">
        <v>600</v>
      </c>
      <c r="J46" s="32"/>
      <c r="K46" s="32"/>
      <c r="L46" s="32"/>
      <c r="M46" s="29">
        <v>1000</v>
      </c>
      <c r="N46" s="29">
        <v>1116</v>
      </c>
      <c r="O46" s="19"/>
      <c r="P46" s="19"/>
      <c r="Q46" s="19"/>
    </row>
    <row r="47" spans="1:17" ht="19" customHeight="1" thickBot="1" x14ac:dyDescent="0.5">
      <c r="A47" s="474"/>
      <c r="B47" s="16" t="s">
        <v>70</v>
      </c>
      <c r="C47" s="224">
        <f>_xlfn.LET( _xlpm.rawVal,C42, _xlpm.rawCode,C49,_xlpm.val,TRIM(LOWER(_xlpm.rawVal)),_xlpm.code,TRIM(LOWER(_xlpm.rawCode)),_xlpm.hasVal,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2449</v>
      </c>
      <c r="D47" s="224">
        <f>_xlfn.LET( _xlpm.rawVal,D42, _xlpm.rawCode,D49,_xlpm.val,TRIM(LOWER(_xlpm.rawVal)),_xlpm.code,TRIM(LOWER(_xlpm.rawCode)),_xlpm.hasVal,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2449</v>
      </c>
      <c r="E47" s="224">
        <f>_xlfn.LET( _xlpm.rawVal,E42, _xlpm.rawCode,E49,_xlpm.val,TRIM(LOWER(_xlpm.rawVal)),_xlpm.code,TRIM(LOWER(_xlpm.rawCode)),_xlpm.hasVal,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2449</v>
      </c>
      <c r="F47" s="224" t="str">
        <f>_xlfn.LET( _xlpm.rawVal,F42, _xlpm.rawCode,F49,_xlpm.val,TRIM(LOWER(_xlpm.rawVal)),_xlpm.code,TRIM(LOWER(_xlpm.rawCode)),_xlpm.hasVal,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G47" s="224" t="str">
        <f>_xlfn.LET( _xlpm.rawVal,G42, _xlpm.rawCode,G49,_xlpm.val,TRIM(LOWER(_xlpm.rawVal)),_xlpm.code,TRIM(LOWER(_xlpm.rawCode)),_xlpm.hasVal,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H47" s="328" t="str">
        <f>_xlfn.LET( _xlpm.rawVal,H42, _xlpm.rawCode,H49,_xlpm.val,TRIM(LOWER(_xlpm.rawVal)),_xlpm.code,TRIM(LOWER(_xlpm.rawCode)),_xlpm.hasVal,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I47" s="324" t="str">
        <f>_xlfn.LET( _xlpm.rawVal,I42, _xlpm.rawCode,I49,_xlpm.val,TRIM(LOWER(_xlpm.rawVal)),_xlpm.code,TRIM(LOWER(_xlpm.rawCode)),_xlpm.hasVal,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J47" s="224" t="str">
        <f>_xlfn.LET( _xlpm.rawVal,J42, _xlpm.rawCode,J49,_xlpm.val,TRIM(LOWER(_xlpm.rawVal)),_xlpm.code,TRIM(LOWER(_xlpm.rawCode)),_xlpm.hasVal,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K47" s="224" t="str">
        <f>_xlfn.LET( _xlpm.rawVal,K42, _xlpm.rawCode,K49,_xlpm.val,TRIM(LOWER(_xlpm.rawVal)),_xlpm.code,TRIM(LOWER(_xlpm.rawCode)),_xlpm.hasVal,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L47" s="224" t="str">
        <f>_xlfn.LET( _xlpm.rawVal,L42, _xlpm.rawCode,L49,_xlpm.val,TRIM(LOWER(_xlpm.rawVal)),_xlpm.code,TRIM(LOWER(_xlpm.rawCode)),_xlpm.hasVal,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M47" s="266" t="str">
        <f>_xlfn.LET( _xlpm.rawVal,M42, _xlpm.rawCode,M49,_xlpm.val,TRIM(LOWER(_xlpm.rawVal)),_xlpm.code,TRIM(LOWER(_xlpm.rawCode)),_xlpm.hasVal,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N47" s="413">
        <v>2935</v>
      </c>
      <c r="O47" s="19"/>
      <c r="P47" s="19"/>
      <c r="Q47" s="19"/>
    </row>
    <row r="48" spans="1:17" ht="19" customHeight="1" thickBot="1" x14ac:dyDescent="0.5">
      <c r="A48" s="474"/>
      <c r="B48" s="8" t="s">
        <v>71</v>
      </c>
      <c r="C48" s="184" t="s">
        <v>23154</v>
      </c>
      <c r="D48" s="187" t="s">
        <v>23234</v>
      </c>
      <c r="E48" s="185" t="s">
        <v>23233</v>
      </c>
      <c r="F48" s="185" t="s">
        <v>23232</v>
      </c>
      <c r="G48" s="187" t="s">
        <v>23231</v>
      </c>
      <c r="H48" s="329" t="s">
        <v>23230</v>
      </c>
      <c r="I48" s="185" t="s">
        <v>23244</v>
      </c>
      <c r="J48" s="185" t="s">
        <v>23243</v>
      </c>
      <c r="K48" s="187" t="s">
        <v>23242</v>
      </c>
      <c r="L48" s="185" t="s">
        <v>23241</v>
      </c>
      <c r="M48" s="410" t="s">
        <v>23240</v>
      </c>
      <c r="N48" s="415"/>
      <c r="O48" s="19"/>
      <c r="P48" s="19"/>
      <c r="Q48" s="19"/>
    </row>
    <row r="49" spans="1:17" ht="19" customHeight="1" x14ac:dyDescent="0.45">
      <c r="A49" s="474"/>
      <c r="B49" s="15" t="s">
        <v>23151</v>
      </c>
      <c r="C49" s="32" t="s">
        <v>23157</v>
      </c>
      <c r="D49" s="32" t="s">
        <v>23157</v>
      </c>
      <c r="E49" s="32" t="s">
        <v>23157</v>
      </c>
      <c r="F49" s="32" t="s">
        <v>23157</v>
      </c>
      <c r="G49" s="32" t="s">
        <v>23157</v>
      </c>
      <c r="H49" s="327" t="s">
        <v>23157</v>
      </c>
      <c r="I49" s="323" t="s">
        <v>23256</v>
      </c>
      <c r="J49" s="32" t="s">
        <v>23256</v>
      </c>
      <c r="K49" s="32" t="s">
        <v>23256</v>
      </c>
      <c r="L49" s="32" t="s">
        <v>23256</v>
      </c>
      <c r="M49" s="411" t="s">
        <v>23256</v>
      </c>
      <c r="N49" s="415"/>
      <c r="O49" s="19"/>
      <c r="P49" s="19"/>
      <c r="Q49" s="19"/>
    </row>
    <row r="50" spans="1:17" ht="19" customHeight="1" x14ac:dyDescent="0.45">
      <c r="A50" s="474"/>
      <c r="B50" s="15" t="s">
        <v>66</v>
      </c>
      <c r="C50" s="32"/>
      <c r="D50" s="29"/>
      <c r="E50" s="30"/>
      <c r="F50" s="30"/>
      <c r="G50" s="29"/>
      <c r="H50" s="326"/>
      <c r="I50" s="30"/>
      <c r="J50" s="30"/>
      <c r="K50" s="29"/>
      <c r="L50" s="30"/>
      <c r="M50" s="411"/>
      <c r="N50" s="415"/>
      <c r="O50" s="19"/>
      <c r="P50" s="19"/>
      <c r="Q50" s="19"/>
    </row>
    <row r="51" spans="1:17" ht="18.5" customHeight="1" x14ac:dyDescent="0.45">
      <c r="A51" s="474"/>
      <c r="B51" s="15" t="s">
        <v>67</v>
      </c>
      <c r="C51" s="32"/>
      <c r="D51" s="29"/>
      <c r="E51" s="30"/>
      <c r="F51" s="30"/>
      <c r="G51" s="29"/>
      <c r="H51" s="326"/>
      <c r="I51" s="30"/>
      <c r="J51" s="30"/>
      <c r="K51" s="29"/>
      <c r="L51" s="30"/>
      <c r="M51" s="411"/>
      <c r="N51" s="416"/>
      <c r="O51" s="19"/>
      <c r="P51" s="19"/>
      <c r="Q51" s="19"/>
    </row>
    <row r="52" spans="1:17" ht="18.5" customHeight="1" x14ac:dyDescent="0.45">
      <c r="A52" s="474"/>
      <c r="B52" s="15" t="s">
        <v>68</v>
      </c>
      <c r="C52" s="32"/>
      <c r="D52" s="29"/>
      <c r="E52" s="30"/>
      <c r="F52" s="30"/>
      <c r="G52" s="29"/>
      <c r="H52" s="326"/>
      <c r="I52" s="30"/>
      <c r="J52" s="30"/>
      <c r="K52" s="29"/>
      <c r="L52" s="30"/>
      <c r="M52" s="411"/>
      <c r="N52" s="415"/>
      <c r="O52" s="19"/>
      <c r="P52" s="19"/>
      <c r="Q52" s="19"/>
    </row>
    <row r="53" spans="1:17" ht="18.5" customHeight="1" x14ac:dyDescent="0.45">
      <c r="A53" s="474"/>
      <c r="B53" s="15" t="s">
        <v>69</v>
      </c>
      <c r="C53" s="32"/>
      <c r="D53" s="32">
        <v>1000</v>
      </c>
      <c r="E53" s="32"/>
      <c r="F53" s="32"/>
      <c r="G53" s="32"/>
      <c r="H53" s="327"/>
      <c r="I53" s="323"/>
      <c r="J53" s="32"/>
      <c r="K53" s="32"/>
      <c r="L53" s="32">
        <v>853</v>
      </c>
      <c r="M53" s="411">
        <v>1122</v>
      </c>
      <c r="N53" s="415"/>
      <c r="O53" s="19"/>
      <c r="P53" s="19"/>
      <c r="Q53" s="19"/>
    </row>
    <row r="54" spans="1:17" ht="19" customHeight="1" thickBot="1" x14ac:dyDescent="0.5">
      <c r="A54" s="474"/>
      <c r="B54" s="16" t="s">
        <v>70</v>
      </c>
      <c r="C54" s="82">
        <f>_xlfn.LET( _xlpm.rawVal,C49, _xlpm.rawCode,C42,_xlpm.val,TRIM(LOWER(_xlpm.rawVal)),_xlpm.code,TRIM(LOWER(_xlpm.rawCode)),_xlpm.hasVal,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NOT(_xlpm.isLD2)),_xlpm.lookupRes,IFERROR(VLOOKUP(_xlpm.rawCode,'Missing Constrains'!$K$7:$L$11,2,FALSE),""),IF(_xlpm.badPair,"Invalid",_xlpm.lookupRes))</f>
        <v>2449</v>
      </c>
      <c r="D54" s="82" t="str">
        <f>_xlfn.LET( _xlpm.rawVal,D49, _xlpm.rawCode,D42,_xlpm.val,TRIM(LOWER(_xlpm.rawVal)),_xlpm.code,TRIM(LOWER(_xlpm.rawCode)),_xlpm.hasVal,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E54" s="82" t="str">
        <f>_xlfn.LET( _xlpm.rawVal,E49, _xlpm.rawCode,E42,_xlpm.val,TRIM(LOWER(_xlpm.rawVal)),_xlpm.code,TRIM(LOWER(_xlpm.rawCode)),_xlpm.hasVal,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F54" s="82" t="str">
        <f>_xlfn.LET( _xlpm.rawVal,F49, _xlpm.rawCode,F42,_xlpm.val,TRIM(LOWER(_xlpm.rawVal)),_xlpm.code,TRIM(LOWER(_xlpm.rawCode)),_xlpm.hasVal,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G54" s="82" t="str">
        <f>_xlfn.LET( _xlpm.rawVal,G49, _xlpm.rawCode,G42,_xlpm.val,TRIM(LOWER(_xlpm.rawVal)),_xlpm.code,TRIM(LOWER(_xlpm.rawCode)),_xlpm.hasVal,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H54" s="330" t="str">
        <f>_xlfn.LET( _xlpm.rawVal,H49, _xlpm.rawCode,H42,_xlpm.val,TRIM(LOWER(_xlpm.rawVal)),_xlpm.code,TRIM(LOWER(_xlpm.rawCode)),_xlpm.hasVal,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
      </c>
      <c r="I54" s="324">
        <f>_xlfn.LET( _xlpm.rawVal,I49, _xlpm.rawCode,I42,_xlpm.val,TRIM(LOWER(_xlpm.rawVal)),_xlpm.code,TRIM(LOWER(_xlpm.rawCode)),_xlpm.hasVal,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2449</v>
      </c>
      <c r="J54" s="224">
        <f>_xlfn.LET( _xlpm.rawVal,J49, _xlpm.rawCode,J42,_xlpm.val,TRIM(LOWER(_xlpm.rawVal)),_xlpm.code,TRIM(LOWER(_xlpm.rawCode)),_xlpm.hasVal,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2449</v>
      </c>
      <c r="K54" s="224">
        <f>_xlfn.LET( _xlpm.rawVal,K49, _xlpm.rawCode,K42,_xlpm.val,TRIM(LOWER(_xlpm.rawVal)),_xlpm.code,TRIM(LOWER(_xlpm.rawCode)),_xlpm.hasVal,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2449</v>
      </c>
      <c r="L54" s="82">
        <f>_xlfn.LET( _xlpm.rawVal,L49, _xlpm.rawCode,L42,_xlpm.val,TRIM(LOWER(_xlpm.rawVal)),_xlpm.code,TRIM(LOWER(_xlpm.rawCode)),_xlpm.hasVal,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2449</v>
      </c>
      <c r="M54" s="412">
        <f>_xlfn.LET( _xlpm.rawVal,M49, _xlpm.rawCode,M42,_xlpm.val,TRIM(LOWER(_xlpm.rawVal)),_xlpm.code,TRIM(LOWER(_xlpm.rawCode)),_xlpm.hasVal, AND(_xlpm.rawVal&lt;&gt;"", _xlpm.val&lt;&gt;"none"),_xlpm.hasCode,   AND(_xlpm.rawCode&lt;&gt;"", _xlpm.code&lt;&gt;"none"),_xlpm.isLD2,AND(_xlpm.val="ld-2", _xlpm.code="ld-2"),_xlpm.badPair,AND(_xlpm.hasVal, _xlpm.hasCode, NOT(_xlpm.isLD2)),_xlpm.lookupRes,IFERROR(VLOOKUP(_xlpm.rawVal,'Missing Constrains'!$K$7:$L$11,2,FALSE),""),IF(_xlpm.badPair,"Invalid",_xlpm.lookupRes))</f>
        <v>2449</v>
      </c>
      <c r="N54" s="415"/>
      <c r="O54" s="19"/>
      <c r="P54" s="19"/>
      <c r="Q54" s="19"/>
    </row>
    <row r="55" spans="1:17" ht="19" thickBot="1" x14ac:dyDescent="0.5">
      <c r="A55" s="474"/>
      <c r="B55" s="83" t="s">
        <v>23223</v>
      </c>
      <c r="C55" s="83">
        <f t="shared" ref="C55:N55" si="0">IF(C56="","",IF(C42="None",ROUND(C53,0),IF(C49="None",ROUND(C46,0),IF(AND(C47="Invalid",C54="Invalid"),"",ROUND(SUM(C46,C53),0)))))</f>
        <v>1086</v>
      </c>
      <c r="D55" s="83">
        <f t="shared" si="0"/>
        <v>1003</v>
      </c>
      <c r="E55" s="83">
        <f t="shared" si="0"/>
        <v>1097</v>
      </c>
      <c r="F55" s="83" t="str">
        <f t="shared" si="0"/>
        <v/>
      </c>
      <c r="G55" s="83" t="str">
        <f t="shared" si="0"/>
        <v/>
      </c>
      <c r="H55" s="83" t="str">
        <f t="shared" si="0"/>
        <v/>
      </c>
      <c r="I55" s="83">
        <f t="shared" si="0"/>
        <v>0</v>
      </c>
      <c r="J55" s="83">
        <f t="shared" si="0"/>
        <v>0</v>
      </c>
      <c r="K55" s="83">
        <f t="shared" si="0"/>
        <v>0</v>
      </c>
      <c r="L55" s="83">
        <f t="shared" si="0"/>
        <v>853</v>
      </c>
      <c r="M55" s="83">
        <f t="shared" si="0"/>
        <v>1122</v>
      </c>
      <c r="N55" s="414">
        <f t="shared" si="0"/>
        <v>1116</v>
      </c>
      <c r="O55" s="176"/>
      <c r="P55" s="176"/>
    </row>
    <row r="56" spans="1:17" ht="19" thickBot="1" x14ac:dyDescent="0.5">
      <c r="A56" s="474"/>
      <c r="B56" s="194" t="s">
        <v>23224</v>
      </c>
      <c r="C56" s="194">
        <f>IF(AND(C42="None", C49="None"),"",SUM(C47,C54))</f>
        <v>4898</v>
      </c>
      <c r="D56" s="194">
        <f>IF(AND(D42="None", D49="None"),"",SUM(D47,D54))</f>
        <v>2449</v>
      </c>
      <c r="E56" s="194">
        <f t="shared" ref="E56:N56" si="1">IF(AND(E42="None", E49="None"),"",SUM(E47,E54))</f>
        <v>2449</v>
      </c>
      <c r="F56" s="194" t="str">
        <f t="shared" si="1"/>
        <v/>
      </c>
      <c r="G56" s="194" t="str">
        <f>IF(AND(G42="None", G49="None"),"",SUM(G47,G54))</f>
        <v/>
      </c>
      <c r="H56" s="194" t="str">
        <f t="shared" si="1"/>
        <v/>
      </c>
      <c r="I56" s="194">
        <f t="shared" si="1"/>
        <v>2449</v>
      </c>
      <c r="J56" s="194">
        <f t="shared" si="1"/>
        <v>2449</v>
      </c>
      <c r="K56" s="194">
        <f t="shared" si="1"/>
        <v>2449</v>
      </c>
      <c r="L56" s="194">
        <f t="shared" si="1"/>
        <v>2449</v>
      </c>
      <c r="M56" s="194">
        <f t="shared" si="1"/>
        <v>2449</v>
      </c>
      <c r="N56" s="194">
        <f t="shared" si="1"/>
        <v>2935</v>
      </c>
      <c r="O56" s="175"/>
      <c r="P56" s="175"/>
    </row>
    <row r="57" spans="1:17" x14ac:dyDescent="0.45">
      <c r="A57" s="474"/>
      <c r="G57" s="175"/>
      <c r="H57" s="175"/>
      <c r="I57" s="175"/>
      <c r="J57" s="175"/>
      <c r="K57" s="175"/>
      <c r="L57" s="175"/>
      <c r="M57" s="175"/>
      <c r="N57" s="175"/>
      <c r="O57" s="175"/>
      <c r="P57" s="175"/>
    </row>
    <row r="58" spans="1:17" ht="21" x14ac:dyDescent="0.5">
      <c r="A58" s="474"/>
      <c r="B58" s="177"/>
      <c r="C58" s="177"/>
      <c r="D58" s="177"/>
      <c r="E58" s="177"/>
      <c r="F58" s="176"/>
      <c r="G58" s="486" t="str">
        <f>IF(OR(G59&lt;&gt;"",G60&lt;&gt;"",G61&lt;&gt;"",G62&lt;&gt;"",G63&lt;&gt;""),"FLOATER A and FLOATER B are OVERLAPED","")</f>
        <v/>
      </c>
      <c r="H58" s="486"/>
      <c r="I58" s="486"/>
      <c r="J58" s="486"/>
      <c r="K58" s="486" t="str">
        <f>IF(OR(K59&lt;&gt;"",K60&lt;&gt;"",K61&lt;&gt;"",K62&lt;&gt;"",K63&lt;&gt;"",K63&lt;&gt;"",K64&lt;&gt;""),"Positions and FLOATER A are OVERLAPED","")</f>
        <v/>
      </c>
      <c r="L58" s="486"/>
      <c r="M58" s="486"/>
      <c r="N58" s="486" t="str">
        <f>IF(OR(N59&lt;&gt;"",N60&lt;&gt;"",N61&lt;&gt;"",N62&lt;&gt;"",N63&lt;&gt;""),"Positions and FLOATER B are OVERLAPED","")</f>
        <v/>
      </c>
      <c r="O58" s="486"/>
      <c r="P58" s="486"/>
    </row>
    <row r="59" spans="1:17" ht="21" hidden="1" x14ac:dyDescent="0.5">
      <c r="A59" s="474"/>
      <c r="B59" s="177"/>
      <c r="C59" s="263"/>
      <c r="D59" s="481"/>
      <c r="E59" s="179"/>
      <c r="F59" s="176"/>
      <c r="G59" s="440" t="str">
        <f>IF(AND(OR(D32&lt;&gt;"",F32&lt;&gt;""),E34&lt;&gt;""),"Overlap at FLOATER A.1 or A.2 and FLOATER B.1","")</f>
        <v/>
      </c>
      <c r="H59" s="440"/>
      <c r="I59" s="440"/>
      <c r="J59" s="440"/>
      <c r="K59" s="440" t="str">
        <f>IF(AND(OR(D21&lt;&gt;"",E21&lt;&gt;"",D28&lt;&gt;"",E28&lt;&gt;""),D32&lt;&gt;""),"Pos. 2/3 &amp; FLOATER A.1 Overlap","")</f>
        <v/>
      </c>
      <c r="L59" s="440"/>
      <c r="M59" s="440"/>
      <c r="N59" s="440" t="str">
        <f>IF(AND(OR(E21&lt;&gt;"",F21&lt;&gt;"",E28&lt;&gt;"",F28&lt;&gt;""),E34&lt;&gt;""),"Pos. 3/4 &amp; FLOATER B.1 Overlap","")</f>
        <v/>
      </c>
      <c r="O59" s="440"/>
      <c r="P59" s="440"/>
    </row>
    <row r="60" spans="1:17" ht="21" hidden="1" x14ac:dyDescent="0.5">
      <c r="A60" s="474"/>
      <c r="B60" s="177"/>
      <c r="C60" s="178"/>
      <c r="D60" s="481"/>
      <c r="E60" s="179"/>
      <c r="F60" s="176"/>
      <c r="G60" s="440" t="str">
        <f>IF(AND(OR(H32&lt;&gt;"",F32&lt;&gt;""),G34&lt;&gt;""),"Overlap at FLOATER A.2 or 1.3 and FLOATER B.2","")</f>
        <v/>
      </c>
      <c r="H60" s="440"/>
      <c r="I60" s="440"/>
      <c r="J60" s="440"/>
      <c r="K60" s="440" t="str">
        <f>IF(AND(OR(F21&lt;&gt;"",G21&lt;&gt;"",F28&lt;&gt;"",G28&lt;&gt;""),F32&lt;&gt;""),"Pos. 4/5 &amp; FLOATER A.2 Overlap","")</f>
        <v/>
      </c>
      <c r="L60" s="440"/>
      <c r="M60" s="440"/>
      <c r="N60" s="440" t="str">
        <f>IF(AND(OR(G21&lt;&gt;"",H21&lt;&gt;"",G28&lt;&gt;"",H28&lt;&gt;""),G34&lt;&gt;""),"Pos. 5/6 &amp; FLOATER B.2 Overlap","")</f>
        <v/>
      </c>
      <c r="O60" s="440"/>
      <c r="P60" s="440"/>
    </row>
    <row r="61" spans="1:17" ht="21" hidden="1" x14ac:dyDescent="0.5">
      <c r="A61" s="474"/>
      <c r="B61" s="177"/>
      <c r="C61" s="178"/>
      <c r="D61" s="178"/>
      <c r="E61" s="179"/>
      <c r="G61" s="440" t="str">
        <f>IF(AND(OR(H32&lt;&gt;"",J32&lt;&gt;""),I34&lt;&gt;""),"Overlap at FLOATER A.3 or A.4 and FLOATER B.3","")</f>
        <v/>
      </c>
      <c r="H61" s="440"/>
      <c r="I61" s="440"/>
      <c r="J61" s="440"/>
      <c r="K61" s="440" t="str">
        <f>IF(AND(OR(H21&lt;&gt;"",I21&lt;&gt;""),H32&lt;&gt;"",H28&lt;&gt;"",I28&lt;&gt;""),"Pos. 6/7 &amp; FLOATER A.3 Overlap","")</f>
        <v/>
      </c>
      <c r="L61" s="440"/>
      <c r="M61" s="440"/>
      <c r="N61" s="440" t="str">
        <f>IF(AND(OR(I21&lt;&gt;"",J21&lt;&gt;"",I28&lt;&gt;"",J28&lt;&gt;""),I34&lt;&gt;""),"Pos. 7/8 &amp; FLOATER B.3 Overlap","")</f>
        <v/>
      </c>
      <c r="O61" s="440"/>
      <c r="P61" s="440"/>
    </row>
    <row r="62" spans="1:17" ht="21" hidden="1" x14ac:dyDescent="0.5">
      <c r="A62" s="474"/>
      <c r="B62" s="177"/>
      <c r="C62" s="178"/>
      <c r="D62" s="178"/>
      <c r="E62" s="179"/>
      <c r="G62" s="440" t="str">
        <f>IF(AND(OR(L32&lt;&gt;"",J32&lt;&gt;""),K34&lt;&gt;""),"Overlap at FLOATER A.4 or A.5 and FLOATER B.4","")</f>
        <v/>
      </c>
      <c r="H62" s="440"/>
      <c r="I62" s="440"/>
      <c r="J62" s="440"/>
      <c r="K62" s="440" t="str">
        <f>IF(AND(OR(J21&lt;&gt;"",K21&lt;&gt;""),J32&lt;&gt;"",J28&lt;&gt;"",K28&lt;&gt;""),"Pos. 8/9 &amp; FLOATER A.4 Overlap","")</f>
        <v/>
      </c>
      <c r="L62" s="440"/>
      <c r="M62" s="440"/>
      <c r="N62" s="440" t="str">
        <f>IF(AND(OR(K21&lt;&gt;"",L21&lt;&gt;"",K28&lt;&gt;""),K34&lt;&gt;""),"Pos. 9/10 &amp; FLOATER B.4 Overlap","")</f>
        <v/>
      </c>
      <c r="O62" s="440"/>
      <c r="P62" s="440"/>
    </row>
    <row r="63" spans="1:17" ht="21" hidden="1" x14ac:dyDescent="0.5">
      <c r="A63" s="474"/>
      <c r="B63" s="177"/>
      <c r="C63" s="178"/>
      <c r="D63" s="178"/>
      <c r="E63" s="179"/>
      <c r="G63" s="440" t="str">
        <f>IF(AND(OR(N32&lt;&gt;"",L32&lt;&gt;""),M34&lt;&gt;""),"Overlap at FLOATER A.5 or A.6 and FLOATER B.5","")</f>
        <v/>
      </c>
      <c r="H63" s="440"/>
      <c r="I63" s="440"/>
      <c r="J63" s="440"/>
      <c r="K63" s="440" t="str">
        <f>IF(AND(OR(L21&lt;&gt;"",M21&lt;&gt;""),L32&lt;&gt;""),"Pos. 10/11 &amp; FLOATER A.5 Overlap","")</f>
        <v/>
      </c>
      <c r="L63" s="440"/>
      <c r="M63" s="440"/>
      <c r="N63" s="440" t="str">
        <f>IF(AND(OR(M21&lt;&gt;"",N21&lt;&gt;""),M34&lt;&gt;""),"Pos. 11/12 &amp; FLOATER B.5 Overlap","")</f>
        <v/>
      </c>
      <c r="O63" s="440"/>
      <c r="P63" s="440"/>
    </row>
    <row r="64" spans="1:17" ht="21" hidden="1" x14ac:dyDescent="0.5">
      <c r="A64" s="474"/>
      <c r="B64" s="177"/>
      <c r="C64" s="178"/>
      <c r="D64" s="178"/>
      <c r="E64" s="179"/>
      <c r="G64" s="264"/>
      <c r="H64" s="264"/>
      <c r="I64" s="264"/>
      <c r="J64" s="264"/>
      <c r="K64" s="440" t="str">
        <f>IF(AND(OR(N21&lt;&gt;"",O21&lt;&gt;""),N32&lt;&gt;""),"Pos. 12/13 &amp; FLOATER A.6 Overlap","")</f>
        <v/>
      </c>
      <c r="L64" s="440"/>
      <c r="M64" s="440"/>
      <c r="N64" s="440"/>
      <c r="O64" s="440"/>
      <c r="P64" s="440"/>
    </row>
    <row r="65" spans="1:16" ht="21" hidden="1" x14ac:dyDescent="0.5">
      <c r="A65" s="474"/>
      <c r="B65" s="177"/>
      <c r="C65" s="178"/>
      <c r="D65" s="178"/>
      <c r="E65" s="179"/>
      <c r="G65" s="264"/>
      <c r="H65" s="264"/>
      <c r="I65" s="264"/>
      <c r="J65" s="264"/>
      <c r="K65" s="264"/>
      <c r="L65" s="264"/>
      <c r="M65" s="264"/>
      <c r="N65" s="264"/>
      <c r="O65" s="264"/>
      <c r="P65" s="264"/>
    </row>
    <row r="66" spans="1:16" ht="21" hidden="1" x14ac:dyDescent="0.5">
      <c r="A66" s="474"/>
      <c r="B66" s="177"/>
      <c r="C66" s="178"/>
      <c r="D66" s="178"/>
      <c r="E66" s="179"/>
      <c r="G66" s="264"/>
      <c r="H66" s="264"/>
      <c r="I66" s="264"/>
      <c r="J66" s="264"/>
      <c r="K66" s="264"/>
      <c r="L66" s="264"/>
      <c r="M66" s="264"/>
      <c r="N66" s="264"/>
      <c r="O66" s="264"/>
      <c r="P66" s="264"/>
    </row>
    <row r="67" spans="1:16" ht="21" hidden="1" x14ac:dyDescent="0.5">
      <c r="A67" s="474"/>
      <c r="B67" s="177"/>
      <c r="C67" s="178"/>
      <c r="D67" s="178"/>
      <c r="E67" s="179"/>
      <c r="G67" s="264"/>
      <c r="H67" s="264"/>
      <c r="I67" s="264"/>
      <c r="J67" s="264"/>
      <c r="K67" s="264"/>
      <c r="L67" s="264"/>
      <c r="M67" s="264"/>
      <c r="N67" s="264"/>
      <c r="O67" s="264"/>
      <c r="P67" s="264"/>
    </row>
    <row r="68" spans="1:16" ht="21" hidden="1" x14ac:dyDescent="0.5">
      <c r="A68" s="474"/>
      <c r="B68" s="177"/>
      <c r="C68" s="178"/>
      <c r="D68" s="178"/>
      <c r="E68" s="179"/>
      <c r="G68" s="264"/>
      <c r="H68" s="264"/>
      <c r="I68" s="264"/>
      <c r="J68" s="264"/>
      <c r="K68" s="264"/>
      <c r="L68" s="264"/>
      <c r="M68" s="264"/>
      <c r="N68" s="264"/>
      <c r="O68" s="264"/>
      <c r="P68" s="264"/>
    </row>
    <row r="69" spans="1:16" ht="21" hidden="1" x14ac:dyDescent="0.5">
      <c r="A69" s="474"/>
      <c r="B69" s="177"/>
      <c r="C69" s="178"/>
      <c r="D69" s="178"/>
      <c r="E69" s="179"/>
      <c r="G69" s="264"/>
      <c r="H69" s="264"/>
      <c r="I69" s="264"/>
      <c r="J69" s="264"/>
      <c r="K69" s="264"/>
      <c r="L69" s="264"/>
      <c r="M69" s="264"/>
      <c r="N69" s="264"/>
      <c r="O69" s="264"/>
      <c r="P69" s="264"/>
    </row>
    <row r="70" spans="1:16" ht="21" hidden="1" x14ac:dyDescent="0.5">
      <c r="A70" s="474"/>
      <c r="B70" s="177"/>
      <c r="C70" s="178"/>
      <c r="D70" s="178"/>
      <c r="E70" s="179"/>
      <c r="G70" s="264"/>
      <c r="H70" s="264"/>
      <c r="I70" s="264"/>
      <c r="J70" s="264"/>
      <c r="K70" s="264"/>
      <c r="L70" s="264"/>
      <c r="M70" s="264"/>
      <c r="N70" s="264"/>
      <c r="O70" s="264"/>
      <c r="P70" s="264"/>
    </row>
    <row r="71" spans="1:16" ht="21" hidden="1" x14ac:dyDescent="0.5">
      <c r="A71" s="474"/>
      <c r="B71" s="177"/>
      <c r="C71" s="178"/>
      <c r="D71" s="178"/>
      <c r="E71" s="179"/>
      <c r="G71" s="264"/>
      <c r="H71" s="264"/>
      <c r="I71" s="264"/>
      <c r="J71" s="264"/>
      <c r="K71" s="264"/>
      <c r="L71" s="264"/>
      <c r="M71" s="264"/>
      <c r="N71" s="264"/>
      <c r="O71" s="264"/>
      <c r="P71" s="264"/>
    </row>
    <row r="72" spans="1:16" ht="21" hidden="1" x14ac:dyDescent="0.5">
      <c r="A72" s="474"/>
      <c r="B72" s="177"/>
      <c r="C72" s="178"/>
      <c r="D72" s="178"/>
      <c r="E72" s="179"/>
      <c r="G72" s="264"/>
      <c r="H72" s="264"/>
      <c r="I72" s="264"/>
      <c r="J72" s="264"/>
      <c r="K72" s="264"/>
      <c r="L72" s="264"/>
      <c r="M72" s="264"/>
      <c r="N72" s="264"/>
      <c r="O72" s="264"/>
      <c r="P72" s="264"/>
    </row>
    <row r="73" spans="1:16" ht="21" hidden="1" x14ac:dyDescent="0.5">
      <c r="A73" s="474"/>
      <c r="B73" s="177"/>
      <c r="C73" s="180"/>
      <c r="D73" s="178"/>
      <c r="E73" s="179"/>
      <c r="G73" s="264"/>
      <c r="H73" s="264"/>
      <c r="I73" s="264"/>
      <c r="J73" s="264"/>
      <c r="K73" s="264"/>
      <c r="L73" s="264"/>
      <c r="M73" s="264"/>
      <c r="N73" s="264"/>
      <c r="O73" s="264"/>
      <c r="P73" s="264"/>
    </row>
    <row r="74" spans="1:16" ht="21" hidden="1" x14ac:dyDescent="0.5">
      <c r="G74" s="264"/>
      <c r="H74" s="264"/>
      <c r="I74" s="264"/>
      <c r="J74" s="264"/>
      <c r="K74" s="264"/>
      <c r="L74" s="264"/>
      <c r="M74" s="264"/>
      <c r="N74" s="264"/>
      <c r="O74" s="264"/>
      <c r="P74" s="264"/>
    </row>
    <row r="75" spans="1:16" ht="21" hidden="1" x14ac:dyDescent="0.5">
      <c r="G75" s="264"/>
      <c r="H75" s="264"/>
      <c r="I75" s="264"/>
      <c r="J75" s="264"/>
      <c r="K75" s="264"/>
      <c r="L75" s="264"/>
      <c r="M75" s="264"/>
      <c r="N75" s="264"/>
      <c r="O75" s="264"/>
      <c r="P75" s="264"/>
    </row>
    <row r="76" spans="1:16" ht="21" hidden="1" x14ac:dyDescent="0.5">
      <c r="G76" s="264"/>
      <c r="H76" s="264"/>
      <c r="I76" s="264"/>
      <c r="J76" s="264"/>
      <c r="K76" s="264"/>
      <c r="L76" s="264"/>
      <c r="M76" s="264"/>
      <c r="N76" s="264"/>
      <c r="O76" s="264"/>
      <c r="P76" s="264"/>
    </row>
  </sheetData>
  <sheetProtection algorithmName="SHA-512" hashValue="ZatrSFGY1i7sAxFbEdwiXtZP/k5MJBMubVUYMzQxPkkhsfoxG1zmWuHX4/PjRMmUX6jtiLcZ6VRH03M8snbnww==" saltValue="TV0d/xNiZ+g4i44ocuhFHQ==" spinCount="100000" sheet="1" objects="1" scenarios="1"/>
  <mergeCells count="74">
    <mergeCell ref="D7:F7"/>
    <mergeCell ref="K61:M61"/>
    <mergeCell ref="K59:M59"/>
    <mergeCell ref="I33:J33"/>
    <mergeCell ref="I34:J34"/>
    <mergeCell ref="M33:N33"/>
    <mergeCell ref="I40:N40"/>
    <mergeCell ref="K60:M60"/>
    <mergeCell ref="M13:N13"/>
    <mergeCell ref="B37:M38"/>
    <mergeCell ref="N58:P58"/>
    <mergeCell ref="G58:J58"/>
    <mergeCell ref="K58:M58"/>
    <mergeCell ref="N32:O32"/>
    <mergeCell ref="O24:O26"/>
    <mergeCell ref="I9:J9"/>
    <mergeCell ref="A1:A73"/>
    <mergeCell ref="G59:J59"/>
    <mergeCell ref="G60:J60"/>
    <mergeCell ref="G61:J61"/>
    <mergeCell ref="G62:J62"/>
    <mergeCell ref="C31:C34"/>
    <mergeCell ref="D33:D34"/>
    <mergeCell ref="D31:E31"/>
    <mergeCell ref="F31:G31"/>
    <mergeCell ref="I10:J10"/>
    <mergeCell ref="G63:J63"/>
    <mergeCell ref="F32:G32"/>
    <mergeCell ref="D59:D60"/>
    <mergeCell ref="E33:F33"/>
    <mergeCell ref="I2:J2"/>
    <mergeCell ref="I7:J7"/>
    <mergeCell ref="I5:J5"/>
    <mergeCell ref="G34:H34"/>
    <mergeCell ref="H32:I32"/>
    <mergeCell ref="J32:K32"/>
    <mergeCell ref="K33:L33"/>
    <mergeCell ref="G33:H33"/>
    <mergeCell ref="K34:L34"/>
    <mergeCell ref="I8:J8"/>
    <mergeCell ref="D13:K14"/>
    <mergeCell ref="H31:I31"/>
    <mergeCell ref="D32:E32"/>
    <mergeCell ref="E34:F34"/>
    <mergeCell ref="D15:F15"/>
    <mergeCell ref="F10:F11"/>
    <mergeCell ref="D6:F6"/>
    <mergeCell ref="L32:M32"/>
    <mergeCell ref="N64:P64"/>
    <mergeCell ref="K64:M64"/>
    <mergeCell ref="N63:P63"/>
    <mergeCell ref="K63:M63"/>
    <mergeCell ref="N62:P62"/>
    <mergeCell ref="K62:M62"/>
    <mergeCell ref="M8:N8"/>
    <mergeCell ref="M11:N11"/>
    <mergeCell ref="M12:N12"/>
    <mergeCell ref="M34:N34"/>
    <mergeCell ref="M6:N6"/>
    <mergeCell ref="M9:N9"/>
    <mergeCell ref="G15:O15"/>
    <mergeCell ref="J31:K31"/>
    <mergeCell ref="N31:O31"/>
    <mergeCell ref="L31:M31"/>
    <mergeCell ref="O27:O28"/>
    <mergeCell ref="M7:N7"/>
    <mergeCell ref="I6:J6"/>
    <mergeCell ref="E10:E11"/>
    <mergeCell ref="N41:N42"/>
    <mergeCell ref="N61:P61"/>
    <mergeCell ref="N60:P60"/>
    <mergeCell ref="N59:P59"/>
    <mergeCell ref="B39:N39"/>
    <mergeCell ref="C40:H40"/>
  </mergeCells>
  <conditionalFormatting sqref="D24:D30">
    <cfRule type="expression" dxfId="139" priority="97">
      <formula>$D$16&lt;&gt;"A"</formula>
    </cfRule>
  </conditionalFormatting>
  <conditionalFormatting sqref="H24:H30">
    <cfRule type="expression" dxfId="138" priority="93">
      <formula>$H$16&lt;&gt;"A"</formula>
    </cfRule>
  </conditionalFormatting>
  <conditionalFormatting sqref="I24:I30">
    <cfRule type="expression" dxfId="137" priority="92">
      <formula>$I$16&lt;&gt;"A"</formula>
    </cfRule>
  </conditionalFormatting>
  <conditionalFormatting sqref="J24:J30">
    <cfRule type="expression" dxfId="136" priority="91">
      <formula>$J$16&lt;&gt;"A"</formula>
    </cfRule>
  </conditionalFormatting>
  <conditionalFormatting sqref="K24:K30">
    <cfRule type="expression" dxfId="135" priority="90">
      <formula>$K$16&lt;&gt;"A"</formula>
    </cfRule>
  </conditionalFormatting>
  <conditionalFormatting sqref="E24:E30">
    <cfRule type="expression" dxfId="134" priority="96">
      <formula>$E$16&lt;&gt;"A"</formula>
    </cfRule>
  </conditionalFormatting>
  <conditionalFormatting sqref="G17:G30">
    <cfRule type="expression" dxfId="133" priority="84">
      <formula>$G$17=" "</formula>
    </cfRule>
  </conditionalFormatting>
  <conditionalFormatting sqref="H17:H27 H29:H30">
    <cfRule type="expression" dxfId="132" priority="83">
      <formula>$H$17=" "</formula>
    </cfRule>
  </conditionalFormatting>
  <conditionalFormatting sqref="I17:I27 I29:I30">
    <cfRule type="expression" dxfId="131" priority="82">
      <formula>$I$17=" "</formula>
    </cfRule>
  </conditionalFormatting>
  <conditionalFormatting sqref="J17:J30">
    <cfRule type="expression" dxfId="130" priority="81">
      <formula>$J$17=" "</formula>
    </cfRule>
  </conditionalFormatting>
  <conditionalFormatting sqref="K17:K27 K29:K30">
    <cfRule type="expression" dxfId="129" priority="80">
      <formula>$K$17=" "</formula>
    </cfRule>
  </conditionalFormatting>
  <conditionalFormatting sqref="L17:L23">
    <cfRule type="expression" dxfId="128" priority="79">
      <formula>$L$16="None"</formula>
    </cfRule>
  </conditionalFormatting>
  <conditionalFormatting sqref="M17:M23">
    <cfRule type="expression" dxfId="127" priority="18">
      <formula>$M$17=" "</formula>
    </cfRule>
    <cfRule type="expression" dxfId="126" priority="78">
      <formula>$M$16="None"</formula>
    </cfRule>
  </conditionalFormatting>
  <conditionalFormatting sqref="N17:N23">
    <cfRule type="expression" dxfId="125" priority="17">
      <formula>$N$17=" "</formula>
    </cfRule>
    <cfRule type="expression" dxfId="124" priority="77">
      <formula>$N$16="None"</formula>
    </cfRule>
  </conditionalFormatting>
  <conditionalFormatting sqref="O17:O23">
    <cfRule type="expression" dxfId="123" priority="20">
      <formula>$O$17=" "</formula>
    </cfRule>
    <cfRule type="expression" dxfId="122" priority="76">
      <formula>$O$16="None"</formula>
    </cfRule>
  </conditionalFormatting>
  <conditionalFormatting sqref="C43:C47">
    <cfRule type="expression" dxfId="121" priority="72">
      <formula>$C$42="None"</formula>
    </cfRule>
  </conditionalFormatting>
  <conditionalFormatting sqref="D43:D47">
    <cfRule type="expression" dxfId="120" priority="71">
      <formula>$D$42="None"</formula>
    </cfRule>
  </conditionalFormatting>
  <conditionalFormatting sqref="E43:E47">
    <cfRule type="expression" dxfId="119" priority="70">
      <formula>$E$42="None"</formula>
    </cfRule>
  </conditionalFormatting>
  <conditionalFormatting sqref="F43:F47">
    <cfRule type="expression" dxfId="118" priority="69">
      <formula>$F$42="None"</formula>
    </cfRule>
  </conditionalFormatting>
  <conditionalFormatting sqref="G43:G47">
    <cfRule type="expression" dxfId="117" priority="68">
      <formula>$G$42="None"</formula>
    </cfRule>
  </conditionalFormatting>
  <conditionalFormatting sqref="H43:H47">
    <cfRule type="expression" dxfId="116" priority="67">
      <formula>$H$42="None"</formula>
    </cfRule>
  </conditionalFormatting>
  <conditionalFormatting sqref="I43:I47">
    <cfRule type="expression" dxfId="115" priority="66">
      <formula>$I$42="None"</formula>
    </cfRule>
  </conditionalFormatting>
  <conditionalFormatting sqref="J43:J47">
    <cfRule type="expression" dxfId="114" priority="65">
      <formula>$J$42="None"</formula>
    </cfRule>
  </conditionalFormatting>
  <conditionalFormatting sqref="K43:K47">
    <cfRule type="expression" dxfId="113" priority="64">
      <formula>$K$42="None"</formula>
    </cfRule>
  </conditionalFormatting>
  <conditionalFormatting sqref="L43:L47">
    <cfRule type="expression" dxfId="112" priority="46">
      <formula>$L$42="None"</formula>
    </cfRule>
  </conditionalFormatting>
  <conditionalFormatting sqref="M43:M47">
    <cfRule type="expression" dxfId="111" priority="62">
      <formula>$M$42="None"</formula>
    </cfRule>
  </conditionalFormatting>
  <conditionalFormatting sqref="C50:C54">
    <cfRule type="expression" dxfId="110" priority="60">
      <formula>$C$49="None"</formula>
    </cfRule>
  </conditionalFormatting>
  <conditionalFormatting sqref="D50:D54">
    <cfRule type="expression" dxfId="109" priority="59">
      <formula>$D$49="None"</formula>
    </cfRule>
  </conditionalFormatting>
  <conditionalFormatting sqref="E50:E54">
    <cfRule type="expression" dxfId="108" priority="58">
      <formula>$E$49="None"</formula>
    </cfRule>
  </conditionalFormatting>
  <conditionalFormatting sqref="F50:F54">
    <cfRule type="expression" dxfId="107" priority="57">
      <formula>$F$49="None"</formula>
    </cfRule>
  </conditionalFormatting>
  <conditionalFormatting sqref="G50:G54">
    <cfRule type="expression" dxfId="106" priority="56">
      <formula>$G$49="None"</formula>
    </cfRule>
  </conditionalFormatting>
  <conditionalFormatting sqref="H50:H54">
    <cfRule type="expression" dxfId="105" priority="55">
      <formula>$H$49="None"</formula>
    </cfRule>
  </conditionalFormatting>
  <conditionalFormatting sqref="I50:I54">
    <cfRule type="expression" dxfId="104" priority="54">
      <formula>$I$49="None"</formula>
    </cfRule>
  </conditionalFormatting>
  <conditionalFormatting sqref="J50:J54">
    <cfRule type="expression" dxfId="103" priority="53">
      <formula>$J$49="None"</formula>
    </cfRule>
  </conditionalFormatting>
  <conditionalFormatting sqref="K50:K54">
    <cfRule type="expression" dxfId="102" priority="52">
      <formula>$K$49="None"</formula>
    </cfRule>
  </conditionalFormatting>
  <conditionalFormatting sqref="L50:L54">
    <cfRule type="expression" dxfId="101" priority="51">
      <formula>$L$49="None"</formula>
    </cfRule>
  </conditionalFormatting>
  <conditionalFormatting sqref="M50:M54">
    <cfRule type="expression" dxfId="100" priority="50">
      <formula>$M$49="None"</formula>
    </cfRule>
  </conditionalFormatting>
  <conditionalFormatting sqref="D15:F15">
    <cfRule type="containsText" dxfId="99" priority="48" operator="containsText" text="Reduce">
      <formula>NOT(ISERROR(SEARCH("Reduce",D15)))</formula>
    </cfRule>
    <cfRule type="containsText" dxfId="98" priority="49" operator="containsText" text="Underload">
      <formula>NOT(ISERROR(SEARCH("Underload",D15)))</formula>
    </cfRule>
  </conditionalFormatting>
  <conditionalFormatting sqref="C54:M54">
    <cfRule type="containsText" dxfId="97" priority="47" operator="containsText" text="I">
      <formula>NOT(ISERROR(SEARCH("I",C54)))</formula>
    </cfRule>
  </conditionalFormatting>
  <conditionalFormatting sqref="C47:N47">
    <cfRule type="containsText" dxfId="96" priority="63" operator="containsText" text="Invalid">
      <formula>NOT(ISERROR(SEARCH("Invalid",C47)))</formula>
    </cfRule>
  </conditionalFormatting>
  <conditionalFormatting sqref="C36">
    <cfRule type="cellIs" dxfId="95" priority="45" operator="lessThan">
      <formula>$C$35</formula>
    </cfRule>
  </conditionalFormatting>
  <conditionalFormatting sqref="D31:E32">
    <cfRule type="expression" dxfId="94" priority="42">
      <formula>$E$16="A"</formula>
    </cfRule>
    <cfRule type="expression" dxfId="93" priority="43">
      <formula>$D$16="A"</formula>
    </cfRule>
  </conditionalFormatting>
  <conditionalFormatting sqref="F31:G32">
    <cfRule type="expression" dxfId="92" priority="40">
      <formula>$G$16="A"</formula>
    </cfRule>
    <cfRule type="expression" dxfId="91" priority="41">
      <formula>$F$16="A"</formula>
    </cfRule>
  </conditionalFormatting>
  <conditionalFormatting sqref="H31:I32">
    <cfRule type="expression" dxfId="90" priority="36">
      <formula>$I$16="A"</formula>
    </cfRule>
    <cfRule type="expression" dxfId="89" priority="39">
      <formula>$H$16="A"</formula>
    </cfRule>
  </conditionalFormatting>
  <conditionalFormatting sqref="J31:K32">
    <cfRule type="expression" dxfId="88" priority="37">
      <formula>$K$16="A"</formula>
    </cfRule>
    <cfRule type="expression" dxfId="87" priority="38">
      <formula>$J$16="A"</formula>
    </cfRule>
  </conditionalFormatting>
  <conditionalFormatting sqref="L31:M32">
    <cfRule type="expression" dxfId="86" priority="32">
      <formula>$M$16="A"</formula>
    </cfRule>
    <cfRule type="expression" dxfId="85" priority="35">
      <formula>$L$16="A"</formula>
    </cfRule>
  </conditionalFormatting>
  <conditionalFormatting sqref="N31:O32">
    <cfRule type="expression" dxfId="84" priority="33">
      <formula>$O$16="A"</formula>
    </cfRule>
    <cfRule type="expression" dxfId="83" priority="34">
      <formula>$N$16="A"</formula>
    </cfRule>
  </conditionalFormatting>
  <conditionalFormatting sqref="E33:F34">
    <cfRule type="expression" dxfId="82" priority="30">
      <formula>$F$16="A"</formula>
    </cfRule>
    <cfRule type="expression" dxfId="81" priority="31">
      <formula>$E$16="A"</formula>
    </cfRule>
  </conditionalFormatting>
  <conditionalFormatting sqref="G33:H34">
    <cfRule type="expression" dxfId="80" priority="22">
      <formula>$H$16="A"</formula>
    </cfRule>
    <cfRule type="expression" dxfId="79" priority="29">
      <formula>$G$16="A"</formula>
    </cfRule>
  </conditionalFormatting>
  <conditionalFormatting sqref="I33:J34">
    <cfRule type="expression" dxfId="78" priority="23">
      <formula>$J$16="A"</formula>
    </cfRule>
    <cfRule type="expression" dxfId="77" priority="28">
      <formula>$I$16="A"</formula>
    </cfRule>
  </conditionalFormatting>
  <conditionalFormatting sqref="K33:L34">
    <cfRule type="expression" dxfId="76" priority="24">
      <formula>$L$16="A"</formula>
    </cfRule>
    <cfRule type="expression" dxfId="75" priority="27">
      <formula>$K$16="A"</formula>
    </cfRule>
  </conditionalFormatting>
  <conditionalFormatting sqref="M33:N34">
    <cfRule type="expression" dxfId="74" priority="25">
      <formula>$N$16="A"</formula>
    </cfRule>
    <cfRule type="expression" dxfId="73" priority="26">
      <formula>$M$16="A"</formula>
    </cfRule>
  </conditionalFormatting>
  <conditionalFormatting sqref="F24:F30">
    <cfRule type="expression" dxfId="72" priority="21">
      <formula>$F$24=" "</formula>
    </cfRule>
  </conditionalFormatting>
  <conditionalFormatting sqref="L17:L23">
    <cfRule type="expression" dxfId="71" priority="19">
      <formula>$L$17=" "</formula>
    </cfRule>
  </conditionalFormatting>
  <conditionalFormatting sqref="C17:C23">
    <cfRule type="expression" dxfId="70" priority="16">
      <formula>$C$17=" "</formula>
    </cfRule>
  </conditionalFormatting>
  <conditionalFormatting sqref="D17:D23">
    <cfRule type="expression" dxfId="69" priority="15">
      <formula>$D$17=" "</formula>
    </cfRule>
  </conditionalFormatting>
  <conditionalFormatting sqref="E17:E23">
    <cfRule type="expression" dxfId="68" priority="14">
      <formula>$E$17=" "</formula>
    </cfRule>
  </conditionalFormatting>
  <conditionalFormatting sqref="F17:F23">
    <cfRule type="expression" dxfId="67" priority="13">
      <formula>$F$17=" "</formula>
    </cfRule>
  </conditionalFormatting>
  <conditionalFormatting sqref="C24:C30">
    <cfRule type="expression" dxfId="66" priority="12">
      <formula>$C$24=" "</formula>
    </cfRule>
  </conditionalFormatting>
  <conditionalFormatting sqref="L24:L28 L30">
    <cfRule type="expression" dxfId="65" priority="11">
      <formula>$L$16&lt;&gt;"A"</formula>
    </cfRule>
  </conditionalFormatting>
  <conditionalFormatting sqref="M24:M30">
    <cfRule type="expression" dxfId="64" priority="10">
      <formula>$M$16&lt;&gt;"A"</formula>
    </cfRule>
  </conditionalFormatting>
  <conditionalFormatting sqref="N24:N30">
    <cfRule type="expression" dxfId="63" priority="9">
      <formula>$N$16&lt;&gt;"A"</formula>
    </cfRule>
  </conditionalFormatting>
  <conditionalFormatting sqref="L24:L27 L30">
    <cfRule type="expression" dxfId="62" priority="8">
      <formula>$L$17="None"</formula>
    </cfRule>
  </conditionalFormatting>
  <conditionalFormatting sqref="M24:M30">
    <cfRule type="expression" dxfId="61" priority="7">
      <formula>$M$17=" "</formula>
    </cfRule>
  </conditionalFormatting>
  <conditionalFormatting sqref="N24:N27 N29:N30">
    <cfRule type="expression" dxfId="60" priority="6">
      <formula>$N$16="None"</formula>
    </cfRule>
  </conditionalFormatting>
  <conditionalFormatting sqref="G24:G30">
    <cfRule type="expression" dxfId="59" priority="5">
      <formula>$G$16&lt;&gt;"A"</formula>
    </cfRule>
  </conditionalFormatting>
  <conditionalFormatting sqref="O27:O28">
    <cfRule type="colorScale" priority="4">
      <colorScale>
        <cfvo type="num" val="0"/>
        <cfvo type="num" val="44500"/>
        <cfvo type="num" val="66750"/>
        <color rgb="FF63BE7B"/>
        <color rgb="FFFFEB84"/>
        <color rgb="FFF8696B"/>
      </colorScale>
    </cfRule>
  </conditionalFormatting>
  <conditionalFormatting sqref="L29">
    <cfRule type="expression" dxfId="58" priority="3">
      <formula>$K$16&lt;&gt;"A"</formula>
    </cfRule>
  </conditionalFormatting>
  <conditionalFormatting sqref="L29">
    <cfRule type="expression" dxfId="57" priority="2">
      <formula>$K$17=" "</formula>
    </cfRule>
  </conditionalFormatting>
  <conditionalFormatting sqref="C18:O18 C25:N25 C43:M43 C50:M50">
    <cfRule type="duplicateValues" dxfId="56" priority="1"/>
  </conditionalFormatting>
  <dataValidations count="26">
    <dataValidation type="whole" allowBlank="1" showInputMessage="1" showErrorMessage="1" errorTitle="Alert!" error="Min is 2_x000a_Max is 5" sqref="D9" xr:uid="{EA35BB10-5A23-4C0F-97AE-750FF1D63C6C}">
      <formula1>2</formula1>
      <formula2>5</formula2>
    </dataValidation>
    <dataValidation type="list" allowBlank="1" showInputMessage="1" showErrorMessage="1" sqref="C8" xr:uid="{CF671B9E-6753-4091-975A-CEC3E466E385}">
      <formula1>"B767-200"</formula1>
    </dataValidation>
    <dataValidation type="whole" allowBlank="1" showInputMessage="1" showErrorMessage="1" errorTitle="Alert!" error="Min is 0_x000a_Max is 3" sqref="C9" xr:uid="{4B21973F-CC0F-495B-9F10-A470C8D49C4D}">
      <formula1>0</formula1>
      <formula2>3</formula2>
    </dataValidation>
    <dataValidation type="decimal" operator="lessThanOrEqual" allowBlank="1" showInputMessage="1" showErrorMessage="1" error="Max Value=53,778 Kgs" sqref="K6" xr:uid="{AF5E1ECA-6773-46A5-985D-98D08C590239}">
      <formula1>53778</formula1>
    </dataValidation>
    <dataValidation type="whole" operator="lessThanOrEqual" allowBlank="1" showInputMessage="1" showErrorMessage="1" error="Weight Exeeded" sqref="L28 L30" xr:uid="{4854A455-66F3-44BC-992F-90F57E940BC7}">
      <formula1>$L$36</formula1>
    </dataValidation>
    <dataValidation type="whole" operator="lessThanOrEqual" allowBlank="1" showInputMessage="1" showErrorMessage="1" error="Weight Exeeded" sqref="M30" xr:uid="{4F6DF4A0-61A5-46F9-BD26-0E214AF28738}">
      <formula1>$M$36</formula1>
    </dataValidation>
    <dataValidation type="whole" operator="lessThanOrEqual" allowBlank="1" showInputMessage="1" showErrorMessage="1" error="Limit Exceeded!!" sqref="J32:K32" xr:uid="{5D810945-908A-4560-B247-5410992AED63}">
      <formula1>SUM($J$36:$K$36)</formula1>
    </dataValidation>
    <dataValidation type="whole" operator="lessThanOrEqual" allowBlank="1" showInputMessage="1" showErrorMessage="1" error="Limit Exceeded!!" sqref="H32:I32" xr:uid="{E5120CFB-44A9-4322-974C-8349D47263B4}">
      <formula1>SUM($H$36:$I$36)</formula1>
    </dataValidation>
    <dataValidation type="whole" operator="lessThanOrEqual" allowBlank="1" showInputMessage="1" showErrorMessage="1" error="Limit Exceeded!!" sqref="N32:O32" xr:uid="{8A36D3D0-A85E-48A4-80D1-684889C0C2C9}">
      <formula1>SUM($N$36:$O$36)</formula1>
    </dataValidation>
    <dataValidation type="whole" operator="lessThanOrEqual" allowBlank="1" showInputMessage="1" showErrorMessage="1" error="Limit Exceeded!!" sqref="E34:F34" xr:uid="{BA823F8B-BD87-4448-BEBD-DF1E7A5C1BF9}">
      <formula1>SUM($E$36:$F$36)</formula1>
    </dataValidation>
    <dataValidation type="whole" operator="lessThanOrEqual" allowBlank="1" showInputMessage="1" showErrorMessage="1" error="Limit Exceeded!!" sqref="G34:H34" xr:uid="{7F07546B-4020-46C8-BCAF-A8E4A064A77E}">
      <formula1>SUM($G$36:$H$36)</formula1>
    </dataValidation>
    <dataValidation type="whole" operator="lessThanOrEqual" allowBlank="1" showInputMessage="1" showErrorMessage="1" error="Max Weight Exceeded" sqref="N53" xr:uid="{CA3CDAAE-5C57-4C00-A17A-A827E6005F1D}">
      <formula1>$M$54</formula1>
    </dataValidation>
    <dataValidation type="whole" allowBlank="1" showInputMessage="1" showErrorMessage="1" error="Min 0_x000a__x000a_Max 2" sqref="C10" xr:uid="{FC8A641D-BA3B-4D5D-B3D5-C3E161B3A3FD}">
      <formula1>0</formula1>
      <formula2>2</formula2>
    </dataValidation>
    <dataValidation type="list" allowBlank="1" showInputMessage="1" showErrorMessage="1" sqref="C16:O16" xr:uid="{30DB8A2E-7818-49B3-8785-5952E8EF906A}">
      <formula1>"A,C,D,E,None"</formula1>
    </dataValidation>
    <dataValidation type="custom" operator="lessThanOrEqual" allowBlank="1" showInputMessage="1" showErrorMessage="1" error="Select Correct Cofiguration" sqref="D24:K24 D17:O17 D23:O23 C30 D18:N20 C17:C20 I30 J30:K30 D30:H30 C24:C27 C23" xr:uid="{4213F1CF-0972-463D-A651-0292F7613BA3}">
      <formula1>$C$16&lt;&gt;"None"</formula1>
    </dataValidation>
    <dataValidation type="list" allowBlank="1" showInputMessage="1" showErrorMessage="1" sqref="N29 C22:O22 C29:K29" xr:uid="{05C624BC-CCE8-406E-8DB8-8D9625CF2E28}">
      <formula1>"None,Side Non-Corner,Side Corner,Fwd/Aft Non-Corner,Fwd/Aft Non-Corner,Fwd/Aft Corner"</formula1>
    </dataValidation>
    <dataValidation type="list" allowBlank="1" showInputMessage="1" showErrorMessage="1" sqref="C49:M49 C42:M42" xr:uid="{87F419D7-AEB8-4346-8A9C-CF4448967110}">
      <formula1>"LD-1,LD-2,LD-3,LD-4,LD-8,None"</formula1>
    </dataValidation>
    <dataValidation type="whole" operator="lessThanOrEqual" allowBlank="1" showInputMessage="1" showErrorMessage="1" error="Mass Exceeded!" sqref="C53:M53 C46:N46" xr:uid="{CDAAE7BF-E5C1-43BC-A77C-DBE93397F7CD}">
      <formula1>C47</formula1>
    </dataValidation>
    <dataValidation type="whole" operator="lessThanOrEqual" allowBlank="1" showInputMessage="1" showErrorMessage="1" error="Mass Exceeded" sqref="C21:O21 C28:K28" xr:uid="{1CBBA37B-FA92-4CF8-ABCF-692B5BA09F11}">
      <formula1>C23</formula1>
    </dataValidation>
    <dataValidation type="whole" operator="lessThanOrEqual" allowBlank="1" showInputMessage="1" showErrorMessage="1" error="Limit Exceeded!!" sqref="I34:J34" xr:uid="{B0995780-5C8D-4E03-B288-96EE8F6A55DA}">
      <formula1>SUM($I$36:$J$36)</formula1>
    </dataValidation>
    <dataValidation type="whole" operator="lessThanOrEqual" allowBlank="1" showInputMessage="1" showErrorMessage="1" error="Limit Exceeded!!" sqref="K34:L34" xr:uid="{380D6232-F329-4767-BF2A-9B47C56DE4EF}">
      <formula1>SUM($K$36:$L$36)</formula1>
    </dataValidation>
    <dataValidation type="whole" operator="lessThanOrEqual" allowBlank="1" showInputMessage="1" showErrorMessage="1" error="Limit Exceeded!!_x000a_" sqref="M34:N34" xr:uid="{49796556-AC3D-48E4-8DD5-78AE4498767A}">
      <formula1>SUM($M$36:$N$36)</formula1>
    </dataValidation>
    <dataValidation type="whole" operator="lessThanOrEqual" allowBlank="1" showInputMessage="1" showErrorMessage="1" error="Limit Exceeded!!" sqref="D32:E32" xr:uid="{08F16D7D-E78E-4F16-873C-39AC6E203221}">
      <formula1>SUM($D$36:$E$36)</formula1>
    </dataValidation>
    <dataValidation type="whole" operator="lessThanOrEqual" allowBlank="1" showInputMessage="1" showErrorMessage="1" error="Max is 6,894 Kgs" sqref="F32:G32" xr:uid="{9C1D7505-6765-4AA9-AE86-3BB759EB3F8D}">
      <formula1>SUM($F$36:$G$36)</formula1>
    </dataValidation>
    <dataValidation type="whole" operator="lessThanOrEqual" allowBlank="1" showInputMessage="1" showErrorMessage="1" error="Limit Exceeded!!" sqref="L32:M32" xr:uid="{25F0CA6B-3749-43B1-9A5A-C572A2E87611}">
      <formula1>SUM($L$36:$M$36)</formula1>
    </dataValidation>
    <dataValidation type="list" operator="lessThanOrEqual" allowBlank="1" showInputMessage="1" showErrorMessage="1" error="Weight Exeeded" sqref="L29 M29" xr:uid="{9660C2FA-380D-4E0D-B482-A34A24C28704}">
      <formula1>"None,Side Non-Corner,Side Corner,Fwd/Aft Non-Corner,Fwd/Aft Non-Corner,Fwd/Aft Corner"</formula1>
    </dataValidation>
  </dataValidations>
  <printOptions horizontalCentered="1" verticalCentered="1"/>
  <pageMargins left="0.23622047244094491" right="0.23622047244094491" top="0.35433070866141736" bottom="0.74803149606299213" header="0.51181102362204722" footer="0.31496062992125984"/>
  <pageSetup paperSize="9" scale="38" orientation="landscape" r:id="rId1"/>
  <headerFooter>
    <oddHeader>&amp;L&amp;"-,Bold"&amp;22B767-200
&amp;C&amp;"-,Bold"&amp;24LOAD PLAN</oddHeader>
    <oddFooter xml:space="preserve">&amp;L&amp;"-,Bold"&amp;18Supervisor ............................................  Sign .............................&amp;R&amp;"-,Bold"&amp;18Load-Master  ..............................................  Sign ...............................     </oddFooter>
  </headerFooter>
  <ignoredErrors>
    <ignoredError sqref="J36 M3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odule2.Clear">
                <anchor moveWithCells="1" sizeWithCells="1">
                  <from>
                    <xdr:col>11</xdr:col>
                    <xdr:colOff>457200</xdr:colOff>
                    <xdr:row>1</xdr:row>
                    <xdr:rowOff>215900</xdr:rowOff>
                  </from>
                  <to>
                    <xdr:col>12</xdr:col>
                    <xdr:colOff>539750</xdr:colOff>
                    <xdr:row>3</xdr:row>
                    <xdr:rowOff>57150</xdr:rowOff>
                  </to>
                </anchor>
              </controlPr>
            </control>
          </mc:Choice>
        </mc:AlternateContent>
        <mc:AlternateContent xmlns:mc="http://schemas.openxmlformats.org/markup-compatibility/2006">
          <mc:Choice Requires="x14">
            <control shapeId="15362" r:id="rId5" name="Check Box 2">
              <controlPr locked="0" defaultSize="0" autoFill="0" autoLine="0" autoPict="0">
                <anchor moveWithCells="1">
                  <from>
                    <xdr:col>14</xdr:col>
                    <xdr:colOff>82550</xdr:colOff>
                    <xdr:row>12</xdr:row>
                    <xdr:rowOff>44450</xdr:rowOff>
                  </from>
                  <to>
                    <xdr:col>14</xdr:col>
                    <xdr:colOff>260350</xdr:colOff>
                    <xdr:row>12</xdr:row>
                    <xdr:rowOff>184150</xdr:rowOff>
                  </to>
                </anchor>
              </controlPr>
            </control>
          </mc:Choice>
        </mc:AlternateContent>
        <mc:AlternateContent xmlns:mc="http://schemas.openxmlformats.org/markup-compatibility/2006">
          <mc:Choice Requires="x14">
            <control shapeId="15363" r:id="rId6" name="Check Box 3">
              <controlPr locked="0" defaultSize="0" autoFill="0" autoLine="0" autoPict="0">
                <anchor moveWithCells="1">
                  <from>
                    <xdr:col>14</xdr:col>
                    <xdr:colOff>88900</xdr:colOff>
                    <xdr:row>11</xdr:row>
                    <xdr:rowOff>44450</xdr:rowOff>
                  </from>
                  <to>
                    <xdr:col>14</xdr:col>
                    <xdr:colOff>260350</xdr:colOff>
                    <xdr:row>11</xdr:row>
                    <xdr:rowOff>184150</xdr:rowOff>
                  </to>
                </anchor>
              </controlPr>
            </control>
          </mc:Choice>
        </mc:AlternateContent>
        <mc:AlternateContent xmlns:mc="http://schemas.openxmlformats.org/markup-compatibility/2006">
          <mc:Choice Requires="x14">
            <control shapeId="15364" r:id="rId7" name="Check Box 4">
              <controlPr locked="0" defaultSize="0" autoFill="0" autoLine="0" autoPict="0">
                <anchor moveWithCells="1">
                  <from>
                    <xdr:col>14</xdr:col>
                    <xdr:colOff>82550</xdr:colOff>
                    <xdr:row>10</xdr:row>
                    <xdr:rowOff>44450</xdr:rowOff>
                  </from>
                  <to>
                    <xdr:col>14</xdr:col>
                    <xdr:colOff>279400</xdr:colOff>
                    <xdr:row>10</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91"/>
  <sheetViews>
    <sheetView showGridLines="0" zoomScale="77" zoomScaleNormal="77" zoomScalePageLayoutView="37" workbookViewId="0">
      <selection activeCell="P4" sqref="P4:P7"/>
    </sheetView>
  </sheetViews>
  <sheetFormatPr defaultColWidth="0" defaultRowHeight="16.399999999999999" customHeight="1" zeroHeight="1" x14ac:dyDescent="0.25"/>
  <cols>
    <col min="1" max="1" width="4.1796875" style="17" customWidth="1"/>
    <col min="2" max="2" width="10.90625" style="17" customWidth="1"/>
    <col min="3" max="3" width="16.54296875" style="17" customWidth="1"/>
    <col min="4" max="4" width="6.26953125" style="17" bestFit="1" customWidth="1"/>
    <col min="5" max="5" width="16.36328125" style="17" customWidth="1"/>
    <col min="6" max="6" width="14.26953125" style="17" customWidth="1"/>
    <col min="7" max="7" width="17.54296875" style="17" customWidth="1"/>
    <col min="8" max="8" width="6.08984375" style="17" bestFit="1" customWidth="1"/>
    <col min="9" max="10" width="8.81640625" style="17" customWidth="1"/>
    <col min="11" max="11" width="10.6328125" style="17" bestFit="1" customWidth="1"/>
    <col min="12" max="12" width="8.81640625" style="17" bestFit="1" customWidth="1"/>
    <col min="13" max="13" width="7.90625" style="17" bestFit="1" customWidth="1"/>
    <col min="14" max="14" width="8.1796875" style="17" customWidth="1"/>
    <col min="15" max="16" width="8.81640625" style="17" customWidth="1"/>
    <col min="17" max="17" width="10.453125" style="17" customWidth="1"/>
    <col min="18" max="18" width="7.36328125" style="17" bestFit="1" customWidth="1"/>
    <col min="19" max="19" width="8.81640625" style="17" customWidth="1"/>
    <col min="20" max="20" width="13.1796875" style="17" customWidth="1"/>
    <col min="21" max="21" width="4.1796875" style="17" customWidth="1"/>
    <col min="22" max="22" width="8.54296875" style="17" hidden="1" customWidth="1"/>
    <col min="23" max="23" width="3.6328125" style="17" hidden="1" customWidth="1"/>
    <col min="24" max="24" width="4.36328125" style="17" hidden="1" customWidth="1"/>
    <col min="25" max="26" width="5.81640625" style="17" hidden="1" customWidth="1"/>
    <col min="27" max="27" width="8" style="17" hidden="1" customWidth="1"/>
    <col min="28" max="31" width="5" style="17" hidden="1" customWidth="1"/>
    <col min="32" max="32" width="18.36328125" style="17" hidden="1" customWidth="1"/>
    <col min="33" max="16384" width="9.08984375" style="17" hidden="1"/>
  </cols>
  <sheetData>
    <row r="1" spans="1:32" ht="16.399999999999999" customHeight="1" thickBot="1" x14ac:dyDescent="0.3">
      <c r="A1" s="58"/>
      <c r="B1" s="58"/>
      <c r="C1" s="58"/>
      <c r="D1" s="58"/>
      <c r="E1" s="58"/>
      <c r="F1" s="58"/>
      <c r="G1" s="58"/>
      <c r="H1" s="58"/>
      <c r="I1" s="58"/>
      <c r="J1" s="58"/>
      <c r="K1" s="58"/>
      <c r="L1" s="58"/>
      <c r="M1" s="58"/>
      <c r="N1" s="58"/>
      <c r="O1" s="58"/>
      <c r="P1" s="58"/>
      <c r="Q1" s="58"/>
      <c r="R1" s="58"/>
      <c r="S1" s="58"/>
      <c r="T1" s="58"/>
      <c r="U1" s="58"/>
    </row>
    <row r="2" spans="1:32" ht="16.399999999999999" customHeight="1" x14ac:dyDescent="0.25">
      <c r="A2" s="58"/>
      <c r="B2" s="84" t="s">
        <v>0</v>
      </c>
      <c r="C2" s="85" t="s">
        <v>1</v>
      </c>
      <c r="D2" s="637" t="s">
        <v>2</v>
      </c>
      <c r="E2" s="637"/>
      <c r="F2" s="85" t="s">
        <v>3</v>
      </c>
      <c r="G2" s="637" t="s">
        <v>4</v>
      </c>
      <c r="H2" s="637"/>
      <c r="I2" s="637"/>
      <c r="J2" s="85" t="s">
        <v>5</v>
      </c>
      <c r="K2" s="86" t="s">
        <v>56</v>
      </c>
      <c r="L2" s="87" t="s">
        <v>23141</v>
      </c>
      <c r="M2" s="637" t="s">
        <v>6</v>
      </c>
      <c r="N2" s="637"/>
      <c r="O2" s="637"/>
      <c r="P2" s="623" t="s">
        <v>23425</v>
      </c>
      <c r="Q2" s="623"/>
      <c r="R2" s="623"/>
      <c r="S2" s="623"/>
      <c r="T2" s="624"/>
      <c r="U2" s="58"/>
    </row>
    <row r="3" spans="1:32" s="18" customFormat="1" ht="16.399999999999999" customHeight="1" thickBot="1" x14ac:dyDescent="0.3">
      <c r="A3" s="59"/>
      <c r="B3" s="88" t="str">
        <f>IF('Load Plan '!$C$6="","",'Load Plan '!$C$6)</f>
        <v>AMD</v>
      </c>
      <c r="C3" s="89" t="str">
        <f>IF('Load Plan '!$C$7="","",'Load Plan '!$C$7)</f>
        <v>AMM</v>
      </c>
      <c r="D3" s="627" t="str">
        <f>IF('Load Plan '!$C$11="","",'Load Plan '!$C$11)</f>
        <v/>
      </c>
      <c r="E3" s="555"/>
      <c r="F3" s="89" t="str">
        <f>IF('Load Plan '!$C$8="","",'Load Plan '!$C$8)</f>
        <v>B767-200</v>
      </c>
      <c r="G3" s="627" t="str">
        <f>IF('Load Plan '!C2="","",'Load Plan '!C2)</f>
        <v/>
      </c>
      <c r="H3" s="610"/>
      <c r="I3" s="555"/>
      <c r="J3" s="89">
        <v>2</v>
      </c>
      <c r="K3" s="90">
        <f>'Load Plan '!$C$9</f>
        <v>2</v>
      </c>
      <c r="L3" s="91">
        <f>'Load Plan '!$C$10</f>
        <v>0</v>
      </c>
      <c r="M3" s="634">
        <f>IF('Load Plan '!$C$5="","",'Load Plan '!$C$5)</f>
        <v>45880</v>
      </c>
      <c r="N3" s="635"/>
      <c r="O3" s="636"/>
      <c r="P3" s="625"/>
      <c r="Q3" s="625"/>
      <c r="R3" s="625"/>
      <c r="S3" s="625"/>
      <c r="T3" s="626"/>
      <c r="U3" s="58"/>
      <c r="V3" s="17"/>
      <c r="W3" s="17"/>
      <c r="X3" s="17"/>
      <c r="Y3" s="17"/>
      <c r="Z3" s="17"/>
      <c r="AA3" s="17"/>
      <c r="AB3" s="17"/>
      <c r="AC3" s="17"/>
      <c r="AD3" s="17"/>
      <c r="AE3" s="17"/>
      <c r="AF3" s="17"/>
    </row>
    <row r="4" spans="1:32" ht="16.399999999999999" customHeight="1" thickBot="1" x14ac:dyDescent="0.3">
      <c r="A4" s="58"/>
      <c r="B4" s="628" t="s">
        <v>7</v>
      </c>
      <c r="C4" s="629"/>
      <c r="D4" s="629"/>
      <c r="E4" s="629"/>
      <c r="F4" s="630"/>
      <c r="G4" s="532" t="s">
        <v>22</v>
      </c>
      <c r="H4" s="533"/>
      <c r="I4" s="533"/>
      <c r="J4" s="533"/>
      <c r="K4" s="533"/>
      <c r="L4" s="578"/>
      <c r="M4" s="532" t="s">
        <v>20</v>
      </c>
      <c r="N4" s="533"/>
      <c r="O4" s="578"/>
      <c r="P4" s="519"/>
      <c r="Q4" s="610" t="s">
        <v>19</v>
      </c>
      <c r="R4" s="611"/>
      <c r="S4" s="554" t="s">
        <v>18</v>
      </c>
      <c r="T4" s="611"/>
      <c r="U4" s="58"/>
    </row>
    <row r="5" spans="1:32" ht="16.399999999999999" customHeight="1" thickBot="1" x14ac:dyDescent="0.3">
      <c r="A5" s="58"/>
      <c r="B5" s="528" t="s">
        <v>17</v>
      </c>
      <c r="C5" s="529"/>
      <c r="D5" s="529"/>
      <c r="E5" s="529"/>
      <c r="F5" s="631"/>
      <c r="G5" s="573"/>
      <c r="H5" s="574"/>
      <c r="I5" s="574"/>
      <c r="J5" s="574"/>
      <c r="K5" s="574"/>
      <c r="L5" s="580"/>
      <c r="M5" s="575">
        <v>120657</v>
      </c>
      <c r="N5" s="576"/>
      <c r="O5" s="577"/>
      <c r="P5" s="519"/>
      <c r="Q5" s="575">
        <v>159210</v>
      </c>
      <c r="R5" s="576"/>
      <c r="S5" s="575">
        <v>128367</v>
      </c>
      <c r="T5" s="577"/>
      <c r="U5" s="58"/>
    </row>
    <row r="6" spans="1:32" ht="16.399999999999999" customHeight="1" thickBot="1" x14ac:dyDescent="0.3">
      <c r="A6" s="58"/>
      <c r="B6" s="528"/>
      <c r="C6" s="529"/>
      <c r="D6" s="529"/>
      <c r="E6" s="529"/>
      <c r="F6" s="631"/>
      <c r="G6" s="573" t="s">
        <v>9</v>
      </c>
      <c r="H6" s="574"/>
      <c r="I6" s="574"/>
      <c r="J6" s="574"/>
      <c r="K6" s="574"/>
      <c r="L6" s="580" t="s">
        <v>21</v>
      </c>
      <c r="M6" s="589">
        <f>$E$18</f>
        <v>26500</v>
      </c>
      <c r="N6" s="590"/>
      <c r="O6" s="591"/>
      <c r="P6" s="519"/>
      <c r="Q6" s="519" t="s">
        <v>14</v>
      </c>
      <c r="R6" s="615" t="s">
        <v>21</v>
      </c>
      <c r="S6" s="589">
        <f>IF('Load Plan '!$K$7="","",'Load Plan '!$K$9)</f>
        <v>20000</v>
      </c>
      <c r="T6" s="591"/>
      <c r="U6" s="58"/>
    </row>
    <row r="7" spans="1:32" ht="16.399999999999999" customHeight="1" thickBot="1" x14ac:dyDescent="0.3">
      <c r="A7" s="58"/>
      <c r="B7" s="528"/>
      <c r="C7" s="529"/>
      <c r="D7" s="529"/>
      <c r="E7" s="529"/>
      <c r="F7" s="631"/>
      <c r="G7" s="573"/>
      <c r="H7" s="574"/>
      <c r="I7" s="574"/>
      <c r="J7" s="574"/>
      <c r="K7" s="574"/>
      <c r="L7" s="580"/>
      <c r="M7" s="612"/>
      <c r="N7" s="613"/>
      <c r="O7" s="614"/>
      <c r="P7" s="532"/>
      <c r="Q7" s="532"/>
      <c r="R7" s="578"/>
      <c r="S7" s="612"/>
      <c r="T7" s="614"/>
      <c r="U7" s="58"/>
    </row>
    <row r="8" spans="1:32" ht="16.399999999999999" customHeight="1" x14ac:dyDescent="0.25">
      <c r="A8" s="58"/>
      <c r="B8" s="528"/>
      <c r="C8" s="529"/>
      <c r="D8" s="529"/>
      <c r="E8" s="529"/>
      <c r="F8" s="631"/>
      <c r="G8" s="517" t="s">
        <v>23</v>
      </c>
      <c r="H8" s="518"/>
      <c r="I8" s="518"/>
      <c r="J8" s="518"/>
      <c r="K8" s="518"/>
      <c r="L8" s="588"/>
      <c r="M8" s="93" t="s">
        <v>29</v>
      </c>
      <c r="N8" s="632">
        <f>IFERROR($M$5+$M$6,"")</f>
        <v>147157</v>
      </c>
      <c r="O8" s="633"/>
      <c r="P8" s="93" t="s">
        <v>30</v>
      </c>
      <c r="Q8" s="632">
        <f>IF(OR($Q$5&lt;'Load Plan '!$K$10,'Load Plan '!K10=0),'Load Sheet'!$Q$5,'Load Plan '!$K$10)</f>
        <v>141000</v>
      </c>
      <c r="R8" s="633"/>
      <c r="S8" s="93" t="s">
        <v>31</v>
      </c>
      <c r="T8" s="94">
        <f>IFERROR($S$5+$S$6,"")</f>
        <v>148367</v>
      </c>
      <c r="U8" s="58"/>
    </row>
    <row r="9" spans="1:32" ht="16.399999999999999" customHeight="1" thickBot="1" x14ac:dyDescent="0.3">
      <c r="A9" s="58"/>
      <c r="B9" s="519" t="s">
        <v>23259</v>
      </c>
      <c r="C9" s="520"/>
      <c r="D9" s="520"/>
      <c r="E9" s="520"/>
      <c r="F9" s="615"/>
      <c r="G9" s="519" t="s">
        <v>24</v>
      </c>
      <c r="H9" s="520"/>
      <c r="I9" s="520"/>
      <c r="J9" s="520"/>
      <c r="K9" s="520"/>
      <c r="L9" s="615"/>
      <c r="M9" s="509"/>
      <c r="N9" s="511"/>
      <c r="O9" s="510"/>
      <c r="P9" s="509"/>
      <c r="Q9" s="511"/>
      <c r="R9" s="510"/>
      <c r="S9" s="509"/>
      <c r="T9" s="510"/>
      <c r="U9" s="58"/>
    </row>
    <row r="10" spans="1:32" ht="16.399999999999999" customHeight="1" thickBot="1" x14ac:dyDescent="0.3">
      <c r="A10" s="58"/>
      <c r="B10" s="595" t="s">
        <v>23123</v>
      </c>
      <c r="C10" s="596"/>
      <c r="D10" s="96" t="s">
        <v>16</v>
      </c>
      <c r="E10" s="608">
        <v>75832.653061224497</v>
      </c>
      <c r="F10" s="609"/>
      <c r="G10" s="574" t="s">
        <v>25</v>
      </c>
      <c r="H10" s="574"/>
      <c r="I10" s="574"/>
      <c r="J10" s="574"/>
      <c r="K10" s="574"/>
      <c r="L10" s="580" t="s">
        <v>28</v>
      </c>
      <c r="M10" s="504" t="str">
        <f>IF(E20="","",IF(SMALL((N8,Q8,T8),1)=N8,E20,""))</f>
        <v/>
      </c>
      <c r="N10" s="505"/>
      <c r="O10" s="525"/>
      <c r="P10" s="504">
        <f>IF(E20="","",IF(SMALL((N8,Q8,T8),1)=Q8,E20,""))</f>
        <v>102778.6530612245</v>
      </c>
      <c r="Q10" s="505"/>
      <c r="R10" s="525"/>
      <c r="S10" s="504" t="str">
        <f>IF(E20="","",IF(SMALL((N8,Q8,T8),1)=T8,E20,""))</f>
        <v/>
      </c>
      <c r="T10" s="525"/>
      <c r="U10" s="58"/>
    </row>
    <row r="11" spans="1:32" ht="16.399999999999999" customHeight="1" thickBot="1" x14ac:dyDescent="0.3">
      <c r="A11" s="58"/>
      <c r="B11" s="597" t="s">
        <v>5</v>
      </c>
      <c r="C11" s="598"/>
      <c r="D11" s="97" t="s">
        <v>16</v>
      </c>
      <c r="E11" s="600">
        <f>NO_of_CREW*84</f>
        <v>168</v>
      </c>
      <c r="F11" s="601"/>
      <c r="G11" s="574"/>
      <c r="H11" s="574"/>
      <c r="I11" s="574"/>
      <c r="J11" s="574"/>
      <c r="K11" s="574"/>
      <c r="L11" s="580"/>
      <c r="M11" s="562"/>
      <c r="N11" s="563"/>
      <c r="O11" s="564"/>
      <c r="P11" s="562"/>
      <c r="Q11" s="563"/>
      <c r="R11" s="564"/>
      <c r="S11" s="509"/>
      <c r="T11" s="510"/>
      <c r="U11" s="58"/>
    </row>
    <row r="12" spans="1:32" ht="16" customHeight="1" x14ac:dyDescent="0.25">
      <c r="A12" s="58"/>
      <c r="B12" s="592" t="s">
        <v>23126</v>
      </c>
      <c r="C12" s="593"/>
      <c r="D12" s="98" t="s">
        <v>16</v>
      </c>
      <c r="E12" s="585">
        <f>IF('Load Plan '!O7="",0,'Load Plan '!O7)</f>
        <v>30</v>
      </c>
      <c r="F12" s="594"/>
      <c r="G12" s="602" t="s">
        <v>26</v>
      </c>
      <c r="H12" s="603"/>
      <c r="I12" s="603"/>
      <c r="J12" s="603"/>
      <c r="K12" s="603"/>
      <c r="L12" s="616" t="s">
        <v>16</v>
      </c>
      <c r="M12" s="581" t="str">
        <f>IF(E20="","",IF(SMALL((N8,Q8,T8),1)=N8,N8-M10,""))</f>
        <v/>
      </c>
      <c r="N12" s="582"/>
      <c r="O12" s="583"/>
      <c r="P12" s="556">
        <f>IF(E20="","",IF(SMALL((N8,Q8,T8),1)=Q8,Q8-P10,""))</f>
        <v>38221.346938775503</v>
      </c>
      <c r="Q12" s="582"/>
      <c r="R12" s="583"/>
      <c r="S12" s="582" t="str">
        <f>IF(E20="","",IF(SMALL((N8,Q8,T8),1)=T8,T8-S10,""))</f>
        <v/>
      </c>
      <c r="T12" s="557"/>
      <c r="U12" s="58"/>
    </row>
    <row r="13" spans="1:32" ht="16.399999999999999" customHeight="1" x14ac:dyDescent="0.25">
      <c r="A13" s="58"/>
      <c r="B13" s="592" t="s">
        <v>23338</v>
      </c>
      <c r="C13" s="593"/>
      <c r="D13" s="98" t="s">
        <v>16</v>
      </c>
      <c r="E13" s="585">
        <f>IF('Load Plan '!O6="",0,'Load Plan '!O6)</f>
        <v>30</v>
      </c>
      <c r="F13" s="594"/>
      <c r="G13" s="604"/>
      <c r="H13" s="605"/>
      <c r="I13" s="605"/>
      <c r="J13" s="605"/>
      <c r="K13" s="605"/>
      <c r="L13" s="617"/>
      <c r="M13" s="584"/>
      <c r="N13" s="585"/>
      <c r="O13" s="585"/>
      <c r="P13" s="585"/>
      <c r="Q13" s="585"/>
      <c r="R13" s="585"/>
      <c r="S13" s="638"/>
      <c r="T13" s="594"/>
      <c r="U13" s="58"/>
    </row>
    <row r="14" spans="1:32" ht="16.399999999999999" customHeight="1" thickBot="1" x14ac:dyDescent="0.3">
      <c r="A14" s="58"/>
      <c r="B14" s="592" t="s">
        <v>23127</v>
      </c>
      <c r="C14" s="593"/>
      <c r="D14" s="98" t="s">
        <v>16</v>
      </c>
      <c r="E14" s="585">
        <f>IF('Load Plan '!O8="",0,'Load Plan '!O8)</f>
        <v>50</v>
      </c>
      <c r="F14" s="594"/>
      <c r="G14" s="606"/>
      <c r="H14" s="607"/>
      <c r="I14" s="607"/>
      <c r="J14" s="607"/>
      <c r="K14" s="607"/>
      <c r="L14" s="610"/>
      <c r="M14" s="586"/>
      <c r="N14" s="587"/>
      <c r="O14" s="587"/>
      <c r="P14" s="587"/>
      <c r="Q14" s="587"/>
      <c r="R14" s="587"/>
      <c r="S14" s="639"/>
      <c r="T14" s="640"/>
      <c r="U14" s="58"/>
    </row>
    <row r="15" spans="1:32" ht="16.399999999999999" customHeight="1" thickBot="1" x14ac:dyDescent="0.3">
      <c r="A15" s="58"/>
      <c r="B15" s="592" t="s">
        <v>56</v>
      </c>
      <c r="C15" s="593"/>
      <c r="D15" s="98" t="s">
        <v>16</v>
      </c>
      <c r="E15" s="585">
        <f>IFERROR('Load Plan '!$C$9*84,0)</f>
        <v>168</v>
      </c>
      <c r="F15" s="594"/>
      <c r="G15" s="573" t="s">
        <v>11</v>
      </c>
      <c r="H15" s="574"/>
      <c r="I15" s="574"/>
      <c r="J15" s="574"/>
      <c r="K15" s="574"/>
      <c r="L15" s="580" t="s">
        <v>28</v>
      </c>
      <c r="M15" s="618" t="str">
        <f>IF($G$44="","",IF(SMALL((N8,Q8,T8),1)=N8,$G$44," "))</f>
        <v xml:space="preserve"> </v>
      </c>
      <c r="N15" s="619"/>
      <c r="O15" s="620"/>
      <c r="P15" s="618">
        <f>IF($G$44="","",IF(SMALL((N8,Q8,T8),1)=Q8,G$44,""))</f>
        <v>37438</v>
      </c>
      <c r="Q15" s="619"/>
      <c r="R15" s="620"/>
      <c r="S15" s="618" t="str">
        <f>IF($G$44="","",IF(SMALL((N8,Q8,T8),1)=T8,$G$44," "))</f>
        <v xml:space="preserve"> </v>
      </c>
      <c r="T15" s="620"/>
      <c r="U15" s="58"/>
    </row>
    <row r="16" spans="1:32" ht="16.399999999999999" customHeight="1" thickBot="1" x14ac:dyDescent="0.3">
      <c r="A16" s="58"/>
      <c r="B16" s="592" t="s">
        <v>23141</v>
      </c>
      <c r="C16" s="593"/>
      <c r="D16" s="99" t="s">
        <v>16</v>
      </c>
      <c r="E16" s="599">
        <f>IFERROR('Load Plan '!$C$10*84,0)</f>
        <v>0</v>
      </c>
      <c r="F16" s="508"/>
      <c r="G16" s="573"/>
      <c r="H16" s="574"/>
      <c r="I16" s="574"/>
      <c r="J16" s="574"/>
      <c r="K16" s="574"/>
      <c r="L16" s="580"/>
      <c r="M16" s="562"/>
      <c r="N16" s="563"/>
      <c r="O16" s="564"/>
      <c r="P16" s="562"/>
      <c r="Q16" s="563"/>
      <c r="R16" s="564"/>
      <c r="S16" s="509"/>
      <c r="T16" s="510"/>
      <c r="U16" s="58"/>
    </row>
    <row r="17" spans="1:21" ht="16.399999999999999" customHeight="1" thickBot="1" x14ac:dyDescent="0.3">
      <c r="A17" s="58"/>
      <c r="B17" s="538" t="s">
        <v>8</v>
      </c>
      <c r="C17" s="539"/>
      <c r="D17" s="101" t="s">
        <v>16</v>
      </c>
      <c r="E17" s="540">
        <f>IF(SUM($E$11:$F$16)=0,$E$10,SUM($E$10,$E$11:$F$16))</f>
        <v>76278.653061224497</v>
      </c>
      <c r="F17" s="541"/>
      <c r="G17" s="530" t="s">
        <v>27</v>
      </c>
      <c r="H17" s="531"/>
      <c r="I17" s="531"/>
      <c r="J17" s="531"/>
      <c r="K17" s="531"/>
      <c r="L17" s="578" t="s">
        <v>16</v>
      </c>
      <c r="M17" s="504" t="str">
        <f>IF($G$44="","Load Aircraft",IF(SMALL((N8,Q8,T8),1)=N8,M12-M15,""))</f>
        <v/>
      </c>
      <c r="N17" s="505"/>
      <c r="O17" s="525"/>
      <c r="P17" s="504">
        <f>IF($G$44="","Load Aircraft",IF(SMALL((N8,Q8,T8),1)=Q8,P12-P15,""))</f>
        <v>783.34693877550308</v>
      </c>
      <c r="Q17" s="505"/>
      <c r="R17" s="525"/>
      <c r="S17" s="504" t="str">
        <f>IF($G$44="","Load Aircraft",IF(SMALL((N8,Q8,T8),1)=T8,S12-S15,""))</f>
        <v/>
      </c>
      <c r="T17" s="525"/>
      <c r="U17" s="58"/>
    </row>
    <row r="18" spans="1:21" ht="16.399999999999999" customHeight="1" thickBot="1" x14ac:dyDescent="0.3">
      <c r="A18" s="58"/>
      <c r="B18" s="552" t="s">
        <v>9</v>
      </c>
      <c r="C18" s="553"/>
      <c r="D18" s="381" t="s">
        <v>21</v>
      </c>
      <c r="E18" s="556">
        <f>IF(SUM('Load Plan '!$K$8)="",0,SUM('Load Plan '!$K$8))</f>
        <v>26500</v>
      </c>
      <c r="F18" s="557"/>
      <c r="G18" s="526"/>
      <c r="H18" s="527"/>
      <c r="I18" s="527"/>
      <c r="J18" s="527"/>
      <c r="K18" s="527"/>
      <c r="L18" s="588"/>
      <c r="M18" s="562"/>
      <c r="N18" s="563"/>
      <c r="O18" s="564"/>
      <c r="P18" s="562"/>
      <c r="Q18" s="563"/>
      <c r="R18" s="564"/>
      <c r="S18" s="562"/>
      <c r="T18" s="564"/>
      <c r="U18" s="58"/>
    </row>
    <row r="19" spans="1:21" ht="16.399999999999999" customHeight="1" thickBot="1" x14ac:dyDescent="0.3">
      <c r="A19" s="58"/>
      <c r="B19" s="554"/>
      <c r="C19" s="555"/>
      <c r="D19" s="89"/>
      <c r="E19" s="540"/>
      <c r="F19" s="541"/>
      <c r="G19" s="103"/>
      <c r="H19" s="104"/>
      <c r="I19" s="104"/>
      <c r="J19" s="104"/>
      <c r="K19" s="241"/>
      <c r="L19" s="241"/>
      <c r="M19" s="241"/>
      <c r="N19" s="241"/>
      <c r="O19" s="241"/>
      <c r="P19" s="241"/>
      <c r="Q19" s="241"/>
      <c r="R19" s="241"/>
      <c r="S19" s="241"/>
      <c r="T19" s="258"/>
      <c r="U19" s="58"/>
    </row>
    <row r="20" spans="1:21" ht="16.399999999999999" customHeight="1" thickBot="1" x14ac:dyDescent="0.3">
      <c r="A20" s="58"/>
      <c r="B20" s="560" t="s">
        <v>10</v>
      </c>
      <c r="C20" s="561"/>
      <c r="D20" s="101" t="s">
        <v>16</v>
      </c>
      <c r="E20" s="558">
        <f>IFERROR($E$17+$E$18,0)</f>
        <v>102778.6530612245</v>
      </c>
      <c r="F20" s="559"/>
      <c r="G20" s="106"/>
      <c r="H20" s="105"/>
      <c r="I20" s="105"/>
      <c r="J20" s="105"/>
      <c r="K20" s="579"/>
      <c r="L20" s="579"/>
      <c r="M20" s="579"/>
      <c r="N20" s="579"/>
      <c r="O20" s="579"/>
      <c r="P20" s="579"/>
      <c r="Q20" s="208"/>
      <c r="R20" s="240"/>
      <c r="S20" s="240"/>
      <c r="T20" s="259"/>
      <c r="U20" s="58"/>
    </row>
    <row r="21" spans="1:21" ht="16.399999999999999" customHeight="1" thickBot="1" x14ac:dyDescent="0.3">
      <c r="A21" s="58"/>
      <c r="B21" s="406"/>
      <c r="C21" s="407"/>
      <c r="G21" s="105"/>
      <c r="H21" s="105"/>
      <c r="I21" s="105"/>
      <c r="J21" s="105"/>
      <c r="K21" s="230"/>
      <c r="L21" s="230"/>
      <c r="M21" s="230"/>
      <c r="N21" s="230"/>
      <c r="O21" s="230"/>
      <c r="P21" s="230"/>
      <c r="Q21" s="208"/>
      <c r="R21" s="240"/>
      <c r="S21" s="240"/>
      <c r="T21" s="259"/>
      <c r="U21" s="58"/>
    </row>
    <row r="22" spans="1:21" ht="16.399999999999999" customHeight="1" thickBot="1" x14ac:dyDescent="0.3">
      <c r="A22" s="58"/>
      <c r="B22" s="565" t="s">
        <v>32</v>
      </c>
      <c r="C22" s="566"/>
      <c r="D22" s="566"/>
      <c r="E22" s="566"/>
      <c r="F22" s="567"/>
      <c r="G22" s="565" t="s">
        <v>55</v>
      </c>
      <c r="H22" s="566"/>
      <c r="I22" s="566"/>
      <c r="J22" s="566"/>
      <c r="K22" s="567"/>
      <c r="L22" s="345"/>
      <c r="M22" s="362"/>
      <c r="N22" s="362"/>
      <c r="O22" s="346"/>
      <c r="P22" s="571" t="s">
        <v>32</v>
      </c>
      <c r="Q22" s="572"/>
      <c r="R22" s="231"/>
      <c r="S22" s="569" t="s">
        <v>55</v>
      </c>
      <c r="T22" s="570"/>
      <c r="U22" s="247"/>
    </row>
    <row r="23" spans="1:21" ht="16.399999999999999" customHeight="1" thickBot="1" x14ac:dyDescent="0.3">
      <c r="A23" s="58"/>
      <c r="B23" s="718" t="s">
        <v>23260</v>
      </c>
      <c r="C23" s="340" t="s">
        <v>23216</v>
      </c>
      <c r="D23" s="340" t="s">
        <v>23217</v>
      </c>
      <c r="E23" s="550" t="s">
        <v>23275</v>
      </c>
      <c r="F23" s="551"/>
      <c r="G23" s="248" t="s">
        <v>23260</v>
      </c>
      <c r="H23" s="344" t="s">
        <v>23216</v>
      </c>
      <c r="I23" s="342" t="s">
        <v>23217</v>
      </c>
      <c r="J23" s="721" t="s">
        <v>23275</v>
      </c>
      <c r="K23" s="722"/>
      <c r="L23" s="723"/>
      <c r="M23" s="579"/>
      <c r="N23" s="231"/>
      <c r="O23" s="231"/>
      <c r="P23" s="316" t="s">
        <v>65</v>
      </c>
      <c r="Q23" s="318" t="s">
        <v>35</v>
      </c>
      <c r="R23" s="231"/>
      <c r="S23" s="317" t="s">
        <v>65</v>
      </c>
      <c r="T23" s="318" t="s">
        <v>35</v>
      </c>
    </row>
    <row r="24" spans="1:21" ht="16.399999999999999" customHeight="1" thickBot="1" x14ac:dyDescent="0.3">
      <c r="A24" s="58"/>
      <c r="B24" s="719"/>
      <c r="C24" s="225" t="s">
        <v>23261</v>
      </c>
      <c r="D24" s="228" t="s">
        <v>23261</v>
      </c>
      <c r="E24" s="225" t="s">
        <v>23222</v>
      </c>
      <c r="F24" s="228" t="s">
        <v>23261</v>
      </c>
      <c r="G24" s="244"/>
      <c r="H24" s="232" t="s">
        <v>23261</v>
      </c>
      <c r="I24" s="343" t="s">
        <v>23261</v>
      </c>
      <c r="J24" s="233" t="s">
        <v>23222</v>
      </c>
      <c r="K24" s="234" t="s">
        <v>23261</v>
      </c>
      <c r="L24" s="231"/>
      <c r="M24" s="231"/>
      <c r="N24" s="231"/>
      <c r="O24" s="231"/>
      <c r="P24" s="332" t="str">
        <f>Indeces!E68</f>
        <v>A1</v>
      </c>
      <c r="Q24" s="359">
        <f>IFERROR(ROUND(VLOOKUP(P24,Indeces!$E$68:$J$80,6,FALSE),1),"")</f>
        <v>-17.2</v>
      </c>
      <c r="R24" s="231"/>
      <c r="S24" s="333" t="str">
        <f t="shared" ref="S24:S29" si="0">IF(G25="","",G25)</f>
        <v>HOLD 11</v>
      </c>
      <c r="T24" s="359">
        <f>IFERROR(ROUND(VLOOKUP(S24,Indeces!$M$68:$R$79,6,FALSE),1),"")</f>
        <v>-9.3000000000000007</v>
      </c>
    </row>
    <row r="25" spans="1:21" ht="14.5" x14ac:dyDescent="0.25">
      <c r="A25" s="58"/>
      <c r="B25" s="251" t="str">
        <f>'Load Plan '!$C$17</f>
        <v>A1R</v>
      </c>
      <c r="C25" s="226">
        <f>IF(B25&lt;&gt;"A1R","", 'Load Plan '!$C$21)</f>
        <v>1086</v>
      </c>
      <c r="D25" s="249">
        <f>IF(B25&lt;&gt;"A1R","", 'Load Plan '!$C$28)</f>
        <v>1076</v>
      </c>
      <c r="E25" s="268">
        <f>'Load Plan '!$C$36</f>
        <v>4853</v>
      </c>
      <c r="F25" s="227">
        <f>'Load Plan '!$C$35</f>
        <v>2162</v>
      </c>
      <c r="G25" s="236" t="s">
        <v>23262</v>
      </c>
      <c r="H25" s="254" t="str">
        <f>IF('Load Plan '!$C$42="LD-2",'Load Plan '!$C$46,"")</f>
        <v/>
      </c>
      <c r="I25" s="348" t="str">
        <f>IF('Load Plan '!$C$49="LD-2",'Load Plan '!$C$53,"")</f>
        <v/>
      </c>
      <c r="J25" s="284">
        <f>'Load Plan '!$C$56</f>
        <v>4898</v>
      </c>
      <c r="K25" s="290">
        <f>'Load Plan '!$C$55</f>
        <v>1086</v>
      </c>
      <c r="L25" s="231"/>
      <c r="M25" s="231"/>
      <c r="N25" s="231"/>
      <c r="O25" s="231"/>
      <c r="P25" s="332" t="str">
        <f>Indeces!E69</f>
        <v>A2</v>
      </c>
      <c r="Q25" s="359">
        <f>IFERROR(ROUND(VLOOKUP(P25,Indeces!$E$68:$J$80,6,FALSE),1),"")</f>
        <v>-12.5</v>
      </c>
      <c r="S25" s="334" t="str">
        <f t="shared" si="0"/>
        <v>HOLD 12</v>
      </c>
      <c r="T25" s="359">
        <f>IFERROR(ROUND(VLOOKUP(S25,Indeces!$M$68:$R$79,6,FALSE),1),"")</f>
        <v>-7.7</v>
      </c>
    </row>
    <row r="26" spans="1:21" ht="16.399999999999999" customHeight="1" x14ac:dyDescent="0.25">
      <c r="A26" s="58"/>
      <c r="B26" s="353" t="str">
        <f>'Load Plan '!$D$17</f>
        <v>A2R</v>
      </c>
      <c r="C26" s="351">
        <f>IF(B26&lt;&gt;"A2R","", 'Load Plan '!$D$21)</f>
        <v>2055</v>
      </c>
      <c r="D26" s="338">
        <f>IF(B26&lt;&gt;"A2R","", 'Load Plan '!$D$28)</f>
        <v>0</v>
      </c>
      <c r="E26" s="269">
        <f>'Load Plan '!$D$36</f>
        <v>4853</v>
      </c>
      <c r="F26" s="223">
        <f>'Load Plan '!$D$35</f>
        <v>2055</v>
      </c>
      <c r="G26" s="237" t="s">
        <v>23263</v>
      </c>
      <c r="H26" s="255" t="str">
        <f>IF('Load Plan '!$D$42="LD-2",'Load Plan '!$D$46,"")</f>
        <v/>
      </c>
      <c r="I26" s="349" t="str">
        <f>IF('Load Plan '!$D$49="LD-2",'Load Plan '!$D$53,"")</f>
        <v/>
      </c>
      <c r="J26" s="285">
        <f>'Load Plan '!$D$56</f>
        <v>2449</v>
      </c>
      <c r="K26" s="291">
        <f>'Load Plan '!$D$55</f>
        <v>1003</v>
      </c>
      <c r="L26" s="231"/>
      <c r="M26" s="231"/>
      <c r="N26" s="231"/>
      <c r="O26" s="231"/>
      <c r="P26" s="332" t="str">
        <f>Indeces!E70</f>
        <v>A3</v>
      </c>
      <c r="Q26" s="359">
        <f>IFERROR(ROUND(VLOOKUP(P26,Indeces!$E$68:$J$80,6,FALSE),1),"")</f>
        <v>-8.6999999999999993</v>
      </c>
      <c r="R26" s="231"/>
      <c r="S26" s="334" t="str">
        <f t="shared" si="0"/>
        <v>HOLD 13</v>
      </c>
      <c r="T26" s="359">
        <f>IFERROR(ROUND(VLOOKUP(S26,Indeces!$M$68:$R$79,6,FALSE),1),"")</f>
        <v>-7.4</v>
      </c>
    </row>
    <row r="27" spans="1:21" ht="16.399999999999999" customHeight="1" x14ac:dyDescent="0.25">
      <c r="A27" s="58"/>
      <c r="B27" s="353" t="str">
        <f>'Load Plan '!$E$17</f>
        <v>A3R</v>
      </c>
      <c r="C27" s="351">
        <f>IF(B27&lt;&gt;"A3R","", 'Load Plan '!$E$21)</f>
        <v>0</v>
      </c>
      <c r="D27" s="338">
        <f>IF(B27&lt;&gt;"A3R","", 'Load Plan '!$E$28)</f>
        <v>2081</v>
      </c>
      <c r="E27" s="269">
        <f>'Load Plan '!$E$36</f>
        <v>4853</v>
      </c>
      <c r="F27" s="223">
        <f>'Load Plan '!$E$35</f>
        <v>2081</v>
      </c>
      <c r="G27" s="237" t="s">
        <v>23264</v>
      </c>
      <c r="H27" s="255" t="str">
        <f>IF('Load Plan '!$E$42="LD-2",'Load Plan '!$E$46,"")</f>
        <v/>
      </c>
      <c r="I27" s="349" t="str">
        <f>IF('Load Plan '!$E$49="LD-2",'Load Plan '!$E$53,"")</f>
        <v/>
      </c>
      <c r="J27" s="285">
        <f>'Load Plan '!$E$56</f>
        <v>2449</v>
      </c>
      <c r="K27" s="291">
        <f>'Load Plan '!$E$55</f>
        <v>1097</v>
      </c>
      <c r="L27" s="231"/>
      <c r="M27" s="231"/>
      <c r="N27" s="231"/>
      <c r="O27" s="231"/>
      <c r="P27" s="332" t="str">
        <f>Indeces!E71</f>
        <v>A4</v>
      </c>
      <c r="Q27" s="359">
        <f>IFERROR(ROUND(VLOOKUP(P27,Indeces!$E$68:$J$80,6,FALSE),1),"")</f>
        <v>-7.4</v>
      </c>
      <c r="R27" s="231"/>
      <c r="S27" s="334" t="str">
        <f t="shared" si="0"/>
        <v>HOLD 21</v>
      </c>
      <c r="T27" s="359" t="str">
        <f>IFERROR(ROUND(VLOOKUP(S27,Indeces!$M$68:$R$79,6,FALSE),1),"")</f>
        <v/>
      </c>
    </row>
    <row r="28" spans="1:21" ht="16.399999999999999" customHeight="1" x14ac:dyDescent="0.25">
      <c r="A28" s="58"/>
      <c r="B28" s="353" t="str">
        <f>'Load Plan '!$F$17</f>
        <v>A4R</v>
      </c>
      <c r="C28" s="351">
        <f>IF(B28&lt;&gt;"A4R","", 'Load Plan '!$F$21)</f>
        <v>1000</v>
      </c>
      <c r="D28" s="338">
        <f>IF(B28&lt;&gt;"A4R","", 'Load Plan '!$F$28)</f>
        <v>2156</v>
      </c>
      <c r="E28" s="269">
        <f>'Load Plan '!$F$36</f>
        <v>6804</v>
      </c>
      <c r="F28" s="223">
        <f>'Load Plan '!$F$35</f>
        <v>3156</v>
      </c>
      <c r="G28" s="237" t="s">
        <v>23265</v>
      </c>
      <c r="H28" s="255" t="str">
        <f>IF('Load Plan '!$F$42="LD-2",'Load Plan '!$F$46,"")</f>
        <v/>
      </c>
      <c r="I28" s="349" t="str">
        <f>IF('Load Plan '!$F$49="LD-2",'Load Plan '!$F$53,"")</f>
        <v/>
      </c>
      <c r="J28" s="285" t="str">
        <f>'Load Plan '!$F$56</f>
        <v/>
      </c>
      <c r="K28" s="291" t="str">
        <f>'Load Plan '!$F$55</f>
        <v/>
      </c>
      <c r="L28" s="231"/>
      <c r="M28" s="231"/>
      <c r="N28" s="231"/>
      <c r="O28" s="231"/>
      <c r="P28" s="332" t="str">
        <f>Indeces!E72</f>
        <v/>
      </c>
      <c r="Q28" s="359" t="str">
        <f>IFERROR(ROUND(VLOOKUP(P28,Indeces!$E$68:$J$80,6,FALSE),1),"")</f>
        <v/>
      </c>
      <c r="R28" s="231"/>
      <c r="S28" s="334" t="str">
        <f t="shared" si="0"/>
        <v>HOLD 22</v>
      </c>
      <c r="T28" s="359" t="str">
        <f>IFERROR(ROUND(VLOOKUP(S28,Indeces!$M$68:$R$79,6,FALSE),1),"")</f>
        <v/>
      </c>
    </row>
    <row r="29" spans="1:21" ht="16.399999999999999" customHeight="1" thickBot="1" x14ac:dyDescent="0.3">
      <c r="A29" s="58"/>
      <c r="B29" s="353" t="str">
        <f>'Load Plan '!$G$17</f>
        <v xml:space="preserve"> </v>
      </c>
      <c r="C29" s="351"/>
      <c r="D29" s="338"/>
      <c r="E29" s="269" t="str">
        <f>'Load Plan '!$G$36</f>
        <v/>
      </c>
      <c r="F29" s="223" t="str">
        <f>'Load Plan '!$G$35</f>
        <v/>
      </c>
      <c r="G29" s="237" t="s">
        <v>23266</v>
      </c>
      <c r="H29" s="255" t="str">
        <f>IF('Load Plan '!$G$42="LD-2",'Load Plan '!$G$46,"")</f>
        <v/>
      </c>
      <c r="I29" s="349" t="str">
        <f>IF('Load Plan '!$G$49="LD-2",'Load Plan '!$G$53,"")</f>
        <v/>
      </c>
      <c r="J29" s="285" t="str">
        <f>'Load Plan '!$G$56</f>
        <v/>
      </c>
      <c r="K29" s="291" t="str">
        <f>'Load Plan '!$G$55</f>
        <v/>
      </c>
      <c r="L29" s="231"/>
      <c r="M29" s="231"/>
      <c r="N29" s="231"/>
      <c r="O29" s="231"/>
      <c r="P29" s="332" t="str">
        <f>Indeces!E73</f>
        <v>A5</v>
      </c>
      <c r="Q29" s="359">
        <f>IFERROR(ROUND(VLOOKUP(P29,Indeces!$E$68:$J$80,6,FALSE),1),"")</f>
        <v>-2.2000000000000002</v>
      </c>
      <c r="R29" s="231"/>
      <c r="S29" s="334" t="str">
        <f t="shared" si="0"/>
        <v>HOLD 23</v>
      </c>
      <c r="T29" s="359" t="str">
        <f>IFERROR(ROUND(VLOOKUP(S29,Indeces!$M$68:$R$79,6,FALSE),1),"")</f>
        <v/>
      </c>
    </row>
    <row r="30" spans="1:21" ht="16.399999999999999" customHeight="1" thickBot="1" x14ac:dyDescent="0.3">
      <c r="A30" s="58"/>
      <c r="B30" s="353" t="str">
        <f>'Load Plan '!$H$17</f>
        <v>A5R</v>
      </c>
      <c r="C30" s="351">
        <f>IF(B30&lt;&gt;"A5R","", 'Load Plan '!$H$21)</f>
        <v>2103</v>
      </c>
      <c r="D30" s="338">
        <f>IF(B30&lt;&gt;"A5R","", 'Load Plan '!$H$28)</f>
        <v>2333</v>
      </c>
      <c r="E30" s="269">
        <f>'Load Plan '!$H$36</f>
        <v>4853</v>
      </c>
      <c r="F30" s="223">
        <f>'Load Plan '!$H$35</f>
        <v>4436</v>
      </c>
      <c r="G30" s="242" t="s">
        <v>23268</v>
      </c>
      <c r="H30" s="256" t="str">
        <f>IF('Load Plan '!$H$42="LD-2",'Load Plan '!$H$46,"")</f>
        <v/>
      </c>
      <c r="I30" s="350" t="str">
        <f>IF('Load Plan '!$H$49="LD-2",'Load Plan '!$H$53,"")</f>
        <v/>
      </c>
      <c r="J30" s="286" t="str">
        <f>'Load Plan '!$H$56</f>
        <v/>
      </c>
      <c r="K30" s="292" t="str">
        <f>'Load Plan '!$H$55</f>
        <v/>
      </c>
      <c r="L30" s="231"/>
      <c r="M30" s="231"/>
      <c r="N30" s="231"/>
      <c r="O30" s="231"/>
      <c r="P30" s="332" t="str">
        <f>Indeces!E74</f>
        <v>A6</v>
      </c>
      <c r="Q30" s="359">
        <f>IFERROR(ROUND(VLOOKUP(P30,Indeces!$E$68:$J$80,6,FALSE),1),"")</f>
        <v>5.6</v>
      </c>
      <c r="R30" s="231"/>
      <c r="S30" s="621"/>
      <c r="T30" s="622"/>
    </row>
    <row r="31" spans="1:21" ht="16.399999999999999" customHeight="1" thickBot="1" x14ac:dyDescent="0.3">
      <c r="A31" s="58"/>
      <c r="B31" s="353" t="str">
        <f>'Load Plan '!$I$17</f>
        <v>A6R</v>
      </c>
      <c r="C31" s="351">
        <f>IF(B31&lt;&gt;"A6R","", 'Load Plan '!$I$21)</f>
        <v>1949</v>
      </c>
      <c r="D31" s="338">
        <f>IF(B31&lt;&gt;"A6R","", 'Load Plan '!$I$28)</f>
        <v>2184</v>
      </c>
      <c r="E31" s="269">
        <f>'Load Plan '!$I$36</f>
        <v>4853</v>
      </c>
      <c r="F31" s="223">
        <f>'Load Plan '!$I$35</f>
        <v>4133</v>
      </c>
      <c r="G31" s="245" t="s">
        <v>23274</v>
      </c>
      <c r="H31" s="542">
        <f>SUM($J$25:$J$30)</f>
        <v>9796</v>
      </c>
      <c r="I31" s="568"/>
      <c r="J31" s="542">
        <f>SUM($K$25:$K$30)</f>
        <v>3186</v>
      </c>
      <c r="K31" s="543"/>
      <c r="L31" s="231"/>
      <c r="M31" s="231"/>
      <c r="N31" s="231"/>
      <c r="O31" s="231"/>
      <c r="P31" s="332" t="str">
        <f>Indeces!E75</f>
        <v/>
      </c>
      <c r="Q31" s="359" t="str">
        <f>IFERROR(ROUND(VLOOKUP(P31,Indeces!$E$68:$J$80,6,FALSE),1),"")</f>
        <v/>
      </c>
      <c r="R31" s="231"/>
      <c r="S31" s="334" t="str">
        <f t="shared" ref="S31:S36" si="1">IF(G32="","",G32)</f>
        <v>HOLD 31</v>
      </c>
      <c r="T31" s="360">
        <f>IFERROR(ROUND(VLOOKUP(S31,Indeces!$M$68:$R$79,6,FALSE),1),"")</f>
        <v>0</v>
      </c>
    </row>
    <row r="32" spans="1:21" ht="16.399999999999999" customHeight="1" x14ac:dyDescent="0.25">
      <c r="A32" s="58"/>
      <c r="B32" s="353" t="str">
        <f>'Load Plan '!$J$17</f>
        <v xml:space="preserve"> </v>
      </c>
      <c r="C32" s="351"/>
      <c r="D32" s="338"/>
      <c r="E32" s="269" t="str">
        <f>'Load Plan '!$J$36</f>
        <v/>
      </c>
      <c r="F32" s="223" t="str">
        <f>'Load Plan '!$J$35</f>
        <v/>
      </c>
      <c r="G32" s="243" t="s">
        <v>23267</v>
      </c>
      <c r="H32" s="254" t="str">
        <f>IF('Load Plan '!$I$42="LD-2",'Load Plan '!$I$46,"")</f>
        <v/>
      </c>
      <c r="I32" s="348" t="str">
        <f>IF('Load Plan '!$I$49="LD-2",'Load Plan '!$I$53,"")</f>
        <v/>
      </c>
      <c r="J32" s="238">
        <f>'Load Plan '!$I$56</f>
        <v>2449</v>
      </c>
      <c r="K32" s="331">
        <f>'Load Plan '!$I$55</f>
        <v>0</v>
      </c>
      <c r="L32" s="231"/>
      <c r="M32" s="231"/>
      <c r="N32" s="231"/>
      <c r="O32" s="231"/>
      <c r="P32" s="332" t="str">
        <f>Indeces!E76</f>
        <v>A7</v>
      </c>
      <c r="Q32" s="359">
        <f>IFERROR(ROUND(VLOOKUP(P32,Indeces!$E$68:$J$80,6,FALSE),1),"")</f>
        <v>12.7</v>
      </c>
      <c r="R32" s="231"/>
      <c r="S32" s="334" t="str">
        <f t="shared" si="1"/>
        <v>HOLD 32</v>
      </c>
      <c r="T32" s="360">
        <f>IFERROR(ROUND(VLOOKUP(S32,Indeces!$M$68:$R$79,6,FALSE),1),"")</f>
        <v>0</v>
      </c>
    </row>
    <row r="33" spans="1:21" ht="16.399999999999999" customHeight="1" x14ac:dyDescent="0.25">
      <c r="A33" s="58"/>
      <c r="B33" s="353" t="str">
        <f>'Load Plan '!$K$17</f>
        <v>A7R</v>
      </c>
      <c r="C33" s="351">
        <f>IF(B33&lt;&gt;"A7R","", 'Load Plan '!$K$21)</f>
        <v>1899</v>
      </c>
      <c r="D33" s="338">
        <f>IF(B33&lt;&gt;"A7R","", 'Load Plan '!$K$28)</f>
        <v>2035</v>
      </c>
      <c r="E33" s="269">
        <f>'Load Plan '!$K$36</f>
        <v>4853</v>
      </c>
      <c r="F33" s="223">
        <f>'Load Plan '!$K$35</f>
        <v>3934</v>
      </c>
      <c r="G33" s="237" t="s">
        <v>23273</v>
      </c>
      <c r="H33" s="255" t="str">
        <f>IF('Load Plan '!$J$42="LD-2",'Load Plan '!$J$46,"")</f>
        <v/>
      </c>
      <c r="I33" s="349" t="str">
        <f>IF('Load Plan '!$J$49="LD-2",'Load Plan '!$J$53,"")</f>
        <v/>
      </c>
      <c r="J33" s="238">
        <f>'Load Plan '!$J$56</f>
        <v>2449</v>
      </c>
      <c r="K33" s="331">
        <f>'Load Plan '!$J$55</f>
        <v>0</v>
      </c>
      <c r="L33" s="231"/>
      <c r="M33" s="231"/>
      <c r="N33" s="231"/>
      <c r="O33" s="231"/>
      <c r="P33" s="332" t="str">
        <f>Indeces!E77</f>
        <v>A8</v>
      </c>
      <c r="Q33" s="359">
        <f>IFERROR(ROUND(VLOOKUP(P33,Indeces!$E$68:$J$80,6,FALSE),1),"")</f>
        <v>19.899999999999999</v>
      </c>
      <c r="R33" s="231"/>
      <c r="S33" s="334" t="str">
        <f t="shared" si="1"/>
        <v>HOLD 33</v>
      </c>
      <c r="T33" s="360">
        <f>IFERROR(ROUND(VLOOKUP(S33,Indeces!$M$68:$R$79,6,FALSE),1),"")</f>
        <v>0</v>
      </c>
    </row>
    <row r="34" spans="1:21" ht="16.399999999999999" customHeight="1" x14ac:dyDescent="0.25">
      <c r="A34" s="58"/>
      <c r="B34" s="353" t="str">
        <f>'Load Plan '!$L$17</f>
        <v>A8R</v>
      </c>
      <c r="C34" s="351">
        <f>IF(B34&lt;&gt;"A8R","", 'Load Plan '!$L$21)</f>
        <v>1731</v>
      </c>
      <c r="D34" s="338">
        <f>IF(B34&lt;&gt;"A8R","", 'Load Plan '!$L$28)</f>
        <v>2196</v>
      </c>
      <c r="E34" s="269">
        <f>'Load Plan '!$L$36</f>
        <v>4853</v>
      </c>
      <c r="F34" s="223">
        <f>'Load Plan '!$L$35</f>
        <v>3927</v>
      </c>
      <c r="G34" s="237" t="s">
        <v>23272</v>
      </c>
      <c r="H34" s="255" t="str">
        <f>IF('Load Plan '!$K$42="LD-2",'Load Plan '!$K$46,"")</f>
        <v/>
      </c>
      <c r="I34" s="349" t="str">
        <f>IF('Load Plan '!$K$49="LD-2",'Load Plan '!$K$53,"")</f>
        <v/>
      </c>
      <c r="J34" s="238">
        <f>'Load Plan '!$K$56</f>
        <v>2449</v>
      </c>
      <c r="K34" s="331">
        <f>'Load Plan '!$K$55</f>
        <v>0</v>
      </c>
      <c r="L34" s="231"/>
      <c r="M34" s="231"/>
      <c r="N34" s="231"/>
      <c r="O34" s="231"/>
      <c r="P34" s="332" t="str">
        <f>Indeces!E78</f>
        <v/>
      </c>
      <c r="Q34" s="359" t="str">
        <f>IFERROR(ROUND(VLOOKUP(P34,Indeces!$E$68:$J$80,6,FALSE),1),"")</f>
        <v/>
      </c>
      <c r="R34" s="231"/>
      <c r="S34" s="334" t="str">
        <f t="shared" si="1"/>
        <v>HOLD 41</v>
      </c>
      <c r="T34" s="360">
        <f>IFERROR(ROUND(VLOOKUP(S34,Indeces!$M$68:$R$79,6,FALSE),1),"")</f>
        <v>4.3</v>
      </c>
    </row>
    <row r="35" spans="1:21" ht="16.399999999999999" customHeight="1" x14ac:dyDescent="0.25">
      <c r="A35" s="58"/>
      <c r="B35" s="353" t="str">
        <f>'Load Plan '!$M$17</f>
        <v xml:space="preserve"> </v>
      </c>
      <c r="C35" s="351"/>
      <c r="D35" s="338"/>
      <c r="E35" s="269" t="str">
        <f>'Load Plan '!$M$36</f>
        <v/>
      </c>
      <c r="F35" s="223" t="str">
        <f>'Load Plan '!$M$35</f>
        <v/>
      </c>
      <c r="G35" s="237" t="s">
        <v>23271</v>
      </c>
      <c r="H35" s="255" t="str">
        <f>IF('Load Plan '!$L$42="LD-2",'Load Plan '!$L$46,"")</f>
        <v/>
      </c>
      <c r="I35" s="349" t="str">
        <f>IF('Load Plan '!$L$49="LD-2",'Load Plan '!$L$53,"")</f>
        <v/>
      </c>
      <c r="J35" s="238">
        <f>'Load Plan '!$L$56</f>
        <v>2449</v>
      </c>
      <c r="K35" s="331">
        <f>'Load Plan '!$L$55</f>
        <v>853</v>
      </c>
      <c r="L35" s="231"/>
      <c r="M35" s="231"/>
      <c r="N35" s="231"/>
      <c r="O35" s="231"/>
      <c r="P35" s="332" t="str">
        <f>Indeces!E79</f>
        <v>A9</v>
      </c>
      <c r="Q35" s="359">
        <f>IFERROR(ROUND(VLOOKUP(P35,Indeces!$E$68:$J$80,6,FALSE),1),"")</f>
        <v>25.1</v>
      </c>
      <c r="R35" s="231"/>
      <c r="S35" s="335" t="str">
        <f t="shared" si="1"/>
        <v>HOLD 42</v>
      </c>
      <c r="T35" s="360">
        <f>IFERROR(ROUND(VLOOKUP(S35,Indeces!$M$68:$R$79,6,FALSE),1),"")</f>
        <v>6.7</v>
      </c>
    </row>
    <row r="36" spans="1:21" ht="16.399999999999999" customHeight="1" thickBot="1" x14ac:dyDescent="0.3">
      <c r="A36" s="58"/>
      <c r="B36" s="353" t="str">
        <f>'Load Plan '!$N$17</f>
        <v>A9R</v>
      </c>
      <c r="C36" s="351">
        <f>IF(B36&lt;&gt;"A9R","", 'Load Plan '!$N$21)</f>
        <v>1458</v>
      </c>
      <c r="D36" s="338">
        <f>IF(B36&lt;&gt;"A9R","", 'Load Plan '!$N$28)</f>
        <v>2168</v>
      </c>
      <c r="E36" s="269">
        <f>'Load Plan '!$N$36</f>
        <v>4853</v>
      </c>
      <c r="F36" s="223">
        <f>'Load Plan '!$N$35</f>
        <v>3626</v>
      </c>
      <c r="G36" s="239" t="s">
        <v>23270</v>
      </c>
      <c r="H36" s="256" t="str">
        <f>IF('Load Plan '!$M$42="LD-2",'Load Plan '!$M$46,"")</f>
        <v/>
      </c>
      <c r="I36" s="350" t="str">
        <f>IF('Load Plan '!$M$49="LD-2",'Load Plan '!$M$53,"")</f>
        <v/>
      </c>
      <c r="J36" s="357">
        <f>'Load Plan '!$M$56</f>
        <v>2449</v>
      </c>
      <c r="K36" s="358">
        <f>'Load Plan '!$M$55</f>
        <v>1122</v>
      </c>
      <c r="L36" s="231"/>
      <c r="M36" s="231"/>
      <c r="N36" s="231"/>
      <c r="O36" s="231"/>
      <c r="P36" s="332" t="str">
        <f>Indeces!E80</f>
        <v>A10</v>
      </c>
      <c r="Q36" s="371">
        <f>IFERROR(ROUND(VLOOKUP(P36,Indeces!$G$68:$J$80,4,FALSE),1),"")</f>
        <v>14.1</v>
      </c>
      <c r="R36" s="231"/>
      <c r="S36" s="336" t="str">
        <f t="shared" si="1"/>
        <v>BULK</v>
      </c>
      <c r="T36" s="360">
        <f>IFERROR(ROUND(VLOOKUP(S36,Indeces!$M$68:$R$79,6,FALSE),1),"")</f>
        <v>8.3000000000000007</v>
      </c>
    </row>
    <row r="37" spans="1:21" ht="16.399999999999999" customHeight="1" thickBot="1" x14ac:dyDescent="0.3">
      <c r="A37" s="58"/>
      <c r="B37" s="354" t="str">
        <f>'Load Plan '!$O$17</f>
        <v>A10</v>
      </c>
      <c r="C37" s="352"/>
      <c r="D37" s="339"/>
      <c r="E37" s="355">
        <f>'Load Plan '!$O$36</f>
        <v>2722</v>
      </c>
      <c r="F37" s="341">
        <f>'Load Plan '!$O$35</f>
        <v>1651</v>
      </c>
      <c r="G37" s="356" t="s">
        <v>23269</v>
      </c>
      <c r="H37" s="546">
        <f>'Load Plan '!N47</f>
        <v>2935</v>
      </c>
      <c r="I37" s="547"/>
      <c r="J37" s="548">
        <f>'Load Plan '!N46</f>
        <v>1116</v>
      </c>
      <c r="K37" s="549"/>
      <c r="L37" s="544"/>
      <c r="M37" s="545"/>
      <c r="N37" s="231"/>
      <c r="O37" s="231"/>
      <c r="P37" s="367"/>
      <c r="Q37" s="231"/>
      <c r="R37" s="231"/>
      <c r="S37" s="231"/>
      <c r="T37" s="368"/>
    </row>
    <row r="38" spans="1:21" ht="17" customHeight="1" thickBot="1" x14ac:dyDescent="0.3">
      <c r="A38" s="58"/>
      <c r="B38" s="493"/>
      <c r="C38" s="730" t="s">
        <v>23331</v>
      </c>
      <c r="D38" s="730"/>
      <c r="E38" s="730"/>
      <c r="F38" s="730"/>
      <c r="G38" s="252" t="s">
        <v>60</v>
      </c>
      <c r="H38" s="542">
        <f>SUM($J$32:$J$36)</f>
        <v>12245</v>
      </c>
      <c r="I38" s="568"/>
      <c r="J38" s="542">
        <f>SUM($K$32:$K$36)</f>
        <v>1975</v>
      </c>
      <c r="K38" s="543"/>
      <c r="L38" s="231"/>
      <c r="M38" s="231"/>
      <c r="N38" s="545"/>
      <c r="O38" s="545"/>
      <c r="P38" s="105"/>
      <c r="Q38" s="105"/>
      <c r="R38" s="231"/>
      <c r="S38" s="231"/>
      <c r="T38" s="369"/>
      <c r="U38" s="95"/>
    </row>
    <row r="39" spans="1:21" ht="17" customHeight="1" thickBot="1" x14ac:dyDescent="0.4">
      <c r="A39" s="58"/>
      <c r="B39" s="494"/>
      <c r="C39" s="720" t="s">
        <v>23290</v>
      </c>
      <c r="D39" s="720"/>
      <c r="E39" s="720" t="s">
        <v>23289</v>
      </c>
      <c r="F39" s="720"/>
      <c r="G39" s="364" t="s">
        <v>23330</v>
      </c>
      <c r="H39" s="489" t="s">
        <v>23290</v>
      </c>
      <c r="I39" s="490"/>
      <c r="J39" s="489" t="s">
        <v>23289</v>
      </c>
      <c r="K39" s="490"/>
      <c r="L39" s="231"/>
      <c r="M39" s="231"/>
      <c r="N39" s="246"/>
      <c r="O39" s="246"/>
      <c r="P39" s="315" t="s">
        <v>23303</v>
      </c>
      <c r="Q39" s="361">
        <f>ROUND(SUM($Q$24:$Q$36),0)</f>
        <v>29</v>
      </c>
      <c r="R39" s="231"/>
      <c r="S39" s="347" t="s">
        <v>23303</v>
      </c>
      <c r="T39" s="374">
        <f>ROUND(SUM($T$24:$T$29,$T$31:$T$36),0)</f>
        <v>-5</v>
      </c>
      <c r="U39" s="95"/>
    </row>
    <row r="40" spans="1:21" ht="17" customHeight="1" thickBot="1" x14ac:dyDescent="0.3">
      <c r="A40" s="58"/>
      <c r="B40" s="495"/>
      <c r="C40" s="514">
        <f>SUM($C$25:$C$37)</f>
        <v>13281</v>
      </c>
      <c r="D40" s="514"/>
      <c r="E40" s="514">
        <f>SUM($D$25:$D$37)</f>
        <v>16229</v>
      </c>
      <c r="F40" s="514"/>
      <c r="G40" s="365" t="s">
        <v>55</v>
      </c>
      <c r="H40" s="491">
        <f>SUM($H$25:H$30,$H$32:$H$36)</f>
        <v>0</v>
      </c>
      <c r="I40" s="492"/>
      <c r="J40" s="491">
        <f>SUM($I$25:$I$30,$I$32:$I$36)</f>
        <v>0</v>
      </c>
      <c r="K40" s="492"/>
      <c r="L40" s="231"/>
      <c r="M40" s="231"/>
      <c r="N40" s="246"/>
      <c r="O40" s="246"/>
      <c r="P40" s="102"/>
      <c r="Q40" s="102"/>
      <c r="R40" s="366"/>
      <c r="S40" s="312"/>
      <c r="T40" s="313"/>
      <c r="U40" s="95"/>
    </row>
    <row r="41" spans="1:21" ht="18" customHeight="1" thickBot="1" x14ac:dyDescent="0.6">
      <c r="A41" s="58"/>
      <c r="B41" s="283" t="s">
        <v>23293</v>
      </c>
      <c r="C41" s="731">
        <f>ABS(C40-E40)</f>
        <v>2948</v>
      </c>
      <c r="D41" s="731"/>
      <c r="E41" s="731"/>
      <c r="F41" s="732"/>
      <c r="G41" s="363" t="s">
        <v>23329</v>
      </c>
      <c r="H41" s="491">
        <f>ABS(H40-J40)</f>
        <v>0</v>
      </c>
      <c r="I41" s="731"/>
      <c r="J41" s="731"/>
      <c r="K41" s="492"/>
      <c r="L41" s="231"/>
      <c r="M41" s="231"/>
      <c r="N41" s="231"/>
      <c r="O41" s="231"/>
      <c r="P41" s="312"/>
      <c r="Q41" s="521" t="s">
        <v>23328</v>
      </c>
      <c r="R41" s="523">
        <f>ROUND(SUM($Q$39,$T$39),0)</f>
        <v>24</v>
      </c>
      <c r="S41" s="312"/>
      <c r="T41" s="313"/>
      <c r="U41" s="95"/>
    </row>
    <row r="42" spans="1:21" ht="18" customHeight="1" thickBot="1" x14ac:dyDescent="0.3">
      <c r="A42" s="58"/>
      <c r="B42" s="724" t="s">
        <v>23276</v>
      </c>
      <c r="C42" s="725"/>
      <c r="D42" s="725"/>
      <c r="E42" s="726"/>
      <c r="F42" s="727">
        <f>SUM($F$25:$F$37)</f>
        <v>31161</v>
      </c>
      <c r="G42" s="728"/>
      <c r="H42" s="729"/>
      <c r="I42" s="739" t="s">
        <v>23277</v>
      </c>
      <c r="J42" s="740"/>
      <c r="K42" s="740"/>
      <c r="L42" s="740"/>
      <c r="M42" s="741"/>
      <c r="N42" s="515">
        <f>SUM($K$25:$K$30,$K$32:$K$36,$J$37)</f>
        <v>6277</v>
      </c>
      <c r="O42" s="516"/>
      <c r="P42" s="312"/>
      <c r="Q42" s="522"/>
      <c r="R42" s="524"/>
      <c r="S42" s="312"/>
      <c r="T42" s="313"/>
      <c r="U42" s="95"/>
    </row>
    <row r="43" spans="1:21" ht="18" customHeight="1" thickBot="1" x14ac:dyDescent="0.3">
      <c r="A43" s="58"/>
      <c r="B43" s="106"/>
      <c r="C43" s="105"/>
      <c r="D43" s="105"/>
      <c r="E43" s="253"/>
      <c r="F43" s="253"/>
      <c r="G43" s="231"/>
      <c r="H43" s="231"/>
      <c r="I43" s="250"/>
      <c r="J43" s="235"/>
      <c r="K43" s="235"/>
      <c r="L43" s="235"/>
      <c r="M43" s="235"/>
      <c r="N43" s="231"/>
      <c r="O43" s="231"/>
      <c r="P43" s="312"/>
      <c r="Q43" s="312"/>
      <c r="R43" s="312"/>
      <c r="S43" s="312"/>
      <c r="T43" s="313"/>
      <c r="U43" s="95"/>
    </row>
    <row r="44" spans="1:21" ht="14.9" customHeight="1" thickBot="1" x14ac:dyDescent="0.4">
      <c r="A44" s="58"/>
      <c r="B44" s="517" t="s">
        <v>11</v>
      </c>
      <c r="C44" s="518"/>
      <c r="D44" s="518"/>
      <c r="E44" s="518"/>
      <c r="F44" s="512" t="s">
        <v>23122</v>
      </c>
      <c r="G44" s="504">
        <f>SUM($F$42,$N$42)</f>
        <v>37438</v>
      </c>
      <c r="H44" s="525"/>
      <c r="I44" s="733" t="s">
        <v>36</v>
      </c>
      <c r="J44" s="734"/>
      <c r="K44" s="734"/>
      <c r="L44" s="734"/>
      <c r="M44" s="580" t="s">
        <v>16</v>
      </c>
      <c r="N44" s="504">
        <f>IF($M$12&lt;"",$M$12,IF($P$12&lt;"",$P$12,IF($S$12&lt;"",$S$12,"")))</f>
        <v>38221.346938775503</v>
      </c>
      <c r="O44" s="505"/>
      <c r="P44" s="314"/>
      <c r="Q44" s="419" t="s">
        <v>23364</v>
      </c>
      <c r="R44" s="420" t="s">
        <v>23222</v>
      </c>
      <c r="S44" s="755" t="s">
        <v>23353</v>
      </c>
      <c r="T44" s="755"/>
      <c r="U44" s="58"/>
    </row>
    <row r="45" spans="1:21" ht="14.9" customHeight="1" thickBot="1" x14ac:dyDescent="0.3">
      <c r="A45" s="58"/>
      <c r="B45" s="532"/>
      <c r="C45" s="533"/>
      <c r="D45" s="533"/>
      <c r="E45" s="533"/>
      <c r="F45" s="513"/>
      <c r="G45" s="709">
        <f>IF(O76&gt;0,O76,0)</f>
        <v>0</v>
      </c>
      <c r="H45" s="710"/>
      <c r="I45" s="733"/>
      <c r="J45" s="734"/>
      <c r="K45" s="734"/>
      <c r="L45" s="734"/>
      <c r="M45" s="580"/>
      <c r="N45" s="509"/>
      <c r="O45" s="511"/>
      <c r="P45" s="311"/>
      <c r="Q45" s="421" t="str">
        <f>IFERROR(VLOOKUP(B25,'Missing Constrains'!$Q$14:$T$58,2,FALSE),"")</f>
        <v>A1</v>
      </c>
      <c r="R45" s="422">
        <f>IFERROR(VLOOKUP(Q45,'Missing Constrains'!$R$14:$T$58,2,FALSE),"")</f>
        <v>11968</v>
      </c>
      <c r="S45" s="751">
        <f>IFERROR(VLOOKUP(Q45,'Missing Constrains'!$R$14:$T$58,3,FALSE),"")</f>
        <v>4251</v>
      </c>
      <c r="T45" s="751"/>
      <c r="U45" s="58"/>
    </row>
    <row r="46" spans="1:21" ht="14.9" customHeight="1" x14ac:dyDescent="0.25">
      <c r="A46" s="58"/>
      <c r="B46" s="534" t="s">
        <v>23140</v>
      </c>
      <c r="C46" s="535"/>
      <c r="D46" s="535"/>
      <c r="E46" s="535"/>
      <c r="F46" s="694" t="s">
        <v>23109</v>
      </c>
      <c r="G46" s="504">
        <f>$E$17</f>
        <v>76278.653061224497</v>
      </c>
      <c r="H46" s="525"/>
      <c r="I46" s="526" t="s">
        <v>11</v>
      </c>
      <c r="J46" s="527"/>
      <c r="K46" s="527"/>
      <c r="L46" s="527"/>
      <c r="M46" s="588" t="s">
        <v>28</v>
      </c>
      <c r="N46" s="504">
        <f>$G$44</f>
        <v>37438</v>
      </c>
      <c r="O46" s="505"/>
      <c r="P46" s="109"/>
      <c r="Q46" s="421" t="str">
        <f>IFERROR(VLOOKUP(B26,'Missing Constrains'!$Q$14:$T$58,2,FALSE),"")</f>
        <v>A2</v>
      </c>
      <c r="R46" s="422">
        <f>IFERROR(VLOOKUP(Q46,'Missing Constrains'!$R$14:$T$58,2,FALSE),"")</f>
        <v>18716</v>
      </c>
      <c r="S46" s="751">
        <f>IFERROR(VLOOKUP(Q46,'Missing Constrains'!$R$14:$T$58,3,FALSE),"")</f>
        <v>9484</v>
      </c>
      <c r="T46" s="751"/>
      <c r="U46" s="58"/>
    </row>
    <row r="47" spans="1:21" ht="14.9" customHeight="1" x14ac:dyDescent="0.25">
      <c r="A47" s="58"/>
      <c r="B47" s="536"/>
      <c r="C47" s="537"/>
      <c r="D47" s="537"/>
      <c r="E47" s="537"/>
      <c r="F47" s="695"/>
      <c r="G47" s="506"/>
      <c r="H47" s="508"/>
      <c r="I47" s="528"/>
      <c r="J47" s="529"/>
      <c r="K47" s="529"/>
      <c r="L47" s="529"/>
      <c r="M47" s="615"/>
      <c r="N47" s="506"/>
      <c r="O47" s="507"/>
      <c r="P47" s="109"/>
      <c r="Q47" s="421" t="str">
        <f>IFERROR(VLOOKUP(B27,'Missing Constrains'!$Q$14:$T$58,2,FALSE),"")</f>
        <v>A3</v>
      </c>
      <c r="R47" s="422">
        <f>IFERROR(VLOOKUP(Q47,'Missing Constrains'!$R$14:$T$58,2,FALSE),"")</f>
        <v>21643</v>
      </c>
      <c r="S47" s="751">
        <f>IFERROR(VLOOKUP(Q47,'Missing Constrains'!$R$14:$T$58,3,FALSE),"")</f>
        <v>3186</v>
      </c>
      <c r="T47" s="751"/>
      <c r="U47" s="58"/>
    </row>
    <row r="48" spans="1:21" ht="14.9" customHeight="1" x14ac:dyDescent="0.25">
      <c r="A48" s="58"/>
      <c r="B48" s="536"/>
      <c r="C48" s="537"/>
      <c r="D48" s="537"/>
      <c r="E48" s="537"/>
      <c r="F48" s="695"/>
      <c r="G48" s="506"/>
      <c r="H48" s="508"/>
      <c r="I48" s="528"/>
      <c r="J48" s="529"/>
      <c r="K48" s="529"/>
      <c r="L48" s="529"/>
      <c r="M48" s="615"/>
      <c r="N48" s="506"/>
      <c r="O48" s="507"/>
      <c r="P48" s="109"/>
      <c r="Q48" s="421" t="str">
        <f>IFERROR(VLOOKUP(B28,'Missing Constrains'!$Q$14:$T$58,2,FALSE),"")</f>
        <v>A4</v>
      </c>
      <c r="R48" s="422">
        <f>IFERROR(VLOOKUP(Q48,'Missing Constrains'!$R$14:$T$58,2,FALSE),"")</f>
        <v>28501</v>
      </c>
      <c r="S48" s="751">
        <f>IFERROR(VLOOKUP(Q48,'Missing Constrains'!$R$14:$T$58,3,FALSE),"")</f>
        <v>12640</v>
      </c>
      <c r="T48" s="751"/>
      <c r="U48" s="58"/>
    </row>
    <row r="49" spans="1:22" ht="14.9" customHeight="1" x14ac:dyDescent="0.25">
      <c r="A49" s="58"/>
      <c r="B49" s="536"/>
      <c r="C49" s="537"/>
      <c r="D49" s="537"/>
      <c r="E49" s="537"/>
      <c r="F49" s="695"/>
      <c r="G49" s="506">
        <f>IF(O76="",0,IF(O76&gt;0,G44+G45,0))</f>
        <v>0</v>
      </c>
      <c r="H49" s="508"/>
      <c r="I49" s="528"/>
      <c r="J49" s="529"/>
      <c r="K49" s="529"/>
      <c r="L49" s="529"/>
      <c r="M49" s="615"/>
      <c r="N49" s="506" t="str">
        <f>IF(O76="","",IF(O76&gt;0,O76+N46,""))</f>
        <v/>
      </c>
      <c r="O49" s="507"/>
      <c r="P49" s="109"/>
      <c r="Q49" s="421" t="str">
        <f>IFERROR(VLOOKUP(B29,'Missing Constrains'!$Q$14:$T$58,2,FALSE),"")</f>
        <v/>
      </c>
      <c r="R49" s="422" t="str">
        <f>IFERROR(VLOOKUP(Q49,'Missing Constrains'!$R$14:$T$58,2,FALSE),"")</f>
        <v/>
      </c>
      <c r="S49" s="751" t="str">
        <f>IFERROR(VLOOKUP(Q49,'Missing Constrains'!$R$14:$T$58,3,FALSE),"")</f>
        <v/>
      </c>
      <c r="T49" s="751"/>
      <c r="U49" s="58"/>
    </row>
    <row r="50" spans="1:22" ht="14.9" customHeight="1" x14ac:dyDescent="0.25">
      <c r="A50" s="58"/>
      <c r="B50" s="536"/>
      <c r="C50" s="537"/>
      <c r="D50" s="537"/>
      <c r="E50" s="537"/>
      <c r="F50" s="695"/>
      <c r="G50" s="506"/>
      <c r="H50" s="508"/>
      <c r="I50" s="528"/>
      <c r="J50" s="529"/>
      <c r="K50" s="529"/>
      <c r="L50" s="529"/>
      <c r="M50" s="615"/>
      <c r="N50" s="506"/>
      <c r="O50" s="507"/>
      <c r="P50" s="109"/>
      <c r="Q50" s="421" t="str">
        <f>IFERROR(VLOOKUP(B30,'Missing Constrains'!$Q$14:$T$58,2,FALSE),"")</f>
        <v>A5</v>
      </c>
      <c r="R50" s="422">
        <f>IFERROR(VLOOKUP(Q50,'Missing Constrains'!$R$14:$T$58,2,FALSE),"")</f>
        <v>35180</v>
      </c>
      <c r="S50" s="751">
        <f>IFERROR(VLOOKUP(Q50,'Missing Constrains'!$R$14:$T$58,3,FALSE),"")</f>
        <v>24798</v>
      </c>
      <c r="T50" s="751"/>
      <c r="U50" s="58"/>
    </row>
    <row r="51" spans="1:22" ht="14.9" customHeight="1" thickBot="1" x14ac:dyDescent="0.3">
      <c r="A51" s="58"/>
      <c r="B51" s="538"/>
      <c r="C51" s="539"/>
      <c r="D51" s="539"/>
      <c r="E51" s="539"/>
      <c r="F51" s="696"/>
      <c r="G51" s="509"/>
      <c r="H51" s="510"/>
      <c r="I51" s="530"/>
      <c r="J51" s="531"/>
      <c r="K51" s="531"/>
      <c r="L51" s="531"/>
      <c r="M51" s="578"/>
      <c r="N51" s="509"/>
      <c r="O51" s="511"/>
      <c r="P51" s="109"/>
      <c r="Q51" s="421" t="str">
        <f>IFERROR(VLOOKUP(B31,'Missing Constrains'!$Q$14:$T$58,2,FALSE),"")</f>
        <v>A6</v>
      </c>
      <c r="R51" s="422">
        <f>IFERROR(VLOOKUP(Q51,'Missing Constrains'!$R$14:$T$58,2,FALSE),"")</f>
        <v>28322</v>
      </c>
      <c r="S51" s="751">
        <f>IFERROR(VLOOKUP(Q51,'Missing Constrains'!$R$14:$T$58,3,FALSE),"")</f>
        <v>20362</v>
      </c>
      <c r="T51" s="751"/>
      <c r="U51" s="58"/>
    </row>
    <row r="52" spans="1:22" ht="14.9" customHeight="1" x14ac:dyDescent="0.25">
      <c r="A52" s="58"/>
      <c r="B52" s="517" t="s">
        <v>12</v>
      </c>
      <c r="C52" s="518"/>
      <c r="D52" s="518"/>
      <c r="E52" s="518"/>
      <c r="F52" s="752" t="s">
        <v>61</v>
      </c>
      <c r="G52" s="504">
        <f>IF(G44="",0,IF(SUM($E$10:$F$17)=0,$G$44+$G$46,IF($G$44+$G$46&gt;120657,"Can't exceed Kgs",$G$44+$G$46)))</f>
        <v>113716.6530612245</v>
      </c>
      <c r="H52" s="525"/>
      <c r="I52" s="526" t="s">
        <v>37</v>
      </c>
      <c r="J52" s="527"/>
      <c r="K52" s="527"/>
      <c r="L52" s="527"/>
      <c r="M52" s="588" t="s">
        <v>16</v>
      </c>
      <c r="N52" s="504">
        <f>IFERROR($N$44-$N$46,0)</f>
        <v>783.34693877550308</v>
      </c>
      <c r="O52" s="505"/>
      <c r="P52" s="109"/>
      <c r="Q52" s="421" t="str">
        <f>IFERROR(VLOOKUP(B32,'Missing Constrains'!$Q$14:$T$58,2,FALSE),"")</f>
        <v/>
      </c>
      <c r="R52" s="422" t="str">
        <f>IFERROR(VLOOKUP(Q52,'Missing Constrains'!$R$14:$T$58,2,FALSE),"")</f>
        <v/>
      </c>
      <c r="S52" s="751" t="str">
        <f>IFERROR(VLOOKUP(Q52,'Missing Constrains'!$R$14:$T$58,3,FALSE),"")</f>
        <v/>
      </c>
      <c r="T52" s="751"/>
      <c r="U52" s="58"/>
    </row>
    <row r="53" spans="1:22" ht="14.9" customHeight="1" x14ac:dyDescent="0.25">
      <c r="A53" s="58"/>
      <c r="B53" s="519"/>
      <c r="C53" s="520"/>
      <c r="D53" s="520"/>
      <c r="E53" s="520"/>
      <c r="F53" s="753"/>
      <c r="G53" s="506"/>
      <c r="H53" s="508"/>
      <c r="I53" s="528"/>
      <c r="J53" s="529"/>
      <c r="K53" s="529"/>
      <c r="L53" s="529"/>
      <c r="M53" s="615"/>
      <c r="N53" s="506"/>
      <c r="O53" s="507"/>
      <c r="P53" s="109"/>
      <c r="Q53" s="421" t="str">
        <f>IFERROR(VLOOKUP(B33,'Missing Constrains'!$Q$14:$T$58,2,FALSE),"")</f>
        <v>A7</v>
      </c>
      <c r="R53" s="422">
        <f>IFERROR(VLOOKUP(Q53,'Missing Constrains'!$R$14:$T$58,2,FALSE),"")</f>
        <v>24105</v>
      </c>
      <c r="S53" s="751">
        <f>IFERROR(VLOOKUP(Q53,'Missing Constrains'!$R$14:$T$58,3,FALSE),"")</f>
        <v>16229</v>
      </c>
      <c r="T53" s="751"/>
      <c r="U53" s="58"/>
    </row>
    <row r="54" spans="1:22" ht="14.9" customHeight="1" x14ac:dyDescent="0.25">
      <c r="A54" s="58"/>
      <c r="B54" s="519"/>
      <c r="C54" s="520"/>
      <c r="D54" s="520"/>
      <c r="E54" s="520"/>
      <c r="F54" s="753"/>
      <c r="G54" s="506"/>
      <c r="H54" s="508"/>
      <c r="I54" s="528"/>
      <c r="J54" s="529"/>
      <c r="K54" s="529"/>
      <c r="L54" s="529"/>
      <c r="M54" s="615"/>
      <c r="N54" s="506"/>
      <c r="O54" s="507"/>
      <c r="P54" s="109"/>
      <c r="Q54" s="421" t="str">
        <f>IFERROR(VLOOKUP(B34,'Missing Constrains'!$Q$14:$T$58,2,FALSE),"")</f>
        <v>A8</v>
      </c>
      <c r="R54" s="422">
        <f>IFERROR(VLOOKUP(Q54,'Missing Constrains'!$R$14:$T$58,2,FALSE),"")</f>
        <v>19419</v>
      </c>
      <c r="S54" s="751">
        <f>IFERROR(VLOOKUP(Q54,'Missing Constrains'!$R$14:$T$58,3,FALSE),"")</f>
        <v>10618</v>
      </c>
      <c r="T54" s="751"/>
      <c r="U54" s="58"/>
    </row>
    <row r="55" spans="1:22" ht="14.9" customHeight="1" x14ac:dyDescent="0.25">
      <c r="A55" s="58"/>
      <c r="B55" s="735" t="s">
        <v>23219</v>
      </c>
      <c r="C55" s="736"/>
      <c r="D55" s="107"/>
      <c r="E55" s="108">
        <v>83460</v>
      </c>
      <c r="F55" s="753"/>
      <c r="G55" s="506">
        <f>IF(O76="",0,IF(O76&gt;0,G49+G46,0))</f>
        <v>0</v>
      </c>
      <c r="H55" s="508"/>
      <c r="I55" s="528"/>
      <c r="J55" s="529"/>
      <c r="K55" s="529"/>
      <c r="L55" s="529"/>
      <c r="M55" s="615"/>
      <c r="N55" s="506" t="str">
        <f>IF(O76="","",IF(O76&gt;0,N52-O76," "))</f>
        <v xml:space="preserve"> </v>
      </c>
      <c r="O55" s="507"/>
      <c r="P55" s="109"/>
      <c r="Q55" s="421" t="str">
        <f>IFERROR(VLOOKUP(B35,'Missing Constrains'!$Q$14:$T$58,2,FALSE),"")</f>
        <v/>
      </c>
      <c r="R55" s="422" t="str">
        <f>IFERROR(VLOOKUP(Q55,'Missing Constrains'!$R$14:$T$58,2,FALSE),"")</f>
        <v/>
      </c>
      <c r="S55" s="751" t="str">
        <f>IFERROR(VLOOKUP(Q55,'Missing Constrains'!$R$14:$T$58,3,FALSE),"")</f>
        <v/>
      </c>
      <c r="T55" s="751"/>
      <c r="U55" s="58"/>
    </row>
    <row r="56" spans="1:22" ht="14.9" customHeight="1" x14ac:dyDescent="0.25">
      <c r="A56" s="58"/>
      <c r="B56" s="735"/>
      <c r="C56" s="736"/>
      <c r="D56" s="107"/>
      <c r="E56" s="107"/>
      <c r="F56" s="753"/>
      <c r="G56" s="506"/>
      <c r="H56" s="508"/>
      <c r="I56" s="528"/>
      <c r="J56" s="529"/>
      <c r="K56" s="529"/>
      <c r="L56" s="529"/>
      <c r="M56" s="615"/>
      <c r="N56" s="506"/>
      <c r="O56" s="507"/>
      <c r="P56" s="109"/>
      <c r="Q56" s="421" t="str">
        <f>IFERROR(VLOOKUP(B36,'Missing Constrains'!$Q$14:$T$58,2,FALSE),"")</f>
        <v>A9</v>
      </c>
      <c r="R56" s="422">
        <f>IFERROR(VLOOKUP(Q56,'Missing Constrains'!$R$14:$T$58,2,FALSE),"")</f>
        <v>11380</v>
      </c>
      <c r="S56" s="751">
        <f>IFERROR(VLOOKUP(Q56,'Missing Constrains'!$R$14:$T$58,3,FALSE),"")</f>
        <v>6396</v>
      </c>
      <c r="T56" s="751"/>
      <c r="U56" s="58"/>
    </row>
    <row r="57" spans="1:22" ht="14.9" customHeight="1" thickBot="1" x14ac:dyDescent="0.3">
      <c r="A57" s="58"/>
      <c r="B57" s="737"/>
      <c r="C57" s="738"/>
      <c r="D57" s="100"/>
      <c r="E57" s="100"/>
      <c r="F57" s="754"/>
      <c r="G57" s="509"/>
      <c r="H57" s="510"/>
      <c r="I57" s="530"/>
      <c r="J57" s="531"/>
      <c r="K57" s="531"/>
      <c r="L57" s="531"/>
      <c r="M57" s="578"/>
      <c r="N57" s="509"/>
      <c r="O57" s="511"/>
      <c r="P57" s="109"/>
      <c r="Q57" s="421" t="str">
        <f>IFERROR(VLOOKUP(B37,'Missing Constrains'!$Q$14:$T$58,2,FALSE),"")</f>
        <v>A10</v>
      </c>
      <c r="R57" s="423">
        <f>IFERROR(VLOOKUP(Q57,'Missing Constrains'!$Q$14:$T$59,3,FALSE),"")</f>
        <v>5010</v>
      </c>
      <c r="S57" s="751">
        <f>IFERROR(VLOOKUP(Q57,'Missing Constrains'!$R$14:$T$58,3,FALSE),"")</f>
        <v>2209</v>
      </c>
      <c r="T57" s="751"/>
      <c r="U57" s="58"/>
    </row>
    <row r="58" spans="1:22" ht="14.9" customHeight="1" x14ac:dyDescent="0.35">
      <c r="A58" s="58"/>
      <c r="B58" s="519" t="s">
        <v>9</v>
      </c>
      <c r="C58" s="520"/>
      <c r="D58" s="520"/>
      <c r="E58" s="520"/>
      <c r="F58" s="695" t="s">
        <v>23108</v>
      </c>
      <c r="G58" s="504">
        <f>$M$6</f>
        <v>26500</v>
      </c>
      <c r="H58" s="525"/>
      <c r="I58" s="498" t="s">
        <v>38</v>
      </c>
      <c r="J58" s="499"/>
      <c r="K58" s="499"/>
      <c r="L58" s="499"/>
      <c r="M58" s="499"/>
      <c r="N58" s="499"/>
      <c r="O58" s="500"/>
      <c r="P58" s="109"/>
      <c r="Q58" s="196"/>
      <c r="R58" s="197"/>
      <c r="S58" s="229"/>
      <c r="T58" s="257"/>
      <c r="U58" s="58"/>
      <c r="V58" s="33"/>
    </row>
    <row r="59" spans="1:22" ht="14.9" customHeight="1" x14ac:dyDescent="0.35">
      <c r="A59" s="58"/>
      <c r="B59" s="519"/>
      <c r="C59" s="520"/>
      <c r="D59" s="520"/>
      <c r="E59" s="520"/>
      <c r="F59" s="695"/>
      <c r="G59" s="506"/>
      <c r="H59" s="508"/>
      <c r="I59" s="501"/>
      <c r="J59" s="502"/>
      <c r="K59" s="502"/>
      <c r="L59" s="502"/>
      <c r="M59" s="502"/>
      <c r="N59" s="502"/>
      <c r="O59" s="503"/>
      <c r="P59" s="109"/>
      <c r="Q59" s="196"/>
      <c r="R59" s="197"/>
      <c r="S59" s="229"/>
      <c r="T59" s="257"/>
      <c r="U59" s="58"/>
    </row>
    <row r="60" spans="1:22" ht="14.9" customHeight="1" x14ac:dyDescent="0.35">
      <c r="A60" s="58"/>
      <c r="B60" s="519"/>
      <c r="C60" s="520"/>
      <c r="D60" s="520"/>
      <c r="E60" s="520"/>
      <c r="F60" s="695"/>
      <c r="G60" s="506"/>
      <c r="H60" s="508"/>
      <c r="I60" s="501"/>
      <c r="J60" s="502"/>
      <c r="K60" s="502"/>
      <c r="L60" s="502"/>
      <c r="M60" s="502"/>
      <c r="N60" s="502"/>
      <c r="O60" s="503"/>
      <c r="P60" s="109"/>
      <c r="Q60" s="196"/>
      <c r="R60" s="197"/>
      <c r="S60" s="229"/>
      <c r="T60" s="418"/>
      <c r="U60" s="58"/>
    </row>
    <row r="61" spans="1:22" ht="14.9" customHeight="1" x14ac:dyDescent="0.35">
      <c r="A61" s="58"/>
      <c r="B61" s="519"/>
      <c r="C61" s="520"/>
      <c r="D61" s="520"/>
      <c r="E61" s="520"/>
      <c r="F61" s="695"/>
      <c r="G61" s="506"/>
      <c r="H61" s="508"/>
      <c r="I61" s="704" t="s">
        <v>40</v>
      </c>
      <c r="J61" s="497" t="s">
        <v>62</v>
      </c>
      <c r="K61" s="497"/>
      <c r="L61" s="496" t="s">
        <v>35</v>
      </c>
      <c r="M61" s="496"/>
      <c r="N61" s="496" t="s">
        <v>39</v>
      </c>
      <c r="O61" s="503" t="s">
        <v>34</v>
      </c>
      <c r="P61" s="109"/>
      <c r="Q61" s="196"/>
      <c r="R61" s="197"/>
      <c r="S61" s="229"/>
      <c r="T61" s="257"/>
      <c r="U61" s="58"/>
    </row>
    <row r="62" spans="1:22" ht="14.9" customHeight="1" x14ac:dyDescent="0.25">
      <c r="A62" s="58"/>
      <c r="B62" s="519"/>
      <c r="C62" s="520"/>
      <c r="D62" s="520"/>
      <c r="E62" s="520"/>
      <c r="F62" s="695"/>
      <c r="G62" s="506"/>
      <c r="H62" s="508"/>
      <c r="I62" s="704"/>
      <c r="J62" s="497"/>
      <c r="K62" s="497"/>
      <c r="L62" s="496"/>
      <c r="M62" s="496"/>
      <c r="N62" s="496"/>
      <c r="O62" s="503"/>
      <c r="P62" s="109"/>
      <c r="Q62" s="95"/>
      <c r="R62" s="95"/>
      <c r="S62" s="95"/>
      <c r="T62" s="92"/>
      <c r="U62" s="58"/>
    </row>
    <row r="63" spans="1:22" ht="14.9" customHeight="1" thickBot="1" x14ac:dyDescent="0.4">
      <c r="A63" s="58"/>
      <c r="B63" s="532"/>
      <c r="C63" s="533"/>
      <c r="D63" s="533"/>
      <c r="E63" s="533"/>
      <c r="F63" s="696"/>
      <c r="G63" s="509"/>
      <c r="H63" s="510"/>
      <c r="I63" s="704"/>
      <c r="J63" s="497"/>
      <c r="K63" s="497"/>
      <c r="L63" s="496"/>
      <c r="M63" s="496"/>
      <c r="N63" s="496"/>
      <c r="O63" s="503"/>
      <c r="P63" s="109"/>
      <c r="Q63" s="198"/>
      <c r="R63" s="199"/>
      <c r="S63" s="229"/>
      <c r="T63" s="257"/>
      <c r="U63" s="58"/>
    </row>
    <row r="64" spans="1:22" ht="14.9" customHeight="1" x14ac:dyDescent="0.35">
      <c r="A64" s="58"/>
      <c r="B64" s="517" t="s">
        <v>13</v>
      </c>
      <c r="C64" s="518"/>
      <c r="D64" s="535"/>
      <c r="E64" s="535"/>
      <c r="F64" s="694" t="s">
        <v>23107</v>
      </c>
      <c r="G64" s="504">
        <f>IF(G58=0,"FUEL!",IFERROR(IF($G$52+$G$58&gt;MIN($N$8,$Q$8,$T$8),"Can't exceed Restricted TOW",$G$52+$G$58),"NEGATIVE UNDERLOADS"))</f>
        <v>140216.6530612245</v>
      </c>
      <c r="H64" s="525"/>
      <c r="I64" s="501"/>
      <c r="J64" s="502"/>
      <c r="K64" s="502"/>
      <c r="L64" s="496"/>
      <c r="M64" s="496"/>
      <c r="N64" s="496"/>
      <c r="O64" s="503"/>
      <c r="P64" s="109"/>
      <c r="Q64" s="200"/>
      <c r="R64" s="199"/>
      <c r="S64" s="229"/>
      <c r="T64" s="257"/>
      <c r="U64" s="58"/>
    </row>
    <row r="65" spans="1:21" ht="14.9" customHeight="1" x14ac:dyDescent="0.35">
      <c r="A65" s="58"/>
      <c r="B65" s="519"/>
      <c r="C65" s="520"/>
      <c r="D65" s="537"/>
      <c r="E65" s="537"/>
      <c r="F65" s="695"/>
      <c r="G65" s="506"/>
      <c r="H65" s="508"/>
      <c r="I65" s="501"/>
      <c r="J65" s="502"/>
      <c r="K65" s="502"/>
      <c r="L65" s="496"/>
      <c r="M65" s="496"/>
      <c r="N65" s="496"/>
      <c r="O65" s="503"/>
      <c r="P65" s="109"/>
      <c r="Q65" s="200"/>
      <c r="R65" s="199"/>
      <c r="S65" s="229"/>
      <c r="T65" s="257"/>
      <c r="U65" s="58"/>
    </row>
    <row r="66" spans="1:21" ht="14.9" customHeight="1" x14ac:dyDescent="0.35">
      <c r="A66" s="58"/>
      <c r="B66" s="519"/>
      <c r="C66" s="520"/>
      <c r="D66" s="537"/>
      <c r="E66" s="537"/>
      <c r="F66" s="695"/>
      <c r="G66" s="506"/>
      <c r="H66" s="508"/>
      <c r="I66" s="501"/>
      <c r="J66" s="502"/>
      <c r="K66" s="502"/>
      <c r="L66" s="496"/>
      <c r="M66" s="496"/>
      <c r="N66" s="496"/>
      <c r="O66" s="503"/>
      <c r="P66" s="109"/>
      <c r="Q66" s="200"/>
      <c r="R66" s="199"/>
      <c r="S66" s="229"/>
      <c r="T66" s="257"/>
      <c r="U66" s="58"/>
    </row>
    <row r="67" spans="1:21" ht="14.9" customHeight="1" x14ac:dyDescent="0.35">
      <c r="A67" s="58"/>
      <c r="B67" s="742" t="str">
        <f>"MAX. "&amp;"159,210 "</f>
        <v xml:space="preserve">MAX. 159,210 </v>
      </c>
      <c r="C67" s="743"/>
      <c r="D67" s="743" t="str">
        <f>"Restricted TOW. "&amp;TEXT(MIN(N8,Q8,T8),"#,###")</f>
        <v>Restricted TOW. 141,000</v>
      </c>
      <c r="E67" s="743"/>
      <c r="F67" s="695"/>
      <c r="G67" s="506">
        <f>IF(O76="",0,IF(O76&gt;0,G55+G58,0))</f>
        <v>0</v>
      </c>
      <c r="H67" s="508"/>
      <c r="I67" s="501"/>
      <c r="J67" s="502"/>
      <c r="K67" s="502"/>
      <c r="L67" s="502"/>
      <c r="M67" s="502"/>
      <c r="N67" s="502"/>
      <c r="O67" s="503"/>
      <c r="P67" s="109"/>
      <c r="Q67" s="200"/>
      <c r="R67" s="199"/>
      <c r="S67" s="229"/>
      <c r="T67" s="257"/>
      <c r="U67" s="58"/>
    </row>
    <row r="68" spans="1:21" ht="14.9" customHeight="1" x14ac:dyDescent="0.35">
      <c r="A68" s="58"/>
      <c r="B68" s="742"/>
      <c r="C68" s="743"/>
      <c r="D68" s="743"/>
      <c r="E68" s="743"/>
      <c r="F68" s="695"/>
      <c r="G68" s="506"/>
      <c r="H68" s="508"/>
      <c r="I68" s="501"/>
      <c r="J68" s="502"/>
      <c r="K68" s="502"/>
      <c r="L68" s="502"/>
      <c r="M68" s="502"/>
      <c r="N68" s="502"/>
      <c r="O68" s="503"/>
      <c r="P68" s="109"/>
      <c r="Q68" s="200"/>
      <c r="R68" s="199"/>
      <c r="S68" s="229"/>
      <c r="T68" s="257"/>
      <c r="U68" s="58"/>
    </row>
    <row r="69" spans="1:21" ht="14.9" customHeight="1" thickBot="1" x14ac:dyDescent="0.4">
      <c r="A69" s="58"/>
      <c r="B69" s="744"/>
      <c r="C69" s="745"/>
      <c r="D69" s="745"/>
      <c r="E69" s="745"/>
      <c r="F69" s="695"/>
      <c r="G69" s="562"/>
      <c r="H69" s="564"/>
      <c r="I69" s="501"/>
      <c r="J69" s="502"/>
      <c r="K69" s="502"/>
      <c r="L69" s="502"/>
      <c r="M69" s="502"/>
      <c r="N69" s="502"/>
      <c r="O69" s="503"/>
      <c r="P69" s="109"/>
      <c r="Q69" s="200"/>
      <c r="R69" s="199"/>
      <c r="S69" s="229"/>
      <c r="T69" s="257"/>
      <c r="U69" s="58"/>
    </row>
    <row r="70" spans="1:21" ht="14.9" customHeight="1" x14ac:dyDescent="0.35">
      <c r="A70" s="58"/>
      <c r="B70" s="517" t="s">
        <v>14</v>
      </c>
      <c r="C70" s="518"/>
      <c r="D70" s="518"/>
      <c r="E70" s="518"/>
      <c r="F70" s="694" t="s">
        <v>23110</v>
      </c>
      <c r="G70" s="504">
        <f>$S$6</f>
        <v>20000</v>
      </c>
      <c r="H70" s="525"/>
      <c r="I70" s="501"/>
      <c r="J70" s="502"/>
      <c r="K70" s="502"/>
      <c r="L70" s="502"/>
      <c r="M70" s="502"/>
      <c r="N70" s="502"/>
      <c r="O70" s="503"/>
      <c r="P70" s="109"/>
      <c r="Q70" s="200"/>
      <c r="R70" s="199"/>
      <c r="S70" s="229"/>
      <c r="T70" s="257"/>
      <c r="U70" s="58"/>
    </row>
    <row r="71" spans="1:21" ht="14.9" customHeight="1" x14ac:dyDescent="0.35">
      <c r="A71" s="58"/>
      <c r="B71" s="519"/>
      <c r="C71" s="520"/>
      <c r="D71" s="520"/>
      <c r="E71" s="520"/>
      <c r="F71" s="695"/>
      <c r="G71" s="506"/>
      <c r="H71" s="508"/>
      <c r="I71" s="501"/>
      <c r="J71" s="502"/>
      <c r="K71" s="502"/>
      <c r="L71" s="502"/>
      <c r="M71" s="502"/>
      <c r="N71" s="502"/>
      <c r="O71" s="503"/>
      <c r="P71" s="109"/>
      <c r="Q71" s="200"/>
      <c r="R71" s="199"/>
      <c r="S71" s="229"/>
      <c r="T71" s="257"/>
      <c r="U71" s="58"/>
    </row>
    <row r="72" spans="1:21" ht="14.9" customHeight="1" x14ac:dyDescent="0.35">
      <c r="A72" s="58"/>
      <c r="B72" s="519"/>
      <c r="C72" s="520"/>
      <c r="D72" s="520"/>
      <c r="E72" s="520"/>
      <c r="F72" s="695"/>
      <c r="G72" s="506"/>
      <c r="H72" s="508"/>
      <c r="I72" s="501"/>
      <c r="J72" s="502"/>
      <c r="K72" s="502"/>
      <c r="L72" s="502"/>
      <c r="M72" s="502"/>
      <c r="N72" s="502"/>
      <c r="O72" s="503"/>
      <c r="P72" s="109"/>
      <c r="Q72" s="200"/>
      <c r="R72" s="199"/>
      <c r="S72" s="229"/>
      <c r="T72" s="257"/>
      <c r="U72" s="58"/>
    </row>
    <row r="73" spans="1:21" ht="12.15" customHeight="1" x14ac:dyDescent="0.35">
      <c r="A73" s="58"/>
      <c r="B73" s="519"/>
      <c r="C73" s="520"/>
      <c r="D73" s="520"/>
      <c r="E73" s="520"/>
      <c r="F73" s="695"/>
      <c r="G73" s="506"/>
      <c r="H73" s="508"/>
      <c r="I73" s="501"/>
      <c r="J73" s="502"/>
      <c r="K73" s="502"/>
      <c r="L73" s="502"/>
      <c r="M73" s="502"/>
      <c r="N73" s="502"/>
      <c r="O73" s="503"/>
      <c r="P73" s="109"/>
      <c r="Q73" s="200"/>
      <c r="R73" s="199"/>
      <c r="S73" s="229"/>
      <c r="T73" s="257"/>
      <c r="U73" s="58"/>
    </row>
    <row r="74" spans="1:21" ht="12.15" customHeight="1" x14ac:dyDescent="0.35">
      <c r="A74" s="58"/>
      <c r="B74" s="519"/>
      <c r="C74" s="520"/>
      <c r="D74" s="520"/>
      <c r="E74" s="520"/>
      <c r="F74" s="695"/>
      <c r="G74" s="506"/>
      <c r="H74" s="508"/>
      <c r="I74" s="501"/>
      <c r="J74" s="502"/>
      <c r="K74" s="502"/>
      <c r="L74" s="502"/>
      <c r="M74" s="502"/>
      <c r="N74" s="502"/>
      <c r="O74" s="503"/>
      <c r="P74" s="109"/>
      <c r="Q74" s="200"/>
      <c r="R74" s="199"/>
      <c r="S74" s="229"/>
      <c r="T74" s="257"/>
      <c r="U74" s="58"/>
    </row>
    <row r="75" spans="1:21" ht="12.15" customHeight="1" thickBot="1" x14ac:dyDescent="0.4">
      <c r="A75" s="58"/>
      <c r="B75" s="532"/>
      <c r="C75" s="533"/>
      <c r="D75" s="533"/>
      <c r="E75" s="533"/>
      <c r="F75" s="696"/>
      <c r="G75" s="509"/>
      <c r="H75" s="510"/>
      <c r="I75" s="746"/>
      <c r="J75" s="669"/>
      <c r="K75" s="669"/>
      <c r="L75" s="669"/>
      <c r="M75" s="669"/>
      <c r="N75" s="669"/>
      <c r="O75" s="683"/>
      <c r="P75" s="109"/>
      <c r="Q75" s="200"/>
      <c r="R75" s="199"/>
      <c r="S75" s="700"/>
      <c r="T75" s="701"/>
      <c r="U75" s="58"/>
    </row>
    <row r="76" spans="1:21" ht="12.15" customHeight="1" x14ac:dyDescent="0.25">
      <c r="A76" s="58"/>
      <c r="B76" s="517" t="s">
        <v>15</v>
      </c>
      <c r="C76" s="518"/>
      <c r="D76" s="518"/>
      <c r="E76" s="518"/>
      <c r="F76" s="694" t="s">
        <v>64</v>
      </c>
      <c r="G76" s="618">
        <f>IF(G44="",0,IFERROR(IF($G$64-$G$70&gt;128367,"Can't exceed 121,367 Kgs",$G$64-$G$70),"INCOMPLETE!"))</f>
        <v>120216.6530612245</v>
      </c>
      <c r="H76" s="620"/>
      <c r="I76" s="713"/>
      <c r="J76" s="687" t="s">
        <v>41</v>
      </c>
      <c r="K76" s="687"/>
      <c r="L76" s="697"/>
      <c r="M76" s="697"/>
      <c r="N76" s="697"/>
      <c r="O76" s="690">
        <f>IF(SUM($O$64:$O$75)=0,0,SUM($O$64:$O$75))</f>
        <v>0</v>
      </c>
      <c r="P76" s="109"/>
      <c r="Q76" s="110"/>
      <c r="R76" s="110"/>
      <c r="S76" s="110"/>
      <c r="T76" s="111"/>
      <c r="U76" s="58"/>
    </row>
    <row r="77" spans="1:21" ht="12.15" customHeight="1" x14ac:dyDescent="0.25">
      <c r="A77" s="58"/>
      <c r="B77" s="519"/>
      <c r="C77" s="520"/>
      <c r="D77" s="520"/>
      <c r="E77" s="520"/>
      <c r="F77" s="695"/>
      <c r="G77" s="506"/>
      <c r="H77" s="508"/>
      <c r="I77" s="714"/>
      <c r="J77" s="688"/>
      <c r="K77" s="688"/>
      <c r="L77" s="698"/>
      <c r="M77" s="698"/>
      <c r="N77" s="698"/>
      <c r="O77" s="691"/>
      <c r="P77" s="109"/>
      <c r="Q77" s="709" t="s">
        <v>23248</v>
      </c>
      <c r="R77" s="710"/>
      <c r="S77" s="680">
        <f>'Load Plan '!$K$8</f>
        <v>26500</v>
      </c>
      <c r="T77" s="684">
        <f>IFERROR(IF(S77=0,0,VLOOKUP($S$77,Indeces!V68:W174,2,TRUE)),0)</f>
        <v>-2.2999999999999998</v>
      </c>
      <c r="U77" s="58"/>
    </row>
    <row r="78" spans="1:21" ht="12.15" customHeight="1" thickBot="1" x14ac:dyDescent="0.3">
      <c r="A78" s="58"/>
      <c r="B78" s="519"/>
      <c r="C78" s="520"/>
      <c r="D78" s="520"/>
      <c r="E78" s="520"/>
      <c r="F78" s="695"/>
      <c r="G78" s="506"/>
      <c r="H78" s="508"/>
      <c r="I78" s="714"/>
      <c r="J78" s="688"/>
      <c r="K78" s="688"/>
      <c r="L78" s="698"/>
      <c r="M78" s="698"/>
      <c r="N78" s="698"/>
      <c r="O78" s="691"/>
      <c r="P78" s="109"/>
      <c r="Q78" s="554"/>
      <c r="R78" s="611"/>
      <c r="S78" s="681"/>
      <c r="T78" s="685"/>
      <c r="U78" s="58"/>
    </row>
    <row r="79" spans="1:21" ht="12.15" customHeight="1" x14ac:dyDescent="0.25">
      <c r="A79" s="58"/>
      <c r="B79" s="735" t="s">
        <v>23220</v>
      </c>
      <c r="C79" s="736"/>
      <c r="D79" s="107"/>
      <c r="E79" s="108">
        <v>89811</v>
      </c>
      <c r="F79" s="695"/>
      <c r="G79" s="506">
        <f>IF(O76="",0,IF(O76&gt;0,G67-G70,0))</f>
        <v>0</v>
      </c>
      <c r="H79" s="508"/>
      <c r="I79" s="714"/>
      <c r="J79" s="688"/>
      <c r="K79" s="688"/>
      <c r="L79" s="698"/>
      <c r="M79" s="698"/>
      <c r="N79" s="698"/>
      <c r="O79" s="691"/>
      <c r="P79" s="109"/>
      <c r="Q79" s="552" t="s">
        <v>23249</v>
      </c>
      <c r="R79" s="616"/>
      <c r="S79" s="682">
        <f>'Load Plan '!$K$8-'Load Plan '!$K$9</f>
        <v>6500</v>
      </c>
      <c r="T79" s="686">
        <f>IFERROR(IF(S79=0,0,VLOOKUP($S$79,Indeces!V68:W174,2,TRUE)),0)</f>
        <v>-4.0999999999999996</v>
      </c>
      <c r="U79" s="58"/>
    </row>
    <row r="80" spans="1:21" ht="12.15" customHeight="1" thickBot="1" x14ac:dyDescent="0.3">
      <c r="A80" s="58"/>
      <c r="B80" s="735"/>
      <c r="C80" s="736"/>
      <c r="D80" s="107"/>
      <c r="E80" s="107"/>
      <c r="F80" s="695"/>
      <c r="G80" s="506"/>
      <c r="H80" s="508"/>
      <c r="I80" s="714"/>
      <c r="J80" s="688"/>
      <c r="K80" s="688"/>
      <c r="L80" s="698"/>
      <c r="M80" s="698"/>
      <c r="N80" s="698"/>
      <c r="O80" s="692"/>
      <c r="P80" s="109"/>
      <c r="Q80" s="554"/>
      <c r="R80" s="611"/>
      <c r="S80" s="681"/>
      <c r="T80" s="685"/>
      <c r="U80" s="58"/>
    </row>
    <row r="81" spans="1:21" ht="12.15" customHeight="1" thickBot="1" x14ac:dyDescent="0.3">
      <c r="A81" s="58"/>
      <c r="B81" s="737"/>
      <c r="C81" s="738"/>
      <c r="D81" s="100"/>
      <c r="E81" s="100"/>
      <c r="F81" s="696"/>
      <c r="G81" s="509"/>
      <c r="H81" s="510"/>
      <c r="I81" s="715"/>
      <c r="J81" s="689"/>
      <c r="K81" s="689"/>
      <c r="L81" s="699"/>
      <c r="M81" s="699"/>
      <c r="N81" s="699"/>
      <c r="O81" s="693"/>
      <c r="P81" s="112"/>
      <c r="Q81" s="102"/>
      <c r="R81" s="102"/>
      <c r="S81" s="102"/>
      <c r="T81" s="113"/>
      <c r="U81" s="58"/>
    </row>
    <row r="82" spans="1:21" ht="16.399999999999999" customHeight="1" thickBot="1" x14ac:dyDescent="0.3">
      <c r="A82" s="58"/>
      <c r="B82" s="747" t="s">
        <v>23258</v>
      </c>
      <c r="C82" s="748"/>
      <c r="D82" s="748"/>
      <c r="E82" s="748"/>
      <c r="F82" s="748"/>
      <c r="G82" s="748"/>
      <c r="H82" s="748"/>
      <c r="I82" s="748"/>
      <c r="J82" s="748"/>
      <c r="K82" s="748"/>
      <c r="L82" s="748"/>
      <c r="M82" s="748"/>
      <c r="N82" s="748"/>
      <c r="O82" s="705" t="s">
        <v>42</v>
      </c>
      <c r="P82" s="706"/>
      <c r="Q82" s="706"/>
      <c r="R82" s="716" t="str">
        <f>IF('Load Plan '!$Q$9=TRUE,"YES","NO")</f>
        <v>NO</v>
      </c>
      <c r="S82" s="716"/>
      <c r="T82" s="717"/>
      <c r="U82" s="58"/>
    </row>
    <row r="83" spans="1:21" ht="16.399999999999999" customHeight="1" thickBot="1" x14ac:dyDescent="0.3">
      <c r="A83" s="58"/>
      <c r="B83" s="749"/>
      <c r="C83" s="750"/>
      <c r="D83" s="750"/>
      <c r="E83" s="750"/>
      <c r="F83" s="750"/>
      <c r="G83" s="750"/>
      <c r="H83" s="750"/>
      <c r="I83" s="750"/>
      <c r="J83" s="750"/>
      <c r="K83" s="750"/>
      <c r="L83" s="750"/>
      <c r="M83" s="750"/>
      <c r="N83" s="750"/>
      <c r="O83" s="707" t="s">
        <v>63</v>
      </c>
      <c r="P83" s="708"/>
      <c r="Q83" s="708"/>
      <c r="R83" s="711" t="str">
        <f>IF('Load Plan '!$Q$10=TRUE,"YES","NO")</f>
        <v>NO</v>
      </c>
      <c r="S83" s="711"/>
      <c r="T83" s="712"/>
      <c r="U83" s="58"/>
    </row>
    <row r="84" spans="1:21" ht="16.399999999999999" customHeight="1" thickBot="1" x14ac:dyDescent="0.3">
      <c r="A84" s="58"/>
      <c r="B84" s="749"/>
      <c r="C84" s="750"/>
      <c r="D84" s="750"/>
      <c r="E84" s="750"/>
      <c r="F84" s="750"/>
      <c r="G84" s="750"/>
      <c r="H84" s="750"/>
      <c r="I84" s="750"/>
      <c r="J84" s="750"/>
      <c r="K84" s="750"/>
      <c r="L84" s="750"/>
      <c r="M84" s="750"/>
      <c r="N84" s="750"/>
      <c r="O84" s="705" t="s">
        <v>43</v>
      </c>
      <c r="P84" s="706"/>
      <c r="Q84" s="706"/>
      <c r="R84" s="716" t="str">
        <f>IF('Load Plan '!$Q$11=TRUE,"YES","NO")</f>
        <v>NO</v>
      </c>
      <c r="S84" s="716"/>
      <c r="T84" s="717"/>
      <c r="U84" s="58"/>
    </row>
    <row r="85" spans="1:21" ht="16.399999999999999" customHeight="1" x14ac:dyDescent="0.55000000000000004">
      <c r="A85" s="58"/>
      <c r="B85" s="749"/>
      <c r="C85" s="750"/>
      <c r="D85" s="750"/>
      <c r="E85" s="750"/>
      <c r="F85" s="750"/>
      <c r="G85" s="750"/>
      <c r="H85" s="750"/>
      <c r="I85" s="750"/>
      <c r="J85" s="750"/>
      <c r="K85" s="750"/>
      <c r="L85" s="750"/>
      <c r="M85" s="750"/>
      <c r="N85" s="750"/>
      <c r="O85" s="294"/>
      <c r="P85" s="651" t="s">
        <v>78</v>
      </c>
      <c r="Q85" s="651"/>
      <c r="R85" s="652"/>
      <c r="S85" s="643" t="s">
        <v>23297</v>
      </c>
      <c r="T85" s="644"/>
      <c r="U85" s="58"/>
    </row>
    <row r="86" spans="1:21" ht="12.5" customHeight="1" thickBot="1" x14ac:dyDescent="0.6">
      <c r="A86" s="58"/>
      <c r="B86" s="114"/>
      <c r="C86" s="115"/>
      <c r="D86" s="115"/>
      <c r="E86" s="115"/>
      <c r="F86" s="115"/>
      <c r="G86" s="115"/>
      <c r="H86" s="115"/>
      <c r="I86" s="115"/>
      <c r="J86" s="115"/>
      <c r="K86" s="115"/>
      <c r="L86" s="115"/>
      <c r="M86" s="115"/>
      <c r="N86" s="115"/>
      <c r="O86" s="295"/>
      <c r="P86" s="653"/>
      <c r="Q86" s="653"/>
      <c r="R86" s="654"/>
      <c r="S86" s="645"/>
      <c r="T86" s="646"/>
      <c r="U86" s="58"/>
    </row>
    <row r="87" spans="1:21" ht="16.399999999999999" customHeight="1" x14ac:dyDescent="0.55000000000000004">
      <c r="A87" s="58"/>
      <c r="B87" s="679" t="s">
        <v>23281</v>
      </c>
      <c r="C87" s="667"/>
      <c r="D87" s="667"/>
      <c r="E87" s="667"/>
      <c r="F87" s="667"/>
      <c r="G87" s="667"/>
      <c r="H87" s="667"/>
      <c r="I87" s="667" t="s">
        <v>23282</v>
      </c>
      <c r="J87" s="667"/>
      <c r="K87" s="667"/>
      <c r="L87" s="667"/>
      <c r="M87" s="667"/>
      <c r="N87" s="668"/>
      <c r="O87" s="702" t="s">
        <v>23279</v>
      </c>
      <c r="P87" s="655" t="str">
        <f>IF('Load Plan '!$C$2="","",'Load Plan '!$C$2)</f>
        <v/>
      </c>
      <c r="Q87" s="655"/>
      <c r="R87" s="656"/>
      <c r="S87" s="647" t="str">
        <f>IF('Load Plan '!$C$3="","",'Load Plan '!$C$3)</f>
        <v/>
      </c>
      <c r="T87" s="648"/>
      <c r="U87" s="58"/>
    </row>
    <row r="88" spans="1:21" ht="16.399999999999999" customHeight="1" x14ac:dyDescent="0.25">
      <c r="A88" s="58"/>
      <c r="B88" s="663" t="str">
        <f>IF('Load Plan '!$C$4="","",'Load Plan '!$C$4)</f>
        <v/>
      </c>
      <c r="C88" s="664"/>
      <c r="D88" s="664"/>
      <c r="E88" s="664"/>
      <c r="F88" s="664"/>
      <c r="G88" s="664"/>
      <c r="H88" s="664"/>
      <c r="I88" s="670"/>
      <c r="J88" s="671"/>
      <c r="K88" s="671"/>
      <c r="L88" s="671"/>
      <c r="M88" s="671"/>
      <c r="N88" s="672"/>
      <c r="O88" s="703"/>
      <c r="P88" s="657"/>
      <c r="Q88" s="657"/>
      <c r="R88" s="658"/>
      <c r="S88" s="649"/>
      <c r="T88" s="650"/>
      <c r="U88" s="58"/>
    </row>
    <row r="89" spans="1:21" ht="16.399999999999999" customHeight="1" x14ac:dyDescent="0.25">
      <c r="A89" s="58"/>
      <c r="B89" s="663"/>
      <c r="C89" s="664"/>
      <c r="D89" s="664"/>
      <c r="E89" s="664"/>
      <c r="F89" s="664"/>
      <c r="G89" s="664"/>
      <c r="H89" s="664"/>
      <c r="I89" s="673"/>
      <c r="J89" s="674"/>
      <c r="K89" s="674"/>
      <c r="L89" s="674"/>
      <c r="M89" s="674"/>
      <c r="N89" s="675"/>
      <c r="O89" s="641" t="s">
        <v>23280</v>
      </c>
      <c r="P89" s="307"/>
      <c r="Q89" s="307"/>
      <c r="R89" s="308"/>
      <c r="S89" s="659"/>
      <c r="T89" s="660"/>
      <c r="U89" s="58"/>
    </row>
    <row r="90" spans="1:21" ht="16.399999999999999" customHeight="1" thickBot="1" x14ac:dyDescent="0.3">
      <c r="A90" s="58"/>
      <c r="B90" s="665"/>
      <c r="C90" s="666"/>
      <c r="D90" s="666"/>
      <c r="E90" s="666"/>
      <c r="F90" s="666"/>
      <c r="G90" s="666"/>
      <c r="H90" s="666"/>
      <c r="I90" s="676"/>
      <c r="J90" s="677"/>
      <c r="K90" s="677"/>
      <c r="L90" s="677"/>
      <c r="M90" s="677"/>
      <c r="N90" s="678"/>
      <c r="O90" s="642"/>
      <c r="P90" s="309"/>
      <c r="Q90" s="309"/>
      <c r="R90" s="310"/>
      <c r="S90" s="661"/>
      <c r="T90" s="662"/>
      <c r="U90" s="58"/>
    </row>
    <row r="91" spans="1:21" ht="16.399999999999999" customHeight="1" x14ac:dyDescent="0.25">
      <c r="A91" s="58"/>
      <c r="B91" s="58"/>
      <c r="C91" s="58"/>
      <c r="D91" s="58"/>
      <c r="E91" s="58"/>
      <c r="F91" s="58"/>
      <c r="G91" s="58"/>
      <c r="H91" s="58"/>
      <c r="I91" s="58"/>
      <c r="J91" s="58"/>
      <c r="K91" s="58"/>
      <c r="L91" s="58"/>
      <c r="M91" s="58"/>
      <c r="N91" s="58"/>
      <c r="O91" s="58"/>
      <c r="P91" s="58"/>
      <c r="Q91" s="58"/>
      <c r="R91" s="58"/>
      <c r="S91" s="58"/>
      <c r="T91" s="58"/>
      <c r="U91" s="58"/>
    </row>
  </sheetData>
  <sheetProtection algorithmName="SHA-512" hashValue="Xf4eFG9NnRQNYQE5bby/zNjkLdG8Xu3Qum2Qk0dbozX898sYKaG+ddJcQoy6ZSYwYv2AnyKH8PLnygNqElTaCA==" saltValue="21gtjD5O74X30W7gYe/1bw==" spinCount="100000" sheet="1" objects="1" scenarios="1"/>
  <mergeCells count="238">
    <mergeCell ref="S53:T53"/>
    <mergeCell ref="S54:T54"/>
    <mergeCell ref="S55:T55"/>
    <mergeCell ref="S56:T56"/>
    <mergeCell ref="S57:T57"/>
    <mergeCell ref="F52:F57"/>
    <mergeCell ref="N52:O54"/>
    <mergeCell ref="F46:F51"/>
    <mergeCell ref="B44:E45"/>
    <mergeCell ref="S44:T44"/>
    <mergeCell ref="S45:T45"/>
    <mergeCell ref="S46:T46"/>
    <mergeCell ref="S47:T47"/>
    <mergeCell ref="S48:T48"/>
    <mergeCell ref="S49:T49"/>
    <mergeCell ref="S50:T50"/>
    <mergeCell ref="S51:T51"/>
    <mergeCell ref="S52:T52"/>
    <mergeCell ref="R84:T84"/>
    <mergeCell ref="J73:K75"/>
    <mergeCell ref="J67:K69"/>
    <mergeCell ref="L64:M66"/>
    <mergeCell ref="O64:O66"/>
    <mergeCell ref="J64:K66"/>
    <mergeCell ref="G64:H66"/>
    <mergeCell ref="N64:N66"/>
    <mergeCell ref="D64:E66"/>
    <mergeCell ref="O67:O69"/>
    <mergeCell ref="B76:E78"/>
    <mergeCell ref="B70:E75"/>
    <mergeCell ref="O82:Q82"/>
    <mergeCell ref="B64:C66"/>
    <mergeCell ref="B67:C69"/>
    <mergeCell ref="D67:E69"/>
    <mergeCell ref="I73:I75"/>
    <mergeCell ref="B79:C81"/>
    <mergeCell ref="N67:N69"/>
    <mergeCell ref="B82:N85"/>
    <mergeCell ref="B23:B24"/>
    <mergeCell ref="C39:D39"/>
    <mergeCell ref="E39:F39"/>
    <mergeCell ref="J23:K23"/>
    <mergeCell ref="L23:M23"/>
    <mergeCell ref="H31:I31"/>
    <mergeCell ref="I70:I72"/>
    <mergeCell ref="J70:K72"/>
    <mergeCell ref="G49:H51"/>
    <mergeCell ref="B42:E42"/>
    <mergeCell ref="F42:H42"/>
    <mergeCell ref="G45:H45"/>
    <mergeCell ref="G46:H48"/>
    <mergeCell ref="C38:F38"/>
    <mergeCell ref="C41:F41"/>
    <mergeCell ref="H41:K41"/>
    <mergeCell ref="I44:L45"/>
    <mergeCell ref="M46:M51"/>
    <mergeCell ref="G52:H54"/>
    <mergeCell ref="I46:L51"/>
    <mergeCell ref="B55:C57"/>
    <mergeCell ref="M52:M57"/>
    <mergeCell ref="G58:H60"/>
    <mergeCell ref="I42:M42"/>
    <mergeCell ref="O87:O88"/>
    <mergeCell ref="F70:F75"/>
    <mergeCell ref="G67:H69"/>
    <mergeCell ref="G76:H78"/>
    <mergeCell ref="F58:F63"/>
    <mergeCell ref="L70:M72"/>
    <mergeCell ref="L67:M69"/>
    <mergeCell ref="N61:N63"/>
    <mergeCell ref="G61:H63"/>
    <mergeCell ref="I61:I63"/>
    <mergeCell ref="I64:I66"/>
    <mergeCell ref="I67:I69"/>
    <mergeCell ref="O70:O72"/>
    <mergeCell ref="O84:Q84"/>
    <mergeCell ref="N70:N72"/>
    <mergeCell ref="O83:Q83"/>
    <mergeCell ref="G73:H75"/>
    <mergeCell ref="G70:H72"/>
    <mergeCell ref="F64:F69"/>
    <mergeCell ref="Q77:R78"/>
    <mergeCell ref="Q79:R80"/>
    <mergeCell ref="R83:T83"/>
    <mergeCell ref="I76:I81"/>
    <mergeCell ref="R82:T82"/>
    <mergeCell ref="O89:O90"/>
    <mergeCell ref="S85:T86"/>
    <mergeCell ref="S87:T88"/>
    <mergeCell ref="P85:R86"/>
    <mergeCell ref="P87:R88"/>
    <mergeCell ref="S89:T90"/>
    <mergeCell ref="B88:H90"/>
    <mergeCell ref="I87:N87"/>
    <mergeCell ref="L73:M75"/>
    <mergeCell ref="I88:N90"/>
    <mergeCell ref="B87:H87"/>
    <mergeCell ref="S77:S78"/>
    <mergeCell ref="S79:S80"/>
    <mergeCell ref="O73:O75"/>
    <mergeCell ref="T77:T78"/>
    <mergeCell ref="T79:T80"/>
    <mergeCell ref="G79:H81"/>
    <mergeCell ref="J76:K81"/>
    <mergeCell ref="O76:O81"/>
    <mergeCell ref="F76:F81"/>
    <mergeCell ref="N76:N81"/>
    <mergeCell ref="L76:M81"/>
    <mergeCell ref="S75:T75"/>
    <mergeCell ref="N73:N75"/>
    <mergeCell ref="S11:T11"/>
    <mergeCell ref="S12:T12"/>
    <mergeCell ref="P17:R17"/>
    <mergeCell ref="S16:T16"/>
    <mergeCell ref="S17:T17"/>
    <mergeCell ref="S18:T18"/>
    <mergeCell ref="S15:T15"/>
    <mergeCell ref="P18:R18"/>
    <mergeCell ref="P15:R15"/>
    <mergeCell ref="P12:R12"/>
    <mergeCell ref="P16:R16"/>
    <mergeCell ref="P13:R14"/>
    <mergeCell ref="S13:T14"/>
    <mergeCell ref="M15:O15"/>
    <mergeCell ref="M44:M45"/>
    <mergeCell ref="J31:K31"/>
    <mergeCell ref="S30:T30"/>
    <mergeCell ref="P2:T3"/>
    <mergeCell ref="D3:E3"/>
    <mergeCell ref="G3:I3"/>
    <mergeCell ref="Q6:Q7"/>
    <mergeCell ref="R6:R7"/>
    <mergeCell ref="B4:F4"/>
    <mergeCell ref="B5:F8"/>
    <mergeCell ref="N8:O8"/>
    <mergeCell ref="Q8:R8"/>
    <mergeCell ref="M3:O3"/>
    <mergeCell ref="G2:I2"/>
    <mergeCell ref="D2:E2"/>
    <mergeCell ref="S4:T4"/>
    <mergeCell ref="S5:T5"/>
    <mergeCell ref="S6:T6"/>
    <mergeCell ref="S7:T7"/>
    <mergeCell ref="M2:O2"/>
    <mergeCell ref="G8:L8"/>
    <mergeCell ref="S10:T10"/>
    <mergeCell ref="P4:P7"/>
    <mergeCell ref="Q4:R4"/>
    <mergeCell ref="Q5:R5"/>
    <mergeCell ref="M7:O7"/>
    <mergeCell ref="B9:F9"/>
    <mergeCell ref="L12:L14"/>
    <mergeCell ref="L10:L11"/>
    <mergeCell ref="G10:K11"/>
    <mergeCell ref="G9:L9"/>
    <mergeCell ref="M10:O10"/>
    <mergeCell ref="B16:C16"/>
    <mergeCell ref="L15:L16"/>
    <mergeCell ref="B12:C12"/>
    <mergeCell ref="E14:F14"/>
    <mergeCell ref="E13:F13"/>
    <mergeCell ref="E12:F12"/>
    <mergeCell ref="B13:C13"/>
    <mergeCell ref="B10:C10"/>
    <mergeCell ref="B11:C11"/>
    <mergeCell ref="B15:C15"/>
    <mergeCell ref="B14:C14"/>
    <mergeCell ref="E16:F16"/>
    <mergeCell ref="E11:F11"/>
    <mergeCell ref="E15:F15"/>
    <mergeCell ref="G12:K14"/>
    <mergeCell ref="E10:F10"/>
    <mergeCell ref="S22:T22"/>
    <mergeCell ref="P22:Q22"/>
    <mergeCell ref="G15:K16"/>
    <mergeCell ref="S9:T9"/>
    <mergeCell ref="M5:O5"/>
    <mergeCell ref="M4:O4"/>
    <mergeCell ref="P9:R9"/>
    <mergeCell ref="P10:R10"/>
    <mergeCell ref="M9:O9"/>
    <mergeCell ref="P11:R11"/>
    <mergeCell ref="M11:O11"/>
    <mergeCell ref="K20:L20"/>
    <mergeCell ref="G4:L5"/>
    <mergeCell ref="G6:K7"/>
    <mergeCell ref="M12:O12"/>
    <mergeCell ref="G17:K18"/>
    <mergeCell ref="M16:O16"/>
    <mergeCell ref="M17:O17"/>
    <mergeCell ref="M20:N20"/>
    <mergeCell ref="O20:P20"/>
    <mergeCell ref="M13:O14"/>
    <mergeCell ref="L17:L18"/>
    <mergeCell ref="M6:O6"/>
    <mergeCell ref="L6:L7"/>
    <mergeCell ref="Q41:Q42"/>
    <mergeCell ref="R41:R42"/>
    <mergeCell ref="G44:H44"/>
    <mergeCell ref="I52:L57"/>
    <mergeCell ref="O61:O63"/>
    <mergeCell ref="N55:O57"/>
    <mergeCell ref="B58:E63"/>
    <mergeCell ref="B46:E51"/>
    <mergeCell ref="E17:F17"/>
    <mergeCell ref="J38:K38"/>
    <mergeCell ref="L37:M37"/>
    <mergeCell ref="H37:I37"/>
    <mergeCell ref="N38:O38"/>
    <mergeCell ref="J37:K37"/>
    <mergeCell ref="E23:F23"/>
    <mergeCell ref="B18:C19"/>
    <mergeCell ref="E18:F19"/>
    <mergeCell ref="E20:F20"/>
    <mergeCell ref="B20:C20"/>
    <mergeCell ref="B17:C17"/>
    <mergeCell ref="M18:O18"/>
    <mergeCell ref="B22:F22"/>
    <mergeCell ref="G22:K22"/>
    <mergeCell ref="H38:I38"/>
    <mergeCell ref="H39:I39"/>
    <mergeCell ref="J39:K39"/>
    <mergeCell ref="H40:I40"/>
    <mergeCell ref="J40:K40"/>
    <mergeCell ref="B38:B40"/>
    <mergeCell ref="L61:M63"/>
    <mergeCell ref="J61:K63"/>
    <mergeCell ref="I58:O60"/>
    <mergeCell ref="N46:O48"/>
    <mergeCell ref="G55:H57"/>
    <mergeCell ref="N49:O51"/>
    <mergeCell ref="F44:F45"/>
    <mergeCell ref="C40:D40"/>
    <mergeCell ref="E40:F40"/>
    <mergeCell ref="N44:O44"/>
    <mergeCell ref="N45:O45"/>
    <mergeCell ref="N42:O42"/>
    <mergeCell ref="B52:E54"/>
  </mergeCells>
  <phoneticPr fontId="4" type="noConversion"/>
  <conditionalFormatting sqref="G64:H66">
    <cfRule type="cellIs" dxfId="55" priority="20" operator="greaterThan">
      <formula>$Q$5</formula>
    </cfRule>
  </conditionalFormatting>
  <conditionalFormatting sqref="G76">
    <cfRule type="cellIs" dxfId="54" priority="46" operator="greaterThan">
      <formula>$S$5</formula>
    </cfRule>
  </conditionalFormatting>
  <conditionalFormatting sqref="G52:H54">
    <cfRule type="cellIs" dxfId="53" priority="5" operator="equal">
      <formula>0</formula>
    </cfRule>
    <cfRule type="cellIs" dxfId="52" priority="45" operator="greaterThan">
      <formula>$M$5</formula>
    </cfRule>
  </conditionalFormatting>
  <conditionalFormatting sqref="P17">
    <cfRule type="containsBlanks" dxfId="51" priority="11">
      <formula>LEN(TRIM(P17))=0</formula>
    </cfRule>
    <cfRule type="containsText" dxfId="50" priority="12" operator="containsText" text="Load Aircraft">
      <formula>NOT(ISERROR(SEARCH("Load Aircraft",P17)))</formula>
    </cfRule>
    <cfRule type="cellIs" dxfId="49" priority="13" operator="lessThan">
      <formula>0</formula>
    </cfRule>
    <cfRule type="cellIs" dxfId="48" priority="30" operator="greaterThan">
      <formula>0</formula>
    </cfRule>
  </conditionalFormatting>
  <conditionalFormatting sqref="S17">
    <cfRule type="containsBlanks" dxfId="47" priority="7">
      <formula>LEN(TRIM(S17))=0</formula>
    </cfRule>
    <cfRule type="containsText" dxfId="46" priority="9" operator="containsText" text="Load Aircraft">
      <formula>NOT(ISERROR(SEARCH("Load Aircraft",S17)))</formula>
    </cfRule>
    <cfRule type="cellIs" dxfId="45" priority="10" operator="lessThan">
      <formula>0</formula>
    </cfRule>
    <cfRule type="cellIs" dxfId="44" priority="36" operator="greaterThan">
      <formula>0</formula>
    </cfRule>
  </conditionalFormatting>
  <conditionalFormatting sqref="M17">
    <cfRule type="containsBlanks" dxfId="43" priority="16">
      <formula>LEN(TRIM(M17))=0</formula>
    </cfRule>
    <cfRule type="containsText" dxfId="42" priority="17" operator="containsText" text="Load Aircraft">
      <formula>NOT(ISERROR(SEARCH("Load Aircraft",M17)))</formula>
    </cfRule>
    <cfRule type="cellIs" dxfId="41" priority="24" operator="lessThan">
      <formula>0</formula>
    </cfRule>
    <cfRule type="cellIs" dxfId="40" priority="25" operator="greaterThan">
      <formula>0</formula>
    </cfRule>
  </conditionalFormatting>
  <conditionalFormatting sqref="D25:D37">
    <cfRule type="containsText" dxfId="39" priority="6" operator="containsText" text="Error">
      <formula>NOT(ISERROR(SEARCH("Error",D25)))</formula>
    </cfRule>
  </conditionalFormatting>
  <conditionalFormatting sqref="F25:F37">
    <cfRule type="containsText" dxfId="38" priority="4" operator="containsText" text="Error">
      <formula>NOT(ISERROR(SEARCH("Error",F25)))</formula>
    </cfRule>
  </conditionalFormatting>
  <conditionalFormatting sqref="C41:F41 H41">
    <cfRule type="colorScale" priority="2">
      <colorScale>
        <cfvo type="num" val="0"/>
        <cfvo type="num" val="1000"/>
        <cfvo type="num" val="1500"/>
        <color rgb="FF63BE7B"/>
        <color rgb="FFFFEB84"/>
        <color rgb="FFF8696B"/>
      </colorScale>
    </cfRule>
  </conditionalFormatting>
  <dataValidations disablePrompts="1" count="1">
    <dataValidation type="decimal" operator="equal" allowBlank="1" showInputMessage="1" showErrorMessage="1" errorTitle="Alert!" error="Dry Operating weight is 71990 Lbs." sqref="E10:F10" xr:uid="{2BBD9421-7BA6-4C95-B557-CD55981D57E0}">
      <formula1>75832.6530612245</formula1>
    </dataValidation>
  </dataValidations>
  <printOptions horizontalCentered="1" verticalCentered="1"/>
  <pageMargins left="0.23622047244094491" right="0.23622047244094491" top="0.74803149606299213" bottom="0.74803149606299213" header="0.31496062992125984" footer="0.31496062992125984"/>
  <pageSetup paperSize="9" scale="49" orientation="portrait" r:id="rId1"/>
  <headerFooter>
    <oddHeader>&amp;L&amp;"-,Bold"&amp;24B767-200&amp;C&amp;"-,Bold"&amp;24LOAD SHEET</oddHeader>
    <oddFooter xml:space="preserve">&amp;L&amp;"-,Bold"&amp;18SIGN   ................................&amp;R&amp;"-,Bold"&amp;18DATE   ........................................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A561E-EF37-43D1-9DF2-413FAAD12DD4}">
  <sheetPr codeName="Sheet2">
    <pageSetUpPr fitToPage="1"/>
  </sheetPr>
  <dimension ref="A1:XFC88"/>
  <sheetViews>
    <sheetView showGridLines="0" tabSelected="1" zoomScaleNormal="100" workbookViewId="0">
      <selection activeCell="K13" sqref="K13"/>
    </sheetView>
  </sheetViews>
  <sheetFormatPr defaultColWidth="0" defaultRowHeight="14.5" zeroHeight="1" x14ac:dyDescent="0.35"/>
  <cols>
    <col min="1" max="1" width="2.81640625" style="21" customWidth="1"/>
    <col min="2" max="2" width="7.81640625" style="21" customWidth="1"/>
    <col min="3" max="3" width="13" style="21" customWidth="1"/>
    <col min="4" max="4" width="9.54296875" style="21" bestFit="1" customWidth="1"/>
    <col min="5" max="5" width="5.1796875" style="21" bestFit="1" customWidth="1"/>
    <col min="6" max="6" width="9.1796875" style="21" bestFit="1" customWidth="1"/>
    <col min="7" max="7" width="8" style="21" bestFit="1" customWidth="1"/>
    <col min="8" max="8" width="9" style="21" bestFit="1" customWidth="1"/>
    <col min="9" max="9" width="10.36328125" style="21" bestFit="1" customWidth="1"/>
    <col min="10" max="10" width="14.6328125" style="21" bestFit="1" customWidth="1"/>
    <col min="11" max="11" width="12.6328125" style="21" bestFit="1" customWidth="1"/>
    <col min="12" max="12" width="10.6328125" style="21" bestFit="1" customWidth="1"/>
    <col min="13" max="13" width="9.26953125" style="21" bestFit="1" customWidth="1"/>
    <col min="14" max="14" width="8.90625" style="21" customWidth="1"/>
    <col min="15" max="15" width="9.08984375" style="21" customWidth="1"/>
    <col min="16" max="16" width="2.81640625" style="21" customWidth="1"/>
    <col min="17" max="21" width="0" style="21" hidden="1"/>
    <col min="22" max="16383" width="8.90625" style="21" hidden="1"/>
    <col min="16384" max="16384" width="51.1796875" style="21" hidden="1" customWidth="1"/>
  </cols>
  <sheetData>
    <row r="1" spans="2:17" ht="15" thickBot="1" x14ac:dyDescent="0.4">
      <c r="B1" s="20"/>
      <c r="C1" s="20"/>
      <c r="D1" s="20"/>
      <c r="E1" s="20"/>
      <c r="F1" s="20"/>
      <c r="G1" s="20"/>
      <c r="H1" s="20"/>
      <c r="I1" s="20"/>
      <c r="J1" s="20"/>
      <c r="K1" s="20"/>
      <c r="L1" s="20"/>
      <c r="M1" s="20"/>
      <c r="N1" s="20"/>
      <c r="O1" s="20"/>
    </row>
    <row r="2" spans="2:17" x14ac:dyDescent="0.35">
      <c r="B2" s="116" t="s">
        <v>2</v>
      </c>
      <c r="C2" s="117" t="s">
        <v>3</v>
      </c>
      <c r="D2" s="117" t="s">
        <v>0</v>
      </c>
      <c r="E2" s="117" t="s">
        <v>1</v>
      </c>
      <c r="F2" s="118" t="s">
        <v>6</v>
      </c>
      <c r="G2" s="119"/>
      <c r="H2" s="119"/>
      <c r="I2" s="119"/>
      <c r="J2" s="119"/>
      <c r="K2" s="119"/>
      <c r="L2" s="119"/>
      <c r="M2" s="756" t="s">
        <v>23426</v>
      </c>
      <c r="N2" s="757"/>
      <c r="O2" s="758"/>
    </row>
    <row r="3" spans="2:17" ht="15" thickBot="1" x14ac:dyDescent="0.4">
      <c r="B3" s="120" t="str">
        <f>IF('Load Sheet'!$D$3="","",'Load Sheet'!$D$3)</f>
        <v/>
      </c>
      <c r="C3" s="121" t="str">
        <f>IF('Load Sheet'!$F$3="","",'Load Sheet'!$F$3)</f>
        <v>B767-200</v>
      </c>
      <c r="D3" s="122" t="str">
        <f>IF('Load Sheet'!$B$3="","",'Load Sheet'!$B$3)</f>
        <v>AMD</v>
      </c>
      <c r="E3" s="122" t="str">
        <f>IF('Load Sheet'!$C$3="","",'Load Sheet'!$C$3)</f>
        <v>AMM</v>
      </c>
      <c r="F3" s="123">
        <f>IF('Load Sheet'!$M$3="","",'Load Sheet'!$M$3)</f>
        <v>45880</v>
      </c>
      <c r="G3" s="124"/>
      <c r="H3" s="124"/>
      <c r="I3" s="124"/>
      <c r="J3" s="124"/>
      <c r="K3" s="124"/>
      <c r="L3" s="124"/>
      <c r="M3" s="759"/>
      <c r="N3" s="760"/>
      <c r="O3" s="761"/>
    </row>
    <row r="4" spans="2:17" ht="15" thickBot="1" x14ac:dyDescent="0.4">
      <c r="B4" s="125"/>
      <c r="C4" s="126"/>
      <c r="D4" s="127" t="s">
        <v>23251</v>
      </c>
      <c r="E4" s="128" t="s">
        <v>28</v>
      </c>
      <c r="F4" s="128" t="s">
        <v>21</v>
      </c>
      <c r="G4" s="129"/>
      <c r="H4" s="129"/>
      <c r="I4" s="770" t="s">
        <v>23306</v>
      </c>
      <c r="J4" s="771"/>
      <c r="K4" s="770" t="s">
        <v>23307</v>
      </c>
      <c r="L4" s="771"/>
      <c r="M4" s="149" t="s">
        <v>47</v>
      </c>
      <c r="N4" s="151" t="s">
        <v>51</v>
      </c>
      <c r="O4" s="131"/>
    </row>
    <row r="5" spans="2:17" ht="11.5" customHeight="1" x14ac:dyDescent="0.35">
      <c r="B5" s="768" t="s">
        <v>23125</v>
      </c>
      <c r="C5" s="769"/>
      <c r="D5" s="132">
        <f>'Load Sheet'!$E$10</f>
        <v>75832.653061224497</v>
      </c>
      <c r="E5" s="133"/>
      <c r="F5" s="134">
        <f>((D5*(-20.1857))/68000)+70</f>
        <v>47.489188457382951</v>
      </c>
      <c r="G5" s="129"/>
      <c r="H5" s="152" t="s">
        <v>48</v>
      </c>
      <c r="I5" s="772">
        <v>120657</v>
      </c>
      <c r="J5" s="773"/>
      <c r="K5" s="778">
        <f>IFERROR(IF('Load Sheet'!$G$52&gt;$I$5,"Weight Exceeded",'Load Sheet'!$G$52),0)</f>
        <v>113716.6530612245</v>
      </c>
      <c r="L5" s="779"/>
      <c r="M5" s="153">
        <f>IFERROR(SUM(ROUND($F$12,1),ROUND($I$14,0)),0)</f>
        <v>66.599999999999994</v>
      </c>
      <c r="N5" s="305">
        <f>Chart!$Y$9</f>
        <v>24.154474314605068</v>
      </c>
      <c r="O5" s="131"/>
    </row>
    <row r="6" spans="2:17" x14ac:dyDescent="0.35">
      <c r="B6" s="762" t="s">
        <v>57</v>
      </c>
      <c r="C6" s="763"/>
      <c r="D6" s="135">
        <f>Crew</f>
        <v>168</v>
      </c>
      <c r="E6" s="136">
        <f>IFERROR((((D6)*(-791.6))/68000),0)</f>
        <v>-1.9557176470588238</v>
      </c>
      <c r="F6" s="137"/>
      <c r="G6" s="129"/>
      <c r="H6" s="154" t="s">
        <v>49</v>
      </c>
      <c r="I6" s="774">
        <v>159210</v>
      </c>
      <c r="J6" s="775"/>
      <c r="K6" s="780">
        <f>IFERROR(IF('Load Sheet'!$G$64&gt;$I$6,"Weight Exceeded",'Load Sheet'!$G$64),0)</f>
        <v>140216.6530612245</v>
      </c>
      <c r="L6" s="781"/>
      <c r="M6" s="155">
        <f>IFERROR(SUM(ROUND($F$12,1),ROUND($I$14,0),ROUND($O$10,2)),0)</f>
        <v>64.3</v>
      </c>
      <c r="N6" s="305">
        <f>Chart!$Y$10</f>
        <v>23.846613211054748</v>
      </c>
      <c r="O6" s="138"/>
    </row>
    <row r="7" spans="2:17" ht="15" thickBot="1" x14ac:dyDescent="0.4">
      <c r="B7" s="764" t="s">
        <v>56</v>
      </c>
      <c r="C7" s="765"/>
      <c r="D7" s="139">
        <f>'Load Sheet'!E15</f>
        <v>168</v>
      </c>
      <c r="E7" s="136">
        <f>IFERROR((((D7)*(-668.6))/68000),0)</f>
        <v>-1.6518352941176471</v>
      </c>
      <c r="F7" s="140"/>
      <c r="G7" s="129"/>
      <c r="H7" s="156" t="s">
        <v>11397</v>
      </c>
      <c r="I7" s="776">
        <v>128367</v>
      </c>
      <c r="J7" s="777"/>
      <c r="K7" s="782">
        <f>IFERROR(IF('Load Sheet'!$G$76&gt;$I$7,"Weight Exeeded",'Load Sheet'!$G$76),0)</f>
        <v>120216.6530612245</v>
      </c>
      <c r="L7" s="783"/>
      <c r="M7" s="157">
        <f>ROUND(M5,1)+ROUND(O11,2)</f>
        <v>62.499999999999993</v>
      </c>
      <c r="N7" s="306">
        <f>Chart!$Y$11</f>
        <v>23.224277600348184</v>
      </c>
      <c r="O7" s="138"/>
    </row>
    <row r="8" spans="2:17" ht="15" thickBot="1" x14ac:dyDescent="0.4">
      <c r="B8" s="766" t="s">
        <v>23141</v>
      </c>
      <c r="C8" s="767"/>
      <c r="D8" s="141">
        <f>SNY</f>
        <v>0</v>
      </c>
      <c r="E8" s="136">
        <f>IFERROR((((D8)*(-752.6))/68000),0)</f>
        <v>0</v>
      </c>
      <c r="F8" s="140"/>
      <c r="G8" s="129"/>
      <c r="H8" s="130"/>
      <c r="I8" s="129"/>
      <c r="J8" s="129"/>
      <c r="K8" s="215"/>
      <c r="L8" s="130"/>
      <c r="M8" s="130"/>
      <c r="N8" s="129"/>
      <c r="O8" s="138"/>
    </row>
    <row r="9" spans="2:17" ht="15" thickBot="1" x14ac:dyDescent="0.4">
      <c r="B9" s="799" t="s">
        <v>23126</v>
      </c>
      <c r="C9" s="800"/>
      <c r="D9" s="139">
        <f>lav_fluid</f>
        <v>30</v>
      </c>
      <c r="E9" s="136">
        <f>IFERROR((((D9)*(-947.1))/68000),0)</f>
        <v>-0.41783823529411762</v>
      </c>
      <c r="F9" s="140"/>
      <c r="G9" s="129"/>
      <c r="H9" s="565" t="s">
        <v>23116</v>
      </c>
      <c r="I9" s="566"/>
      <c r="J9" s="567"/>
      <c r="K9" s="67"/>
      <c r="L9" s="130"/>
      <c r="M9" s="201" t="s">
        <v>23250</v>
      </c>
      <c r="N9" s="202" t="s">
        <v>52</v>
      </c>
      <c r="O9" s="203" t="s">
        <v>47</v>
      </c>
    </row>
    <row r="10" spans="2:17" ht="16.5" x14ac:dyDescent="0.35">
      <c r="B10" s="142" t="s">
        <v>23338</v>
      </c>
      <c r="C10" s="143"/>
      <c r="D10" s="139">
        <f>Crew_bagg</f>
        <v>30</v>
      </c>
      <c r="E10" s="136">
        <f>IFERROR((((D10)*(-752.6))/68000),0)</f>
        <v>-0.33202941176470591</v>
      </c>
      <c r="F10" s="140"/>
      <c r="G10" s="129"/>
      <c r="H10" s="158" t="s">
        <v>44</v>
      </c>
      <c r="I10" s="159">
        <v>1</v>
      </c>
      <c r="J10" s="160" t="s">
        <v>23288</v>
      </c>
      <c r="K10" s="67"/>
      <c r="L10" s="129"/>
      <c r="M10" s="150" t="s">
        <v>59</v>
      </c>
      <c r="N10" s="161">
        <f>IFERROR('Load Plan '!K8,0)</f>
        <v>26500</v>
      </c>
      <c r="O10" s="162" cm="1">
        <f t="array" ref="O10">SUM(ROUND('Load Sheet'!$T$77:$T$78,2))</f>
        <v>-2.2999999999999998</v>
      </c>
    </row>
    <row r="11" spans="2:17" ht="17" thickBot="1" x14ac:dyDescent="0.4">
      <c r="B11" s="799" t="s">
        <v>23127</v>
      </c>
      <c r="C11" s="800"/>
      <c r="D11" s="139">
        <f>G1_Cons</f>
        <v>50</v>
      </c>
      <c r="E11" s="136">
        <f>IFERROR((((D11)*(-714.6))/68000),0)</f>
        <v>-0.52544117647058819</v>
      </c>
      <c r="F11" s="140"/>
      <c r="G11" s="129"/>
      <c r="H11" s="163" t="s">
        <v>45</v>
      </c>
      <c r="I11" s="296">
        <f>$N$6</f>
        <v>23.846613211054748</v>
      </c>
      <c r="J11" s="297">
        <f>$N$6</f>
        <v>23.846613211054748</v>
      </c>
      <c r="K11" s="67"/>
      <c r="L11" s="129"/>
      <c r="M11" s="164" t="s">
        <v>23106</v>
      </c>
      <c r="N11" s="165">
        <f>IFERROR(N10-'Load Sheet'!S6,0)</f>
        <v>6500</v>
      </c>
      <c r="O11" s="166" cm="1">
        <f t="array" ref="O11">SUM(ROUND('Load Sheet'!$T$79:$T$80,2))</f>
        <v>-4.0999999999999996</v>
      </c>
    </row>
    <row r="12" spans="2:17" ht="17" thickBot="1" x14ac:dyDescent="0.4">
      <c r="B12" s="801" t="s">
        <v>23124</v>
      </c>
      <c r="C12" s="802"/>
      <c r="D12" s="802"/>
      <c r="E12" s="144"/>
      <c r="F12" s="145" cm="1">
        <f t="array" ref="F12">IFERROR(SUM(ROUND($F$5,1),ROUND($E$6:$E$11,1)),0)</f>
        <v>42.6</v>
      </c>
      <c r="G12" s="129"/>
      <c r="H12" s="168" t="s">
        <v>46</v>
      </c>
      <c r="I12" s="169">
        <f>IFERROR(INDEX('Stab Refrence table'!C6:CO146, MATCH(ROUND($I$11,0),'Stab Refrence table'!$B$6:$B$146, 0), MATCH(MROUND('Trim Sheet'!$K$6/ 1000, 1),'Stab Refrence table'!$C$5:$CO$5, 0) ), "" )</f>
        <v>4.0211456078160603</v>
      </c>
      <c r="J12" s="170">
        <f>IFERROR(INDEX('Stab Refrence table'!$CQ$6:$GC$146, MATCH(ROUND($J$11,0),'Stab Refrence table'!$B$6:$B$146, 0), MATCH(MROUND('Trim Sheet'!$K$6/ 1000, 1),'Stab Refrence table'!$CQ$5:$GC$5, 0) ), "" )</f>
        <v>4.6143805031274496</v>
      </c>
      <c r="K12" s="67"/>
      <c r="L12" s="129"/>
      <c r="M12" s="129"/>
      <c r="N12" s="129"/>
      <c r="O12" s="138"/>
    </row>
    <row r="13" spans="2:17" ht="15" thickBot="1" x14ac:dyDescent="0.4">
      <c r="B13" s="408"/>
      <c r="C13" s="409"/>
      <c r="D13" s="409"/>
      <c r="E13" s="409"/>
      <c r="F13" s="409"/>
      <c r="G13" s="129"/>
      <c r="H13" s="129"/>
      <c r="I13" s="129"/>
      <c r="J13" s="129"/>
      <c r="K13" s="215"/>
      <c r="L13" s="129"/>
      <c r="M13" s="129"/>
      <c r="N13" s="129"/>
      <c r="O13" s="138"/>
    </row>
    <row r="14" spans="2:17" ht="21.5" thickBot="1" x14ac:dyDescent="0.4">
      <c r="B14" s="146"/>
      <c r="C14"/>
      <c r="D14"/>
      <c r="E14" s="129"/>
      <c r="F14" s="147"/>
      <c r="G14" s="209"/>
      <c r="H14" s="188" t="s">
        <v>23302</v>
      </c>
      <c r="I14" s="189">
        <f>IFERROR(SUM(Indeces!$F$84),0)</f>
        <v>24.271872352941188</v>
      </c>
      <c r="J14" s="209"/>
      <c r="K14" s="209"/>
      <c r="L14" s="129"/>
      <c r="M14" s="129"/>
      <c r="N14" s="129"/>
      <c r="O14" s="138"/>
    </row>
    <row r="15" spans="2:17" x14ac:dyDescent="0.35">
      <c r="B15" s="146"/>
      <c r="C15"/>
      <c r="D15"/>
      <c r="E15" s="129"/>
      <c r="F15" s="129"/>
      <c r="G15" s="209"/>
      <c r="H15" s="212" t="s">
        <v>48</v>
      </c>
      <c r="I15" s="213">
        <f>IFERROR(LARGE('Load Sheet'!G52:H57,1),"")</f>
        <v>113716.6530612245</v>
      </c>
      <c r="J15" s="209"/>
      <c r="K15" s="217"/>
      <c r="L15" s="129"/>
      <c r="M15" s="129"/>
      <c r="N15" s="129"/>
      <c r="O15" s="138"/>
    </row>
    <row r="16" spans="2:17" x14ac:dyDescent="0.35">
      <c r="B16" s="146"/>
      <c r="C16"/>
      <c r="D16"/>
      <c r="E16" s="129"/>
      <c r="F16" s="129"/>
      <c r="G16" s="209"/>
      <c r="H16" s="210" t="s">
        <v>49</v>
      </c>
      <c r="I16" s="213">
        <f>IFERROR(LARGE('Load Sheet'!G64:H69,1),"")</f>
        <v>140216.6530612245</v>
      </c>
      <c r="J16" s="209"/>
      <c r="K16" s="217"/>
      <c r="L16" s="129"/>
      <c r="M16" s="129"/>
      <c r="N16" s="129"/>
      <c r="O16" s="138"/>
      <c r="Q16" s="35"/>
    </row>
    <row r="17" spans="2:21" x14ac:dyDescent="0.35">
      <c r="B17" s="214"/>
      <c r="C17" s="67"/>
      <c r="D17" s="67"/>
      <c r="E17" s="215"/>
      <c r="F17" s="215"/>
      <c r="G17" s="209"/>
      <c r="H17" s="211" t="s">
        <v>11397</v>
      </c>
      <c r="I17" s="213">
        <f>IFERROR(LARGE('Load Sheet'!G76:H81,1),"")</f>
        <v>120216.6530612245</v>
      </c>
      <c r="J17" s="209"/>
      <c r="K17" s="217"/>
      <c r="L17" s="215"/>
      <c r="M17" s="215"/>
      <c r="N17" s="215"/>
      <c r="O17" s="216"/>
    </row>
    <row r="18" spans="2:21" x14ac:dyDescent="0.35">
      <c r="B18" s="214"/>
      <c r="C18" s="67"/>
      <c r="D18" s="67"/>
      <c r="E18" s="215"/>
      <c r="F18" s="215"/>
      <c r="G18" s="209"/>
      <c r="H18" s="798"/>
      <c r="I18" s="798"/>
      <c r="J18" s="209"/>
      <c r="K18" s="217"/>
      <c r="L18" s="215"/>
      <c r="M18" s="215"/>
      <c r="N18" s="215"/>
      <c r="O18" s="216"/>
    </row>
    <row r="19" spans="2:21" x14ac:dyDescent="0.35">
      <c r="B19" s="214"/>
      <c r="C19" s="67"/>
      <c r="D19" s="67"/>
      <c r="E19" s="215"/>
      <c r="F19" s="215"/>
      <c r="G19" s="209"/>
      <c r="H19" s="209"/>
      <c r="I19" s="209"/>
      <c r="J19" s="209"/>
      <c r="K19" s="209"/>
      <c r="L19" s="215"/>
      <c r="M19" s="215"/>
      <c r="N19" s="215"/>
      <c r="O19" s="216"/>
    </row>
    <row r="20" spans="2:21" x14ac:dyDescent="0.35">
      <c r="B20" s="214"/>
      <c r="C20" s="67"/>
      <c r="D20" s="67"/>
      <c r="E20" s="215"/>
      <c r="F20" s="215"/>
      <c r="G20" s="67"/>
      <c r="H20" s="67"/>
      <c r="I20" s="67"/>
      <c r="J20" s="67"/>
      <c r="K20" s="67"/>
      <c r="L20" s="67"/>
      <c r="M20" s="67"/>
      <c r="N20" s="215"/>
      <c r="O20" s="216"/>
    </row>
    <row r="21" spans="2:21" x14ac:dyDescent="0.35">
      <c r="B21" s="214"/>
      <c r="C21" s="67"/>
      <c r="D21" s="67"/>
      <c r="E21" s="215"/>
      <c r="F21" s="215"/>
      <c r="G21" s="67"/>
      <c r="H21" s="67"/>
      <c r="I21" s="67"/>
      <c r="J21" s="67"/>
      <c r="K21" s="67"/>
      <c r="L21" s="67"/>
      <c r="M21" s="67"/>
      <c r="N21" s="215"/>
      <c r="O21" s="216"/>
      <c r="U21" s="22"/>
    </row>
    <row r="22" spans="2:21" x14ac:dyDescent="0.35">
      <c r="B22" s="214"/>
      <c r="C22" s="67"/>
      <c r="D22" s="67"/>
      <c r="E22" s="215"/>
      <c r="F22" s="215"/>
      <c r="G22" s="67"/>
      <c r="H22" s="67"/>
      <c r="I22" s="67"/>
      <c r="J22" s="67"/>
      <c r="K22" s="67"/>
      <c r="L22" s="67"/>
      <c r="M22" s="67"/>
      <c r="N22" s="215"/>
      <c r="O22" s="216"/>
    </row>
    <row r="23" spans="2:21" x14ac:dyDescent="0.35">
      <c r="B23" s="214"/>
      <c r="C23" s="67"/>
      <c r="D23" s="67"/>
      <c r="E23" s="215"/>
      <c r="F23" s="215"/>
      <c r="G23" s="67"/>
      <c r="H23" s="67"/>
      <c r="I23" s="67"/>
      <c r="J23" s="67"/>
      <c r="K23" s="67"/>
      <c r="L23" s="67"/>
      <c r="M23" s="67"/>
      <c r="N23" s="215"/>
      <c r="O23" s="216"/>
    </row>
    <row r="24" spans="2:21" x14ac:dyDescent="0.35">
      <c r="B24" s="214"/>
      <c r="C24" s="67"/>
      <c r="D24" s="67"/>
      <c r="E24" s="215"/>
      <c r="F24" s="215"/>
      <c r="G24" s="215"/>
      <c r="H24" s="215"/>
      <c r="I24" s="215"/>
      <c r="J24" s="215"/>
      <c r="K24" s="215"/>
      <c r="L24" s="215"/>
      <c r="M24" s="215"/>
      <c r="N24" s="215"/>
      <c r="O24" s="216"/>
    </row>
    <row r="25" spans="2:21" x14ac:dyDescent="0.35">
      <c r="B25" s="214"/>
      <c r="C25" s="67"/>
      <c r="D25" s="67"/>
      <c r="E25" s="215"/>
      <c r="F25" s="215"/>
      <c r="G25" s="67"/>
      <c r="H25" s="67"/>
      <c r="I25" s="67"/>
      <c r="J25" s="215"/>
      <c r="K25" s="67"/>
      <c r="L25" s="67"/>
      <c r="M25" s="67"/>
      <c r="N25" s="215"/>
      <c r="O25" s="216"/>
    </row>
    <row r="26" spans="2:21" x14ac:dyDescent="0.35">
      <c r="B26" s="214"/>
      <c r="C26" s="67"/>
      <c r="D26" s="67"/>
      <c r="E26" s="215"/>
      <c r="F26" s="215"/>
      <c r="G26" s="67"/>
      <c r="H26" s="67"/>
      <c r="I26" s="67"/>
      <c r="J26" s="215"/>
      <c r="K26" s="67"/>
      <c r="L26" s="67"/>
      <c r="M26" s="67"/>
      <c r="N26" s="215"/>
      <c r="O26" s="216"/>
    </row>
    <row r="27" spans="2:21" x14ac:dyDescent="0.35">
      <c r="B27" s="214"/>
      <c r="C27" s="67"/>
      <c r="D27" s="67"/>
      <c r="E27" s="215"/>
      <c r="F27" s="215"/>
      <c r="G27" s="67"/>
      <c r="H27" s="67"/>
      <c r="I27" s="67"/>
      <c r="J27" s="215"/>
      <c r="K27" s="67"/>
      <c r="L27" s="67"/>
      <c r="M27" s="67"/>
      <c r="N27" s="217"/>
      <c r="O27" s="218"/>
    </row>
    <row r="28" spans="2:21" ht="16.5" x14ac:dyDescent="0.35">
      <c r="B28" s="214"/>
      <c r="C28" s="67"/>
      <c r="D28" s="67"/>
      <c r="E28" s="215"/>
      <c r="F28" s="219"/>
      <c r="G28" s="67"/>
      <c r="H28" s="67"/>
      <c r="I28" s="67"/>
      <c r="J28" s="215"/>
      <c r="K28" s="220"/>
      <c r="L28" s="221"/>
      <c r="M28" s="217"/>
      <c r="N28" s="217"/>
      <c r="O28" s="218"/>
    </row>
    <row r="29" spans="2:21" x14ac:dyDescent="0.35">
      <c r="B29" s="214"/>
      <c r="C29" s="67"/>
      <c r="D29" s="67"/>
      <c r="E29" s="215"/>
      <c r="F29" s="219"/>
      <c r="G29" s="215"/>
      <c r="H29" s="209" t="str">
        <f>IFERROR( INDEX( 'Stab Refrence table'!#REF!, MATCH(ROUND($I$11, 2), 'Stab Refrence table'!#REF!, 0), MATCH(MROUND($I$16 / 1000, 1), 'Stab Refrence table'!$C$5:$CE$5, 0) ), "" )</f>
        <v/>
      </c>
      <c r="I29" s="210" t="str">
        <f>IFERROR(
    INDEX(
        'Stab Refrence table'!#REF!,
        MATCH(ROUND($J$11, 2), 'Stab Refrence table'!#REF!, 0),
        MATCH(MROUND($I$16 / 1000, 1), 'Stab Refrence table'!$CF$5:$FI$5, 0)
    ),
    ""
)</f>
        <v/>
      </c>
      <c r="J29" s="215"/>
      <c r="K29" s="217"/>
      <c r="L29" s="217"/>
      <c r="M29" s="217"/>
      <c r="N29" s="217"/>
      <c r="O29" s="218"/>
      <c r="T29" s="22"/>
    </row>
    <row r="30" spans="2:21" x14ac:dyDescent="0.35">
      <c r="B30" s="146"/>
      <c r="C30"/>
      <c r="D30"/>
      <c r="E30" s="171"/>
      <c r="F30" s="129"/>
      <c r="G30" s="130"/>
      <c r="H30" s="130"/>
      <c r="I30" s="130"/>
      <c r="J30" s="130"/>
      <c r="K30" s="130"/>
      <c r="L30" s="130"/>
      <c r="M30" s="130"/>
      <c r="N30" s="130"/>
      <c r="O30" s="167"/>
    </row>
    <row r="31" spans="2:21" x14ac:dyDescent="0.35">
      <c r="B31" s="146"/>
      <c r="C31"/>
      <c r="D31"/>
      <c r="E31" s="130"/>
      <c r="F31" s="129"/>
      <c r="G31" s="130"/>
      <c r="H31" s="130"/>
      <c r="I31" s="130"/>
      <c r="J31" s="130"/>
      <c r="K31" s="130"/>
      <c r="L31" s="130"/>
      <c r="M31" s="130"/>
      <c r="N31" s="130"/>
      <c r="O31" s="167"/>
    </row>
    <row r="32" spans="2:21" x14ac:dyDescent="0.35">
      <c r="B32" s="146"/>
      <c r="E32" s="130"/>
      <c r="F32" s="129"/>
      <c r="G32" s="130"/>
      <c r="H32" s="130"/>
      <c r="I32" s="130"/>
      <c r="J32" s="130"/>
      <c r="K32" s="130"/>
      <c r="L32" s="130"/>
      <c r="M32" s="130"/>
      <c r="N32" s="130"/>
      <c r="O32" s="167"/>
    </row>
    <row r="33" spans="2:15" x14ac:dyDescent="0.35">
      <c r="B33" s="146"/>
      <c r="C33" s="129"/>
      <c r="D33" s="129"/>
      <c r="E33" s="129"/>
      <c r="F33" s="129"/>
      <c r="G33" s="130"/>
      <c r="H33" s="130"/>
      <c r="I33" s="130"/>
      <c r="J33" s="130"/>
      <c r="K33" s="130"/>
      <c r="L33" s="129"/>
      <c r="M33" s="129"/>
      <c r="N33" s="129"/>
      <c r="O33" s="167"/>
    </row>
    <row r="34" spans="2:15" x14ac:dyDescent="0.35">
      <c r="B34" s="146"/>
      <c r="C34" s="148"/>
      <c r="D34" s="148"/>
      <c r="E34" s="172"/>
      <c r="F34" s="173"/>
      <c r="G34" s="129"/>
      <c r="H34" s="129"/>
      <c r="I34" s="129"/>
      <c r="J34" s="129"/>
      <c r="K34" s="129"/>
      <c r="L34" s="129"/>
      <c r="M34" s="129"/>
      <c r="N34" s="129"/>
      <c r="O34" s="167"/>
    </row>
    <row r="35" spans="2:15" x14ac:dyDescent="0.35">
      <c r="B35" s="146"/>
      <c r="C35" s="148"/>
      <c r="D35" s="148"/>
      <c r="E35" s="172"/>
      <c r="F35" s="173"/>
      <c r="G35" s="129"/>
      <c r="H35" s="129"/>
      <c r="I35" s="129"/>
      <c r="J35" s="129"/>
      <c r="K35" s="129"/>
      <c r="L35" s="129"/>
      <c r="M35" s="130"/>
      <c r="N35" s="130"/>
      <c r="O35" s="167"/>
    </row>
    <row r="36" spans="2:15" x14ac:dyDescent="0.35">
      <c r="B36" s="146"/>
      <c r="C36" s="129"/>
      <c r="D36" s="129"/>
      <c r="E36" s="797"/>
      <c r="F36" s="173"/>
      <c r="G36" s="130"/>
      <c r="H36" s="130"/>
      <c r="I36" s="130"/>
      <c r="J36" s="130"/>
      <c r="K36" s="130"/>
      <c r="L36" s="130"/>
      <c r="M36" s="130"/>
      <c r="N36" s="130"/>
      <c r="O36" s="138"/>
    </row>
    <row r="37" spans="2:15" x14ac:dyDescent="0.35">
      <c r="B37" s="146"/>
      <c r="C37" s="129"/>
      <c r="D37" s="129"/>
      <c r="E37" s="797"/>
      <c r="F37" s="173"/>
      <c r="G37" s="130"/>
      <c r="H37" s="130"/>
      <c r="I37" s="130"/>
      <c r="J37" s="130"/>
      <c r="K37" s="130"/>
      <c r="L37" s="130"/>
      <c r="M37" s="129"/>
      <c r="N37" s="129"/>
      <c r="O37" s="138"/>
    </row>
    <row r="38" spans="2:15" x14ac:dyDescent="0.35">
      <c r="B38" s="174"/>
      <c r="C38" s="172"/>
      <c r="D38" s="173"/>
      <c r="E38" s="797"/>
      <c r="F38" s="173"/>
      <c r="G38" s="129"/>
      <c r="H38" s="129"/>
      <c r="I38" s="129"/>
      <c r="J38" s="129"/>
      <c r="K38" s="129"/>
      <c r="L38" s="129"/>
      <c r="M38" s="129"/>
      <c r="N38" s="129"/>
      <c r="O38" s="138"/>
    </row>
    <row r="39" spans="2:15" x14ac:dyDescent="0.35">
      <c r="B39" s="174"/>
      <c r="C39" s="172"/>
      <c r="D39" s="173"/>
      <c r="E39" s="173"/>
      <c r="F39" s="129"/>
      <c r="G39" s="129"/>
      <c r="H39" s="129"/>
      <c r="I39" s="129"/>
      <c r="J39" s="129"/>
      <c r="K39" s="129"/>
      <c r="L39" s="129"/>
      <c r="M39" s="129"/>
      <c r="N39" s="129"/>
      <c r="O39" s="138"/>
    </row>
    <row r="40" spans="2:15" x14ac:dyDescent="0.35">
      <c r="B40" s="174"/>
      <c r="C40" s="797"/>
      <c r="D40" s="173"/>
      <c r="E40" s="173"/>
      <c r="F40" s="129"/>
      <c r="G40" s="129"/>
      <c r="H40" s="129"/>
      <c r="I40" s="129"/>
      <c r="J40" s="129"/>
      <c r="K40" s="129"/>
      <c r="L40" s="129"/>
      <c r="M40" s="129"/>
      <c r="N40" s="129"/>
      <c r="O40" s="138"/>
    </row>
    <row r="41" spans="2:15" x14ac:dyDescent="0.35">
      <c r="B41" s="174"/>
      <c r="C41" s="797"/>
      <c r="D41" s="173"/>
      <c r="E41" s="173"/>
      <c r="F41" s="129"/>
      <c r="G41" s="129"/>
      <c r="H41" s="129"/>
      <c r="I41" s="129"/>
      <c r="J41" s="129"/>
      <c r="K41" s="129"/>
      <c r="L41" s="129"/>
      <c r="M41" s="129"/>
      <c r="N41" s="129"/>
      <c r="O41" s="138"/>
    </row>
    <row r="42" spans="2:15" x14ac:dyDescent="0.35">
      <c r="B42" s="174"/>
      <c r="C42" s="797"/>
      <c r="D42" s="173"/>
      <c r="E42" s="173"/>
      <c r="F42" s="129"/>
      <c r="G42" s="129"/>
      <c r="H42" s="173"/>
      <c r="I42" s="129"/>
      <c r="J42" s="173"/>
      <c r="K42" s="129"/>
      <c r="L42" s="129"/>
      <c r="M42" s="129"/>
      <c r="N42" s="129"/>
      <c r="O42" s="138"/>
    </row>
    <row r="43" spans="2:15" x14ac:dyDescent="0.35">
      <c r="B43" s="784"/>
      <c r="C43" s="797"/>
      <c r="D43" s="173"/>
      <c r="E43" s="173"/>
      <c r="F43" s="129"/>
      <c r="G43" s="129"/>
      <c r="H43" s="173"/>
      <c r="I43" s="129"/>
      <c r="J43" s="173"/>
      <c r="K43" s="129"/>
      <c r="L43" s="129"/>
      <c r="M43" s="129"/>
      <c r="N43" s="129"/>
      <c r="O43" s="138"/>
    </row>
    <row r="44" spans="2:15" x14ac:dyDescent="0.35">
      <c r="B44" s="784"/>
      <c r="C44" s="797"/>
      <c r="D44" s="173"/>
      <c r="E44" s="173"/>
      <c r="F44" s="129"/>
      <c r="G44" s="129"/>
      <c r="H44" s="173"/>
      <c r="I44" s="129"/>
      <c r="J44" s="173"/>
      <c r="K44" s="129"/>
      <c r="L44" s="129"/>
      <c r="M44" s="129"/>
      <c r="N44" s="129"/>
      <c r="O44" s="138"/>
    </row>
    <row r="45" spans="2:15" x14ac:dyDescent="0.35">
      <c r="B45" s="784"/>
      <c r="C45" s="797"/>
      <c r="D45" s="173"/>
      <c r="E45" s="173"/>
      <c r="F45" s="129"/>
      <c r="G45" s="129"/>
      <c r="H45" s="173"/>
      <c r="I45" s="129"/>
      <c r="J45" s="173"/>
      <c r="K45" s="129"/>
      <c r="L45" s="129"/>
      <c r="M45" s="129"/>
      <c r="N45" s="129"/>
      <c r="O45" s="138"/>
    </row>
    <row r="46" spans="2:15" x14ac:dyDescent="0.35">
      <c r="B46" s="784"/>
      <c r="C46" s="797"/>
      <c r="D46" s="173"/>
      <c r="E46" s="173"/>
      <c r="F46" s="173"/>
      <c r="G46" s="173"/>
      <c r="H46" s="173"/>
      <c r="I46" s="173"/>
      <c r="J46" s="173"/>
      <c r="K46" s="129"/>
      <c r="L46" s="129"/>
      <c r="M46" s="129"/>
      <c r="N46" s="129"/>
      <c r="O46" s="138"/>
    </row>
    <row r="47" spans="2:15" x14ac:dyDescent="0.35">
      <c r="B47" s="784"/>
      <c r="C47" s="797"/>
      <c r="D47" s="173"/>
      <c r="E47" s="173"/>
      <c r="F47" s="173"/>
      <c r="G47" s="173"/>
      <c r="H47" s="173"/>
      <c r="I47" s="173"/>
      <c r="J47" s="173"/>
      <c r="K47" s="129"/>
      <c r="L47" s="129"/>
      <c r="M47" s="129"/>
      <c r="N47" s="129"/>
      <c r="O47" s="138"/>
    </row>
    <row r="48" spans="2:15" x14ac:dyDescent="0.35">
      <c r="B48" s="784"/>
      <c r="C48" s="797"/>
      <c r="D48" s="173"/>
      <c r="E48" s="173"/>
      <c r="F48" s="173"/>
      <c r="G48" s="173"/>
      <c r="H48" s="173"/>
      <c r="I48" s="173"/>
      <c r="J48" s="173"/>
      <c r="K48" s="129"/>
      <c r="L48" s="129"/>
      <c r="M48" s="129"/>
      <c r="N48" s="129"/>
      <c r="O48" s="138"/>
    </row>
    <row r="49" spans="2:15" x14ac:dyDescent="0.35">
      <c r="B49" s="784"/>
      <c r="C49" s="797"/>
      <c r="D49" s="173"/>
      <c r="E49" s="173"/>
      <c r="F49" s="173"/>
      <c r="G49" s="173"/>
      <c r="H49" s="173"/>
      <c r="I49" s="173"/>
      <c r="J49" s="173"/>
      <c r="K49" s="129"/>
      <c r="L49" s="129"/>
      <c r="M49" s="129"/>
      <c r="N49" s="129"/>
      <c r="O49" s="138"/>
    </row>
    <row r="50" spans="2:15" x14ac:dyDescent="0.35">
      <c r="B50" s="784"/>
      <c r="C50" s="797"/>
      <c r="D50" s="173"/>
      <c r="E50" s="173"/>
      <c r="F50" s="173"/>
      <c r="G50" s="173"/>
      <c r="H50" s="173"/>
      <c r="I50" s="173"/>
      <c r="J50" s="173"/>
      <c r="K50" s="129"/>
      <c r="L50" s="129"/>
      <c r="M50" s="129"/>
      <c r="N50" s="129"/>
      <c r="O50" s="138"/>
    </row>
    <row r="51" spans="2:15" x14ac:dyDescent="0.35">
      <c r="B51" s="784"/>
      <c r="C51" s="797"/>
      <c r="D51" s="173"/>
      <c r="E51" s="173"/>
      <c r="F51" s="173"/>
      <c r="G51" s="173"/>
      <c r="H51" s="173"/>
      <c r="I51" s="173"/>
      <c r="J51" s="173"/>
      <c r="K51" s="129"/>
      <c r="L51" s="129"/>
      <c r="M51" s="129"/>
      <c r="N51" s="129"/>
      <c r="O51" s="138"/>
    </row>
    <row r="52" spans="2:15" x14ac:dyDescent="0.35">
      <c r="B52" s="784"/>
      <c r="C52" s="797"/>
      <c r="D52" s="173"/>
      <c r="E52" s="173"/>
      <c r="F52" s="173"/>
      <c r="G52" s="173"/>
      <c r="H52" s="173"/>
      <c r="I52" s="173"/>
      <c r="J52" s="173"/>
      <c r="K52" s="129"/>
      <c r="L52" s="129"/>
      <c r="M52" s="129"/>
      <c r="N52" s="129"/>
      <c r="O52" s="138"/>
    </row>
    <row r="53" spans="2:15" x14ac:dyDescent="0.35">
      <c r="B53" s="784"/>
      <c r="C53" s="797"/>
      <c r="D53" s="173"/>
      <c r="E53" s="173"/>
      <c r="F53" s="173"/>
      <c r="G53" s="173"/>
      <c r="H53" s="173"/>
      <c r="I53" s="173"/>
      <c r="J53" s="173"/>
      <c r="K53" s="129"/>
      <c r="L53" s="129"/>
      <c r="M53" s="129"/>
      <c r="N53" s="129"/>
      <c r="O53" s="138"/>
    </row>
    <row r="54" spans="2:15" x14ac:dyDescent="0.35">
      <c r="B54" s="784"/>
      <c r="C54" s="797"/>
      <c r="D54" s="173"/>
      <c r="E54" s="173"/>
      <c r="F54" s="173"/>
      <c r="G54" s="173"/>
      <c r="H54" s="173"/>
      <c r="I54" s="173"/>
      <c r="J54" s="173"/>
      <c r="K54" s="129"/>
      <c r="L54" s="129"/>
      <c r="M54" s="129"/>
      <c r="N54" s="129"/>
      <c r="O54" s="138"/>
    </row>
    <row r="55" spans="2:15" x14ac:dyDescent="0.35">
      <c r="B55" s="784"/>
      <c r="C55" s="797"/>
      <c r="D55" s="173"/>
      <c r="E55" s="173"/>
      <c r="F55" s="173"/>
      <c r="G55" s="173"/>
      <c r="H55" s="173"/>
      <c r="I55" s="173"/>
      <c r="J55" s="173"/>
      <c r="K55" s="129"/>
      <c r="L55" s="129"/>
      <c r="M55" s="129"/>
      <c r="N55" s="129"/>
      <c r="O55" s="138"/>
    </row>
    <row r="56" spans="2:15" x14ac:dyDescent="0.35">
      <c r="B56" s="784"/>
      <c r="C56" s="797"/>
      <c r="D56" s="173"/>
      <c r="E56" s="173"/>
      <c r="F56" s="173"/>
      <c r="G56" s="173"/>
      <c r="H56" s="173"/>
      <c r="I56" s="173"/>
      <c r="J56" s="173"/>
      <c r="K56" s="129"/>
      <c r="L56" s="129"/>
      <c r="M56" s="129"/>
      <c r="N56" s="129"/>
      <c r="O56" s="138"/>
    </row>
    <row r="57" spans="2:15" x14ac:dyDescent="0.35">
      <c r="B57" s="784"/>
      <c r="C57" s="797"/>
      <c r="D57" s="173"/>
      <c r="E57" s="173"/>
      <c r="F57" s="173"/>
      <c r="G57" s="173"/>
      <c r="H57" s="173"/>
      <c r="I57" s="173"/>
      <c r="J57" s="173"/>
      <c r="K57" s="129"/>
      <c r="L57" s="129"/>
      <c r="M57" s="129"/>
      <c r="N57" s="129"/>
      <c r="O57" s="138"/>
    </row>
    <row r="58" spans="2:15" x14ac:dyDescent="0.35">
      <c r="B58" s="146"/>
      <c r="C58" s="129"/>
      <c r="D58" s="129"/>
      <c r="E58" s="129"/>
      <c r="F58" s="129"/>
      <c r="G58" s="129"/>
      <c r="H58" s="129"/>
      <c r="I58" s="129"/>
      <c r="J58" s="129"/>
      <c r="K58" s="129"/>
      <c r="L58" s="129"/>
      <c r="M58" s="129"/>
      <c r="N58" s="129"/>
      <c r="O58" s="138"/>
    </row>
    <row r="59" spans="2:15" ht="15" thickBot="1" x14ac:dyDescent="0.4">
      <c r="B59" s="146"/>
      <c r="C59" s="129"/>
      <c r="D59" s="129"/>
      <c r="E59" s="129"/>
      <c r="F59" s="129"/>
      <c r="G59" s="129"/>
      <c r="H59" s="129"/>
      <c r="I59" s="129"/>
      <c r="J59" s="129"/>
      <c r="K59" s="129"/>
      <c r="L59" s="129"/>
      <c r="M59" s="129"/>
      <c r="N59" s="129"/>
      <c r="O59" s="138"/>
    </row>
    <row r="60" spans="2:15" x14ac:dyDescent="0.35">
      <c r="B60" s="785" t="s">
        <v>23295</v>
      </c>
      <c r="C60" s="786"/>
      <c r="D60" s="786"/>
      <c r="E60" s="786"/>
      <c r="F60" s="786"/>
      <c r="G60" s="789" t="s">
        <v>23295</v>
      </c>
      <c r="H60" s="789"/>
      <c r="I60" s="789"/>
      <c r="J60" s="789"/>
      <c r="K60" s="789"/>
      <c r="L60" s="791" t="s">
        <v>23296</v>
      </c>
      <c r="M60" s="791"/>
      <c r="N60" s="791"/>
      <c r="O60" s="792"/>
    </row>
    <row r="61" spans="2:15" ht="15" thickBot="1" x14ac:dyDescent="0.4">
      <c r="B61" s="787"/>
      <c r="C61" s="788"/>
      <c r="D61" s="788"/>
      <c r="E61" s="788"/>
      <c r="F61" s="788"/>
      <c r="G61" s="790"/>
      <c r="H61" s="790"/>
      <c r="I61" s="790"/>
      <c r="J61" s="790"/>
      <c r="K61" s="790"/>
      <c r="L61" s="793"/>
      <c r="M61" s="793"/>
      <c r="N61" s="793"/>
      <c r="O61" s="794"/>
    </row>
    <row r="62" spans="2:15" ht="15" x14ac:dyDescent="0.35">
      <c r="B62" s="795" t="s">
        <v>78</v>
      </c>
      <c r="C62" s="796"/>
      <c r="D62" s="796"/>
      <c r="E62" s="796"/>
      <c r="F62" s="796"/>
      <c r="G62" s="805" t="str">
        <f>IF('Load Plan '!$C$2=""," ",'Load Plan '!$C$2)</f>
        <v xml:space="preserve"> </v>
      </c>
      <c r="H62" s="805"/>
      <c r="I62" s="805"/>
      <c r="J62" s="805"/>
      <c r="K62" s="805"/>
      <c r="L62" s="808"/>
      <c r="M62" s="808"/>
      <c r="N62" s="808"/>
      <c r="O62" s="809"/>
    </row>
    <row r="63" spans="2:15" ht="15" x14ac:dyDescent="0.35">
      <c r="B63" s="814" t="s">
        <v>23297</v>
      </c>
      <c r="C63" s="815"/>
      <c r="D63" s="815"/>
      <c r="E63" s="815"/>
      <c r="F63" s="815"/>
      <c r="G63" s="806" t="str">
        <f>IF('Load Plan '!$C$3=""," ",'Load Plan '!$C$3)</f>
        <v xml:space="preserve"> </v>
      </c>
      <c r="H63" s="806"/>
      <c r="I63" s="806"/>
      <c r="J63" s="806"/>
      <c r="K63" s="806"/>
      <c r="L63" s="810"/>
      <c r="M63" s="810"/>
      <c r="N63" s="810"/>
      <c r="O63" s="811"/>
    </row>
    <row r="64" spans="2:15" ht="15.5" thickBot="1" x14ac:dyDescent="0.4">
      <c r="B64" s="803" t="s">
        <v>23298</v>
      </c>
      <c r="C64" s="804"/>
      <c r="D64" s="804"/>
      <c r="E64" s="804"/>
      <c r="F64" s="804"/>
      <c r="G64" s="807" t="str">
        <f>IF('Load Plan '!$C$4=""," ",'Load Plan '!$C$4)</f>
        <v xml:space="preserve"> </v>
      </c>
      <c r="H64" s="807"/>
      <c r="I64" s="807"/>
      <c r="J64" s="807"/>
      <c r="K64" s="807"/>
      <c r="L64" s="812"/>
      <c r="M64" s="812"/>
      <c r="N64" s="812"/>
      <c r="O64" s="813"/>
    </row>
    <row r="65" spans="2:15" ht="15" thickBot="1" x14ac:dyDescent="0.4">
      <c r="B65" s="288"/>
      <c r="C65" s="289"/>
      <c r="D65" s="289"/>
      <c r="E65" s="289"/>
      <c r="F65" s="289"/>
      <c r="G65" s="126"/>
      <c r="H65" s="126"/>
      <c r="I65" s="126"/>
      <c r="J65" s="126"/>
      <c r="K65" s="126"/>
      <c r="L65" s="126"/>
      <c r="M65" s="126"/>
      <c r="N65" s="126"/>
      <c r="O65" s="287"/>
    </row>
    <row r="66" spans="2:15" hidden="1" x14ac:dyDescent="0.35">
      <c r="B66" s="23"/>
      <c r="C66" s="23"/>
      <c r="D66" s="24"/>
      <c r="E66" s="24"/>
      <c r="F66" s="24"/>
      <c r="G66" s="24"/>
      <c r="H66" s="24"/>
      <c r="I66" s="24"/>
      <c r="J66" s="24"/>
      <c r="K66" s="20"/>
      <c r="L66" s="20"/>
      <c r="M66" s="20"/>
      <c r="N66" s="20"/>
      <c r="O66" s="20"/>
    </row>
    <row r="67" spans="2:15" hidden="1" x14ac:dyDescent="0.35">
      <c r="B67" s="23"/>
      <c r="C67" s="20"/>
      <c r="D67" s="24"/>
      <c r="E67" s="24"/>
      <c r="F67" s="24"/>
      <c r="G67" s="24"/>
      <c r="H67" s="24"/>
      <c r="I67" s="24"/>
      <c r="J67" s="24"/>
      <c r="K67" s="20"/>
      <c r="L67" s="20"/>
      <c r="M67" s="20"/>
      <c r="N67" s="20"/>
      <c r="O67" s="20"/>
    </row>
    <row r="68" spans="2:15" hidden="1" x14ac:dyDescent="0.35">
      <c r="B68" s="23"/>
      <c r="C68" s="20"/>
      <c r="D68" s="24"/>
      <c r="E68" s="24"/>
      <c r="F68" s="24"/>
      <c r="G68" s="24"/>
      <c r="H68" s="24"/>
      <c r="I68" s="24"/>
      <c r="J68" s="24"/>
      <c r="K68" s="20"/>
      <c r="L68" s="20"/>
      <c r="M68" s="20"/>
      <c r="N68" s="20"/>
      <c r="O68" s="20"/>
    </row>
    <row r="69" spans="2:15" hidden="1" x14ac:dyDescent="0.35">
      <c r="B69" s="23"/>
      <c r="C69" s="20"/>
      <c r="D69" s="24"/>
      <c r="E69" s="24"/>
      <c r="F69" s="24"/>
      <c r="G69" s="24"/>
      <c r="H69" s="24"/>
      <c r="I69" s="24"/>
      <c r="J69" s="24"/>
      <c r="K69" s="20"/>
      <c r="L69" s="20"/>
      <c r="M69" s="20"/>
      <c r="N69" s="20"/>
      <c r="O69" s="20"/>
    </row>
    <row r="70" spans="2:15" hidden="1" x14ac:dyDescent="0.35">
      <c r="B70" s="20"/>
      <c r="C70" s="20"/>
      <c r="D70" s="24"/>
      <c r="E70" s="24"/>
      <c r="F70" s="24"/>
      <c r="G70" s="24"/>
      <c r="H70" s="24"/>
      <c r="I70" s="24"/>
      <c r="J70" s="24"/>
      <c r="K70" s="20"/>
      <c r="L70" s="20"/>
      <c r="M70" s="20"/>
      <c r="N70" s="20"/>
      <c r="O70" s="20"/>
    </row>
    <row r="71" spans="2:15" hidden="1" x14ac:dyDescent="0.35">
      <c r="B71" s="20"/>
      <c r="C71" s="20"/>
      <c r="D71" s="24"/>
      <c r="E71" s="24"/>
      <c r="F71" s="24"/>
      <c r="G71" s="24"/>
      <c r="H71" s="24"/>
      <c r="I71" s="24"/>
      <c r="J71" s="24"/>
      <c r="K71" s="20"/>
      <c r="L71" s="20"/>
      <c r="M71" s="20"/>
      <c r="N71" s="20"/>
      <c r="O71" s="20"/>
    </row>
    <row r="72" spans="2:15" hidden="1" x14ac:dyDescent="0.35">
      <c r="B72" s="20"/>
      <c r="C72" s="20"/>
      <c r="D72" s="24"/>
      <c r="E72" s="24"/>
      <c r="F72" s="24"/>
      <c r="G72" s="24"/>
      <c r="H72" s="24"/>
      <c r="I72" s="24"/>
      <c r="J72" s="24"/>
      <c r="K72" s="20"/>
      <c r="L72" s="20"/>
      <c r="M72" s="20"/>
      <c r="N72" s="20"/>
      <c r="O72" s="20"/>
    </row>
    <row r="73" spans="2:15" hidden="1" x14ac:dyDescent="0.35">
      <c r="B73" s="20"/>
      <c r="C73" s="20"/>
      <c r="D73" s="24"/>
      <c r="E73" s="24"/>
      <c r="F73" s="24"/>
      <c r="G73" s="24"/>
      <c r="H73" s="24"/>
      <c r="I73" s="24"/>
      <c r="J73" s="24"/>
      <c r="K73" s="20"/>
      <c r="L73" s="20"/>
      <c r="M73" s="20"/>
      <c r="N73" s="20"/>
      <c r="O73" s="20"/>
    </row>
    <row r="74" spans="2:15" hidden="1" x14ac:dyDescent="0.35">
      <c r="B74" s="20"/>
      <c r="C74" s="20"/>
      <c r="D74" s="24"/>
      <c r="E74" s="24"/>
      <c r="F74" s="24"/>
      <c r="G74" s="24"/>
      <c r="H74" s="24"/>
      <c r="I74" s="24"/>
      <c r="J74" s="24"/>
      <c r="K74" s="20"/>
      <c r="L74" s="20"/>
      <c r="M74" s="20"/>
      <c r="N74" s="20"/>
      <c r="O74" s="20"/>
    </row>
    <row r="75" spans="2:15" hidden="1" x14ac:dyDescent="0.35">
      <c r="B75" s="20"/>
      <c r="C75" s="20"/>
      <c r="D75" s="24"/>
      <c r="E75" s="24"/>
      <c r="F75" s="24"/>
      <c r="G75" s="24"/>
      <c r="H75" s="24"/>
      <c r="I75" s="24"/>
      <c r="J75" s="24"/>
      <c r="K75" s="20"/>
      <c r="L75" s="20"/>
      <c r="M75" s="20"/>
      <c r="N75" s="20"/>
      <c r="O75" s="20"/>
    </row>
    <row r="76" spans="2:15" hidden="1" x14ac:dyDescent="0.35">
      <c r="B76" s="20"/>
      <c r="C76" s="20"/>
      <c r="D76" s="24"/>
      <c r="E76" s="24"/>
      <c r="F76" s="24"/>
      <c r="G76" s="24"/>
      <c r="H76" s="24"/>
      <c r="I76" s="24"/>
      <c r="J76" s="24"/>
      <c r="K76" s="20"/>
      <c r="L76" s="20"/>
      <c r="M76" s="20"/>
      <c r="N76" s="20"/>
      <c r="O76" s="20"/>
    </row>
    <row r="77" spans="2:15" hidden="1" x14ac:dyDescent="0.35">
      <c r="B77" s="20"/>
      <c r="C77" s="20"/>
      <c r="D77" s="24"/>
      <c r="E77" s="24"/>
      <c r="F77" s="24"/>
      <c r="G77" s="24"/>
      <c r="H77" s="24"/>
      <c r="I77" s="24"/>
      <c r="J77" s="24"/>
      <c r="K77" s="20"/>
      <c r="L77" s="20"/>
      <c r="M77" s="20"/>
      <c r="N77" s="20"/>
      <c r="O77" s="20"/>
    </row>
    <row r="78" spans="2:15" hidden="1" x14ac:dyDescent="0.35">
      <c r="B78" s="20"/>
      <c r="C78" s="20"/>
      <c r="D78" s="24"/>
      <c r="E78" s="24"/>
      <c r="F78" s="24"/>
      <c r="G78" s="24"/>
      <c r="H78" s="24"/>
      <c r="I78" s="24"/>
      <c r="J78" s="24"/>
      <c r="K78" s="20"/>
      <c r="L78" s="20"/>
      <c r="M78" s="20"/>
      <c r="N78" s="20"/>
      <c r="O78" s="20"/>
    </row>
    <row r="79" spans="2:15" hidden="1" x14ac:dyDescent="0.35">
      <c r="B79" s="20"/>
      <c r="C79" s="20"/>
      <c r="D79" s="24"/>
      <c r="E79" s="24"/>
      <c r="F79" s="24"/>
      <c r="G79" s="24"/>
      <c r="H79" s="24"/>
      <c r="I79" s="24"/>
      <c r="J79" s="24"/>
      <c r="K79" s="20"/>
      <c r="L79" s="20"/>
      <c r="M79" s="20"/>
      <c r="N79" s="20"/>
      <c r="O79" s="20"/>
    </row>
    <row r="80" spans="2:15" hidden="1" x14ac:dyDescent="0.35">
      <c r="B80" s="20"/>
      <c r="C80" s="20"/>
      <c r="D80" s="24"/>
      <c r="E80" s="24"/>
      <c r="F80" s="24"/>
      <c r="G80" s="24"/>
      <c r="H80" s="24"/>
      <c r="I80" s="24"/>
      <c r="J80" s="24"/>
      <c r="K80" s="20"/>
      <c r="L80" s="20"/>
      <c r="M80" s="20"/>
      <c r="N80" s="20"/>
      <c r="O80" s="20"/>
    </row>
    <row r="81" spans="2:15" hidden="1" x14ac:dyDescent="0.35">
      <c r="B81" s="20"/>
      <c r="C81" s="20"/>
      <c r="D81" s="24"/>
      <c r="E81" s="24"/>
      <c r="F81" s="24"/>
      <c r="G81" s="24"/>
      <c r="H81" s="24"/>
      <c r="I81" s="24"/>
      <c r="J81" s="24"/>
      <c r="K81" s="20"/>
      <c r="L81" s="20"/>
      <c r="M81" s="20"/>
      <c r="N81" s="20"/>
      <c r="O81" s="20"/>
    </row>
    <row r="82" spans="2:15" hidden="1" x14ac:dyDescent="0.35">
      <c r="B82" s="20"/>
      <c r="C82" s="20"/>
      <c r="D82" s="24"/>
      <c r="E82" s="24"/>
      <c r="F82" s="24"/>
      <c r="G82" s="24"/>
      <c r="H82" s="24"/>
      <c r="I82" s="24"/>
      <c r="J82" s="24"/>
      <c r="K82" s="20"/>
      <c r="L82" s="20"/>
      <c r="M82" s="20"/>
      <c r="N82" s="20"/>
      <c r="O82" s="20"/>
    </row>
    <row r="83" spans="2:15" hidden="1" x14ac:dyDescent="0.35">
      <c r="B83" s="20"/>
      <c r="C83" s="20"/>
      <c r="D83" s="24"/>
      <c r="E83" s="24"/>
      <c r="F83" s="24"/>
      <c r="G83" s="24"/>
      <c r="H83" s="24"/>
      <c r="I83" s="24"/>
      <c r="J83" s="24"/>
      <c r="K83" s="20"/>
      <c r="L83" s="20"/>
      <c r="M83" s="20"/>
      <c r="N83" s="20"/>
      <c r="O83" s="20"/>
    </row>
    <row r="84" spans="2:15" hidden="1" x14ac:dyDescent="0.35">
      <c r="B84" s="20"/>
      <c r="C84" s="20"/>
      <c r="D84" s="24"/>
      <c r="E84" s="24"/>
      <c r="F84" s="24"/>
      <c r="G84" s="24"/>
      <c r="H84" s="24"/>
      <c r="I84" s="24"/>
      <c r="J84" s="24"/>
      <c r="K84" s="20"/>
      <c r="L84" s="20"/>
      <c r="M84" s="20"/>
      <c r="N84" s="20"/>
      <c r="O84" s="20"/>
    </row>
    <row r="85" spans="2:15" hidden="1" x14ac:dyDescent="0.35">
      <c r="B85" s="20"/>
      <c r="C85" s="20"/>
      <c r="D85" s="24"/>
      <c r="E85" s="24"/>
      <c r="F85" s="24"/>
      <c r="G85" s="24"/>
      <c r="H85" s="24"/>
      <c r="I85" s="24"/>
      <c r="J85" s="24"/>
      <c r="K85" s="20"/>
      <c r="L85" s="20"/>
      <c r="M85" s="20"/>
      <c r="N85" s="20"/>
      <c r="O85" s="20"/>
    </row>
    <row r="86" spans="2:15" hidden="1" x14ac:dyDescent="0.35">
      <c r="B86" s="20"/>
      <c r="C86" s="20"/>
      <c r="D86" s="20"/>
      <c r="E86" s="20"/>
      <c r="F86" s="24"/>
      <c r="G86" s="24"/>
      <c r="H86" s="24"/>
      <c r="I86" s="24"/>
      <c r="J86" s="24"/>
      <c r="K86" s="20"/>
      <c r="L86" s="20"/>
      <c r="M86" s="20"/>
      <c r="N86" s="20"/>
      <c r="O86" s="20"/>
    </row>
    <row r="87" spans="2:15" hidden="1" x14ac:dyDescent="0.35">
      <c r="B87" s="20"/>
      <c r="C87" s="20"/>
      <c r="D87" s="20"/>
      <c r="E87" s="20"/>
      <c r="F87" s="24"/>
      <c r="G87" s="24"/>
      <c r="H87" s="20"/>
      <c r="I87" s="24"/>
      <c r="J87" s="20"/>
      <c r="K87" s="20"/>
      <c r="L87" s="20"/>
      <c r="M87" s="20"/>
      <c r="N87" s="20"/>
      <c r="O87" s="20"/>
    </row>
    <row r="88" spans="2:15" hidden="1" x14ac:dyDescent="0.35">
      <c r="B88" s="20"/>
      <c r="C88" s="20"/>
      <c r="D88" s="20"/>
      <c r="E88" s="20"/>
      <c r="F88" s="24"/>
      <c r="G88" s="24"/>
      <c r="H88" s="20"/>
      <c r="I88" s="24"/>
      <c r="J88" s="20"/>
      <c r="K88" s="20"/>
      <c r="L88" s="20"/>
      <c r="M88" s="20"/>
      <c r="N88" s="20"/>
      <c r="O88" s="20"/>
    </row>
  </sheetData>
  <sheetProtection algorithmName="SHA-512" hashValue="+4tJ+GzYC8MnJOsQmhETPzA1ZBSG1MmIT2Ffsz9FBI0FXvn2dRP9t81u4YXWSR6A0URvPD+bq2q49NVI2sMOxA==" saltValue="1jMYkiVn+z3JpXRhkETN5g==" spinCount="100000" sheet="1" objects="1" scenarios="1"/>
  <mergeCells count="42">
    <mergeCell ref="B64:F64"/>
    <mergeCell ref="G62:K62"/>
    <mergeCell ref="G63:K63"/>
    <mergeCell ref="G64:K64"/>
    <mergeCell ref="L62:O62"/>
    <mergeCell ref="L63:O63"/>
    <mergeCell ref="L64:O64"/>
    <mergeCell ref="B63:F63"/>
    <mergeCell ref="C46:C48"/>
    <mergeCell ref="B11:C11"/>
    <mergeCell ref="B12:D12"/>
    <mergeCell ref="C52:C54"/>
    <mergeCell ref="C49:C51"/>
    <mergeCell ref="B49:B51"/>
    <mergeCell ref="B52:B54"/>
    <mergeCell ref="B43:B45"/>
    <mergeCell ref="B46:B48"/>
    <mergeCell ref="H9:J9"/>
    <mergeCell ref="H18:I18"/>
    <mergeCell ref="E36:E38"/>
    <mergeCell ref="C40:C42"/>
    <mergeCell ref="C43:C45"/>
    <mergeCell ref="B9:C9"/>
    <mergeCell ref="B55:B57"/>
    <mergeCell ref="B60:F61"/>
    <mergeCell ref="G60:K61"/>
    <mergeCell ref="L60:O61"/>
    <mergeCell ref="B62:F62"/>
    <mergeCell ref="C55:C57"/>
    <mergeCell ref="M2:O3"/>
    <mergeCell ref="B6:C6"/>
    <mergeCell ref="B7:C7"/>
    <mergeCell ref="B8:C8"/>
    <mergeCell ref="B5:C5"/>
    <mergeCell ref="I4:J4"/>
    <mergeCell ref="I5:J5"/>
    <mergeCell ref="I6:J6"/>
    <mergeCell ref="I7:J7"/>
    <mergeCell ref="K4:L4"/>
    <mergeCell ref="K5:L5"/>
    <mergeCell ref="K6:L6"/>
    <mergeCell ref="K7:L7"/>
  </mergeCells>
  <conditionalFormatting sqref="I15:I17">
    <cfRule type="containsText" dxfId="37" priority="14" operator="containsText" text="ERROR">
      <formula>NOT(ISERROR(SEARCH("ERROR",I15)))</formula>
    </cfRule>
  </conditionalFormatting>
  <conditionalFormatting sqref="I5:I7">
    <cfRule type="containsText" dxfId="36" priority="13" operator="containsText" text="ERROR">
      <formula>NOT(ISERROR(SEARCH("ERROR",I5)))</formula>
    </cfRule>
  </conditionalFormatting>
  <conditionalFormatting sqref="K5:K7">
    <cfRule type="cellIs" dxfId="35" priority="10" operator="greaterThan">
      <formula>0</formula>
    </cfRule>
    <cfRule type="containsText" dxfId="34" priority="11" operator="containsText" text="Weight Exceeded">
      <formula>NOT(ISERROR(SEARCH("Weight Exceeded",K5)))</formula>
    </cfRule>
    <cfRule type="containsText" dxfId="33" priority="12" operator="containsText" text="ERROR">
      <formula>NOT(ISERROR(SEARCH("ERROR",K5)))</formula>
    </cfRule>
  </conditionalFormatting>
  <conditionalFormatting sqref="I12:J12">
    <cfRule type="expression" dxfId="32" priority="92">
      <formula>$M$6&gt;120</formula>
    </cfRule>
    <cfRule type="expression" dxfId="31" priority="93">
      <formula>$M$6&lt;10</formula>
    </cfRule>
  </conditionalFormatting>
  <printOptions horizontalCentered="1" verticalCentered="1"/>
  <pageMargins left="0.23622047244094491" right="0.23622047244094491" top="0.74803149606299213" bottom="0.74803149606299213" header="0.31496062992125984" footer="0.31496062992125984"/>
  <pageSetup paperSize="9" scale="69" orientation="portrait" r:id="rId1"/>
  <headerFooter>
    <oddHeader>&amp;L&amp;"-,Bold"&amp;22B767-200&amp;C&amp;"-,Bold"&amp;22TRIM SHEET</oddHeader>
    <oddFooter xml:space="preserve">&amp;L
&amp;R&amp;"-,Bold"&amp;16
</oddFooter>
  </headerFooter>
  <ignoredErrors>
    <ignoredError sqref="E9" 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2E8E0-6CF4-4F71-B47D-9D3CCAD1985A}">
  <sheetPr codeName="Sheet5">
    <tabColor theme="8" tint="-0.499984740745262"/>
  </sheetPr>
  <dimension ref="B2:Z41"/>
  <sheetViews>
    <sheetView showGridLines="0" topLeftCell="E1" zoomScale="95" zoomScaleNormal="95" workbookViewId="0">
      <selection activeCell="V14" sqref="V14"/>
    </sheetView>
  </sheetViews>
  <sheetFormatPr defaultRowHeight="14.5" x14ac:dyDescent="0.35"/>
  <cols>
    <col min="2" max="2" width="16.08984375" bestFit="1" customWidth="1"/>
    <col min="3" max="4" width="16.08984375" customWidth="1"/>
    <col min="5" max="5" width="17.54296875" bestFit="1" customWidth="1"/>
    <col min="6" max="7" width="17.54296875" customWidth="1"/>
    <col min="8" max="8" width="15.90625" bestFit="1" customWidth="1"/>
    <col min="9" max="10" width="15.90625" customWidth="1"/>
    <col min="11" max="11" width="17" bestFit="1" customWidth="1"/>
    <col min="14" max="14" width="11.26953125" bestFit="1" customWidth="1"/>
    <col min="15" max="15" width="5.81640625" customWidth="1"/>
    <col min="17" max="17" width="11.26953125" bestFit="1" customWidth="1"/>
    <col min="18" max="18" width="5.81640625" customWidth="1"/>
    <col min="21" max="21" width="19.7265625" bestFit="1" customWidth="1"/>
    <col min="22" max="22" width="11.26953125" bestFit="1" customWidth="1"/>
    <col min="23" max="24" width="8.1796875" bestFit="1" customWidth="1"/>
    <col min="25" max="25" width="13.7265625" bestFit="1" customWidth="1"/>
  </cols>
  <sheetData>
    <row r="2" spans="2:26" ht="15" thickBot="1" x14ac:dyDescent="0.4"/>
    <row r="3" spans="2:26" x14ac:dyDescent="0.35">
      <c r="B3" s="825" t="s">
        <v>23339</v>
      </c>
      <c r="C3" s="816"/>
      <c r="D3" s="816"/>
      <c r="E3" s="816" t="s">
        <v>23340</v>
      </c>
      <c r="F3" s="816"/>
      <c r="G3" s="816"/>
      <c r="H3" s="816" t="s">
        <v>23341</v>
      </c>
      <c r="I3" s="816"/>
      <c r="J3" s="826"/>
      <c r="K3" s="825" t="s">
        <v>23342</v>
      </c>
      <c r="L3" s="816"/>
      <c r="M3" s="817"/>
      <c r="N3" s="816" t="s">
        <v>23343</v>
      </c>
      <c r="O3" s="816"/>
      <c r="P3" s="817"/>
      <c r="Q3" s="816" t="s">
        <v>45</v>
      </c>
      <c r="R3" s="816"/>
      <c r="S3" s="817"/>
    </row>
    <row r="4" spans="2:26" x14ac:dyDescent="0.35">
      <c r="B4" s="4" t="s">
        <v>23344</v>
      </c>
      <c r="C4" s="1" t="s">
        <v>23345</v>
      </c>
      <c r="D4" s="1" t="s">
        <v>35</v>
      </c>
      <c r="E4" s="1" t="s">
        <v>23344</v>
      </c>
      <c r="F4" s="1" t="s">
        <v>23345</v>
      </c>
      <c r="G4" s="1" t="s">
        <v>35</v>
      </c>
      <c r="H4" s="1" t="s">
        <v>23344</v>
      </c>
      <c r="I4" s="1" t="s">
        <v>23345</v>
      </c>
      <c r="J4" s="382" t="s">
        <v>35</v>
      </c>
      <c r="K4" s="4" t="s">
        <v>23344</v>
      </c>
      <c r="L4" s="1" t="s">
        <v>23345</v>
      </c>
      <c r="M4" s="2" t="s">
        <v>35</v>
      </c>
      <c r="N4" s="1" t="s">
        <v>23344</v>
      </c>
      <c r="O4" s="1" t="s">
        <v>23345</v>
      </c>
      <c r="P4" s="382" t="s">
        <v>35</v>
      </c>
      <c r="Q4" s="4" t="s">
        <v>23344</v>
      </c>
      <c r="R4" s="1" t="s">
        <v>23345</v>
      </c>
      <c r="S4" s="2" t="s">
        <v>35</v>
      </c>
      <c r="U4" t="s">
        <v>23346</v>
      </c>
      <c r="V4">
        <v>237.5</v>
      </c>
    </row>
    <row r="5" spans="2:26" x14ac:dyDescent="0.35">
      <c r="B5" s="383">
        <v>69000</v>
      </c>
      <c r="C5" s="384">
        <v>0.11</v>
      </c>
      <c r="D5" s="385">
        <f>((B5*(((C5*$V$4)+$V$5)-972.6))/68000)+70</f>
        <v>36.235661764705902</v>
      </c>
      <c r="E5" s="386">
        <v>69000</v>
      </c>
      <c r="F5" s="387">
        <v>0.11</v>
      </c>
      <c r="G5" s="385">
        <f>((E5*(((F5*$V$4)+$V$5)-972.6))/68000)+70</f>
        <v>36.235661764705902</v>
      </c>
      <c r="H5" s="386">
        <v>69000</v>
      </c>
      <c r="I5" s="387">
        <v>0.11</v>
      </c>
      <c r="J5" s="388">
        <f>((H5*(((I5*$V$4)+$V$5)-972.6))/68000)+70</f>
        <v>36.235661764705902</v>
      </c>
      <c r="K5" s="383">
        <v>69000</v>
      </c>
      <c r="L5" s="384">
        <v>0.11</v>
      </c>
      <c r="M5" s="389">
        <f>((K5*(((L5*$V$4)+$V$5)-972.6))/68000)+70</f>
        <v>36.235661764705902</v>
      </c>
      <c r="N5" s="386">
        <v>76203</v>
      </c>
      <c r="O5" s="387">
        <v>0.11</v>
      </c>
      <c r="P5" s="388">
        <f>((N5*(((O5*$V$4)+$V$5)-972.6))/68000)+70</f>
        <v>32.710958455882377</v>
      </c>
      <c r="Q5" s="390">
        <v>69000</v>
      </c>
      <c r="R5" s="391">
        <v>0.1</v>
      </c>
      <c r="S5" s="389">
        <f>((Q5*(((R5*$V$4)+$V$5)-972.6))/68000)+70</f>
        <v>33.825735294117671</v>
      </c>
      <c r="U5" t="s">
        <v>23347</v>
      </c>
      <c r="V5">
        <v>913.2</v>
      </c>
    </row>
    <row r="6" spans="2:26" x14ac:dyDescent="0.35">
      <c r="B6" s="383">
        <v>76203</v>
      </c>
      <c r="C6" s="384">
        <v>0.11</v>
      </c>
      <c r="D6" s="385">
        <f t="shared" ref="D6:D21" si="0">((B6*(((C6*$V$4)+$V$5)-972.6))/68000)+70</f>
        <v>32.710958455882377</v>
      </c>
      <c r="E6" s="386">
        <v>76203</v>
      </c>
      <c r="F6" s="387">
        <v>0.11</v>
      </c>
      <c r="G6" s="385">
        <f t="shared" ref="G6:G21" si="1">((E6*(((F6*$V$4)+$V$5)-972.6))/68000)+70</f>
        <v>32.710958455882377</v>
      </c>
      <c r="H6" s="386">
        <v>76203</v>
      </c>
      <c r="I6" s="387">
        <v>0.11</v>
      </c>
      <c r="J6" s="388">
        <f t="shared" ref="J6:J21" si="2">((H6*(((I6*$V$4)+$V$5)-972.6))/68000)+70</f>
        <v>32.710958455882377</v>
      </c>
      <c r="K6" s="383">
        <v>76203</v>
      </c>
      <c r="L6" s="384">
        <v>0.11</v>
      </c>
      <c r="M6" s="389">
        <f t="shared" ref="M6:M21" si="3">((K6*(((L6*$V$4)+$V$5)-972.6))/68000)+70</f>
        <v>32.710958455882377</v>
      </c>
      <c r="N6" s="386">
        <v>76203</v>
      </c>
      <c r="O6" s="387">
        <v>0.11</v>
      </c>
      <c r="P6" s="388">
        <f t="shared" ref="P6:P21" si="4">((N6*(((O6*$V$4)+$V$5)-972.6))/68000)+70</f>
        <v>32.710958455882377</v>
      </c>
      <c r="Q6" s="390">
        <v>170000</v>
      </c>
      <c r="R6" s="391">
        <v>0.1</v>
      </c>
      <c r="S6" s="389">
        <f t="shared" ref="S6:S32" si="5">((Q6*(((R6*$V$4)+$V$5)-972.6))/68000)+70</f>
        <v>-19.124999999999943</v>
      </c>
    </row>
    <row r="7" spans="2:26" x14ac:dyDescent="0.35">
      <c r="B7" s="383">
        <v>113352</v>
      </c>
      <c r="C7" s="384">
        <v>0.11</v>
      </c>
      <c r="D7" s="385">
        <f t="shared" si="0"/>
        <v>14.53253235294121</v>
      </c>
      <c r="E7" s="386">
        <v>113352</v>
      </c>
      <c r="F7" s="387">
        <v>0.11</v>
      </c>
      <c r="G7" s="385">
        <f t="shared" si="1"/>
        <v>14.53253235294121</v>
      </c>
      <c r="H7" s="386">
        <v>113352</v>
      </c>
      <c r="I7" s="387">
        <v>0.11</v>
      </c>
      <c r="J7" s="388">
        <f t="shared" si="2"/>
        <v>14.53253235294121</v>
      </c>
      <c r="K7" s="383">
        <v>113352</v>
      </c>
      <c r="L7" s="384">
        <v>0.11</v>
      </c>
      <c r="M7" s="389">
        <f t="shared" si="3"/>
        <v>14.53253235294121</v>
      </c>
      <c r="N7" s="386">
        <v>76203</v>
      </c>
      <c r="O7" s="387">
        <v>0.11</v>
      </c>
      <c r="P7" s="388">
        <f t="shared" si="4"/>
        <v>32.710958455882377</v>
      </c>
      <c r="Q7" s="390">
        <v>69000</v>
      </c>
      <c r="R7" s="391">
        <v>0.12</v>
      </c>
      <c r="S7" s="389">
        <f t="shared" si="5"/>
        <v>38.645588235294142</v>
      </c>
    </row>
    <row r="8" spans="2:26" ht="16" thickBot="1" x14ac:dyDescent="0.4">
      <c r="B8" s="383">
        <v>121560</v>
      </c>
      <c r="C8" s="384">
        <v>0.11</v>
      </c>
      <c r="D8" s="385">
        <f t="shared" si="0"/>
        <v>10.516044117647098</v>
      </c>
      <c r="E8" s="386">
        <v>121560</v>
      </c>
      <c r="F8" s="387">
        <v>0.11</v>
      </c>
      <c r="G8" s="385">
        <f t="shared" si="1"/>
        <v>10.516044117647098</v>
      </c>
      <c r="H8" s="386">
        <v>121560</v>
      </c>
      <c r="I8" s="387">
        <v>0.11</v>
      </c>
      <c r="J8" s="388">
        <f t="shared" si="2"/>
        <v>10.516044117647098</v>
      </c>
      <c r="K8" s="383">
        <v>114758</v>
      </c>
      <c r="L8" s="384">
        <v>0.14299999999999999</v>
      </c>
      <c r="M8" s="389">
        <f t="shared" si="3"/>
        <v>27.071226102941175</v>
      </c>
      <c r="N8" s="386">
        <v>76203</v>
      </c>
      <c r="O8" s="387">
        <v>0.11</v>
      </c>
      <c r="P8" s="388">
        <f t="shared" si="4"/>
        <v>32.710958455882377</v>
      </c>
      <c r="Q8" s="390">
        <v>170000</v>
      </c>
      <c r="R8" s="391">
        <v>0.12</v>
      </c>
      <c r="S8" s="389">
        <f t="shared" si="5"/>
        <v>-7.2499999999999432</v>
      </c>
      <c r="U8" s="43"/>
      <c r="V8" s="44" t="s">
        <v>34</v>
      </c>
      <c r="W8" s="45" t="s">
        <v>35</v>
      </c>
      <c r="X8" s="46" t="s">
        <v>23117</v>
      </c>
      <c r="Y8" s="46" t="s">
        <v>51</v>
      </c>
    </row>
    <row r="9" spans="2:26" ht="16" thickBot="1" x14ac:dyDescent="0.4">
      <c r="B9" s="383">
        <v>133809</v>
      </c>
      <c r="C9" s="384">
        <v>0.11</v>
      </c>
      <c r="D9" s="385">
        <f t="shared" si="0"/>
        <v>4.5221400735294566</v>
      </c>
      <c r="E9" s="386">
        <v>133809</v>
      </c>
      <c r="F9" s="387">
        <v>0.11</v>
      </c>
      <c r="G9" s="385">
        <f t="shared" si="1"/>
        <v>4.5221400735294566</v>
      </c>
      <c r="H9" s="386">
        <v>123377</v>
      </c>
      <c r="I9" s="387">
        <v>0.123</v>
      </c>
      <c r="J9" s="388">
        <f t="shared" si="2"/>
        <v>15.228776654411767</v>
      </c>
      <c r="K9" s="383">
        <v>120657</v>
      </c>
      <c r="L9" s="384">
        <v>0.25900000000000001</v>
      </c>
      <c r="M9" s="389">
        <f t="shared" si="3"/>
        <v>73.748351654411891</v>
      </c>
      <c r="N9" s="386">
        <v>76203</v>
      </c>
      <c r="O9" s="387">
        <v>0.11</v>
      </c>
      <c r="P9" s="388">
        <f t="shared" si="4"/>
        <v>32.710958455882377</v>
      </c>
      <c r="Q9" s="390">
        <v>69000</v>
      </c>
      <c r="R9" s="391">
        <v>0.14000000000000001</v>
      </c>
      <c r="S9" s="389">
        <f t="shared" si="5"/>
        <v>43.465441176470613</v>
      </c>
      <c r="U9" s="49" t="s">
        <v>48</v>
      </c>
      <c r="V9" s="50">
        <f>'Trim Sheet'!$I$15</f>
        <v>113716.6530612245</v>
      </c>
      <c r="W9" s="51">
        <f>'Trim Sheet'!$M$5</f>
        <v>66.599999999999994</v>
      </c>
      <c r="X9" s="204">
        <f>IFERROR(((((68000*(W9-70)))/(V9))+972.6),0)</f>
        <v>970.56687649718708</v>
      </c>
      <c r="Y9" s="303">
        <f>IFERROR(((($X$9-913.2))/2.375),"")</f>
        <v>24.154474314605068</v>
      </c>
      <c r="Z9" s="404">
        <f>Y9/100</f>
        <v>0.24154474314605068</v>
      </c>
    </row>
    <row r="10" spans="2:26" ht="16" thickBot="1" x14ac:dyDescent="0.4">
      <c r="B10" s="383">
        <v>157399</v>
      </c>
      <c r="C10" s="384">
        <v>0.155</v>
      </c>
      <c r="D10" s="385">
        <f t="shared" si="0"/>
        <v>17.716913051470641</v>
      </c>
      <c r="E10" s="386">
        <v>157399</v>
      </c>
      <c r="F10" s="387">
        <v>0.155</v>
      </c>
      <c r="G10" s="385">
        <f t="shared" si="1"/>
        <v>17.716913051470641</v>
      </c>
      <c r="H10" s="386">
        <v>126098</v>
      </c>
      <c r="I10" s="387">
        <v>0.14299999999999999</v>
      </c>
      <c r="J10" s="388">
        <f t="shared" si="2"/>
        <v>22.829148897058822</v>
      </c>
      <c r="K10" s="383">
        <v>120657</v>
      </c>
      <c r="L10" s="384">
        <v>0.26</v>
      </c>
      <c r="M10" s="389">
        <f t="shared" si="3"/>
        <v>74.169763970588278</v>
      </c>
      <c r="N10" s="386">
        <v>76203</v>
      </c>
      <c r="O10" s="387">
        <v>0.155</v>
      </c>
      <c r="P10" s="388">
        <f t="shared" si="4"/>
        <v>44.687716727941201</v>
      </c>
      <c r="Q10" s="390">
        <v>170000</v>
      </c>
      <c r="R10" s="391">
        <v>0.14000000000000001</v>
      </c>
      <c r="S10" s="389">
        <f t="shared" si="5"/>
        <v>4.6250000000000568</v>
      </c>
      <c r="U10" s="52" t="s">
        <v>49</v>
      </c>
      <c r="V10" s="47">
        <f>'Trim Sheet'!$I$16</f>
        <v>140216.6530612245</v>
      </c>
      <c r="W10" s="48">
        <f>'Trim Sheet'!$M$6</f>
        <v>64.3</v>
      </c>
      <c r="X10" s="78">
        <f>IFERROR(((((68000*(W10-70)))/(V10))+972.6),0)</f>
        <v>969.83570637625508</v>
      </c>
      <c r="Y10" s="303">
        <f>IFERROR(((($X$10-913.2))/2.375),"")</f>
        <v>23.846613211054748</v>
      </c>
      <c r="Z10" s="404">
        <f t="shared" ref="Z10:Z11" si="6">Y10/100</f>
        <v>0.23846613211054749</v>
      </c>
    </row>
    <row r="11" spans="2:26" ht="16" thickBot="1" x14ac:dyDescent="0.4">
      <c r="B11" s="383">
        <v>159210</v>
      </c>
      <c r="C11" s="384">
        <v>0.158</v>
      </c>
      <c r="D11" s="385">
        <f t="shared" si="0"/>
        <v>18.783547794117645</v>
      </c>
      <c r="E11" s="386">
        <v>159210</v>
      </c>
      <c r="F11" s="387">
        <v>0.158</v>
      </c>
      <c r="G11" s="385">
        <f t="shared" si="1"/>
        <v>18.783547794117645</v>
      </c>
      <c r="H11" s="386">
        <v>128367</v>
      </c>
      <c r="I11" s="387">
        <v>0.17399999999999999</v>
      </c>
      <c r="J11" s="388">
        <f t="shared" si="2"/>
        <v>35.878918750000132</v>
      </c>
      <c r="K11" s="383">
        <v>120657</v>
      </c>
      <c r="L11" s="384">
        <v>0.27</v>
      </c>
      <c r="M11" s="389">
        <f t="shared" si="3"/>
        <v>78.383887132352982</v>
      </c>
      <c r="N11" s="386">
        <v>76203</v>
      </c>
      <c r="O11" s="387">
        <v>0.158</v>
      </c>
      <c r="P11" s="388">
        <f t="shared" si="4"/>
        <v>45.48616727941176</v>
      </c>
      <c r="Q11" s="390">
        <v>69000</v>
      </c>
      <c r="R11" s="391">
        <v>0.16</v>
      </c>
      <c r="S11" s="389">
        <f t="shared" si="5"/>
        <v>48.285294117647084</v>
      </c>
      <c r="U11" s="53" t="s">
        <v>50</v>
      </c>
      <c r="V11" s="54">
        <f>'Trim Sheet'!$I$17</f>
        <v>120216.6530612245</v>
      </c>
      <c r="W11" s="55">
        <f>'Trim Sheet'!$M$7</f>
        <v>62.499999999999993</v>
      </c>
      <c r="X11" s="205">
        <f>IFERROR(((((68000*(W11-70)))/(V11))+972.6),0)</f>
        <v>968.35765930082698</v>
      </c>
      <c r="Y11" s="303">
        <f>IFERROR(((($X$11-913.2))/2.375),"")</f>
        <v>23.224277600348184</v>
      </c>
      <c r="Z11" s="404">
        <f t="shared" si="6"/>
        <v>0.23224277600348184</v>
      </c>
    </row>
    <row r="12" spans="2:26" x14ac:dyDescent="0.35">
      <c r="B12" s="383">
        <v>159755</v>
      </c>
      <c r="C12" s="384">
        <v>0.16</v>
      </c>
      <c r="D12" s="385">
        <f t="shared" si="0"/>
        <v>19.72416176470594</v>
      </c>
      <c r="E12" s="386">
        <v>159210</v>
      </c>
      <c r="F12" s="387">
        <v>0.16</v>
      </c>
      <c r="G12" s="385">
        <f t="shared" si="1"/>
        <v>19.895676470588292</v>
      </c>
      <c r="H12" s="386">
        <v>128367</v>
      </c>
      <c r="I12" s="387">
        <v>0.18</v>
      </c>
      <c r="J12" s="388">
        <f t="shared" si="2"/>
        <v>38.56896250000004</v>
      </c>
      <c r="K12" s="383">
        <v>120657</v>
      </c>
      <c r="L12" s="384">
        <v>0.28000000000000003</v>
      </c>
      <c r="M12" s="389">
        <f t="shared" si="3"/>
        <v>82.598010294117685</v>
      </c>
      <c r="N12" s="386">
        <v>76203</v>
      </c>
      <c r="O12" s="387">
        <v>0.16</v>
      </c>
      <c r="P12" s="388">
        <f t="shared" si="4"/>
        <v>46.018467647058849</v>
      </c>
      <c r="Q12" s="390">
        <v>170000</v>
      </c>
      <c r="R12" s="391">
        <v>0.16</v>
      </c>
      <c r="S12" s="389">
        <f t="shared" si="5"/>
        <v>16.500000000000057</v>
      </c>
    </row>
    <row r="13" spans="2:26" ht="16" thickBot="1" x14ac:dyDescent="0.4">
      <c r="B13" s="383">
        <v>159755</v>
      </c>
      <c r="C13" s="384">
        <v>0.2</v>
      </c>
      <c r="D13" s="385">
        <f t="shared" si="0"/>
        <v>42.042875000000052</v>
      </c>
      <c r="E13" s="386">
        <v>159210</v>
      </c>
      <c r="F13" s="387">
        <v>0.2</v>
      </c>
      <c r="G13" s="385">
        <f t="shared" si="1"/>
        <v>42.138250000000056</v>
      </c>
      <c r="H13" s="386">
        <v>128367</v>
      </c>
      <c r="I13" s="387">
        <v>0.2</v>
      </c>
      <c r="J13" s="388">
        <f t="shared" si="2"/>
        <v>47.535775000000044</v>
      </c>
      <c r="K13" s="383">
        <v>120657</v>
      </c>
      <c r="L13" s="384">
        <v>0.28999999999999998</v>
      </c>
      <c r="M13" s="389">
        <f t="shared" si="3"/>
        <v>86.812133455882389</v>
      </c>
      <c r="N13" s="386">
        <v>76203</v>
      </c>
      <c r="O13" s="387">
        <v>0.2</v>
      </c>
      <c r="P13" s="388">
        <f t="shared" si="4"/>
        <v>56.664475000000024</v>
      </c>
      <c r="Q13" s="390">
        <v>69000</v>
      </c>
      <c r="R13" s="391">
        <v>0.18</v>
      </c>
      <c r="S13" s="389">
        <f t="shared" si="5"/>
        <v>53.105147058823555</v>
      </c>
      <c r="V13" s="44" t="s">
        <v>23137</v>
      </c>
      <c r="W13" s="45" t="s">
        <v>23117</v>
      </c>
      <c r="X13" s="46" t="s">
        <v>23118</v>
      </c>
      <c r="Y13" s="46" t="s">
        <v>35</v>
      </c>
    </row>
    <row r="14" spans="2:26" ht="16" thickBot="1" x14ac:dyDescent="0.4">
      <c r="B14" s="383">
        <v>159755</v>
      </c>
      <c r="C14" s="384">
        <v>0.25700000000000001</v>
      </c>
      <c r="D14" s="385">
        <f t="shared" si="0"/>
        <v>73.847041360294227</v>
      </c>
      <c r="E14" s="386">
        <v>159210</v>
      </c>
      <c r="F14" s="387">
        <v>0.25700000000000001</v>
      </c>
      <c r="G14" s="385">
        <f t="shared" si="1"/>
        <v>73.833917279411878</v>
      </c>
      <c r="H14" s="386">
        <v>128367</v>
      </c>
      <c r="I14" s="387">
        <v>0.25700000000000001</v>
      </c>
      <c r="J14" s="388">
        <f t="shared" si="2"/>
        <v>73.091190625000081</v>
      </c>
      <c r="K14" s="383">
        <v>120657</v>
      </c>
      <c r="L14" s="384">
        <v>0.3</v>
      </c>
      <c r="M14" s="389">
        <f t="shared" si="3"/>
        <v>91.026256617647107</v>
      </c>
      <c r="N14" s="386">
        <v>76203</v>
      </c>
      <c r="O14" s="387">
        <v>0.25700000000000001</v>
      </c>
      <c r="P14" s="388">
        <f t="shared" si="4"/>
        <v>71.835035477941233</v>
      </c>
      <c r="Q14" s="390">
        <v>170000</v>
      </c>
      <c r="R14" s="391">
        <v>0.18</v>
      </c>
      <c r="S14" s="389">
        <f t="shared" si="5"/>
        <v>28.375000000000057</v>
      </c>
      <c r="U14" s="56" t="s">
        <v>23119</v>
      </c>
      <c r="V14" s="50">
        <v>75832.653061224497</v>
      </c>
      <c r="W14" s="206">
        <v>952.33</v>
      </c>
      <c r="X14" s="304">
        <f>(W14-913.2)/2.375</f>
        <v>16.475789473684209</v>
      </c>
      <c r="Y14" s="207">
        <f>((V14*(W14-972.6))/68000)+70</f>
        <v>47.395178271308538</v>
      </c>
    </row>
    <row r="15" spans="2:26" ht="16" thickBot="1" x14ac:dyDescent="0.4">
      <c r="B15" s="383">
        <v>159210</v>
      </c>
      <c r="C15" s="384">
        <v>0.27200000000000002</v>
      </c>
      <c r="D15" s="385">
        <f t="shared" si="0"/>
        <v>82.174882352941282</v>
      </c>
      <c r="E15" s="386">
        <v>159210</v>
      </c>
      <c r="F15" s="387">
        <v>0.27200000000000002</v>
      </c>
      <c r="G15" s="385">
        <f t="shared" si="1"/>
        <v>82.174882352941282</v>
      </c>
      <c r="H15" s="386">
        <v>128367</v>
      </c>
      <c r="I15" s="387">
        <v>0.27200000000000002</v>
      </c>
      <c r="J15" s="388">
        <f t="shared" si="2"/>
        <v>79.816300000000084</v>
      </c>
      <c r="K15" s="383">
        <v>120657</v>
      </c>
      <c r="L15" s="384">
        <v>0.31</v>
      </c>
      <c r="M15" s="389">
        <f t="shared" si="3"/>
        <v>95.240379779411796</v>
      </c>
      <c r="N15" s="386">
        <v>76203</v>
      </c>
      <c r="O15" s="387">
        <v>0.27200000000000002</v>
      </c>
      <c r="P15" s="388">
        <f t="shared" si="4"/>
        <v>75.827288235294162</v>
      </c>
      <c r="Q15" s="390">
        <v>69000</v>
      </c>
      <c r="R15" s="391">
        <v>0.2</v>
      </c>
      <c r="S15" s="389">
        <f t="shared" si="5"/>
        <v>57.925000000000026</v>
      </c>
      <c r="U15" s="57" t="s">
        <v>23120</v>
      </c>
      <c r="V15" s="54">
        <v>17675</v>
      </c>
      <c r="W15" s="70">
        <v>952.33</v>
      </c>
      <c r="X15" s="304">
        <f>(W15-913.2)/2.375</f>
        <v>16.475789473684209</v>
      </c>
      <c r="Y15" s="71">
        <f>((V15*(W15-972.6))/68000)+70</f>
        <v>64.731290441176469</v>
      </c>
    </row>
    <row r="16" spans="2:26" x14ac:dyDescent="0.35">
      <c r="B16" s="383">
        <v>156126</v>
      </c>
      <c r="C16" s="384">
        <v>0.36</v>
      </c>
      <c r="D16" s="385">
        <f t="shared" si="0"/>
        <v>129.92483235294122</v>
      </c>
      <c r="E16" s="386">
        <v>156126</v>
      </c>
      <c r="F16" s="387">
        <v>0.36</v>
      </c>
      <c r="G16" s="385">
        <f t="shared" si="1"/>
        <v>129.92483235294122</v>
      </c>
      <c r="H16" s="386">
        <v>128367</v>
      </c>
      <c r="I16" s="387">
        <v>0.3</v>
      </c>
      <c r="J16" s="388">
        <f t="shared" si="2"/>
        <v>92.369837500000045</v>
      </c>
      <c r="K16" s="383">
        <v>120657</v>
      </c>
      <c r="L16" s="384">
        <v>0.32</v>
      </c>
      <c r="M16" s="389">
        <f t="shared" si="3"/>
        <v>99.454502941176514</v>
      </c>
      <c r="N16" s="386">
        <v>76203</v>
      </c>
      <c r="O16" s="387">
        <v>0.36</v>
      </c>
      <c r="P16" s="388">
        <f t="shared" si="4"/>
        <v>99.248504411764728</v>
      </c>
      <c r="Q16" s="390">
        <v>170000</v>
      </c>
      <c r="R16" s="391">
        <v>0.2</v>
      </c>
      <c r="S16" s="389">
        <f t="shared" si="5"/>
        <v>40.250000000000057</v>
      </c>
    </row>
    <row r="17" spans="2:24" x14ac:dyDescent="0.35">
      <c r="B17" s="383">
        <v>128367</v>
      </c>
      <c r="C17" s="384">
        <v>0.36</v>
      </c>
      <c r="D17" s="385">
        <f t="shared" si="0"/>
        <v>119.27027500000004</v>
      </c>
      <c r="E17" s="386">
        <v>128367</v>
      </c>
      <c r="F17" s="387">
        <v>0.36</v>
      </c>
      <c r="G17" s="385">
        <f t="shared" si="1"/>
        <v>119.27027500000004</v>
      </c>
      <c r="H17" s="386">
        <v>128367</v>
      </c>
      <c r="I17" s="387">
        <v>0.36</v>
      </c>
      <c r="J17" s="388">
        <f t="shared" si="2"/>
        <v>119.27027500000004</v>
      </c>
      <c r="K17" s="383">
        <v>120657</v>
      </c>
      <c r="L17" s="384">
        <v>0.33</v>
      </c>
      <c r="M17" s="389">
        <f t="shared" si="3"/>
        <v>103.6686261029412</v>
      </c>
      <c r="N17" s="386">
        <v>76203</v>
      </c>
      <c r="O17" s="387">
        <v>0.36</v>
      </c>
      <c r="P17" s="388">
        <f t="shared" si="4"/>
        <v>99.248504411764728</v>
      </c>
      <c r="Q17" s="390">
        <v>69000</v>
      </c>
      <c r="R17" s="391">
        <v>0.22</v>
      </c>
      <c r="S17" s="389">
        <f t="shared" si="5"/>
        <v>62.744852941176497</v>
      </c>
    </row>
    <row r="18" spans="2:24" x14ac:dyDescent="0.35">
      <c r="B18" s="383">
        <v>123377</v>
      </c>
      <c r="C18" s="384">
        <v>0.36</v>
      </c>
      <c r="D18" s="385">
        <f t="shared" si="0"/>
        <v>117.35499558823534</v>
      </c>
      <c r="E18" s="386">
        <v>123377</v>
      </c>
      <c r="F18" s="387">
        <v>0.36</v>
      </c>
      <c r="G18" s="385">
        <f t="shared" si="1"/>
        <v>117.35499558823534</v>
      </c>
      <c r="H18" s="386">
        <v>123377</v>
      </c>
      <c r="I18" s="387">
        <v>0.36</v>
      </c>
      <c r="J18" s="388">
        <f t="shared" si="2"/>
        <v>117.35499558823534</v>
      </c>
      <c r="K18" s="383">
        <v>120657</v>
      </c>
      <c r="L18" s="384">
        <v>0.34</v>
      </c>
      <c r="M18" s="389">
        <f t="shared" si="3"/>
        <v>107.88274926470592</v>
      </c>
      <c r="N18" s="386">
        <v>76203</v>
      </c>
      <c r="O18" s="387">
        <v>0.36</v>
      </c>
      <c r="P18" s="388">
        <f t="shared" si="4"/>
        <v>99.248504411764728</v>
      </c>
      <c r="Q18" s="390">
        <v>170000</v>
      </c>
      <c r="R18" s="391">
        <v>0.22</v>
      </c>
      <c r="S18" s="389">
        <f t="shared" si="5"/>
        <v>52.125000000000057</v>
      </c>
    </row>
    <row r="19" spans="2:24" x14ac:dyDescent="0.35">
      <c r="B19" s="383">
        <v>120657</v>
      </c>
      <c r="C19" s="384">
        <v>0.36</v>
      </c>
      <c r="D19" s="385">
        <f t="shared" si="0"/>
        <v>116.31099558823533</v>
      </c>
      <c r="E19" s="386">
        <v>120657</v>
      </c>
      <c r="F19" s="387">
        <v>0.36</v>
      </c>
      <c r="G19" s="385">
        <f t="shared" si="1"/>
        <v>116.31099558823533</v>
      </c>
      <c r="H19" s="386">
        <v>120657</v>
      </c>
      <c r="I19" s="387">
        <v>0.36</v>
      </c>
      <c r="J19" s="388">
        <f t="shared" si="2"/>
        <v>116.31099558823533</v>
      </c>
      <c r="K19" s="383">
        <v>120657</v>
      </c>
      <c r="L19" s="384">
        <v>0.36</v>
      </c>
      <c r="M19" s="389">
        <f t="shared" si="3"/>
        <v>116.31099558823533</v>
      </c>
      <c r="N19" s="386">
        <v>76203</v>
      </c>
      <c r="O19" s="387">
        <v>0.36</v>
      </c>
      <c r="P19" s="388">
        <f t="shared" si="4"/>
        <v>99.248504411764728</v>
      </c>
      <c r="Q19" s="390">
        <v>69000</v>
      </c>
      <c r="R19" s="391">
        <v>0.24</v>
      </c>
      <c r="S19" s="389">
        <f t="shared" si="5"/>
        <v>67.564705882352968</v>
      </c>
    </row>
    <row r="20" spans="2:24" x14ac:dyDescent="0.35">
      <c r="B20" s="383">
        <v>76203</v>
      </c>
      <c r="C20" s="384">
        <v>0.36</v>
      </c>
      <c r="D20" s="385">
        <f t="shared" si="0"/>
        <v>99.248504411764728</v>
      </c>
      <c r="E20" s="386">
        <v>76203</v>
      </c>
      <c r="F20" s="387">
        <v>0.36</v>
      </c>
      <c r="G20" s="385">
        <f t="shared" si="1"/>
        <v>99.248504411764728</v>
      </c>
      <c r="H20" s="386">
        <v>76203</v>
      </c>
      <c r="I20" s="387">
        <v>0.36</v>
      </c>
      <c r="J20" s="388">
        <f t="shared" si="2"/>
        <v>99.248504411764728</v>
      </c>
      <c r="K20" s="383">
        <v>76203</v>
      </c>
      <c r="L20" s="384">
        <v>0.36</v>
      </c>
      <c r="M20" s="389">
        <f t="shared" si="3"/>
        <v>99.248504411764728</v>
      </c>
      <c r="N20" s="386">
        <v>76203</v>
      </c>
      <c r="O20" s="387">
        <v>0.36</v>
      </c>
      <c r="P20" s="388">
        <f t="shared" si="4"/>
        <v>99.248504411764728</v>
      </c>
      <c r="Q20" s="390">
        <v>170000</v>
      </c>
      <c r="R20" s="391">
        <v>0.24</v>
      </c>
      <c r="S20" s="389">
        <f t="shared" si="5"/>
        <v>64.000000000000057</v>
      </c>
    </row>
    <row r="21" spans="2:24" ht="15" thickBot="1" x14ac:dyDescent="0.4">
      <c r="B21" s="383">
        <v>69000</v>
      </c>
      <c r="C21" s="384">
        <v>0.36</v>
      </c>
      <c r="D21" s="385">
        <f t="shared" si="0"/>
        <v>96.483823529411794</v>
      </c>
      <c r="E21" s="386">
        <v>69000</v>
      </c>
      <c r="F21" s="387">
        <v>0.36</v>
      </c>
      <c r="G21" s="385">
        <f t="shared" si="1"/>
        <v>96.483823529411794</v>
      </c>
      <c r="H21" s="386">
        <v>69000</v>
      </c>
      <c r="I21" s="387">
        <v>0.36</v>
      </c>
      <c r="J21" s="388">
        <f t="shared" si="2"/>
        <v>96.483823529411794</v>
      </c>
      <c r="K21" s="383">
        <v>69000</v>
      </c>
      <c r="L21" s="384">
        <v>0.36</v>
      </c>
      <c r="M21" s="389">
        <f t="shared" si="3"/>
        <v>96.483823529411794</v>
      </c>
      <c r="N21" s="392">
        <v>76203</v>
      </c>
      <c r="O21" s="393">
        <v>0.36</v>
      </c>
      <c r="P21" s="388">
        <f t="shared" si="4"/>
        <v>99.248504411764728</v>
      </c>
      <c r="Q21" s="390">
        <v>69000</v>
      </c>
      <c r="R21" s="391">
        <v>0.26</v>
      </c>
      <c r="S21" s="389">
        <f t="shared" si="5"/>
        <v>72.384558823529431</v>
      </c>
    </row>
    <row r="22" spans="2:24" x14ac:dyDescent="0.35">
      <c r="B22" s="4"/>
      <c r="C22" s="1"/>
      <c r="D22" s="1"/>
      <c r="E22" s="1"/>
      <c r="F22" s="1"/>
      <c r="G22" s="1"/>
      <c r="H22" s="1"/>
      <c r="I22" s="1"/>
      <c r="J22" s="382"/>
      <c r="K22" s="383"/>
      <c r="L22" s="394"/>
      <c r="M22" s="2"/>
      <c r="N22" s="395"/>
      <c r="O22" s="79"/>
      <c r="P22" s="79"/>
      <c r="Q22" s="390">
        <v>170000</v>
      </c>
      <c r="R22" s="391">
        <v>0.26</v>
      </c>
      <c r="S22" s="389">
        <f t="shared" si="5"/>
        <v>75.875000000000057</v>
      </c>
      <c r="V22" t="s">
        <v>23422</v>
      </c>
      <c r="W22">
        <v>167211</v>
      </c>
      <c r="X22">
        <f>W22/2.205</f>
        <v>75832.653061224482</v>
      </c>
    </row>
    <row r="23" spans="2:24" x14ac:dyDescent="0.35">
      <c r="B23" s="818" t="s">
        <v>23351</v>
      </c>
      <c r="C23" s="819"/>
      <c r="D23" s="820"/>
      <c r="E23" s="821" t="s">
        <v>23348</v>
      </c>
      <c r="F23" s="819"/>
      <c r="G23" s="820"/>
      <c r="H23" s="821" t="s">
        <v>23349</v>
      </c>
      <c r="I23" s="819"/>
      <c r="J23" s="819"/>
      <c r="K23" s="822" t="s">
        <v>23350</v>
      </c>
      <c r="L23" s="823"/>
      <c r="M23" s="824"/>
      <c r="N23" s="281"/>
      <c r="Q23" s="390">
        <v>69000</v>
      </c>
      <c r="R23" s="391">
        <v>0.28000000000000003</v>
      </c>
      <c r="S23" s="389">
        <f t="shared" si="5"/>
        <v>77.20441176470591</v>
      </c>
      <c r="V23" t="s">
        <v>23423</v>
      </c>
      <c r="W23">
        <v>167237</v>
      </c>
      <c r="X23">
        <f>W23/2.205</f>
        <v>75844.444444444438</v>
      </c>
    </row>
    <row r="24" spans="2:24" x14ac:dyDescent="0.35">
      <c r="B24" s="4" t="s">
        <v>23344</v>
      </c>
      <c r="C24" s="1" t="s">
        <v>23345</v>
      </c>
      <c r="D24" s="1" t="s">
        <v>35</v>
      </c>
      <c r="E24" s="1" t="s">
        <v>23344</v>
      </c>
      <c r="F24" s="1" t="s">
        <v>23345</v>
      </c>
      <c r="G24" s="1" t="s">
        <v>35</v>
      </c>
      <c r="H24" s="1" t="s">
        <v>23344</v>
      </c>
      <c r="I24" s="1" t="s">
        <v>23345</v>
      </c>
      <c r="J24" s="382" t="s">
        <v>35</v>
      </c>
      <c r="K24" s="396" t="s">
        <v>23344</v>
      </c>
      <c r="L24" s="397" t="s">
        <v>23345</v>
      </c>
      <c r="M24" s="2" t="s">
        <v>35</v>
      </c>
      <c r="N24" s="281"/>
      <c r="Q24" s="390">
        <v>170000</v>
      </c>
      <c r="R24" s="391">
        <v>0.28000000000000003</v>
      </c>
      <c r="S24" s="389">
        <f t="shared" si="5"/>
        <v>87.750000000000057</v>
      </c>
    </row>
    <row r="25" spans="2:24" x14ac:dyDescent="0.35">
      <c r="B25" s="383">
        <v>70000</v>
      </c>
      <c r="C25" s="1"/>
      <c r="D25" s="403">
        <v>46</v>
      </c>
      <c r="E25" s="386">
        <v>69000</v>
      </c>
      <c r="F25" s="387">
        <v>0.11</v>
      </c>
      <c r="G25" s="385">
        <f>((E25*(((F25*$V$4)+$V$5)-972.6))/68000)+70</f>
        <v>36.235661764705902</v>
      </c>
      <c r="H25" s="386">
        <v>69000</v>
      </c>
      <c r="I25" s="387">
        <v>0.11</v>
      </c>
      <c r="J25" s="388">
        <f>((H25*(((I25*$V$4)+$V$5)-972.6))/68000)+70</f>
        <v>36.235661764705902</v>
      </c>
      <c r="K25" s="383">
        <v>69000</v>
      </c>
      <c r="L25" s="384">
        <v>0.11</v>
      </c>
      <c r="M25" s="389">
        <f>((K25*(((L25*$V$4)+$V$5)-972.6))/68000)+70</f>
        <v>36.235661764705902</v>
      </c>
      <c r="N25" s="281"/>
      <c r="Q25" s="390">
        <v>69000</v>
      </c>
      <c r="R25" s="391">
        <v>0.3</v>
      </c>
      <c r="S25" s="389">
        <f t="shared" si="5"/>
        <v>82.024264705882374</v>
      </c>
    </row>
    <row r="26" spans="2:24" x14ac:dyDescent="0.35">
      <c r="B26" s="383">
        <v>112946</v>
      </c>
      <c r="C26" s="1"/>
      <c r="D26" s="403">
        <v>26</v>
      </c>
      <c r="E26" s="386">
        <v>76203</v>
      </c>
      <c r="F26" s="387">
        <v>0.11</v>
      </c>
      <c r="G26" s="385">
        <f t="shared" ref="G26:G41" si="7">((E26*(((F26*$V$4)+$V$5)-972.6))/68000)+70</f>
        <v>32.710958455882377</v>
      </c>
      <c r="H26" s="386">
        <v>76203</v>
      </c>
      <c r="I26" s="387">
        <v>0.11</v>
      </c>
      <c r="J26" s="388">
        <f t="shared" ref="J26:J41" si="8">((H26*(((I26*$V$4)+$V$5)-972.6))/68000)+70</f>
        <v>32.710958455882377</v>
      </c>
      <c r="K26" s="383">
        <v>76203</v>
      </c>
      <c r="L26" s="384">
        <v>0.11</v>
      </c>
      <c r="M26" s="389">
        <f t="shared" ref="M26:M41" si="9">((K26*(((L26*$V$4)+$V$5)-972.6))/68000)+70</f>
        <v>32.710958455882377</v>
      </c>
      <c r="N26" s="281"/>
      <c r="Q26" s="390">
        <v>170000</v>
      </c>
      <c r="R26" s="391">
        <v>0.3</v>
      </c>
      <c r="S26" s="389">
        <f t="shared" si="5"/>
        <v>99.625000000000057</v>
      </c>
    </row>
    <row r="27" spans="2:24" x14ac:dyDescent="0.35">
      <c r="B27" s="383">
        <v>112946</v>
      </c>
      <c r="C27" s="1"/>
      <c r="D27" s="403">
        <v>22.5</v>
      </c>
      <c r="E27" s="386">
        <v>113352</v>
      </c>
      <c r="F27" s="387">
        <v>0.11</v>
      </c>
      <c r="G27" s="385">
        <f t="shared" si="7"/>
        <v>14.53253235294121</v>
      </c>
      <c r="H27" s="386">
        <v>113352</v>
      </c>
      <c r="I27" s="387">
        <v>0.11</v>
      </c>
      <c r="J27" s="388">
        <f t="shared" si="8"/>
        <v>14.53253235294121</v>
      </c>
      <c r="K27" s="383">
        <v>114758</v>
      </c>
      <c r="L27" s="384">
        <v>0.11</v>
      </c>
      <c r="M27" s="389">
        <f t="shared" si="9"/>
        <v>13.844522794117687</v>
      </c>
      <c r="N27" s="281"/>
      <c r="Q27" s="390">
        <v>69000</v>
      </c>
      <c r="R27" s="391">
        <v>0.32</v>
      </c>
      <c r="S27" s="389">
        <f t="shared" si="5"/>
        <v>86.844117647058852</v>
      </c>
    </row>
    <row r="28" spans="2:24" x14ac:dyDescent="0.35">
      <c r="B28" s="383">
        <v>127913</v>
      </c>
      <c r="C28" s="1"/>
      <c r="D28" s="403">
        <v>15</v>
      </c>
      <c r="E28" s="386">
        <v>121560</v>
      </c>
      <c r="F28" s="387">
        <v>0.11</v>
      </c>
      <c r="G28" s="385">
        <f t="shared" si="7"/>
        <v>10.516044117647098</v>
      </c>
      <c r="H28" s="386">
        <v>121560</v>
      </c>
      <c r="I28" s="387">
        <v>0.11</v>
      </c>
      <c r="J28" s="388">
        <f t="shared" si="8"/>
        <v>10.516044117647098</v>
      </c>
      <c r="K28" s="383">
        <v>114758</v>
      </c>
      <c r="L28" s="384">
        <v>0.14299999999999999</v>
      </c>
      <c r="M28" s="389">
        <f t="shared" si="9"/>
        <v>27.071226102941175</v>
      </c>
      <c r="N28" s="281"/>
      <c r="Q28" s="390">
        <v>170000</v>
      </c>
      <c r="R28" s="391">
        <v>0.32</v>
      </c>
      <c r="S28" s="389">
        <f t="shared" si="5"/>
        <v>111.50000000000006</v>
      </c>
    </row>
    <row r="29" spans="2:24" x14ac:dyDescent="0.35">
      <c r="B29" s="383">
        <v>146057</v>
      </c>
      <c r="C29" s="1"/>
      <c r="D29" s="403">
        <v>25</v>
      </c>
      <c r="E29" s="386">
        <v>133809</v>
      </c>
      <c r="F29" s="387">
        <v>0.11</v>
      </c>
      <c r="G29" s="385">
        <f t="shared" si="7"/>
        <v>4.5221400735294566</v>
      </c>
      <c r="H29" s="386">
        <v>123377</v>
      </c>
      <c r="I29" s="387">
        <v>0.123</v>
      </c>
      <c r="J29" s="388">
        <f t="shared" si="8"/>
        <v>15.228776654411767</v>
      </c>
      <c r="K29" s="383">
        <v>120657</v>
      </c>
      <c r="L29" s="384">
        <v>0.25900000000000001</v>
      </c>
      <c r="M29" s="389">
        <f t="shared" si="9"/>
        <v>73.748351654411891</v>
      </c>
      <c r="N29" s="281"/>
      <c r="Q29" s="390">
        <v>69000</v>
      </c>
      <c r="R29" s="391">
        <v>0.34</v>
      </c>
      <c r="S29" s="389">
        <f t="shared" si="5"/>
        <v>91.663970588235316</v>
      </c>
    </row>
    <row r="30" spans="2:24" x14ac:dyDescent="0.35">
      <c r="B30" s="383">
        <v>159755</v>
      </c>
      <c r="C30" s="1"/>
      <c r="D30" s="403">
        <v>32.04</v>
      </c>
      <c r="E30" s="386">
        <v>157399</v>
      </c>
      <c r="F30" s="387">
        <v>0.155</v>
      </c>
      <c r="G30" s="385">
        <f t="shared" si="7"/>
        <v>17.716913051470641</v>
      </c>
      <c r="H30" s="386">
        <v>123377</v>
      </c>
      <c r="I30" s="387">
        <v>0.155</v>
      </c>
      <c r="J30" s="388">
        <f t="shared" si="8"/>
        <v>29.017970772058867</v>
      </c>
      <c r="K30" s="383">
        <v>120657</v>
      </c>
      <c r="L30" s="384">
        <v>0.26</v>
      </c>
      <c r="M30" s="389">
        <f t="shared" si="9"/>
        <v>74.169763970588278</v>
      </c>
      <c r="N30" s="281"/>
      <c r="Q30" s="390">
        <v>170000</v>
      </c>
      <c r="R30" s="391">
        <v>0.34</v>
      </c>
      <c r="S30" s="389">
        <f t="shared" si="5"/>
        <v>123.37500000000006</v>
      </c>
    </row>
    <row r="31" spans="2:24" x14ac:dyDescent="0.35">
      <c r="B31" s="383"/>
      <c r="C31" s="1"/>
      <c r="D31" s="403"/>
      <c r="E31" s="386">
        <v>157399</v>
      </c>
      <c r="F31" s="387">
        <v>0.158</v>
      </c>
      <c r="G31" s="385">
        <f t="shared" si="7"/>
        <v>19.36613051470588</v>
      </c>
      <c r="H31" s="386">
        <v>123377</v>
      </c>
      <c r="I31" s="387">
        <v>0.158</v>
      </c>
      <c r="J31" s="388">
        <f t="shared" si="8"/>
        <v>30.310707720588233</v>
      </c>
      <c r="K31" s="383">
        <v>120657</v>
      </c>
      <c r="L31" s="384">
        <v>0.27</v>
      </c>
      <c r="M31" s="389">
        <f t="shared" si="9"/>
        <v>78.383887132352982</v>
      </c>
      <c r="N31" s="281"/>
      <c r="Q31" s="390">
        <v>69000</v>
      </c>
      <c r="R31" s="391">
        <v>0.36</v>
      </c>
      <c r="S31" s="389">
        <f t="shared" si="5"/>
        <v>96.483823529411794</v>
      </c>
    </row>
    <row r="32" spans="2:24" ht="15" thickBot="1" x14ac:dyDescent="0.4">
      <c r="B32" s="383"/>
      <c r="C32" s="1"/>
      <c r="D32" s="403"/>
      <c r="E32" s="386">
        <v>157399</v>
      </c>
      <c r="F32" s="387">
        <v>0.16</v>
      </c>
      <c r="G32" s="385">
        <f t="shared" si="7"/>
        <v>20.465608823529465</v>
      </c>
      <c r="H32" s="386">
        <v>123377</v>
      </c>
      <c r="I32" s="387">
        <v>0.16</v>
      </c>
      <c r="J32" s="388">
        <f t="shared" si="8"/>
        <v>31.172532352941218</v>
      </c>
      <c r="K32" s="383">
        <v>120657</v>
      </c>
      <c r="L32" s="384">
        <v>0.28000000000000003</v>
      </c>
      <c r="M32" s="389">
        <f t="shared" si="9"/>
        <v>82.598010294117685</v>
      </c>
      <c r="N32" s="281"/>
      <c r="Q32" s="398">
        <v>170000</v>
      </c>
      <c r="R32" s="399">
        <v>0.36</v>
      </c>
      <c r="S32" s="389">
        <f t="shared" si="5"/>
        <v>135.25000000000006</v>
      </c>
    </row>
    <row r="33" spans="2:17" x14ac:dyDescent="0.35">
      <c r="B33" s="383">
        <v>157027</v>
      </c>
      <c r="C33" s="1"/>
      <c r="D33" s="403">
        <v>120</v>
      </c>
      <c r="E33" s="386">
        <v>157399</v>
      </c>
      <c r="F33" s="387">
        <v>0.2</v>
      </c>
      <c r="G33" s="385">
        <f t="shared" si="7"/>
        <v>42.455175000000054</v>
      </c>
      <c r="H33" s="386">
        <v>123377</v>
      </c>
      <c r="I33" s="387">
        <v>0.2</v>
      </c>
      <c r="J33" s="388">
        <f t="shared" si="8"/>
        <v>48.409025000000042</v>
      </c>
      <c r="K33" s="390">
        <v>120657</v>
      </c>
      <c r="L33" s="387">
        <v>0.28999999999999998</v>
      </c>
      <c r="M33" s="389">
        <f t="shared" si="9"/>
        <v>86.812133455882389</v>
      </c>
      <c r="N33" s="281"/>
      <c r="Q33" s="400"/>
    </row>
    <row r="34" spans="2:17" x14ac:dyDescent="0.35">
      <c r="B34" s="383">
        <v>140000</v>
      </c>
      <c r="C34" s="1"/>
      <c r="D34" s="403">
        <v>112.5</v>
      </c>
      <c r="E34" s="386">
        <v>157399</v>
      </c>
      <c r="F34" s="387">
        <v>0.25700000000000001</v>
      </c>
      <c r="G34" s="385">
        <f t="shared" si="7"/>
        <v>73.790306801470692</v>
      </c>
      <c r="H34" s="386">
        <v>123377</v>
      </c>
      <c r="I34" s="387">
        <v>0.25700000000000001</v>
      </c>
      <c r="J34" s="388">
        <f t="shared" si="8"/>
        <v>72.971027022058905</v>
      </c>
      <c r="K34" s="390">
        <v>120657</v>
      </c>
      <c r="L34" s="387">
        <v>0.3</v>
      </c>
      <c r="M34" s="389">
        <f t="shared" si="9"/>
        <v>91.026256617647107</v>
      </c>
      <c r="N34" s="281"/>
      <c r="Q34" s="400"/>
    </row>
    <row r="35" spans="2:17" x14ac:dyDescent="0.35">
      <c r="B35" s="383">
        <v>120657</v>
      </c>
      <c r="C35" s="1"/>
      <c r="D35" s="403">
        <v>104.5</v>
      </c>
      <c r="E35" s="386">
        <v>157399</v>
      </c>
      <c r="F35" s="387">
        <v>0.28000000000000003</v>
      </c>
      <c r="G35" s="385">
        <f t="shared" si="7"/>
        <v>86.434307352941232</v>
      </c>
      <c r="H35" s="386">
        <v>123377</v>
      </c>
      <c r="I35" s="387">
        <v>0.28000000000000003</v>
      </c>
      <c r="J35" s="388">
        <f t="shared" si="8"/>
        <v>82.882010294117691</v>
      </c>
      <c r="K35" s="390">
        <v>120657</v>
      </c>
      <c r="L35" s="387">
        <v>0.31</v>
      </c>
      <c r="M35" s="389">
        <f t="shared" si="9"/>
        <v>95.240379779411796</v>
      </c>
      <c r="N35" s="281"/>
      <c r="Q35" s="400"/>
    </row>
    <row r="36" spans="2:17" x14ac:dyDescent="0.35">
      <c r="B36" s="383">
        <v>120657</v>
      </c>
      <c r="C36" s="1"/>
      <c r="D36" s="403">
        <v>99</v>
      </c>
      <c r="E36" s="386">
        <v>154584</v>
      </c>
      <c r="F36" s="387">
        <v>0.36</v>
      </c>
      <c r="G36" s="385">
        <f t="shared" si="7"/>
        <v>129.33297647058828</v>
      </c>
      <c r="H36" s="386">
        <v>123377</v>
      </c>
      <c r="I36" s="387">
        <v>0.28999999999999998</v>
      </c>
      <c r="J36" s="388">
        <f t="shared" si="8"/>
        <v>87.191133455882394</v>
      </c>
      <c r="K36" s="390">
        <v>120657</v>
      </c>
      <c r="L36" s="387">
        <v>0.32</v>
      </c>
      <c r="M36" s="389">
        <f t="shared" si="9"/>
        <v>99.454502941176514</v>
      </c>
      <c r="N36" s="281"/>
      <c r="Q36" s="400"/>
    </row>
    <row r="37" spans="2:17" x14ac:dyDescent="0.35">
      <c r="B37" s="383">
        <v>76203</v>
      </c>
      <c r="C37" s="1"/>
      <c r="D37" s="403">
        <v>86.5</v>
      </c>
      <c r="E37" s="386">
        <v>128367</v>
      </c>
      <c r="F37" s="387">
        <v>0.36</v>
      </c>
      <c r="G37" s="385">
        <f t="shared" si="7"/>
        <v>119.27027500000004</v>
      </c>
      <c r="H37" s="386">
        <v>123377</v>
      </c>
      <c r="I37" s="387">
        <v>0.3</v>
      </c>
      <c r="J37" s="388">
        <f t="shared" si="8"/>
        <v>91.500256617647096</v>
      </c>
      <c r="K37" s="390">
        <v>120657</v>
      </c>
      <c r="L37" s="387">
        <v>0.33</v>
      </c>
      <c r="M37" s="389">
        <f t="shared" si="9"/>
        <v>103.6686261029412</v>
      </c>
      <c r="N37" s="281"/>
    </row>
    <row r="38" spans="2:17" x14ac:dyDescent="0.35">
      <c r="B38" s="383">
        <v>69000</v>
      </c>
      <c r="C38" s="1"/>
      <c r="D38" s="403">
        <v>84.5</v>
      </c>
      <c r="E38" s="386">
        <v>123377</v>
      </c>
      <c r="F38" s="387">
        <v>0.36</v>
      </c>
      <c r="G38" s="385">
        <f t="shared" si="7"/>
        <v>117.35499558823534</v>
      </c>
      <c r="H38" s="386">
        <v>123377</v>
      </c>
      <c r="I38" s="387">
        <v>0.36</v>
      </c>
      <c r="J38" s="388">
        <f t="shared" si="8"/>
        <v>117.35499558823534</v>
      </c>
      <c r="K38" s="390">
        <v>120657</v>
      </c>
      <c r="L38" s="387">
        <v>0.34</v>
      </c>
      <c r="M38" s="389">
        <f t="shared" si="9"/>
        <v>107.88274926470592</v>
      </c>
      <c r="N38" s="281"/>
    </row>
    <row r="39" spans="2:17" x14ac:dyDescent="0.35">
      <c r="B39" s="4"/>
      <c r="C39" s="1"/>
      <c r="D39" s="1"/>
      <c r="E39" s="386">
        <v>120657</v>
      </c>
      <c r="F39" s="387">
        <v>0.36</v>
      </c>
      <c r="G39" s="385">
        <f t="shared" si="7"/>
        <v>116.31099558823533</v>
      </c>
      <c r="H39" s="386">
        <v>120657</v>
      </c>
      <c r="I39" s="387">
        <v>0.36</v>
      </c>
      <c r="J39" s="388">
        <f t="shared" si="8"/>
        <v>116.31099558823533</v>
      </c>
      <c r="K39" s="390">
        <v>120657</v>
      </c>
      <c r="L39" s="387">
        <v>0.36</v>
      </c>
      <c r="M39" s="389">
        <f t="shared" si="9"/>
        <v>116.31099558823533</v>
      </c>
      <c r="N39" s="281"/>
    </row>
    <row r="40" spans="2:17" x14ac:dyDescent="0.35">
      <c r="B40" s="4"/>
      <c r="C40" s="1"/>
      <c r="D40" s="1"/>
      <c r="E40" s="386">
        <v>76203</v>
      </c>
      <c r="F40" s="387">
        <v>0.36</v>
      </c>
      <c r="G40" s="385">
        <f t="shared" si="7"/>
        <v>99.248504411764728</v>
      </c>
      <c r="H40" s="386">
        <v>76203</v>
      </c>
      <c r="I40" s="387">
        <v>0.36</v>
      </c>
      <c r="J40" s="388">
        <f t="shared" si="8"/>
        <v>99.248504411764728</v>
      </c>
      <c r="K40" s="390">
        <v>76203</v>
      </c>
      <c r="L40" s="387">
        <v>0.36</v>
      </c>
      <c r="M40" s="389">
        <f t="shared" si="9"/>
        <v>99.248504411764728</v>
      </c>
      <c r="N40" s="281"/>
    </row>
    <row r="41" spans="2:17" ht="15" thickBot="1" x14ac:dyDescent="0.4">
      <c r="B41" s="5"/>
      <c r="C41" s="3"/>
      <c r="D41" s="3"/>
      <c r="E41" s="401">
        <v>69000</v>
      </c>
      <c r="F41" s="402">
        <v>0.36</v>
      </c>
      <c r="G41" s="385">
        <f t="shared" si="7"/>
        <v>96.483823529411794</v>
      </c>
      <c r="H41" s="401">
        <v>69000</v>
      </c>
      <c r="I41" s="402">
        <v>0.36</v>
      </c>
      <c r="J41" s="388">
        <f t="shared" si="8"/>
        <v>96.483823529411794</v>
      </c>
      <c r="K41" s="398">
        <v>69000</v>
      </c>
      <c r="L41" s="402">
        <v>0.36</v>
      </c>
      <c r="M41" s="389">
        <f t="shared" si="9"/>
        <v>96.483823529411794</v>
      </c>
      <c r="N41" s="281"/>
    </row>
  </sheetData>
  <mergeCells count="10">
    <mergeCell ref="N3:P3"/>
    <mergeCell ref="Q3:S3"/>
    <mergeCell ref="B23:D23"/>
    <mergeCell ref="E23:G23"/>
    <mergeCell ref="H23:J23"/>
    <mergeCell ref="K23:M23"/>
    <mergeCell ref="B3:D3"/>
    <mergeCell ref="E3:G3"/>
    <mergeCell ref="H3:J3"/>
    <mergeCell ref="K3:M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C629B-BBD3-4131-BCEA-704FFBB8F8C5}">
  <sheetPr codeName="Sheet3"/>
  <dimension ref="B1:BI174"/>
  <sheetViews>
    <sheetView workbookViewId="0">
      <selection activeCell="I68" sqref="I68"/>
    </sheetView>
  </sheetViews>
  <sheetFormatPr defaultRowHeight="14.5" x14ac:dyDescent="0.35"/>
  <cols>
    <col min="2" max="2" width="9.08984375" customWidth="1"/>
    <col min="3" max="3" width="11.36328125" customWidth="1"/>
    <col min="6" max="6" width="12.6328125" bestFit="1" customWidth="1"/>
    <col min="7" max="7" width="7.90625" bestFit="1" customWidth="1"/>
    <col min="10" max="10" width="9.54296875" bestFit="1" customWidth="1"/>
    <col min="13" max="13" width="9.08984375" customWidth="1"/>
    <col min="15" max="15" width="9.36328125" customWidth="1"/>
    <col min="16" max="16" width="7.6328125" bestFit="1" customWidth="1"/>
    <col min="17" max="17" width="10.54296875" customWidth="1"/>
    <col min="19" max="19" width="9.36328125" customWidth="1"/>
    <col min="22" max="22" width="9.36328125" customWidth="1"/>
    <col min="23" max="23" width="8.7265625" bestFit="1" customWidth="1"/>
  </cols>
  <sheetData>
    <row r="1" spans="2:59" s="195" customFormat="1" x14ac:dyDescent="0.35">
      <c r="G1" s="828" t="s">
        <v>32</v>
      </c>
      <c r="H1" s="828"/>
      <c r="I1" s="828"/>
      <c r="J1" s="828"/>
      <c r="K1" s="828"/>
      <c r="L1" s="828"/>
      <c r="M1" s="828"/>
      <c r="N1" s="828"/>
      <c r="O1" s="828"/>
      <c r="P1" s="828"/>
      <c r="Q1" s="828"/>
      <c r="R1" s="828"/>
      <c r="S1" s="828"/>
      <c r="T1" s="828"/>
      <c r="U1" s="828"/>
      <c r="V1" s="828"/>
      <c r="W1" s="828"/>
      <c r="X1" s="828"/>
      <c r="Y1" s="828"/>
      <c r="Z1" s="828"/>
      <c r="AA1" s="828"/>
      <c r="AB1" s="828"/>
      <c r="AC1" s="828"/>
      <c r="AD1" s="828"/>
      <c r="AE1" s="828"/>
      <c r="AF1" s="828"/>
      <c r="AG1" s="828"/>
    </row>
    <row r="2" spans="2:59" x14ac:dyDescent="0.35">
      <c r="G2" s="827" t="s">
        <v>23156</v>
      </c>
      <c r="H2" s="827"/>
      <c r="I2" s="827"/>
      <c r="J2" s="827"/>
      <c r="K2" s="827"/>
      <c r="L2" s="827"/>
      <c r="M2" s="827"/>
      <c r="N2" s="827"/>
      <c r="O2" s="827"/>
      <c r="P2" s="827"/>
      <c r="Q2" s="827"/>
      <c r="R2" s="827"/>
      <c r="S2" s="827"/>
      <c r="T2" s="827"/>
      <c r="U2" s="827"/>
      <c r="V2" s="827"/>
      <c r="W2" s="827"/>
      <c r="X2" s="827"/>
      <c r="Y2" s="827"/>
      <c r="Z2" s="827"/>
      <c r="AA2" s="827"/>
      <c r="AB2" s="827"/>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row>
    <row r="3" spans="2:59" x14ac:dyDescent="0.35">
      <c r="B3" t="s">
        <v>65</v>
      </c>
      <c r="C3" t="s">
        <v>23332</v>
      </c>
      <c r="E3" t="s">
        <v>23222</v>
      </c>
      <c r="F3" t="s">
        <v>65</v>
      </c>
      <c r="G3">
        <v>100</v>
      </c>
      <c r="H3">
        <v>200</v>
      </c>
      <c r="I3">
        <v>300</v>
      </c>
      <c r="J3">
        <v>400</v>
      </c>
      <c r="K3">
        <v>500</v>
      </c>
      <c r="L3">
        <v>600</v>
      </c>
      <c r="M3">
        <v>700</v>
      </c>
      <c r="N3">
        <v>800</v>
      </c>
      <c r="O3">
        <v>900</v>
      </c>
      <c r="P3">
        <v>1000</v>
      </c>
      <c r="Q3">
        <v>1100</v>
      </c>
      <c r="R3">
        <v>1200</v>
      </c>
      <c r="S3">
        <v>1300</v>
      </c>
      <c r="T3">
        <v>1400</v>
      </c>
      <c r="U3">
        <v>1500</v>
      </c>
      <c r="V3">
        <v>1600</v>
      </c>
      <c r="W3">
        <v>1700</v>
      </c>
      <c r="X3">
        <v>1800</v>
      </c>
      <c r="Y3">
        <v>1900</v>
      </c>
      <c r="Z3">
        <v>2000</v>
      </c>
      <c r="AA3">
        <v>2100</v>
      </c>
      <c r="AB3">
        <v>2200</v>
      </c>
      <c r="AC3">
        <v>2300</v>
      </c>
      <c r="AD3">
        <v>2400</v>
      </c>
      <c r="AE3">
        <v>2500</v>
      </c>
      <c r="AF3">
        <v>2600</v>
      </c>
      <c r="AG3">
        <v>2700</v>
      </c>
      <c r="AH3">
        <v>2800</v>
      </c>
      <c r="AI3">
        <v>2900</v>
      </c>
      <c r="AJ3">
        <v>3000</v>
      </c>
      <c r="AK3">
        <v>3100</v>
      </c>
      <c r="AL3">
        <v>3200</v>
      </c>
      <c r="AM3">
        <v>3300</v>
      </c>
      <c r="AN3">
        <v>3400</v>
      </c>
      <c r="AO3">
        <v>3500</v>
      </c>
      <c r="AP3">
        <v>3600</v>
      </c>
      <c r="AQ3">
        <v>3700</v>
      </c>
      <c r="AR3">
        <v>3800</v>
      </c>
      <c r="AS3">
        <v>3900</v>
      </c>
      <c r="AT3">
        <v>4000</v>
      </c>
      <c r="AU3">
        <v>4100</v>
      </c>
      <c r="AV3">
        <v>4200</v>
      </c>
      <c r="AW3">
        <v>4300</v>
      </c>
      <c r="AX3">
        <v>4400</v>
      </c>
      <c r="AY3">
        <v>4500</v>
      </c>
      <c r="AZ3">
        <v>4600</v>
      </c>
      <c r="BA3">
        <v>4700</v>
      </c>
      <c r="BB3">
        <v>4800</v>
      </c>
      <c r="BC3">
        <v>4900</v>
      </c>
      <c r="BD3">
        <v>5000</v>
      </c>
      <c r="BE3">
        <v>5100</v>
      </c>
      <c r="BF3">
        <v>5200</v>
      </c>
      <c r="BG3">
        <v>5262</v>
      </c>
    </row>
    <row r="4" spans="2:59" x14ac:dyDescent="0.35">
      <c r="B4" t="s">
        <v>23146</v>
      </c>
      <c r="C4">
        <v>431.45</v>
      </c>
      <c r="F4" t="s">
        <v>23149</v>
      </c>
      <c r="G4">
        <v>-0.82</v>
      </c>
      <c r="H4">
        <v>-1.63</v>
      </c>
      <c r="I4">
        <v>-2.4500000000000002</v>
      </c>
      <c r="J4">
        <v>-3.27</v>
      </c>
      <c r="K4">
        <v>-4.09</v>
      </c>
      <c r="L4">
        <v>-4.9000000000000004</v>
      </c>
      <c r="M4">
        <v>-5.72</v>
      </c>
      <c r="N4">
        <v>-6.54</v>
      </c>
      <c r="O4">
        <v>-7.35</v>
      </c>
      <c r="P4">
        <v>-8.17</v>
      </c>
      <c r="Q4">
        <v>-8.99</v>
      </c>
      <c r="R4">
        <v>-9.81</v>
      </c>
      <c r="S4">
        <v>-10.62</v>
      </c>
      <c r="T4">
        <v>-11.44</v>
      </c>
      <c r="U4">
        <v>-12.26</v>
      </c>
      <c r="V4">
        <v>-13.07</v>
      </c>
      <c r="W4">
        <v>-13.89</v>
      </c>
      <c r="X4">
        <v>-14.71</v>
      </c>
      <c r="Y4">
        <v>-15.53</v>
      </c>
      <c r="Z4">
        <v>-16.34</v>
      </c>
      <c r="AA4">
        <v>-17.16</v>
      </c>
      <c r="AB4">
        <v>-17.98</v>
      </c>
      <c r="AC4">
        <v>-18.79</v>
      </c>
      <c r="AD4">
        <v>-19.61</v>
      </c>
      <c r="AE4">
        <v>-20.43</v>
      </c>
      <c r="AF4">
        <v>-21.25</v>
      </c>
      <c r="AG4">
        <v>-22.06</v>
      </c>
      <c r="AH4">
        <v>-22.88</v>
      </c>
      <c r="AI4">
        <v>-23.7</v>
      </c>
      <c r="AJ4">
        <v>-24.51</v>
      </c>
      <c r="AK4">
        <v>-25.33</v>
      </c>
      <c r="AL4">
        <v>-26.15</v>
      </c>
      <c r="AM4">
        <v>-26.97</v>
      </c>
      <c r="AN4">
        <v>-27.78</v>
      </c>
      <c r="AO4">
        <v>-28.6</v>
      </c>
      <c r="AP4">
        <v>-29.42</v>
      </c>
      <c r="AQ4">
        <v>-30.23</v>
      </c>
      <c r="AR4">
        <v>-30.56</v>
      </c>
    </row>
    <row r="5" spans="2:59" x14ac:dyDescent="0.35">
      <c r="B5" t="s">
        <v>23159</v>
      </c>
      <c r="C5">
        <v>559.45000000000005</v>
      </c>
      <c r="F5" t="s">
        <v>23200</v>
      </c>
      <c r="G5">
        <v>-0.63</v>
      </c>
      <c r="H5">
        <v>-1.26</v>
      </c>
      <c r="I5">
        <v>-1.89</v>
      </c>
      <c r="J5">
        <v>-2.52</v>
      </c>
      <c r="K5">
        <v>-3.14</v>
      </c>
      <c r="L5">
        <v>-3.77</v>
      </c>
      <c r="M5">
        <v>-4.4000000000000004</v>
      </c>
      <c r="N5">
        <v>-5.03</v>
      </c>
      <c r="O5">
        <v>-5.66</v>
      </c>
      <c r="P5">
        <v>-6.29</v>
      </c>
      <c r="Q5">
        <v>-6.92</v>
      </c>
      <c r="R5">
        <v>-7.55</v>
      </c>
      <c r="S5">
        <v>-8.18</v>
      </c>
      <c r="T5">
        <v>-8.8000000000000007</v>
      </c>
      <c r="U5">
        <v>-9.43</v>
      </c>
      <c r="V5">
        <v>-10.06</v>
      </c>
      <c r="W5">
        <v>-10.69</v>
      </c>
      <c r="X5">
        <v>-11.32</v>
      </c>
      <c r="Y5">
        <v>-11.95</v>
      </c>
      <c r="Z5">
        <v>-12.58</v>
      </c>
      <c r="AA5">
        <v>-13.21</v>
      </c>
      <c r="AB5">
        <v>-13.84</v>
      </c>
      <c r="AC5">
        <v>-14.46</v>
      </c>
      <c r="AD5">
        <v>-15.09</v>
      </c>
      <c r="AE5">
        <v>-15.72</v>
      </c>
      <c r="AF5">
        <v>-16.350000000000001</v>
      </c>
      <c r="AG5">
        <v>-16.98</v>
      </c>
      <c r="AH5">
        <v>-17.61</v>
      </c>
      <c r="AI5">
        <v>-18.239999999999998</v>
      </c>
      <c r="AJ5">
        <v>-18.87</v>
      </c>
      <c r="AK5">
        <v>-19.5</v>
      </c>
      <c r="AL5">
        <v>-20.12</v>
      </c>
      <c r="AM5">
        <v>-20.75</v>
      </c>
      <c r="AN5">
        <v>-21.38</v>
      </c>
      <c r="AO5">
        <v>-22.01</v>
      </c>
      <c r="AP5">
        <v>-22.64</v>
      </c>
      <c r="AQ5">
        <v>-23.27</v>
      </c>
      <c r="AR5">
        <v>-23.52</v>
      </c>
    </row>
    <row r="6" spans="2:59" x14ac:dyDescent="0.35">
      <c r="B6" t="s">
        <v>23160</v>
      </c>
      <c r="C6">
        <v>687.45</v>
      </c>
      <c r="F6" t="s">
        <v>23201</v>
      </c>
      <c r="G6">
        <v>-0.44</v>
      </c>
      <c r="H6">
        <v>-0.88</v>
      </c>
      <c r="I6">
        <v>-1.32</v>
      </c>
      <c r="J6">
        <v>-1.76</v>
      </c>
      <c r="K6">
        <v>-2.2000000000000002</v>
      </c>
      <c r="L6">
        <v>-2.64</v>
      </c>
      <c r="M6">
        <v>-3.08</v>
      </c>
      <c r="N6">
        <v>-3.53</v>
      </c>
      <c r="O6">
        <v>-3.97</v>
      </c>
      <c r="P6">
        <v>-4.41</v>
      </c>
      <c r="Q6">
        <v>-4.8499999999999996</v>
      </c>
      <c r="R6">
        <v>-5.29</v>
      </c>
      <c r="S6">
        <v>-5.73</v>
      </c>
      <c r="T6">
        <v>-6.17</v>
      </c>
      <c r="U6">
        <v>-6.61</v>
      </c>
      <c r="V6">
        <v>-7.05</v>
      </c>
      <c r="W6">
        <v>-7.49</v>
      </c>
      <c r="X6">
        <v>-7.93</v>
      </c>
      <c r="Y6">
        <v>-8.3699999999999992</v>
      </c>
      <c r="Z6">
        <v>-8.81</v>
      </c>
      <c r="AA6">
        <v>-9.25</v>
      </c>
      <c r="AB6">
        <v>-9.69</v>
      </c>
      <c r="AC6">
        <v>-10.14</v>
      </c>
      <c r="AD6">
        <v>-10.58</v>
      </c>
      <c r="AE6">
        <v>-11.02</v>
      </c>
      <c r="AF6">
        <v>-11.46</v>
      </c>
      <c r="AG6">
        <v>-11.9</v>
      </c>
      <c r="AH6">
        <v>-12.34</v>
      </c>
      <c r="AI6">
        <v>-12.78</v>
      </c>
      <c r="AJ6">
        <v>-13.22</v>
      </c>
      <c r="AK6">
        <v>-13.66</v>
      </c>
      <c r="AL6">
        <v>-14.1</v>
      </c>
      <c r="AM6">
        <v>-14.54</v>
      </c>
      <c r="AN6">
        <v>-14.98</v>
      </c>
      <c r="AO6">
        <v>-15.42</v>
      </c>
      <c r="AP6">
        <v>-15.86</v>
      </c>
      <c r="AQ6">
        <v>-16.3</v>
      </c>
      <c r="AR6">
        <v>-16.48</v>
      </c>
    </row>
    <row r="7" spans="2:59" x14ac:dyDescent="0.35">
      <c r="B7" t="s">
        <v>23161</v>
      </c>
      <c r="C7">
        <v>813.45</v>
      </c>
      <c r="F7" t="s">
        <v>23202</v>
      </c>
      <c r="G7">
        <v>-0.3</v>
      </c>
      <c r="H7">
        <v>-0.6</v>
      </c>
      <c r="I7">
        <v>-0.89</v>
      </c>
      <c r="J7">
        <v>-1.19</v>
      </c>
      <c r="K7">
        <v>-1.49</v>
      </c>
      <c r="L7">
        <v>-1.79</v>
      </c>
      <c r="M7">
        <v>-2.09</v>
      </c>
      <c r="N7">
        <v>-2.38</v>
      </c>
      <c r="O7">
        <v>-2.68</v>
      </c>
      <c r="P7">
        <v>-2.98</v>
      </c>
      <c r="Q7">
        <v>-3.28</v>
      </c>
      <c r="R7">
        <v>-3.58</v>
      </c>
      <c r="S7">
        <v>-3.87</v>
      </c>
      <c r="T7">
        <v>-4.17</v>
      </c>
      <c r="U7">
        <v>-4.47</v>
      </c>
      <c r="V7">
        <v>-4.7699999999999996</v>
      </c>
      <c r="W7">
        <v>-5.07</v>
      </c>
      <c r="X7">
        <v>-5.36</v>
      </c>
      <c r="Y7">
        <v>-5.66</v>
      </c>
      <c r="Z7">
        <v>-5.96</v>
      </c>
      <c r="AA7">
        <v>-6.26</v>
      </c>
      <c r="AB7">
        <v>-6.56</v>
      </c>
      <c r="AC7">
        <v>-6.85</v>
      </c>
      <c r="AD7">
        <v>-7.15</v>
      </c>
      <c r="AE7">
        <v>-7.45</v>
      </c>
      <c r="AF7">
        <v>-7.75</v>
      </c>
      <c r="AG7">
        <v>-8.0500000000000007</v>
      </c>
      <c r="AH7">
        <v>-8.34</v>
      </c>
      <c r="AI7">
        <v>-8.64</v>
      </c>
      <c r="AJ7">
        <v>-8.94</v>
      </c>
      <c r="AK7">
        <v>-9.24</v>
      </c>
      <c r="AL7">
        <v>-9.5399999999999991</v>
      </c>
      <c r="AM7">
        <v>-9.83</v>
      </c>
      <c r="AN7">
        <v>-10.130000000000001</v>
      </c>
      <c r="AO7">
        <v>-10.43</v>
      </c>
      <c r="AP7">
        <v>-10.73</v>
      </c>
      <c r="AQ7">
        <v>-11.03</v>
      </c>
      <c r="AR7">
        <v>-11.32</v>
      </c>
      <c r="AS7">
        <v>-11.62</v>
      </c>
      <c r="AT7">
        <v>-11.92</v>
      </c>
      <c r="AU7">
        <v>-12.22</v>
      </c>
      <c r="AV7">
        <v>-12.52</v>
      </c>
      <c r="AW7">
        <v>-12.81</v>
      </c>
      <c r="AX7">
        <v>-13.11</v>
      </c>
      <c r="AY7">
        <v>-13.41</v>
      </c>
      <c r="AZ7">
        <v>-13.71</v>
      </c>
      <c r="BA7">
        <v>-14.01</v>
      </c>
      <c r="BB7">
        <v>-14.3</v>
      </c>
      <c r="BC7">
        <v>-14.6</v>
      </c>
      <c r="BD7">
        <v>-14.9</v>
      </c>
      <c r="BE7">
        <v>-15.2</v>
      </c>
      <c r="BF7">
        <v>-15.5</v>
      </c>
      <c r="BG7">
        <v>-15.68</v>
      </c>
    </row>
    <row r="8" spans="2:59" x14ac:dyDescent="0.35">
      <c r="B8" t="s">
        <v>23162</v>
      </c>
      <c r="C8">
        <v>939.45</v>
      </c>
      <c r="F8" t="s">
        <v>23203</v>
      </c>
      <c r="G8">
        <v>-0.16</v>
      </c>
      <c r="H8">
        <v>-0.31</v>
      </c>
      <c r="I8">
        <v>-0.47</v>
      </c>
      <c r="J8">
        <v>-0.62</v>
      </c>
      <c r="K8">
        <v>-0.78</v>
      </c>
      <c r="L8">
        <v>-0.93</v>
      </c>
      <c r="M8">
        <v>-1.0900000000000001</v>
      </c>
      <c r="N8">
        <v>-1.24</v>
      </c>
      <c r="O8">
        <v>-1.4</v>
      </c>
      <c r="P8">
        <v>-1.55</v>
      </c>
      <c r="Q8">
        <v>-1.71</v>
      </c>
      <c r="R8">
        <v>-1.86</v>
      </c>
      <c r="S8">
        <v>-2.02</v>
      </c>
      <c r="T8">
        <v>-2.1800000000000002</v>
      </c>
      <c r="U8">
        <v>-2.33</v>
      </c>
      <c r="V8">
        <v>-2.4900000000000002</v>
      </c>
      <c r="W8">
        <v>-2.64</v>
      </c>
      <c r="X8">
        <v>-2.8</v>
      </c>
      <c r="Y8">
        <v>-2.95</v>
      </c>
      <c r="Z8">
        <v>-3.11</v>
      </c>
      <c r="AA8">
        <v>-3.26</v>
      </c>
      <c r="AB8">
        <v>-3.42</v>
      </c>
      <c r="AC8">
        <v>-3.57</v>
      </c>
      <c r="AD8">
        <v>-3.73</v>
      </c>
      <c r="AE8">
        <v>-3.88</v>
      </c>
      <c r="AF8">
        <v>-4.04</v>
      </c>
      <c r="AG8">
        <v>-4.1900000000000004</v>
      </c>
      <c r="AH8">
        <v>-4.3499999999999996</v>
      </c>
      <c r="AI8">
        <v>-4.51</v>
      </c>
      <c r="AJ8">
        <v>-4.66</v>
      </c>
      <c r="AK8">
        <v>-4.82</v>
      </c>
      <c r="AL8">
        <v>-4.97</v>
      </c>
      <c r="AM8">
        <v>-5.13</v>
      </c>
      <c r="AN8">
        <v>-5.28</v>
      </c>
      <c r="AO8">
        <v>-5.44</v>
      </c>
      <c r="AP8">
        <v>-5.59</v>
      </c>
      <c r="AQ8">
        <v>-5.75</v>
      </c>
      <c r="AR8">
        <v>-5.9</v>
      </c>
      <c r="AS8">
        <v>-6.06</v>
      </c>
      <c r="AT8">
        <v>-6.21</v>
      </c>
      <c r="AU8">
        <v>-6.37</v>
      </c>
      <c r="AV8">
        <v>-6.53</v>
      </c>
      <c r="AW8">
        <v>-6.68</v>
      </c>
      <c r="AX8">
        <v>-6.84</v>
      </c>
      <c r="AY8">
        <v>-6.99</v>
      </c>
      <c r="AZ8">
        <v>-7.15</v>
      </c>
      <c r="BA8">
        <v>-7.3</v>
      </c>
      <c r="BB8">
        <v>-7.46</v>
      </c>
      <c r="BC8">
        <v>-7.61</v>
      </c>
      <c r="BD8">
        <v>-7.77</v>
      </c>
      <c r="BE8">
        <v>-7.92</v>
      </c>
      <c r="BF8">
        <v>-8.08</v>
      </c>
      <c r="BG8">
        <v>-8.18</v>
      </c>
    </row>
    <row r="9" spans="2:59" x14ac:dyDescent="0.35">
      <c r="B9" t="s">
        <v>23163</v>
      </c>
      <c r="C9">
        <v>1065.45</v>
      </c>
      <c r="F9" t="s">
        <v>23204</v>
      </c>
      <c r="G9">
        <v>-0.01</v>
      </c>
      <c r="H9">
        <v>-0.03</v>
      </c>
      <c r="I9">
        <v>-0.04</v>
      </c>
      <c r="J9">
        <v>-0.05</v>
      </c>
      <c r="K9">
        <v>-0.06</v>
      </c>
      <c r="L9">
        <v>-0.08</v>
      </c>
      <c r="M9">
        <v>-0.09</v>
      </c>
      <c r="N9">
        <v>-0.1</v>
      </c>
      <c r="O9">
        <v>-0.11</v>
      </c>
      <c r="P9">
        <v>-0.13</v>
      </c>
      <c r="Q9">
        <v>-0.14000000000000001</v>
      </c>
      <c r="R9">
        <v>-0.15</v>
      </c>
      <c r="S9">
        <v>-0.17</v>
      </c>
      <c r="T9">
        <v>-0.18</v>
      </c>
      <c r="U9">
        <v>-0.19</v>
      </c>
      <c r="V9">
        <v>-0.2</v>
      </c>
      <c r="W9">
        <v>-0.22</v>
      </c>
      <c r="X9">
        <v>-0.23</v>
      </c>
      <c r="Y9">
        <v>-0.24</v>
      </c>
      <c r="Z9">
        <v>-0.25</v>
      </c>
      <c r="AA9">
        <v>-0.27</v>
      </c>
      <c r="AB9">
        <v>-0.28000000000000003</v>
      </c>
      <c r="AC9">
        <v>-0.28999999999999998</v>
      </c>
      <c r="AD9">
        <v>-0.31</v>
      </c>
      <c r="AE9">
        <v>-0.32</v>
      </c>
      <c r="AF9">
        <v>-0.33</v>
      </c>
      <c r="AG9">
        <v>-0.34</v>
      </c>
      <c r="AH9">
        <v>-0.36</v>
      </c>
      <c r="AI9">
        <v>-0.37</v>
      </c>
      <c r="AJ9">
        <v>-0.38</v>
      </c>
      <c r="AK9">
        <v>-0.39</v>
      </c>
      <c r="AL9">
        <v>-0.41</v>
      </c>
      <c r="AM9">
        <v>-0.42</v>
      </c>
      <c r="AN9">
        <v>-0.43</v>
      </c>
      <c r="AO9">
        <v>-0.45</v>
      </c>
      <c r="AP9">
        <v>-0.46</v>
      </c>
      <c r="AQ9">
        <v>-0.47</v>
      </c>
      <c r="AR9">
        <v>-0.48</v>
      </c>
      <c r="AS9">
        <v>-0.5</v>
      </c>
      <c r="AT9">
        <v>-0.51</v>
      </c>
      <c r="AU9">
        <v>-0.52</v>
      </c>
      <c r="AV9">
        <v>-0.53</v>
      </c>
      <c r="AW9">
        <v>-0.55000000000000004</v>
      </c>
      <c r="AX9">
        <v>-0.56000000000000005</v>
      </c>
      <c r="AY9">
        <v>-0.56999999999999995</v>
      </c>
      <c r="AZ9">
        <v>-0.59</v>
      </c>
      <c r="BA9">
        <v>-0.6</v>
      </c>
      <c r="BB9">
        <v>-0.61</v>
      </c>
      <c r="BC9">
        <v>-0.62</v>
      </c>
      <c r="BD9">
        <v>-0.64</v>
      </c>
      <c r="BE9">
        <v>-0.65</v>
      </c>
      <c r="BF9">
        <v>-0.66</v>
      </c>
      <c r="BG9">
        <v>-0.67</v>
      </c>
    </row>
    <row r="10" spans="2:59" x14ac:dyDescent="0.35">
      <c r="B10" t="s">
        <v>23164</v>
      </c>
      <c r="C10">
        <v>1191.45</v>
      </c>
      <c r="F10" t="s">
        <v>23205</v>
      </c>
      <c r="G10">
        <v>0.13</v>
      </c>
      <c r="H10">
        <v>0.26</v>
      </c>
      <c r="I10">
        <v>0.39</v>
      </c>
      <c r="J10">
        <v>0.52</v>
      </c>
      <c r="K10">
        <v>0.65</v>
      </c>
      <c r="L10">
        <v>0.78</v>
      </c>
      <c r="M10">
        <v>0.91</v>
      </c>
      <c r="N10">
        <v>1.04</v>
      </c>
      <c r="O10">
        <v>1.17</v>
      </c>
      <c r="P10">
        <v>1.3</v>
      </c>
      <c r="Q10">
        <v>1.43</v>
      </c>
      <c r="R10">
        <v>1.56</v>
      </c>
      <c r="S10">
        <v>1.69</v>
      </c>
      <c r="T10">
        <v>1.82</v>
      </c>
      <c r="U10">
        <v>1.95</v>
      </c>
      <c r="V10">
        <v>2.08</v>
      </c>
      <c r="W10">
        <v>2.21</v>
      </c>
      <c r="X10">
        <v>2.34</v>
      </c>
      <c r="Y10">
        <v>2.4700000000000002</v>
      </c>
      <c r="Z10">
        <v>2.6</v>
      </c>
      <c r="AA10">
        <v>2.73</v>
      </c>
      <c r="AB10">
        <v>2.86</v>
      </c>
      <c r="AC10">
        <v>2.99</v>
      </c>
      <c r="AD10">
        <v>3.12</v>
      </c>
      <c r="AE10">
        <v>3.25</v>
      </c>
      <c r="AF10">
        <v>3.38</v>
      </c>
      <c r="AG10">
        <v>3.51</v>
      </c>
      <c r="AH10">
        <v>3.64</v>
      </c>
      <c r="AI10">
        <v>3.77</v>
      </c>
      <c r="AJ10">
        <v>3.9</v>
      </c>
      <c r="AK10">
        <v>4.03</v>
      </c>
      <c r="AL10">
        <v>4.16</v>
      </c>
      <c r="AM10">
        <v>4.29</v>
      </c>
      <c r="AN10">
        <v>4.42</v>
      </c>
      <c r="AO10">
        <v>4.55</v>
      </c>
      <c r="AP10">
        <v>4.68</v>
      </c>
      <c r="AQ10">
        <v>4.8099999999999996</v>
      </c>
      <c r="AR10">
        <v>4.8600000000000003</v>
      </c>
    </row>
    <row r="11" spans="2:59" x14ac:dyDescent="0.35">
      <c r="B11" t="s">
        <v>23165</v>
      </c>
      <c r="C11">
        <v>1317.45</v>
      </c>
      <c r="F11" t="s">
        <v>23206</v>
      </c>
      <c r="G11">
        <v>0.27</v>
      </c>
      <c r="H11">
        <v>0.55000000000000004</v>
      </c>
      <c r="I11">
        <v>0.82</v>
      </c>
      <c r="J11">
        <v>1.0900000000000001</v>
      </c>
      <c r="K11">
        <v>1.36</v>
      </c>
      <c r="L11">
        <v>1.64</v>
      </c>
      <c r="M11">
        <v>1.91</v>
      </c>
      <c r="N11">
        <v>2.1800000000000002</v>
      </c>
      <c r="O11">
        <v>2.4500000000000002</v>
      </c>
      <c r="P11">
        <v>2.73</v>
      </c>
      <c r="Q11">
        <v>3</v>
      </c>
      <c r="R11">
        <v>3.27</v>
      </c>
      <c r="S11">
        <v>3.54</v>
      </c>
      <c r="T11">
        <v>3.82</v>
      </c>
      <c r="U11">
        <v>4.09</v>
      </c>
      <c r="V11">
        <v>4.3600000000000003</v>
      </c>
      <c r="W11">
        <v>4.63</v>
      </c>
      <c r="X11">
        <v>4.91</v>
      </c>
      <c r="Y11">
        <v>5.18</v>
      </c>
      <c r="Z11">
        <v>5.45</v>
      </c>
      <c r="AA11">
        <v>5.72</v>
      </c>
      <c r="AB11">
        <v>6</v>
      </c>
      <c r="AC11">
        <v>6.27</v>
      </c>
      <c r="AD11">
        <v>6.54</v>
      </c>
      <c r="AE11">
        <v>6.81</v>
      </c>
      <c r="AF11">
        <v>7.09</v>
      </c>
      <c r="AG11">
        <v>7.36</v>
      </c>
      <c r="AH11">
        <v>7.63</v>
      </c>
      <c r="AI11">
        <v>7.9</v>
      </c>
      <c r="AJ11">
        <v>8.18</v>
      </c>
      <c r="AK11">
        <v>8.4499999999999993</v>
      </c>
      <c r="AL11">
        <v>8.7200000000000006</v>
      </c>
      <c r="AM11">
        <v>8.99</v>
      </c>
      <c r="AN11">
        <v>9.27</v>
      </c>
      <c r="AO11">
        <v>9.5399999999999991</v>
      </c>
      <c r="AP11">
        <v>9.81</v>
      </c>
      <c r="AQ11">
        <v>10.09</v>
      </c>
      <c r="AR11">
        <v>10.19</v>
      </c>
    </row>
    <row r="12" spans="2:59" x14ac:dyDescent="0.35">
      <c r="B12" t="s">
        <v>23166</v>
      </c>
      <c r="C12">
        <v>1443.45</v>
      </c>
      <c r="F12" t="s">
        <v>23207</v>
      </c>
      <c r="G12">
        <v>0.42</v>
      </c>
      <c r="H12">
        <v>0.83</v>
      </c>
      <c r="I12">
        <v>1.25</v>
      </c>
      <c r="J12">
        <v>1.66</v>
      </c>
      <c r="K12">
        <v>2.08</v>
      </c>
      <c r="L12">
        <v>2.4900000000000002</v>
      </c>
      <c r="M12">
        <v>2.91</v>
      </c>
      <c r="N12">
        <v>3.32</v>
      </c>
      <c r="O12">
        <v>3.74</v>
      </c>
      <c r="P12">
        <v>4.1500000000000004</v>
      </c>
      <c r="Q12">
        <v>4.57</v>
      </c>
      <c r="R12">
        <v>4.9800000000000004</v>
      </c>
      <c r="S12">
        <v>5.4</v>
      </c>
      <c r="T12">
        <v>5.81</v>
      </c>
      <c r="U12">
        <v>6.23</v>
      </c>
      <c r="V12">
        <v>6.64</v>
      </c>
      <c r="W12">
        <v>7.06</v>
      </c>
      <c r="X12">
        <v>7.47</v>
      </c>
      <c r="Y12">
        <v>7.89</v>
      </c>
      <c r="Z12">
        <v>8.3000000000000007</v>
      </c>
      <c r="AA12">
        <v>8.7200000000000006</v>
      </c>
      <c r="AB12">
        <v>9.1300000000000008</v>
      </c>
      <c r="AC12">
        <v>9.5500000000000007</v>
      </c>
      <c r="AD12">
        <v>9.9700000000000006</v>
      </c>
      <c r="AE12">
        <v>10.38</v>
      </c>
      <c r="AF12">
        <v>10.8</v>
      </c>
      <c r="AG12">
        <v>11.21</v>
      </c>
      <c r="AH12">
        <v>11.63</v>
      </c>
      <c r="AI12">
        <v>12.04</v>
      </c>
      <c r="AJ12">
        <v>12.46</v>
      </c>
      <c r="AK12">
        <v>12.87</v>
      </c>
      <c r="AL12">
        <v>13.29</v>
      </c>
      <c r="AM12">
        <v>13.7</v>
      </c>
      <c r="AN12">
        <v>14.12</v>
      </c>
      <c r="AO12">
        <v>14.53</v>
      </c>
      <c r="AP12">
        <v>14.95</v>
      </c>
      <c r="AQ12">
        <v>15.36</v>
      </c>
      <c r="AR12">
        <v>15.53</v>
      </c>
    </row>
    <row r="13" spans="2:59" x14ac:dyDescent="0.35">
      <c r="B13" t="s">
        <v>23176</v>
      </c>
      <c r="C13">
        <v>1551.45</v>
      </c>
      <c r="F13" t="s">
        <v>23208</v>
      </c>
      <c r="G13">
        <v>0.56000000000000005</v>
      </c>
      <c r="H13">
        <v>1.1200000000000001</v>
      </c>
      <c r="I13">
        <v>1.68</v>
      </c>
      <c r="J13">
        <v>2.2400000000000002</v>
      </c>
      <c r="K13">
        <v>2.8</v>
      </c>
      <c r="L13">
        <v>3.36</v>
      </c>
      <c r="M13">
        <v>3.92</v>
      </c>
      <c r="N13">
        <v>4.47</v>
      </c>
      <c r="O13">
        <v>5.03</v>
      </c>
      <c r="P13">
        <v>5.59</v>
      </c>
      <c r="Q13">
        <v>6.15</v>
      </c>
      <c r="R13">
        <v>6.71</v>
      </c>
      <c r="S13">
        <v>7.27</v>
      </c>
      <c r="T13">
        <v>7.83</v>
      </c>
      <c r="U13">
        <v>8.39</v>
      </c>
      <c r="V13">
        <v>8.9499999999999993</v>
      </c>
      <c r="W13">
        <v>9.51</v>
      </c>
      <c r="X13">
        <v>10.07</v>
      </c>
      <c r="Y13">
        <v>10.63</v>
      </c>
      <c r="Z13">
        <v>11.19</v>
      </c>
      <c r="AA13">
        <v>11.75</v>
      </c>
      <c r="AB13">
        <v>12.31</v>
      </c>
      <c r="AC13">
        <v>12.86</v>
      </c>
      <c r="AD13">
        <v>13.42</v>
      </c>
      <c r="AE13">
        <v>13.98</v>
      </c>
      <c r="AF13">
        <v>14.54</v>
      </c>
      <c r="AG13">
        <v>15.1</v>
      </c>
      <c r="AH13">
        <v>15.66</v>
      </c>
      <c r="AI13">
        <v>16.22</v>
      </c>
      <c r="AJ13">
        <v>16.78</v>
      </c>
      <c r="AK13">
        <v>17.34</v>
      </c>
      <c r="AL13">
        <v>17.899999999999999</v>
      </c>
      <c r="AM13">
        <v>18.46</v>
      </c>
      <c r="AN13">
        <v>19.02</v>
      </c>
      <c r="AO13">
        <v>19.579999999999998</v>
      </c>
      <c r="AP13">
        <v>20.14</v>
      </c>
      <c r="AQ13">
        <v>20.7</v>
      </c>
      <c r="AR13">
        <v>20.92</v>
      </c>
    </row>
    <row r="14" spans="2:59" x14ac:dyDescent="0.35">
      <c r="B14" t="s">
        <v>23308</v>
      </c>
      <c r="C14">
        <v>422.95</v>
      </c>
      <c r="F14" t="s">
        <v>23209</v>
      </c>
      <c r="G14">
        <v>0.7</v>
      </c>
      <c r="H14">
        <v>1.4</v>
      </c>
      <c r="I14">
        <v>2.11</v>
      </c>
      <c r="J14">
        <v>2.81</v>
      </c>
      <c r="K14">
        <v>3.51</v>
      </c>
      <c r="L14">
        <v>4.21</v>
      </c>
      <c r="M14">
        <v>4.91</v>
      </c>
      <c r="N14">
        <v>5.62</v>
      </c>
      <c r="O14">
        <v>6.32</v>
      </c>
      <c r="P14">
        <v>7.02</v>
      </c>
      <c r="Q14">
        <v>7.72</v>
      </c>
      <c r="R14">
        <v>8.42</v>
      </c>
      <c r="S14">
        <v>9.1300000000000008</v>
      </c>
      <c r="T14">
        <v>9.83</v>
      </c>
      <c r="U14">
        <v>10.53</v>
      </c>
      <c r="V14">
        <v>11.23</v>
      </c>
      <c r="W14">
        <v>11.93</v>
      </c>
      <c r="X14">
        <v>12.64</v>
      </c>
      <c r="Y14">
        <v>13.34</v>
      </c>
      <c r="Z14">
        <v>14.04</v>
      </c>
      <c r="AA14">
        <v>14.74</v>
      </c>
      <c r="AB14">
        <v>15.44</v>
      </c>
      <c r="AC14">
        <v>16.149999999999999</v>
      </c>
      <c r="AD14">
        <v>16.850000000000001</v>
      </c>
      <c r="AE14">
        <v>17.55</v>
      </c>
      <c r="AF14">
        <v>18.25</v>
      </c>
      <c r="AG14">
        <v>18.95</v>
      </c>
      <c r="AH14">
        <v>19.66</v>
      </c>
      <c r="AI14">
        <v>20.36</v>
      </c>
      <c r="AJ14">
        <v>21.06</v>
      </c>
      <c r="AK14">
        <v>21.76</v>
      </c>
      <c r="AL14">
        <v>22.46</v>
      </c>
      <c r="AM14">
        <v>23.17</v>
      </c>
      <c r="AN14">
        <v>23.87</v>
      </c>
      <c r="AO14">
        <v>24.57</v>
      </c>
      <c r="AP14">
        <v>25.27</v>
      </c>
      <c r="AQ14">
        <v>25.97</v>
      </c>
      <c r="AR14">
        <v>26.25</v>
      </c>
    </row>
    <row r="15" spans="2:59" x14ac:dyDescent="0.35">
      <c r="B15" t="s">
        <v>23309</v>
      </c>
      <c r="C15">
        <v>567.95000000000005</v>
      </c>
      <c r="F15" t="s">
        <v>23210</v>
      </c>
      <c r="G15">
        <v>0.85</v>
      </c>
      <c r="H15">
        <v>1.69</v>
      </c>
      <c r="I15">
        <v>2.54</v>
      </c>
      <c r="J15">
        <v>3.38</v>
      </c>
      <c r="K15">
        <v>4.2300000000000004</v>
      </c>
      <c r="L15">
        <v>5.07</v>
      </c>
      <c r="M15">
        <v>5.92</v>
      </c>
      <c r="N15">
        <v>6.76</v>
      </c>
      <c r="O15">
        <v>7.61</v>
      </c>
      <c r="P15">
        <v>8.4499999999999993</v>
      </c>
      <c r="Q15">
        <v>9.3000000000000007</v>
      </c>
      <c r="R15">
        <v>10.14</v>
      </c>
      <c r="S15">
        <v>10.99</v>
      </c>
      <c r="T15">
        <v>11.84</v>
      </c>
      <c r="U15">
        <v>12.68</v>
      </c>
      <c r="V15">
        <v>13.53</v>
      </c>
      <c r="W15">
        <v>14.37</v>
      </c>
      <c r="X15">
        <v>15.22</v>
      </c>
      <c r="Y15">
        <v>16.059999999999999</v>
      </c>
      <c r="Z15">
        <v>16.91</v>
      </c>
      <c r="AA15">
        <v>17.75</v>
      </c>
      <c r="AB15">
        <v>18.600000000000001</v>
      </c>
      <c r="AC15">
        <v>19.440000000000001</v>
      </c>
      <c r="AD15">
        <v>20.29</v>
      </c>
      <c r="AE15">
        <v>21.13</v>
      </c>
      <c r="AF15">
        <v>21.98</v>
      </c>
      <c r="AG15">
        <v>22.82</v>
      </c>
      <c r="AH15">
        <v>23.01</v>
      </c>
    </row>
    <row r="16" spans="2:59" x14ac:dyDescent="0.35">
      <c r="B16" t="s">
        <v>23310</v>
      </c>
      <c r="C16">
        <v>678.95</v>
      </c>
      <c r="F16" t="s">
        <v>23148</v>
      </c>
      <c r="G16">
        <v>-0.82</v>
      </c>
      <c r="H16">
        <v>-1.65</v>
      </c>
      <c r="I16">
        <v>-2.4700000000000002</v>
      </c>
      <c r="J16">
        <v>-3.29</v>
      </c>
      <c r="K16">
        <v>-4.12</v>
      </c>
      <c r="L16">
        <v>-4.9400000000000004</v>
      </c>
      <c r="M16">
        <v>-5.76</v>
      </c>
      <c r="N16">
        <v>-6.58</v>
      </c>
      <c r="O16">
        <v>-7.41</v>
      </c>
      <c r="P16">
        <v>-8.23</v>
      </c>
      <c r="Q16">
        <v>-9.0500000000000007</v>
      </c>
      <c r="R16">
        <v>-9.8800000000000008</v>
      </c>
      <c r="S16">
        <v>-10.7</v>
      </c>
      <c r="T16">
        <v>-11.52</v>
      </c>
      <c r="U16">
        <v>-12.35</v>
      </c>
      <c r="V16">
        <v>-13.17</v>
      </c>
      <c r="W16">
        <v>-13.99</v>
      </c>
      <c r="X16">
        <v>-14.81</v>
      </c>
      <c r="Y16">
        <v>-15.64</v>
      </c>
      <c r="Z16">
        <v>-16.46</v>
      </c>
      <c r="AA16">
        <v>-17.28</v>
      </c>
      <c r="AB16">
        <v>-18.11</v>
      </c>
      <c r="AC16">
        <v>-18.93</v>
      </c>
      <c r="AD16">
        <v>-19.75</v>
      </c>
      <c r="AE16">
        <v>-20.58</v>
      </c>
      <c r="AF16">
        <v>-21.4</v>
      </c>
      <c r="AG16">
        <v>-22.22</v>
      </c>
      <c r="AH16">
        <v>-23.04</v>
      </c>
      <c r="AI16">
        <v>-23.87</v>
      </c>
      <c r="AJ16">
        <v>-24.69</v>
      </c>
      <c r="AK16">
        <v>-25.51</v>
      </c>
      <c r="AL16">
        <v>-26.34</v>
      </c>
      <c r="AM16">
        <v>-27.16</v>
      </c>
      <c r="AN16">
        <v>-27.98</v>
      </c>
      <c r="AO16">
        <v>-28.24</v>
      </c>
    </row>
    <row r="17" spans="2:59" x14ac:dyDescent="0.35">
      <c r="B17" t="s">
        <v>23311</v>
      </c>
      <c r="C17">
        <v>797.95</v>
      </c>
      <c r="F17" t="s">
        <v>23188</v>
      </c>
      <c r="G17">
        <v>-0.63</v>
      </c>
      <c r="H17">
        <v>-1.27</v>
      </c>
      <c r="I17">
        <v>-1.9</v>
      </c>
      <c r="J17">
        <v>-2.54</v>
      </c>
      <c r="K17">
        <v>-3.17</v>
      </c>
      <c r="L17">
        <v>-3.81</v>
      </c>
      <c r="M17">
        <v>-4.4400000000000004</v>
      </c>
      <c r="N17">
        <v>-5.08</v>
      </c>
      <c r="O17">
        <v>-5.71</v>
      </c>
      <c r="P17">
        <v>-6.35</v>
      </c>
      <c r="Q17">
        <v>-6.98</v>
      </c>
      <c r="R17">
        <v>-7.62</v>
      </c>
      <c r="S17">
        <v>-8.25</v>
      </c>
      <c r="T17">
        <v>-8.89</v>
      </c>
      <c r="U17">
        <v>-9.52</v>
      </c>
      <c r="V17">
        <v>-10.16</v>
      </c>
      <c r="W17">
        <v>-10.79</v>
      </c>
      <c r="X17">
        <v>-11.43</v>
      </c>
      <c r="Y17">
        <v>-12.06</v>
      </c>
      <c r="Z17">
        <v>-12.7</v>
      </c>
      <c r="AA17">
        <v>-13.33</v>
      </c>
      <c r="AB17">
        <v>-13.97</v>
      </c>
      <c r="AC17">
        <v>-14.6</v>
      </c>
      <c r="AD17">
        <v>-15.23</v>
      </c>
      <c r="AE17">
        <v>-15.87</v>
      </c>
      <c r="AF17">
        <v>-16.5</v>
      </c>
      <c r="AG17">
        <v>-17.14</v>
      </c>
      <c r="AH17">
        <v>-17.77</v>
      </c>
      <c r="AI17">
        <v>-18.41</v>
      </c>
      <c r="AJ17">
        <v>-19.04</v>
      </c>
      <c r="AK17">
        <v>-19.68</v>
      </c>
      <c r="AL17">
        <v>-20.309999999999999</v>
      </c>
      <c r="AM17">
        <v>-20.95</v>
      </c>
      <c r="AN17">
        <v>-21.58</v>
      </c>
      <c r="AO17">
        <v>-21.78</v>
      </c>
    </row>
    <row r="18" spans="2:59" x14ac:dyDescent="0.35">
      <c r="B18" t="s">
        <v>23312</v>
      </c>
      <c r="C18">
        <v>906.95</v>
      </c>
      <c r="F18" t="s">
        <v>23189</v>
      </c>
      <c r="G18">
        <v>-0.47</v>
      </c>
      <c r="H18">
        <v>-0.94</v>
      </c>
      <c r="I18">
        <v>-1.41</v>
      </c>
      <c r="J18">
        <v>-1.87</v>
      </c>
      <c r="K18">
        <v>-2.34</v>
      </c>
      <c r="L18">
        <v>-2.81</v>
      </c>
      <c r="M18">
        <v>-3.28</v>
      </c>
      <c r="N18">
        <v>-3.75</v>
      </c>
      <c r="O18">
        <v>-4.22</v>
      </c>
      <c r="P18">
        <v>-4.6900000000000004</v>
      </c>
      <c r="Q18">
        <v>-5.15</v>
      </c>
      <c r="R18">
        <v>-5.62</v>
      </c>
      <c r="S18">
        <v>-6.09</v>
      </c>
      <c r="T18">
        <v>-6.56</v>
      </c>
      <c r="U18">
        <v>-7.03</v>
      </c>
      <c r="V18">
        <v>-7.5</v>
      </c>
      <c r="W18">
        <v>-7.97</v>
      </c>
      <c r="X18">
        <v>-8.43</v>
      </c>
      <c r="Y18">
        <v>-8.9</v>
      </c>
      <c r="Z18">
        <v>-9.3699999999999992</v>
      </c>
      <c r="AA18">
        <v>-9.84</v>
      </c>
      <c r="AB18">
        <v>-10.31</v>
      </c>
      <c r="AC18">
        <v>-10.78</v>
      </c>
      <c r="AD18">
        <v>-11.25</v>
      </c>
      <c r="AE18">
        <v>-11.72</v>
      </c>
      <c r="AF18">
        <v>-12.18</v>
      </c>
      <c r="AG18">
        <v>-12.65</v>
      </c>
      <c r="AH18">
        <v>-13.12</v>
      </c>
      <c r="AI18">
        <v>-13.59</v>
      </c>
      <c r="AJ18">
        <v>-14.06</v>
      </c>
      <c r="AK18">
        <v>-14.53</v>
      </c>
      <c r="AL18">
        <v>-15</v>
      </c>
      <c r="AM18">
        <v>-15.46</v>
      </c>
      <c r="AN18">
        <v>-15.93</v>
      </c>
      <c r="AO18">
        <v>-16.079999999999998</v>
      </c>
    </row>
    <row r="19" spans="2:59" x14ac:dyDescent="0.35">
      <c r="B19" t="s">
        <v>23313</v>
      </c>
      <c r="C19">
        <v>1015.95</v>
      </c>
      <c r="F19" t="s">
        <v>23190</v>
      </c>
      <c r="G19">
        <v>-0.34</v>
      </c>
      <c r="H19">
        <v>-0.68</v>
      </c>
      <c r="I19">
        <v>-1.01</v>
      </c>
      <c r="J19">
        <v>-1.35</v>
      </c>
      <c r="K19">
        <v>-1.69</v>
      </c>
      <c r="L19">
        <v>-2.0299999999999998</v>
      </c>
      <c r="M19">
        <v>-2.36</v>
      </c>
      <c r="N19">
        <v>-2.7</v>
      </c>
      <c r="O19">
        <v>-3.04</v>
      </c>
      <c r="P19">
        <v>-3.38</v>
      </c>
      <c r="Q19">
        <v>-3.71</v>
      </c>
      <c r="R19">
        <v>-4.05</v>
      </c>
      <c r="S19">
        <v>-4.3899999999999997</v>
      </c>
      <c r="T19">
        <v>-4.7300000000000004</v>
      </c>
      <c r="U19">
        <v>-5.07</v>
      </c>
      <c r="V19">
        <v>-5.4</v>
      </c>
      <c r="W19">
        <v>-5.74</v>
      </c>
      <c r="X19">
        <v>-6.08</v>
      </c>
      <c r="Y19">
        <v>-6.42</v>
      </c>
      <c r="Z19">
        <v>-6.75</v>
      </c>
      <c r="AA19">
        <v>-7.09</v>
      </c>
      <c r="AB19">
        <v>-7.43</v>
      </c>
      <c r="AC19">
        <v>-7.77</v>
      </c>
      <c r="AD19">
        <v>-8.11</v>
      </c>
      <c r="AE19">
        <v>-8.44</v>
      </c>
      <c r="AF19">
        <v>-8.7799999999999994</v>
      </c>
      <c r="AG19">
        <v>-9.1199999999999992</v>
      </c>
      <c r="AH19">
        <v>-9.4600000000000009</v>
      </c>
      <c r="AI19">
        <v>-9.7899999999999991</v>
      </c>
      <c r="AJ19">
        <v>-10.130000000000001</v>
      </c>
      <c r="AK19">
        <v>-10.47</v>
      </c>
      <c r="AL19">
        <v>-10.81</v>
      </c>
      <c r="AM19">
        <v>-11.14</v>
      </c>
      <c r="AN19">
        <v>-11.48</v>
      </c>
      <c r="AO19">
        <v>-11.59</v>
      </c>
    </row>
    <row r="20" spans="2:59" x14ac:dyDescent="0.35">
      <c r="B20" t="s">
        <v>23314</v>
      </c>
      <c r="C20">
        <v>1124.95</v>
      </c>
      <c r="F20" t="s">
        <v>23191</v>
      </c>
      <c r="G20">
        <v>-0.21</v>
      </c>
      <c r="H20">
        <v>-0.41</v>
      </c>
      <c r="I20">
        <v>-0.62</v>
      </c>
      <c r="J20">
        <v>-0.83</v>
      </c>
      <c r="K20">
        <v>-1.03</v>
      </c>
      <c r="L20">
        <v>-1.24</v>
      </c>
      <c r="M20">
        <v>-1.45</v>
      </c>
      <c r="N20">
        <v>-1.65</v>
      </c>
      <c r="O20">
        <v>-1.86</v>
      </c>
      <c r="P20">
        <v>-2.0699999999999998</v>
      </c>
      <c r="Q20">
        <v>-2.2799999999999998</v>
      </c>
      <c r="R20">
        <v>-2.48</v>
      </c>
      <c r="S20">
        <v>-2.69</v>
      </c>
      <c r="T20">
        <v>-2.9</v>
      </c>
      <c r="U20">
        <v>-3.1</v>
      </c>
      <c r="V20">
        <v>-3.31</v>
      </c>
      <c r="W20">
        <v>-3.52</v>
      </c>
      <c r="X20">
        <v>-3.72</v>
      </c>
      <c r="Y20">
        <v>-3.93</v>
      </c>
      <c r="Z20">
        <v>-4.1399999999999997</v>
      </c>
      <c r="AA20">
        <v>-4.34</v>
      </c>
      <c r="AB20">
        <v>-4.55</v>
      </c>
      <c r="AC20">
        <v>-4.76</v>
      </c>
      <c r="AD20">
        <v>-4.96</v>
      </c>
      <c r="AE20">
        <v>-5.17</v>
      </c>
      <c r="AF20">
        <v>-5.38</v>
      </c>
      <c r="AG20">
        <v>-5.58</v>
      </c>
      <c r="AH20">
        <v>-5.79</v>
      </c>
      <c r="AI20">
        <v>-6</v>
      </c>
      <c r="AJ20">
        <v>-6.21</v>
      </c>
      <c r="AK20">
        <v>-6.41</v>
      </c>
      <c r="AL20">
        <v>-6.62</v>
      </c>
      <c r="AM20">
        <v>-6.83</v>
      </c>
      <c r="AN20">
        <v>-7.03</v>
      </c>
      <c r="AO20">
        <v>-7.24</v>
      </c>
      <c r="AP20">
        <v>-7.45</v>
      </c>
      <c r="AQ20">
        <v>-7.65</v>
      </c>
      <c r="AR20">
        <v>-1.65</v>
      </c>
      <c r="AS20">
        <v>-8.07</v>
      </c>
      <c r="AT20">
        <v>-8.27</v>
      </c>
      <c r="AU20">
        <v>-8.48</v>
      </c>
      <c r="AV20">
        <v>-8.69</v>
      </c>
      <c r="AW20">
        <v>-8.89</v>
      </c>
      <c r="AX20">
        <v>-9.1</v>
      </c>
      <c r="AY20">
        <v>-9.31</v>
      </c>
      <c r="AZ20">
        <v>-9.51</v>
      </c>
      <c r="BA20">
        <v>-9.7200000000000006</v>
      </c>
      <c r="BB20">
        <v>-9.93</v>
      </c>
      <c r="BC20">
        <v>-10.02</v>
      </c>
    </row>
    <row r="21" spans="2:59" x14ac:dyDescent="0.35">
      <c r="B21" t="s">
        <v>23315</v>
      </c>
      <c r="C21">
        <v>1233.95</v>
      </c>
      <c r="F21" t="s">
        <v>23192</v>
      </c>
      <c r="G21">
        <v>-0.08</v>
      </c>
      <c r="H21">
        <v>-0.15</v>
      </c>
      <c r="I21">
        <v>-0.23</v>
      </c>
      <c r="J21">
        <v>-0.3</v>
      </c>
      <c r="K21">
        <v>-0.38</v>
      </c>
      <c r="L21">
        <v>-0.46</v>
      </c>
      <c r="M21">
        <v>-0.53</v>
      </c>
      <c r="N21">
        <v>-0.61</v>
      </c>
      <c r="O21">
        <v>-0.68</v>
      </c>
      <c r="P21">
        <v>-0.76</v>
      </c>
      <c r="Q21">
        <v>-0.84</v>
      </c>
      <c r="R21">
        <v>-0.91</v>
      </c>
      <c r="S21">
        <v>-0.99</v>
      </c>
      <c r="T21">
        <v>-1.06</v>
      </c>
      <c r="U21">
        <v>-1.1399999999999999</v>
      </c>
      <c r="V21">
        <v>-1.22</v>
      </c>
      <c r="W21">
        <v>-1.29</v>
      </c>
      <c r="X21">
        <v>-1.37</v>
      </c>
      <c r="Y21">
        <v>-1.44</v>
      </c>
      <c r="Z21">
        <v>-1.52</v>
      </c>
      <c r="AA21">
        <v>-1.6</v>
      </c>
      <c r="AB21">
        <v>-1.67</v>
      </c>
      <c r="AC21">
        <v>-1.75</v>
      </c>
      <c r="AD21">
        <v>-1.82</v>
      </c>
      <c r="AE21">
        <v>-1.9</v>
      </c>
      <c r="AF21">
        <v>-1.97</v>
      </c>
      <c r="AG21">
        <v>-2.0499999999999998</v>
      </c>
      <c r="AH21">
        <v>-2.13</v>
      </c>
      <c r="AI21">
        <v>-2.2000000000000002</v>
      </c>
      <c r="AJ21">
        <v>-2.2799999999999998</v>
      </c>
      <c r="AK21">
        <v>-2.35</v>
      </c>
      <c r="AL21">
        <v>-2.4300000000000002</v>
      </c>
      <c r="AM21">
        <v>-2.5099999999999998</v>
      </c>
      <c r="AN21">
        <v>-2.58</v>
      </c>
      <c r="AO21">
        <v>-2.66</v>
      </c>
      <c r="AP21">
        <v>-2.73</v>
      </c>
      <c r="AQ21">
        <v>-2.81</v>
      </c>
      <c r="AR21">
        <v>-2.89</v>
      </c>
      <c r="AS21">
        <v>-2.96</v>
      </c>
      <c r="AT21">
        <v>-3.04</v>
      </c>
      <c r="AU21">
        <v>-3.11</v>
      </c>
      <c r="AV21">
        <v>-3.19</v>
      </c>
      <c r="AW21">
        <v>-3.27</v>
      </c>
      <c r="AX21">
        <v>-3.34</v>
      </c>
      <c r="AY21">
        <v>-3.42</v>
      </c>
      <c r="AZ21">
        <v>-3.49</v>
      </c>
      <c r="BA21">
        <v>-3.57</v>
      </c>
      <c r="BB21">
        <v>-3.65</v>
      </c>
      <c r="BC21">
        <v>-3.68</v>
      </c>
    </row>
    <row r="22" spans="2:59" x14ac:dyDescent="0.35">
      <c r="B22" t="s">
        <v>23316</v>
      </c>
      <c r="C22">
        <v>1342.95</v>
      </c>
      <c r="F22" t="s">
        <v>23193</v>
      </c>
      <c r="G22">
        <v>0.05</v>
      </c>
      <c r="H22">
        <v>0.11</v>
      </c>
      <c r="I22">
        <v>0.16</v>
      </c>
      <c r="J22">
        <v>0.22</v>
      </c>
      <c r="K22">
        <v>0.27</v>
      </c>
      <c r="L22">
        <v>0.33</v>
      </c>
      <c r="M22">
        <v>0.38</v>
      </c>
      <c r="N22">
        <v>0.44</v>
      </c>
      <c r="O22">
        <v>0.49</v>
      </c>
      <c r="P22">
        <v>0.55000000000000004</v>
      </c>
      <c r="Q22">
        <v>0.6</v>
      </c>
      <c r="R22">
        <v>0.66</v>
      </c>
      <c r="S22">
        <v>0.71</v>
      </c>
      <c r="T22">
        <v>0.77</v>
      </c>
      <c r="U22">
        <v>0.82</v>
      </c>
      <c r="V22">
        <v>0.88</v>
      </c>
      <c r="W22">
        <v>0.93</v>
      </c>
      <c r="X22">
        <v>0.99</v>
      </c>
      <c r="Y22">
        <v>1.04</v>
      </c>
      <c r="Z22">
        <v>1.1000000000000001</v>
      </c>
      <c r="AA22">
        <v>1.1499999999999999</v>
      </c>
      <c r="AB22">
        <v>1.21</v>
      </c>
      <c r="AC22">
        <v>1.26</v>
      </c>
      <c r="AD22">
        <v>1.32</v>
      </c>
      <c r="AE22">
        <v>1.37</v>
      </c>
      <c r="AF22">
        <v>1.43</v>
      </c>
      <c r="AG22">
        <v>1.48</v>
      </c>
      <c r="AH22">
        <v>1.54</v>
      </c>
      <c r="AI22">
        <v>1.59</v>
      </c>
      <c r="AJ22">
        <v>1.65</v>
      </c>
      <c r="AK22">
        <v>1.7</v>
      </c>
      <c r="AL22">
        <v>1.76</v>
      </c>
      <c r="AM22">
        <v>1.81</v>
      </c>
      <c r="AN22">
        <v>1.87</v>
      </c>
      <c r="AO22">
        <v>1.88</v>
      </c>
    </row>
    <row r="23" spans="2:59" x14ac:dyDescent="0.35">
      <c r="B23" t="s">
        <v>23317</v>
      </c>
      <c r="C23">
        <v>1451.95</v>
      </c>
      <c r="F23" t="s">
        <v>23194</v>
      </c>
      <c r="G23">
        <v>0.19</v>
      </c>
      <c r="H23">
        <v>0.37</v>
      </c>
      <c r="I23">
        <v>0.56000000000000005</v>
      </c>
      <c r="J23">
        <v>0.74</v>
      </c>
      <c r="K23">
        <v>0.93</v>
      </c>
      <c r="L23">
        <v>1.1100000000000001</v>
      </c>
      <c r="M23">
        <v>1.3</v>
      </c>
      <c r="N23">
        <v>1.49</v>
      </c>
      <c r="O23">
        <v>1.67</v>
      </c>
      <c r="P23">
        <v>1.86</v>
      </c>
      <c r="Q23">
        <v>2.04</v>
      </c>
      <c r="R23">
        <v>2.23</v>
      </c>
      <c r="S23">
        <v>2.42</v>
      </c>
      <c r="T23">
        <v>2.6</v>
      </c>
      <c r="U23">
        <v>2.79</v>
      </c>
      <c r="V23">
        <v>2.97</v>
      </c>
      <c r="W23">
        <v>3.16</v>
      </c>
      <c r="X23">
        <v>3.34</v>
      </c>
      <c r="Y23">
        <v>3.53</v>
      </c>
      <c r="Z23">
        <v>3.72</v>
      </c>
      <c r="AA23">
        <v>3.9</v>
      </c>
      <c r="AB23">
        <v>4.09</v>
      </c>
      <c r="AC23">
        <v>4.2699999999999996</v>
      </c>
      <c r="AD23">
        <v>4.46</v>
      </c>
      <c r="AE23">
        <v>4.6500000000000004</v>
      </c>
      <c r="AF23">
        <v>4.83</v>
      </c>
      <c r="AG23">
        <v>5.0199999999999996</v>
      </c>
      <c r="AH23">
        <v>5.2</v>
      </c>
      <c r="AI23">
        <v>5.39</v>
      </c>
      <c r="AJ23">
        <v>5.57</v>
      </c>
      <c r="AK23">
        <v>5.76</v>
      </c>
      <c r="AL23">
        <v>5.95</v>
      </c>
      <c r="AM23">
        <v>6.13</v>
      </c>
      <c r="AN23">
        <v>6.32</v>
      </c>
      <c r="AO23">
        <v>6.38</v>
      </c>
    </row>
    <row r="24" spans="2:59" x14ac:dyDescent="0.35">
      <c r="B24" t="s">
        <v>23333</v>
      </c>
      <c r="C24">
        <v>1551.45</v>
      </c>
      <c r="F24" t="s">
        <v>23195</v>
      </c>
      <c r="G24">
        <v>0.32</v>
      </c>
      <c r="H24">
        <v>0.63</v>
      </c>
      <c r="I24">
        <v>0.95</v>
      </c>
      <c r="J24">
        <v>1.27</v>
      </c>
      <c r="K24">
        <v>1.58</v>
      </c>
      <c r="L24">
        <v>1.9</v>
      </c>
      <c r="M24">
        <v>2.2200000000000002</v>
      </c>
      <c r="N24">
        <v>2.5299999999999998</v>
      </c>
      <c r="O24">
        <v>2.85</v>
      </c>
      <c r="P24">
        <v>3.17</v>
      </c>
      <c r="Q24">
        <v>3.48</v>
      </c>
      <c r="R24">
        <v>3.8</v>
      </c>
      <c r="S24">
        <v>4.12</v>
      </c>
      <c r="T24">
        <v>4.43</v>
      </c>
      <c r="U24">
        <v>4.75</v>
      </c>
      <c r="V24">
        <v>5.07</v>
      </c>
      <c r="W24">
        <v>5.38</v>
      </c>
      <c r="X24">
        <v>5.7</v>
      </c>
      <c r="Y24">
        <v>6.02</v>
      </c>
      <c r="Z24">
        <v>6.33</v>
      </c>
      <c r="AA24">
        <v>6.65</v>
      </c>
      <c r="AB24">
        <v>6.97</v>
      </c>
      <c r="AC24">
        <v>7.28</v>
      </c>
      <c r="AD24">
        <v>7.6</v>
      </c>
      <c r="AE24">
        <v>7.92</v>
      </c>
      <c r="AF24">
        <v>8.23</v>
      </c>
      <c r="AG24">
        <v>8.5500000000000007</v>
      </c>
      <c r="AH24">
        <v>8.8699999999999992</v>
      </c>
      <c r="AI24">
        <v>9.18</v>
      </c>
      <c r="AJ24">
        <v>9.5</v>
      </c>
      <c r="AK24">
        <v>9.82</v>
      </c>
      <c r="AL24">
        <v>10.130000000000001</v>
      </c>
      <c r="AM24">
        <v>10.45</v>
      </c>
      <c r="AN24">
        <v>10.77</v>
      </c>
      <c r="AO24">
        <v>10.87</v>
      </c>
    </row>
    <row r="25" spans="2:59" x14ac:dyDescent="0.35">
      <c r="B25" t="s">
        <v>23147</v>
      </c>
      <c r="C25">
        <v>431.45</v>
      </c>
      <c r="F25" t="s">
        <v>23196</v>
      </c>
      <c r="G25">
        <v>0.45</v>
      </c>
      <c r="H25">
        <v>0.9</v>
      </c>
      <c r="I25">
        <v>1.34</v>
      </c>
      <c r="J25">
        <v>1.79</v>
      </c>
      <c r="K25">
        <v>2.2400000000000002</v>
      </c>
      <c r="L25">
        <v>2.69</v>
      </c>
      <c r="M25">
        <v>3.13</v>
      </c>
      <c r="N25">
        <v>3.58</v>
      </c>
      <c r="O25">
        <v>4.03</v>
      </c>
      <c r="P25">
        <v>4.4800000000000004</v>
      </c>
      <c r="Q25">
        <v>4.92</v>
      </c>
      <c r="R25">
        <v>5.37</v>
      </c>
      <c r="S25">
        <v>5.82</v>
      </c>
      <c r="T25">
        <v>6.27</v>
      </c>
      <c r="U25">
        <v>6.71</v>
      </c>
      <c r="V25">
        <v>7.16</v>
      </c>
      <c r="W25">
        <v>7.61</v>
      </c>
      <c r="X25">
        <v>8.06</v>
      </c>
      <c r="Y25">
        <v>8.5</v>
      </c>
      <c r="Z25">
        <v>8.9499999999999993</v>
      </c>
      <c r="AA25">
        <v>9.4</v>
      </c>
      <c r="AB25">
        <v>9.85</v>
      </c>
      <c r="AC25">
        <v>10.29</v>
      </c>
      <c r="AD25">
        <v>10.74</v>
      </c>
      <c r="AE25">
        <v>11.19</v>
      </c>
      <c r="AF25">
        <v>11.64</v>
      </c>
      <c r="AG25">
        <v>12.08</v>
      </c>
      <c r="AH25">
        <v>10.29</v>
      </c>
      <c r="AI25">
        <v>12.98</v>
      </c>
      <c r="AJ25">
        <v>13.43</v>
      </c>
      <c r="AK25">
        <v>13.87</v>
      </c>
      <c r="AL25">
        <v>14.32</v>
      </c>
      <c r="AM25">
        <v>14.77</v>
      </c>
      <c r="AN25">
        <v>15.22</v>
      </c>
      <c r="AO25">
        <v>15.36</v>
      </c>
    </row>
    <row r="26" spans="2:59" x14ac:dyDescent="0.35">
      <c r="B26" t="s">
        <v>23179</v>
      </c>
      <c r="C26">
        <v>559.45000000000005</v>
      </c>
      <c r="F26" t="s">
        <v>23197</v>
      </c>
      <c r="G26">
        <v>0.57999999999999996</v>
      </c>
      <c r="H26">
        <v>1.1599999999999999</v>
      </c>
      <c r="I26">
        <v>1.74</v>
      </c>
      <c r="J26">
        <v>2.31</v>
      </c>
      <c r="K26">
        <v>2.89</v>
      </c>
      <c r="L26">
        <v>3.47</v>
      </c>
      <c r="M26">
        <v>4.05</v>
      </c>
      <c r="N26">
        <v>4.63</v>
      </c>
      <c r="O26">
        <v>5.21</v>
      </c>
      <c r="P26">
        <v>5.78</v>
      </c>
      <c r="Q26">
        <v>6.36</v>
      </c>
      <c r="R26">
        <v>6.94</v>
      </c>
      <c r="S26">
        <v>7.52</v>
      </c>
      <c r="T26">
        <v>8.1</v>
      </c>
      <c r="U26">
        <v>8.68</v>
      </c>
      <c r="V26">
        <v>9.26</v>
      </c>
      <c r="W26">
        <v>9.83</v>
      </c>
      <c r="X26">
        <v>10.41</v>
      </c>
      <c r="Y26">
        <v>10.99</v>
      </c>
      <c r="Z26">
        <v>11.57</v>
      </c>
      <c r="AA26">
        <v>12.15</v>
      </c>
      <c r="AB26">
        <v>12.73</v>
      </c>
      <c r="AC26">
        <v>13.3</v>
      </c>
      <c r="AD26">
        <v>13.88</v>
      </c>
      <c r="AE26">
        <v>14.46</v>
      </c>
      <c r="AF26">
        <v>15.04</v>
      </c>
      <c r="AG26">
        <v>15.62</v>
      </c>
      <c r="AH26">
        <v>16.2</v>
      </c>
      <c r="AI26">
        <v>16.78</v>
      </c>
      <c r="AJ26">
        <v>17.350000000000001</v>
      </c>
      <c r="AK26">
        <v>17.93</v>
      </c>
      <c r="AL26">
        <v>18.510000000000002</v>
      </c>
      <c r="AM26">
        <v>19.09</v>
      </c>
      <c r="AN26">
        <v>19.670000000000002</v>
      </c>
      <c r="AO26">
        <v>19.850000000000001</v>
      </c>
    </row>
    <row r="27" spans="2:59" x14ac:dyDescent="0.35">
      <c r="B27" t="s">
        <v>23180</v>
      </c>
      <c r="C27">
        <v>687.45</v>
      </c>
      <c r="F27" t="s">
        <v>23198</v>
      </c>
      <c r="G27">
        <v>0.72</v>
      </c>
      <c r="H27">
        <v>1.44</v>
      </c>
      <c r="I27">
        <v>2.16</v>
      </c>
      <c r="J27">
        <v>2.88</v>
      </c>
      <c r="K27">
        <v>3.6</v>
      </c>
      <c r="L27">
        <v>4.32</v>
      </c>
      <c r="M27">
        <v>5.04</v>
      </c>
      <c r="N27">
        <v>5.76</v>
      </c>
      <c r="O27">
        <v>6.48</v>
      </c>
      <c r="P27">
        <v>7.2</v>
      </c>
      <c r="Q27">
        <v>7.92</v>
      </c>
      <c r="R27">
        <v>8.64</v>
      </c>
      <c r="S27">
        <v>9.36</v>
      </c>
      <c r="T27">
        <v>10.07</v>
      </c>
      <c r="U27">
        <v>10.79</v>
      </c>
      <c r="V27">
        <v>11.51</v>
      </c>
      <c r="W27">
        <v>12.23</v>
      </c>
      <c r="X27">
        <v>12.95</v>
      </c>
      <c r="Y27">
        <v>13.67</v>
      </c>
      <c r="Z27">
        <v>14.39</v>
      </c>
      <c r="AA27">
        <v>15.11</v>
      </c>
      <c r="AB27">
        <v>15.83</v>
      </c>
      <c r="AC27">
        <v>16.55</v>
      </c>
      <c r="AD27">
        <v>17.27</v>
      </c>
      <c r="AE27">
        <v>17.989999999999998</v>
      </c>
      <c r="AF27">
        <v>18.71</v>
      </c>
      <c r="AG27">
        <v>19.43</v>
      </c>
      <c r="AH27">
        <v>20.149999999999999</v>
      </c>
      <c r="AI27">
        <v>20.87</v>
      </c>
      <c r="AJ27">
        <v>21.59</v>
      </c>
      <c r="AK27">
        <v>22.31</v>
      </c>
      <c r="AL27">
        <v>23.03</v>
      </c>
      <c r="AM27">
        <v>23.75</v>
      </c>
      <c r="AN27">
        <v>24.47</v>
      </c>
      <c r="AO27">
        <v>24.69</v>
      </c>
    </row>
    <row r="28" spans="2:59" x14ac:dyDescent="0.35">
      <c r="B28" t="s">
        <v>23181</v>
      </c>
      <c r="C28">
        <v>813.45</v>
      </c>
      <c r="F28" t="s">
        <v>23199</v>
      </c>
      <c r="G28">
        <v>0.85</v>
      </c>
      <c r="H28">
        <v>1.7</v>
      </c>
      <c r="I28">
        <v>2.5499999999999998</v>
      </c>
      <c r="J28">
        <v>3.41</v>
      </c>
      <c r="K28">
        <v>4.26</v>
      </c>
      <c r="L28">
        <v>5.1100000000000003</v>
      </c>
      <c r="M28">
        <v>5.96</v>
      </c>
      <c r="N28">
        <v>6.81</v>
      </c>
      <c r="O28">
        <v>7.66</v>
      </c>
      <c r="P28">
        <v>8.51</v>
      </c>
      <c r="Q28">
        <v>9.36</v>
      </c>
      <c r="R28">
        <v>10.220000000000001</v>
      </c>
      <c r="S28">
        <v>11.07</v>
      </c>
      <c r="T28">
        <v>11.92</v>
      </c>
      <c r="U28">
        <v>12.77</v>
      </c>
      <c r="V28">
        <v>13.62</v>
      </c>
      <c r="W28">
        <v>14.47</v>
      </c>
      <c r="X28">
        <v>15.32</v>
      </c>
      <c r="Y28">
        <v>16.170000000000002</v>
      </c>
      <c r="Z28">
        <v>17.03</v>
      </c>
      <c r="AA28">
        <v>17.88</v>
      </c>
      <c r="AB28">
        <v>18.73</v>
      </c>
      <c r="AC28">
        <v>19.579999999999998</v>
      </c>
      <c r="AD28">
        <v>20.43</v>
      </c>
      <c r="AE28">
        <v>21.28</v>
      </c>
      <c r="AF28">
        <v>22.13</v>
      </c>
      <c r="AG28">
        <v>22.98</v>
      </c>
      <c r="AH28">
        <v>23.17</v>
      </c>
    </row>
    <row r="29" spans="2:59" x14ac:dyDescent="0.35">
      <c r="B29" t="s">
        <v>23182</v>
      </c>
      <c r="C29">
        <v>939.45</v>
      </c>
      <c r="F29" t="s">
        <v>23147</v>
      </c>
      <c r="G29" s="34">
        <v>-0.79580882352941185</v>
      </c>
      <c r="H29" s="34">
        <v>-1.5916176470588237</v>
      </c>
      <c r="I29" s="34">
        <v>-2.3874264705882355</v>
      </c>
      <c r="J29" s="34">
        <v>-3.1832352941176474</v>
      </c>
      <c r="K29" s="34">
        <v>-3.9790441176470597</v>
      </c>
      <c r="L29" s="34">
        <v>-4.7748529411764711</v>
      </c>
      <c r="M29" s="34">
        <v>-5.5706617647058829</v>
      </c>
      <c r="N29" s="34">
        <v>-6.3664705882352948</v>
      </c>
      <c r="O29" s="34">
        <v>-7.1622794117647066</v>
      </c>
      <c r="P29" s="34">
        <v>-7.9580882352941194</v>
      </c>
      <c r="Q29" s="34">
        <v>-8.7538970588235312</v>
      </c>
      <c r="R29" s="34">
        <v>-9.5497058823529422</v>
      </c>
      <c r="S29" s="34">
        <v>-10.345514705882355</v>
      </c>
      <c r="T29" s="34">
        <v>-11.141323529411766</v>
      </c>
      <c r="U29" s="34">
        <v>-11.937132352941179</v>
      </c>
      <c r="V29" s="34">
        <v>-12.73294117647059</v>
      </c>
      <c r="W29" s="34">
        <v>-13.528750000000002</v>
      </c>
      <c r="X29" s="34">
        <v>-14.324558823529413</v>
      </c>
      <c r="Y29" s="34">
        <v>-15.120367647058826</v>
      </c>
      <c r="Z29" s="34">
        <v>-15.916176470588239</v>
      </c>
      <c r="AA29" s="34">
        <v>-16.71198529411765</v>
      </c>
      <c r="AB29" s="34">
        <v>-17.507794117647062</v>
      </c>
      <c r="AC29" s="34">
        <v>-18.303602941176475</v>
      </c>
      <c r="AD29" s="34">
        <v>-19.099411764705884</v>
      </c>
      <c r="AE29" s="34">
        <v>-19.895220588235297</v>
      </c>
      <c r="AF29" s="34">
        <v>-20.69102941176471</v>
      </c>
      <c r="AG29" s="34">
        <v>-21.486838235294123</v>
      </c>
      <c r="AH29" s="34">
        <v>-22.282647058823532</v>
      </c>
      <c r="AI29" s="34">
        <v>-23.078455882352944</v>
      </c>
      <c r="AJ29" s="34">
        <v>-23.874264705882357</v>
      </c>
      <c r="AK29" s="34">
        <v>-24.67007352941177</v>
      </c>
      <c r="AL29" s="34">
        <v>-25.465882352941179</v>
      </c>
      <c r="AM29" s="34">
        <v>-26.261691176470592</v>
      </c>
      <c r="AN29" s="34">
        <v>-27.057500000000005</v>
      </c>
      <c r="AO29" s="34">
        <v>-27.853308823529414</v>
      </c>
      <c r="AP29" s="34">
        <v>-28.649117647058826</v>
      </c>
      <c r="AQ29" s="34">
        <v>-29.444926470588239</v>
      </c>
      <c r="AR29" s="34">
        <v>-30.240735294117652</v>
      </c>
      <c r="AS29" s="34">
        <v>-31.036544117647065</v>
      </c>
      <c r="AT29" s="34">
        <v>-31.832352941176477</v>
      </c>
      <c r="AU29" s="34">
        <v>-32.628161764705887</v>
      </c>
      <c r="AV29" s="34">
        <v>-33.423970588235299</v>
      </c>
      <c r="AW29" s="34">
        <v>-34.219779411764712</v>
      </c>
      <c r="AX29" s="34">
        <v>-35.015588235294125</v>
      </c>
      <c r="AY29" s="34">
        <v>-35.811397058823538</v>
      </c>
      <c r="AZ29" s="34">
        <v>-36.60720588235295</v>
      </c>
      <c r="BA29" s="34">
        <v>-37.403014705882363</v>
      </c>
      <c r="BB29" s="34">
        <v>-38.198823529411769</v>
      </c>
      <c r="BC29" s="34">
        <v>-38.994632352941181</v>
      </c>
      <c r="BD29" s="34">
        <v>-39.790441176470594</v>
      </c>
      <c r="BE29" s="34">
        <v>-40.586250000000007</v>
      </c>
      <c r="BF29" s="34">
        <v>-41.38205882352942</v>
      </c>
      <c r="BG29" s="34">
        <v>-41.875460294117651</v>
      </c>
    </row>
    <row r="30" spans="2:59" x14ac:dyDescent="0.35">
      <c r="B30" t="s">
        <v>23183</v>
      </c>
      <c r="C30">
        <v>1065.45</v>
      </c>
      <c r="F30" t="s">
        <v>23179</v>
      </c>
      <c r="G30" s="34">
        <v>-0.60757352941176468</v>
      </c>
      <c r="H30" s="34">
        <v>-1.2151470588235294</v>
      </c>
      <c r="I30" s="34">
        <v>-1.8227205882352941</v>
      </c>
      <c r="J30" s="34">
        <v>-2.4302941176470587</v>
      </c>
      <c r="K30" s="34">
        <v>-3.0378676470588237</v>
      </c>
      <c r="L30" s="34">
        <v>-3.6454411764705883</v>
      </c>
      <c r="M30" s="34">
        <v>-4.2530147058823529</v>
      </c>
      <c r="N30" s="34">
        <v>-4.8605882352941174</v>
      </c>
      <c r="O30" s="34">
        <v>-5.468161764705882</v>
      </c>
      <c r="P30" s="34">
        <v>-6.0757352941176475</v>
      </c>
      <c r="Q30" s="34">
        <v>-6.683308823529412</v>
      </c>
      <c r="R30" s="34">
        <v>-7.2908823529411766</v>
      </c>
      <c r="S30" s="34">
        <v>-7.8984558823529412</v>
      </c>
      <c r="T30" s="34">
        <v>-8.5060294117647057</v>
      </c>
      <c r="U30" s="34">
        <v>-9.1136029411764703</v>
      </c>
      <c r="V30" s="34">
        <v>-9.7211764705882349</v>
      </c>
      <c r="W30" s="34">
        <v>-10.328749999999999</v>
      </c>
      <c r="X30" s="34">
        <v>-10.936323529411764</v>
      </c>
      <c r="Y30" s="34">
        <v>-11.543897058823529</v>
      </c>
      <c r="Z30" s="34">
        <v>-12.151470588235295</v>
      </c>
      <c r="AA30" s="34">
        <v>-12.759044117647059</v>
      </c>
      <c r="AB30" s="34">
        <v>-13.366617647058824</v>
      </c>
      <c r="AC30" s="34">
        <v>-13.974191176470589</v>
      </c>
      <c r="AD30" s="34">
        <v>-14.581764705882353</v>
      </c>
      <c r="AE30" s="34">
        <v>-15.189338235294118</v>
      </c>
      <c r="AF30" s="34">
        <v>-15.796911764705882</v>
      </c>
      <c r="AG30" s="34">
        <v>-16.404485294117649</v>
      </c>
      <c r="AH30" s="34">
        <v>-17.012058823529411</v>
      </c>
      <c r="AI30" s="34">
        <v>-17.619632352941178</v>
      </c>
      <c r="AJ30" s="34">
        <v>-18.227205882352941</v>
      </c>
      <c r="AK30" s="34">
        <v>-18.834779411764707</v>
      </c>
      <c r="AL30" s="34">
        <v>-19.44235294117647</v>
      </c>
      <c r="AM30" s="34">
        <v>-20.049926470588236</v>
      </c>
      <c r="AN30" s="34">
        <v>-20.657499999999999</v>
      </c>
      <c r="AO30" s="34">
        <v>-21.265073529411765</v>
      </c>
      <c r="AP30" s="34">
        <v>-21.872647058823528</v>
      </c>
      <c r="AQ30" s="34">
        <v>-22.480220588235294</v>
      </c>
      <c r="AR30" s="34">
        <v>-23.087794117647057</v>
      </c>
      <c r="AS30" s="34">
        <v>-23.695367647058823</v>
      </c>
      <c r="AT30" s="34">
        <v>-24.30294117647059</v>
      </c>
      <c r="AU30" s="34">
        <v>-24.910514705882353</v>
      </c>
      <c r="AV30" s="34">
        <v>-25.518088235294119</v>
      </c>
      <c r="AW30" s="34">
        <v>-26.125661764705882</v>
      </c>
      <c r="AX30" s="34">
        <v>-26.733235294117648</v>
      </c>
      <c r="AY30" s="34">
        <v>-27.340808823529411</v>
      </c>
      <c r="AZ30" s="34">
        <v>-27.948382352941177</v>
      </c>
      <c r="BA30" s="34">
        <v>-28.55595588235294</v>
      </c>
      <c r="BB30" s="34">
        <v>-29.163529411764706</v>
      </c>
      <c r="BC30" s="34">
        <v>-29.771102941176469</v>
      </c>
      <c r="BD30" s="34">
        <v>-30.378676470588236</v>
      </c>
      <c r="BE30" s="34">
        <v>-30.986249999999998</v>
      </c>
      <c r="BF30" s="34">
        <v>-31.593823529411765</v>
      </c>
      <c r="BG30" s="34">
        <v>-31.970519117647058</v>
      </c>
    </row>
    <row r="31" spans="2:59" x14ac:dyDescent="0.35">
      <c r="B31" t="s">
        <v>23184</v>
      </c>
      <c r="C31">
        <v>1191.45</v>
      </c>
      <c r="F31" t="s">
        <v>23180</v>
      </c>
      <c r="G31" s="34">
        <v>-0.41933823529411757</v>
      </c>
      <c r="H31" s="34">
        <v>-0.83867647058823513</v>
      </c>
      <c r="I31" s="34">
        <v>-1.258014705882353</v>
      </c>
      <c r="J31" s="34">
        <v>-1.6773529411764703</v>
      </c>
      <c r="K31" s="34">
        <v>-2.0966911764705882</v>
      </c>
      <c r="L31" s="34">
        <v>-2.516029411764706</v>
      </c>
      <c r="M31" s="34">
        <v>-2.9353676470588232</v>
      </c>
      <c r="N31" s="34">
        <v>-3.3547058823529405</v>
      </c>
      <c r="O31" s="34">
        <v>-3.7740441176470583</v>
      </c>
      <c r="P31" s="34">
        <v>-4.1933823529411764</v>
      </c>
      <c r="Q31" s="34">
        <v>-4.6127205882352937</v>
      </c>
      <c r="R31" s="34">
        <v>-5.0320588235294119</v>
      </c>
      <c r="S31" s="34">
        <v>-5.4513970588235283</v>
      </c>
      <c r="T31" s="34">
        <v>-5.8707352941176465</v>
      </c>
      <c r="U31" s="34">
        <v>-6.2900735294117638</v>
      </c>
      <c r="V31" s="34">
        <v>-6.7094117647058811</v>
      </c>
      <c r="W31" s="34">
        <v>-7.1287499999999993</v>
      </c>
      <c r="X31" s="34">
        <v>-7.5480882352941165</v>
      </c>
      <c r="Y31" s="34">
        <v>-7.9674264705882356</v>
      </c>
      <c r="Z31" s="34">
        <v>-8.3867647058823529</v>
      </c>
      <c r="AA31" s="34">
        <v>-8.8061029411764711</v>
      </c>
      <c r="AB31" s="34">
        <v>-9.2254411764705875</v>
      </c>
      <c r="AC31" s="34">
        <v>-9.6447794117647057</v>
      </c>
      <c r="AD31" s="34">
        <v>-10.064117647058824</v>
      </c>
      <c r="AE31" s="34">
        <v>-10.483455882352942</v>
      </c>
      <c r="AF31" s="34">
        <v>-10.902794117647057</v>
      </c>
      <c r="AG31" s="34">
        <v>-11.322132352941175</v>
      </c>
      <c r="AH31" s="34">
        <v>-11.741470588235293</v>
      </c>
      <c r="AI31" s="34">
        <v>-12.160808823529409</v>
      </c>
      <c r="AJ31" s="34">
        <v>-12.580147058823528</v>
      </c>
      <c r="AK31" s="34">
        <v>-12.999485294117646</v>
      </c>
      <c r="AL31" s="34">
        <v>-13.418823529411762</v>
      </c>
      <c r="AM31" s="34">
        <v>-13.83816176470588</v>
      </c>
      <c r="AN31" s="34">
        <v>-14.257499999999999</v>
      </c>
      <c r="AO31" s="34">
        <v>-14.676838235294117</v>
      </c>
      <c r="AP31" s="34">
        <v>-15.096176470588233</v>
      </c>
      <c r="AQ31" s="34">
        <v>-15.515514705882353</v>
      </c>
      <c r="AR31" s="34">
        <v>-15.934852941176471</v>
      </c>
      <c r="AS31" s="34">
        <v>-16.354191176470589</v>
      </c>
      <c r="AT31" s="34">
        <v>-16.773529411764706</v>
      </c>
      <c r="AU31" s="34">
        <v>-17.192867647058822</v>
      </c>
      <c r="AV31" s="34">
        <v>-17.612205882352942</v>
      </c>
      <c r="AW31" s="34">
        <v>-18.031544117647059</v>
      </c>
      <c r="AX31" s="34">
        <v>-18.450882352941175</v>
      </c>
      <c r="AY31" s="34">
        <v>-18.870220588235295</v>
      </c>
      <c r="AZ31" s="34">
        <v>-19.289558823529411</v>
      </c>
      <c r="BA31" s="34">
        <v>-19.708897058823528</v>
      </c>
      <c r="BB31" s="34">
        <v>-20.128235294117648</v>
      </c>
      <c r="BC31" s="34">
        <v>-20.547573529411764</v>
      </c>
      <c r="BD31" s="34">
        <v>-20.966911764705884</v>
      </c>
      <c r="BE31" s="34">
        <v>-21.38625</v>
      </c>
      <c r="BF31" s="34">
        <v>-21.805588235294113</v>
      </c>
      <c r="BG31" s="34">
        <v>-22.065577941176468</v>
      </c>
    </row>
    <row r="32" spans="2:59" x14ac:dyDescent="0.35">
      <c r="B32" t="s">
        <v>23185</v>
      </c>
      <c r="C32">
        <v>1317.45</v>
      </c>
      <c r="F32" t="s">
        <v>23181</v>
      </c>
      <c r="G32" s="34">
        <v>-0.23404411764705879</v>
      </c>
      <c r="H32" s="34">
        <v>-0.46808823529411758</v>
      </c>
      <c r="I32" s="34">
        <v>-0.70213235294117637</v>
      </c>
      <c r="J32" s="34">
        <v>-0.93617647058823517</v>
      </c>
      <c r="K32" s="34">
        <v>-1.1702205882352938</v>
      </c>
      <c r="L32" s="34">
        <v>-1.4042647058823527</v>
      </c>
      <c r="M32" s="34">
        <v>-1.6383088235294117</v>
      </c>
      <c r="N32" s="34">
        <v>-1.8723529411764703</v>
      </c>
      <c r="O32" s="34">
        <v>-2.106397058823529</v>
      </c>
      <c r="P32" s="34">
        <v>-2.3404411764705877</v>
      </c>
      <c r="Q32" s="34">
        <v>-2.5744852941176468</v>
      </c>
      <c r="R32" s="34">
        <v>-2.8085294117647055</v>
      </c>
      <c r="S32" s="34">
        <v>-3.0425735294117642</v>
      </c>
      <c r="T32" s="34">
        <v>-3.2766176470588233</v>
      </c>
      <c r="U32" s="34">
        <v>-3.510661764705882</v>
      </c>
      <c r="V32" s="34">
        <v>-3.7447058823529407</v>
      </c>
      <c r="W32" s="34">
        <v>-3.9787499999999993</v>
      </c>
      <c r="X32" s="34">
        <v>-4.212794117647058</v>
      </c>
      <c r="Y32" s="34">
        <v>-4.4468382352941171</v>
      </c>
      <c r="Z32" s="34">
        <v>-4.6808823529411754</v>
      </c>
      <c r="AA32" s="34">
        <v>-4.9149264705882345</v>
      </c>
      <c r="AB32" s="34">
        <v>-5.1489705882352936</v>
      </c>
      <c r="AC32" s="34">
        <v>-5.3830147058823519</v>
      </c>
      <c r="AD32" s="34">
        <v>-5.617058823529411</v>
      </c>
      <c r="AE32" s="34">
        <v>-5.8511029411764701</v>
      </c>
      <c r="AF32" s="34">
        <v>-6.0851470588235284</v>
      </c>
      <c r="AG32" s="34">
        <v>-6.3191911764705875</v>
      </c>
      <c r="AH32" s="34">
        <v>-6.5532352941176466</v>
      </c>
      <c r="AI32" s="34">
        <v>-6.7872794117647048</v>
      </c>
      <c r="AJ32" s="34">
        <v>-7.021323529411764</v>
      </c>
      <c r="AK32" s="34">
        <v>-7.2553676470588231</v>
      </c>
      <c r="AL32" s="34">
        <v>-7.4894117647058813</v>
      </c>
      <c r="AM32" s="34">
        <v>-7.7234558823529396</v>
      </c>
      <c r="AN32" s="34">
        <v>-7.9574999999999987</v>
      </c>
      <c r="AO32" s="34">
        <v>-8.1915441176470569</v>
      </c>
      <c r="AP32" s="34">
        <v>-8.425588235294116</v>
      </c>
      <c r="AQ32" s="34">
        <v>-8.6596323529411752</v>
      </c>
      <c r="AR32" s="34">
        <v>-8.8936764705882343</v>
      </c>
      <c r="AS32" s="34">
        <v>-9.1277205882352916</v>
      </c>
      <c r="AT32" s="34">
        <v>-9.3617647058823508</v>
      </c>
      <c r="AU32" s="34">
        <v>-9.5958088235294099</v>
      </c>
      <c r="AV32" s="34">
        <v>-9.829852941176469</v>
      </c>
      <c r="AW32" s="34">
        <v>-10.063897058823528</v>
      </c>
      <c r="AX32" s="34">
        <v>-10.297941176470587</v>
      </c>
      <c r="AY32" s="34">
        <v>-10.531985294117645</v>
      </c>
      <c r="AZ32" s="34">
        <v>-10.766029411764704</v>
      </c>
      <c r="BA32" s="34">
        <v>-11.000073529411763</v>
      </c>
      <c r="BB32" s="34">
        <v>-11.234117647058822</v>
      </c>
      <c r="BC32" s="34">
        <v>-11.468161764705881</v>
      </c>
      <c r="BD32" s="34">
        <v>-11.70220588235294</v>
      </c>
      <c r="BE32" s="34">
        <v>-11.936249999999998</v>
      </c>
      <c r="BF32" s="34">
        <v>-12.170294117647057</v>
      </c>
      <c r="BG32" s="34">
        <v>-12.315401470588235</v>
      </c>
    </row>
    <row r="33" spans="2:59" x14ac:dyDescent="0.35">
      <c r="B33" t="s">
        <v>23186</v>
      </c>
      <c r="C33">
        <v>1443.45</v>
      </c>
      <c r="F33" t="s">
        <v>23182</v>
      </c>
      <c r="G33" s="34">
        <v>-4.8749999999999967E-2</v>
      </c>
      <c r="H33" s="34">
        <v>-9.7499999999999934E-2</v>
      </c>
      <c r="I33" s="34">
        <v>-0.14624999999999988</v>
      </c>
      <c r="J33" s="34">
        <v>-0.19499999999999987</v>
      </c>
      <c r="K33" s="34">
        <v>-0.24374999999999983</v>
      </c>
      <c r="L33" s="34">
        <v>-0.29249999999999976</v>
      </c>
      <c r="M33" s="34">
        <v>-0.34124999999999978</v>
      </c>
      <c r="N33" s="34">
        <v>-0.38999999999999974</v>
      </c>
      <c r="O33" s="34">
        <v>-0.4387499999999997</v>
      </c>
      <c r="P33" s="34">
        <v>-0.48749999999999966</v>
      </c>
      <c r="Q33" s="34">
        <v>-0.53624999999999967</v>
      </c>
      <c r="R33" s="34">
        <v>-0.58499999999999952</v>
      </c>
      <c r="S33" s="34">
        <v>-0.63374999999999959</v>
      </c>
      <c r="T33" s="34">
        <v>-0.68249999999999955</v>
      </c>
      <c r="U33" s="34">
        <v>-0.73124999999999951</v>
      </c>
      <c r="V33" s="34">
        <v>-0.77999999999999947</v>
      </c>
      <c r="W33" s="34">
        <v>-0.82874999999999943</v>
      </c>
      <c r="X33" s="34">
        <v>-0.87749999999999939</v>
      </c>
      <c r="Y33" s="34">
        <v>-0.92624999999999935</v>
      </c>
      <c r="Z33" s="34">
        <v>-0.97499999999999931</v>
      </c>
      <c r="AA33" s="34">
        <v>-1.0237499999999993</v>
      </c>
      <c r="AB33" s="34">
        <v>-1.0724999999999993</v>
      </c>
      <c r="AC33" s="34">
        <v>-1.1212499999999992</v>
      </c>
      <c r="AD33" s="34">
        <v>-1.169999999999999</v>
      </c>
      <c r="AE33" s="34">
        <v>-1.2187499999999991</v>
      </c>
      <c r="AF33" s="34">
        <v>-1.2674999999999992</v>
      </c>
      <c r="AG33" s="34">
        <v>-1.3162499999999993</v>
      </c>
      <c r="AH33" s="34">
        <v>-1.3649999999999991</v>
      </c>
      <c r="AI33" s="34">
        <v>-1.413749999999999</v>
      </c>
      <c r="AJ33" s="34">
        <v>-1.462499999999999</v>
      </c>
      <c r="AK33" s="34">
        <v>-1.5112499999999989</v>
      </c>
      <c r="AL33" s="34">
        <v>-1.5599999999999989</v>
      </c>
      <c r="AM33" s="34">
        <v>-1.608749999999999</v>
      </c>
      <c r="AN33" s="34">
        <v>-1.6574999999999989</v>
      </c>
      <c r="AO33" s="34">
        <v>-1.7062499999999989</v>
      </c>
      <c r="AP33" s="34">
        <v>-1.7549999999999988</v>
      </c>
      <c r="AQ33" s="34">
        <v>-1.8037499999999986</v>
      </c>
      <c r="AR33" s="34">
        <v>-1.8524999999999987</v>
      </c>
      <c r="AS33" s="34">
        <v>-1.9012499999999988</v>
      </c>
      <c r="AT33" s="34">
        <v>-1.9499999999999986</v>
      </c>
      <c r="AU33" s="34">
        <v>-1.9987499999999987</v>
      </c>
      <c r="AV33" s="34">
        <v>-2.0474999999999985</v>
      </c>
      <c r="AW33" s="34">
        <v>-2.0962499999999986</v>
      </c>
      <c r="AX33" s="34">
        <v>-2.1449999999999987</v>
      </c>
      <c r="AY33" s="34">
        <v>-2.1937499999999983</v>
      </c>
      <c r="AZ33" s="34">
        <v>-2.2424999999999984</v>
      </c>
      <c r="BA33" s="34">
        <v>-2.2912499999999985</v>
      </c>
      <c r="BB33" s="34">
        <v>-2.3399999999999981</v>
      </c>
      <c r="BC33" s="34">
        <v>-2.3887499999999982</v>
      </c>
      <c r="BD33" s="34">
        <v>-2.4374999999999982</v>
      </c>
      <c r="BE33" s="34">
        <v>-2.4862499999999983</v>
      </c>
      <c r="BF33" s="34">
        <v>-2.5349999999999984</v>
      </c>
      <c r="BG33" s="34">
        <v>-2.5652249999999981</v>
      </c>
    </row>
    <row r="34" spans="2:59" x14ac:dyDescent="0.35">
      <c r="B34" t="s">
        <v>23187</v>
      </c>
      <c r="C34">
        <v>1551.45</v>
      </c>
      <c r="F34" t="s">
        <v>23183</v>
      </c>
      <c r="G34" s="34">
        <v>0.13654411764705884</v>
      </c>
      <c r="H34" s="34">
        <v>0.27308823529411769</v>
      </c>
      <c r="I34" s="34">
        <v>0.40963235294117656</v>
      </c>
      <c r="J34" s="34">
        <v>0.54617647058823537</v>
      </c>
      <c r="K34" s="34">
        <v>0.68272058823529436</v>
      </c>
      <c r="L34" s="34">
        <v>0.81926470588235312</v>
      </c>
      <c r="M34" s="34">
        <v>0.95580882352941199</v>
      </c>
      <c r="N34" s="34">
        <v>1.0923529411764707</v>
      </c>
      <c r="O34" s="34">
        <v>1.2288970588235297</v>
      </c>
      <c r="P34" s="34">
        <v>1.3654411764705887</v>
      </c>
      <c r="Q34" s="34">
        <v>1.5019852941176475</v>
      </c>
      <c r="R34" s="34">
        <v>1.6385294117647062</v>
      </c>
      <c r="S34" s="34">
        <v>1.7750735294117652</v>
      </c>
      <c r="T34" s="34">
        <v>1.911617647058824</v>
      </c>
      <c r="U34" s="34">
        <v>2.048161764705883</v>
      </c>
      <c r="V34" s="34">
        <v>2.1847058823529415</v>
      </c>
      <c r="W34" s="34">
        <v>2.3212500000000005</v>
      </c>
      <c r="X34" s="34">
        <v>2.4577941176470595</v>
      </c>
      <c r="Y34" s="34">
        <v>2.594338235294118</v>
      </c>
      <c r="Z34" s="34">
        <v>2.7308823529411774</v>
      </c>
      <c r="AA34" s="34">
        <v>2.867426470588236</v>
      </c>
      <c r="AB34" s="34">
        <v>3.0039705882352949</v>
      </c>
      <c r="AC34" s="34">
        <v>3.1405147058823539</v>
      </c>
      <c r="AD34" s="34">
        <v>3.2770588235294125</v>
      </c>
      <c r="AE34" s="34">
        <v>3.4136029411764715</v>
      </c>
      <c r="AF34" s="34">
        <v>3.5501470588235304</v>
      </c>
      <c r="AG34" s="34">
        <v>3.686691176470589</v>
      </c>
      <c r="AH34" s="34">
        <v>3.823235294117648</v>
      </c>
      <c r="AI34" s="34">
        <v>3.9597794117647069</v>
      </c>
      <c r="AJ34" s="34">
        <v>4.0963235294117659</v>
      </c>
      <c r="AK34" s="34">
        <v>4.232867647058824</v>
      </c>
      <c r="AL34" s="34">
        <v>4.369411764705883</v>
      </c>
      <c r="AM34" s="34">
        <v>4.505955882352942</v>
      </c>
      <c r="AN34" s="34">
        <v>4.642500000000001</v>
      </c>
      <c r="AO34" s="34">
        <v>4.7790441176470599</v>
      </c>
      <c r="AP34" s="34">
        <v>4.9155882352941189</v>
      </c>
      <c r="AQ34" s="34">
        <v>5.052132352941177</v>
      </c>
      <c r="AR34" s="34">
        <v>5.188676470588236</v>
      </c>
      <c r="AS34" s="34">
        <v>5.3252205882352959</v>
      </c>
      <c r="AT34" s="34">
        <v>5.4617647058823549</v>
      </c>
      <c r="AU34" s="34">
        <v>5.5983088235294138</v>
      </c>
      <c r="AV34" s="34">
        <v>5.7348529411764719</v>
      </c>
      <c r="AW34" s="34">
        <v>5.8713970588235309</v>
      </c>
      <c r="AX34" s="34">
        <v>6.0079411764705899</v>
      </c>
      <c r="AY34" s="34">
        <v>6.1444852941176489</v>
      </c>
      <c r="AZ34" s="34">
        <v>6.2810294117647079</v>
      </c>
      <c r="BA34" s="34">
        <v>6.4175735294117668</v>
      </c>
      <c r="BB34" s="34">
        <v>6.5541176470588249</v>
      </c>
      <c r="BC34" s="34">
        <v>6.6906617647058839</v>
      </c>
      <c r="BD34" s="34">
        <v>6.8272058823529429</v>
      </c>
      <c r="BE34" s="34">
        <v>6.9637500000000019</v>
      </c>
      <c r="BF34" s="34">
        <v>7.1002941176470609</v>
      </c>
      <c r="BG34" s="34">
        <v>7.1849514705882376</v>
      </c>
    </row>
    <row r="35" spans="2:59" x14ac:dyDescent="0.35">
      <c r="B35" t="s">
        <v>23148</v>
      </c>
      <c r="C35">
        <v>412.95</v>
      </c>
      <c r="F35" t="s">
        <v>23184</v>
      </c>
      <c r="G35" s="34">
        <v>0.3218382352941177</v>
      </c>
      <c r="H35" s="34">
        <v>0.64367647058823541</v>
      </c>
      <c r="I35" s="34">
        <v>0.96551470588235289</v>
      </c>
      <c r="J35" s="34">
        <v>1.2873529411764708</v>
      </c>
      <c r="K35" s="34">
        <v>1.6091911764705884</v>
      </c>
      <c r="L35" s="34">
        <v>1.9310294117647058</v>
      </c>
      <c r="M35" s="34">
        <v>2.252867647058824</v>
      </c>
      <c r="N35" s="34">
        <v>2.5747058823529416</v>
      </c>
      <c r="O35" s="34">
        <v>2.8965441176470592</v>
      </c>
      <c r="P35" s="34">
        <v>3.2183823529411768</v>
      </c>
      <c r="Q35" s="34">
        <v>3.5402205882352944</v>
      </c>
      <c r="R35" s="34">
        <v>3.8620588235294115</v>
      </c>
      <c r="S35" s="34">
        <v>4.18389705882353</v>
      </c>
      <c r="T35" s="34">
        <v>4.5057352941176481</v>
      </c>
      <c r="U35" s="34">
        <v>4.8275735294117652</v>
      </c>
      <c r="V35" s="34">
        <v>5.1494117647058832</v>
      </c>
      <c r="W35" s="34">
        <v>5.4712500000000013</v>
      </c>
      <c r="X35" s="34">
        <v>5.7930882352941184</v>
      </c>
      <c r="Y35" s="34">
        <v>6.1149264705882365</v>
      </c>
      <c r="Z35" s="34">
        <v>6.4367647058823536</v>
      </c>
      <c r="AA35" s="34">
        <v>6.7586029411764716</v>
      </c>
      <c r="AB35" s="34">
        <v>7.0804411764705888</v>
      </c>
      <c r="AC35" s="34">
        <v>7.4022794117647068</v>
      </c>
      <c r="AD35" s="34">
        <v>7.7241176470588231</v>
      </c>
      <c r="AE35" s="34">
        <v>8.045955882352942</v>
      </c>
      <c r="AF35" s="34">
        <v>8.36779411764706</v>
      </c>
      <c r="AG35" s="34">
        <v>8.6896323529411781</v>
      </c>
      <c r="AH35" s="34">
        <v>9.0114705882352961</v>
      </c>
      <c r="AI35" s="34">
        <v>9.3333088235294142</v>
      </c>
      <c r="AJ35" s="34">
        <v>9.6551470588235304</v>
      </c>
      <c r="AK35" s="34">
        <v>9.9769852941176485</v>
      </c>
      <c r="AL35" s="34">
        <v>10.298823529411766</v>
      </c>
      <c r="AM35" s="34">
        <v>10.620661764705885</v>
      </c>
      <c r="AN35" s="34">
        <v>10.942500000000003</v>
      </c>
      <c r="AO35" s="34">
        <v>11.264338235294119</v>
      </c>
      <c r="AP35" s="34">
        <v>11.586176470588237</v>
      </c>
      <c r="AQ35" s="34">
        <v>11.908014705882355</v>
      </c>
      <c r="AR35" s="34">
        <v>12.229852941176473</v>
      </c>
      <c r="AS35" s="34">
        <v>12.551691176470589</v>
      </c>
      <c r="AT35" s="34">
        <v>12.873529411764707</v>
      </c>
      <c r="AU35" s="34">
        <v>13.195367647058825</v>
      </c>
      <c r="AV35" s="34">
        <v>13.517205882352943</v>
      </c>
      <c r="AW35" s="34">
        <v>13.839044117647061</v>
      </c>
      <c r="AX35" s="34">
        <v>14.160882352941178</v>
      </c>
      <c r="AY35" s="34">
        <v>14.482720588235296</v>
      </c>
      <c r="AZ35" s="34">
        <v>14.804558823529414</v>
      </c>
      <c r="BA35" s="34">
        <v>15.126397058823532</v>
      </c>
      <c r="BB35" s="34">
        <v>15.448235294117646</v>
      </c>
      <c r="BC35" s="34">
        <v>15.770073529411764</v>
      </c>
      <c r="BD35" s="34">
        <v>16.091911764705884</v>
      </c>
      <c r="BE35" s="34">
        <v>16.41375</v>
      </c>
      <c r="BF35" s="34">
        <v>16.73558823529412</v>
      </c>
      <c r="BG35" s="34">
        <v>16.935127941176475</v>
      </c>
    </row>
    <row r="36" spans="2:59" x14ac:dyDescent="0.35">
      <c r="B36" t="s">
        <v>23188</v>
      </c>
      <c r="C36">
        <v>540.95000000000005</v>
      </c>
      <c r="F36" t="s">
        <v>23185</v>
      </c>
      <c r="G36" s="34">
        <v>0.50713235294117642</v>
      </c>
      <c r="H36" s="34">
        <v>1.0142647058823528</v>
      </c>
      <c r="I36" s="34">
        <v>1.5213970588235295</v>
      </c>
      <c r="J36" s="34">
        <v>2.0285294117647057</v>
      </c>
      <c r="K36" s="34">
        <v>2.5356617647058823</v>
      </c>
      <c r="L36" s="34">
        <v>3.042794117647059</v>
      </c>
      <c r="M36" s="34">
        <v>3.5499264705882356</v>
      </c>
      <c r="N36" s="34">
        <v>4.0570588235294114</v>
      </c>
      <c r="O36" s="34">
        <v>4.5641911764705885</v>
      </c>
      <c r="P36" s="34">
        <v>5.0713235294117647</v>
      </c>
      <c r="Q36" s="34">
        <v>5.5784558823529409</v>
      </c>
      <c r="R36" s="34">
        <v>6.085588235294118</v>
      </c>
      <c r="S36" s="34">
        <v>6.5927205882352951</v>
      </c>
      <c r="T36" s="34">
        <v>7.0998529411764713</v>
      </c>
      <c r="U36" s="34">
        <v>7.6069852941176483</v>
      </c>
      <c r="V36" s="34">
        <v>8.1141176470588228</v>
      </c>
      <c r="W36" s="34">
        <v>8.6212499999999999</v>
      </c>
      <c r="X36" s="34">
        <v>9.1283823529411769</v>
      </c>
      <c r="Y36" s="34">
        <v>9.6355147058823523</v>
      </c>
      <c r="Z36" s="34">
        <v>10.142647058823529</v>
      </c>
      <c r="AA36" s="34">
        <v>10.649779411764706</v>
      </c>
      <c r="AB36" s="34">
        <v>11.156911764705882</v>
      </c>
      <c r="AC36" s="34">
        <v>11.664044117647059</v>
      </c>
      <c r="AD36" s="34">
        <v>12.171176470588236</v>
      </c>
      <c r="AE36" s="34">
        <v>12.678308823529411</v>
      </c>
      <c r="AF36" s="34">
        <v>13.18544117647059</v>
      </c>
      <c r="AG36" s="34">
        <v>13.692573529411767</v>
      </c>
      <c r="AH36" s="34">
        <v>14.199705882352943</v>
      </c>
      <c r="AI36" s="34">
        <v>14.70683823529412</v>
      </c>
      <c r="AJ36" s="34">
        <v>15.213970588235297</v>
      </c>
      <c r="AK36" s="34">
        <v>15.72110294117647</v>
      </c>
      <c r="AL36" s="34">
        <v>16.228235294117646</v>
      </c>
      <c r="AM36" s="34">
        <v>16.735367647058823</v>
      </c>
      <c r="AN36" s="34">
        <v>17.2425</v>
      </c>
      <c r="AO36" s="34">
        <v>17.749632352941177</v>
      </c>
      <c r="AP36" s="34">
        <v>18.256764705882354</v>
      </c>
      <c r="AQ36" s="34">
        <v>18.763897058823531</v>
      </c>
      <c r="AR36" s="34">
        <v>19.271029411764705</v>
      </c>
      <c r="AS36" s="34">
        <v>19.778161764705882</v>
      </c>
      <c r="AT36" s="34">
        <v>20.285294117647059</v>
      </c>
      <c r="AU36" s="34">
        <v>20.792426470588236</v>
      </c>
      <c r="AV36" s="34">
        <v>21.299558823529413</v>
      </c>
      <c r="AW36" s="34">
        <v>21.80669117647059</v>
      </c>
      <c r="AX36" s="34">
        <v>22.313823529411764</v>
      </c>
      <c r="AY36" s="34">
        <v>22.820955882352941</v>
      </c>
      <c r="AZ36" s="34">
        <v>23.328088235294118</v>
      </c>
      <c r="BA36" s="34">
        <v>23.835220588235295</v>
      </c>
      <c r="BB36" s="34">
        <v>24.342352941176472</v>
      </c>
      <c r="BC36" s="34">
        <v>24.849485294117645</v>
      </c>
      <c r="BD36" s="34">
        <v>25.356617647058822</v>
      </c>
      <c r="BE36" s="34">
        <v>25.86375</v>
      </c>
      <c r="BF36" s="34">
        <v>26.37088235294118</v>
      </c>
      <c r="BG36" s="34">
        <v>26.685304411764708</v>
      </c>
    </row>
    <row r="37" spans="2:59" x14ac:dyDescent="0.35">
      <c r="B37" t="s">
        <v>23189</v>
      </c>
      <c r="C37">
        <v>653.95000000000005</v>
      </c>
      <c r="F37" t="s">
        <v>23186</v>
      </c>
      <c r="G37" s="34">
        <v>0.69242647058823525</v>
      </c>
      <c r="H37" s="34">
        <v>1.3848529411764705</v>
      </c>
      <c r="I37" s="34">
        <v>2.0772794117647058</v>
      </c>
      <c r="J37" s="34">
        <v>2.769705882352941</v>
      </c>
      <c r="K37" s="34">
        <v>3.4621323529411763</v>
      </c>
      <c r="L37" s="34">
        <v>4.1545588235294115</v>
      </c>
      <c r="M37" s="34">
        <v>4.8469852941176468</v>
      </c>
      <c r="N37" s="34">
        <v>5.539411764705882</v>
      </c>
      <c r="O37" s="34">
        <v>6.2318382352941173</v>
      </c>
      <c r="P37" s="34">
        <v>6.9242647058823525</v>
      </c>
      <c r="Q37" s="34">
        <v>7.6166911764705878</v>
      </c>
      <c r="R37" s="34">
        <v>8.3091176470588231</v>
      </c>
      <c r="S37" s="34">
        <v>9.0015441176470592</v>
      </c>
      <c r="T37" s="34">
        <v>9.6939705882352936</v>
      </c>
      <c r="U37" s="34">
        <v>10.38639705882353</v>
      </c>
      <c r="V37" s="34">
        <v>11.078823529411764</v>
      </c>
      <c r="W37" s="34">
        <v>11.77125</v>
      </c>
      <c r="X37" s="34">
        <v>12.463676470588235</v>
      </c>
      <c r="Y37" s="34">
        <v>13.156102941176471</v>
      </c>
      <c r="Z37" s="34">
        <v>13.848529411764705</v>
      </c>
      <c r="AA37" s="34">
        <v>14.540955882352941</v>
      </c>
      <c r="AB37" s="34">
        <v>15.233382352941176</v>
      </c>
      <c r="AC37" s="34">
        <v>15.925808823529412</v>
      </c>
      <c r="AD37" s="34">
        <v>16.618235294117646</v>
      </c>
      <c r="AE37" s="34">
        <v>17.310661764705884</v>
      </c>
      <c r="AF37" s="34">
        <v>18.003088235294118</v>
      </c>
      <c r="AG37" s="34">
        <v>18.695514705882353</v>
      </c>
      <c r="AH37" s="34">
        <v>19.387941176470587</v>
      </c>
      <c r="AI37" s="34">
        <v>20.080367647058825</v>
      </c>
      <c r="AJ37" s="34">
        <v>20.772794117647059</v>
      </c>
      <c r="AK37" s="34">
        <v>21.465220588235294</v>
      </c>
      <c r="AL37" s="34">
        <v>22.157647058823528</v>
      </c>
      <c r="AM37" s="34">
        <v>22.850073529411766</v>
      </c>
      <c r="AN37" s="34">
        <v>23.5425</v>
      </c>
      <c r="AO37" s="34">
        <v>24.234926470588235</v>
      </c>
      <c r="AP37" s="34">
        <v>24.927352941176469</v>
      </c>
      <c r="AQ37" s="34">
        <v>25.619779411764707</v>
      </c>
      <c r="AR37" s="34">
        <v>26.312205882352941</v>
      </c>
      <c r="AS37" s="34">
        <v>27.004632352941176</v>
      </c>
      <c r="AT37" s="34">
        <v>27.69705882352941</v>
      </c>
      <c r="AU37" s="34">
        <v>28.389485294117648</v>
      </c>
      <c r="AV37" s="34">
        <v>29.081911764705882</v>
      </c>
      <c r="AW37" s="34">
        <v>29.774338235294117</v>
      </c>
      <c r="AX37" s="34">
        <v>30.466764705882351</v>
      </c>
      <c r="AY37" s="34">
        <v>31.159191176470589</v>
      </c>
      <c r="AZ37" s="34">
        <v>31.851617647058823</v>
      </c>
      <c r="BA37" s="34">
        <v>32.544044117647061</v>
      </c>
      <c r="BB37" s="34">
        <v>33.236470588235292</v>
      </c>
      <c r="BC37" s="34">
        <v>33.92889705882353</v>
      </c>
      <c r="BD37" s="34">
        <v>34.621323529411768</v>
      </c>
      <c r="BE37" s="34">
        <v>35.313749999999999</v>
      </c>
      <c r="BF37" s="34">
        <v>36.006176470588237</v>
      </c>
      <c r="BG37" s="34">
        <v>36.435480882352941</v>
      </c>
    </row>
    <row r="38" spans="2:59" x14ac:dyDescent="0.35">
      <c r="B38" t="s">
        <v>23190</v>
      </c>
      <c r="C38">
        <v>742.95</v>
      </c>
      <c r="F38" t="s">
        <v>23187</v>
      </c>
      <c r="G38" s="34">
        <v>0.85124999999999995</v>
      </c>
      <c r="H38" s="34">
        <v>1.7024999999999999</v>
      </c>
      <c r="I38" s="34">
        <v>2.55375</v>
      </c>
      <c r="J38" s="34">
        <v>3.4049999999999998</v>
      </c>
      <c r="K38" s="34">
        <v>4.2562499999999996</v>
      </c>
      <c r="L38" s="34">
        <v>5.1074999999999999</v>
      </c>
      <c r="M38" s="34">
        <v>5.9587500000000002</v>
      </c>
      <c r="N38" s="34">
        <v>6.81</v>
      </c>
      <c r="O38" s="34">
        <v>7.6612499999999999</v>
      </c>
      <c r="P38" s="34">
        <v>8.5124999999999993</v>
      </c>
      <c r="Q38" s="34">
        <v>9.3637499999999996</v>
      </c>
      <c r="R38" s="34">
        <v>10.215</v>
      </c>
      <c r="S38" s="34">
        <v>11.06625</v>
      </c>
      <c r="T38" s="34">
        <v>11.9175</v>
      </c>
      <c r="U38" s="34">
        <v>12.768750000000001</v>
      </c>
      <c r="V38" s="34">
        <v>13.62</v>
      </c>
      <c r="W38" s="34">
        <v>14.47125</v>
      </c>
      <c r="X38" s="34">
        <v>15.3225</v>
      </c>
      <c r="Y38" s="34">
        <v>16.173749999999998</v>
      </c>
      <c r="Z38" s="34">
        <v>17.024999999999999</v>
      </c>
      <c r="AA38" s="34">
        <v>17.876249999999999</v>
      </c>
      <c r="AB38" s="34">
        <v>18.727499999999999</v>
      </c>
      <c r="AC38" s="34">
        <v>19.578749999999999</v>
      </c>
      <c r="AD38" s="34">
        <v>20.43</v>
      </c>
      <c r="AE38" s="34">
        <v>21.28125</v>
      </c>
      <c r="AF38" s="34">
        <v>22.1325</v>
      </c>
      <c r="AG38" s="34">
        <v>22.983750000000001</v>
      </c>
      <c r="AH38" s="34">
        <v>23.835000000000001</v>
      </c>
      <c r="AI38" s="34">
        <v>24.686250000000001</v>
      </c>
      <c r="AJ38" s="34">
        <v>25.537500000000001</v>
      </c>
      <c r="AK38" s="34">
        <v>26.388750000000002</v>
      </c>
      <c r="AL38" s="34">
        <v>27.24</v>
      </c>
      <c r="AM38" s="34">
        <v>28.091249999999999</v>
      </c>
      <c r="AN38" s="34">
        <v>28.942499999999999</v>
      </c>
      <c r="AO38" s="34">
        <v>29.793749999999999</v>
      </c>
      <c r="AP38" s="34">
        <v>30.645</v>
      </c>
      <c r="AQ38" s="34">
        <v>31.49625</v>
      </c>
      <c r="AR38" s="34">
        <v>32.347499999999997</v>
      </c>
      <c r="AS38" s="34">
        <v>33.198749999999997</v>
      </c>
      <c r="AT38" s="34">
        <v>34.049999999999997</v>
      </c>
      <c r="AU38" s="34">
        <v>34.901249999999997</v>
      </c>
      <c r="AV38" s="34">
        <v>35.752499999999998</v>
      </c>
      <c r="AW38" s="34">
        <v>36.603749999999998</v>
      </c>
      <c r="AX38" s="34">
        <v>37.454999999999998</v>
      </c>
      <c r="AY38" s="34">
        <v>38.306249999999999</v>
      </c>
      <c r="AZ38" s="34">
        <v>39.157499999999999</v>
      </c>
      <c r="BA38" s="34">
        <v>40.008749999999999</v>
      </c>
      <c r="BB38" s="34">
        <v>40.86</v>
      </c>
      <c r="BC38" s="34">
        <v>41.71125</v>
      </c>
      <c r="BD38" s="34">
        <v>42.5625</v>
      </c>
      <c r="BE38" s="34">
        <v>43.41375</v>
      </c>
      <c r="BF38" s="34">
        <v>44.265000000000001</v>
      </c>
      <c r="BG38" s="34">
        <v>44.792775000000006</v>
      </c>
    </row>
    <row r="39" spans="2:59" x14ac:dyDescent="0.35">
      <c r="B39" t="s">
        <v>23191</v>
      </c>
      <c r="C39">
        <v>831.95</v>
      </c>
      <c r="E39">
        <v>3429</v>
      </c>
      <c r="F39" t="s">
        <v>23146</v>
      </c>
      <c r="G39" s="34">
        <v>-0.79580882352941185</v>
      </c>
      <c r="H39" s="34">
        <v>-1.5916176470588237</v>
      </c>
      <c r="I39" s="34">
        <v>-2.3874264705882355</v>
      </c>
      <c r="J39" s="34">
        <v>-3.1832352941176474</v>
      </c>
      <c r="K39" s="34">
        <v>-3.9790441176470597</v>
      </c>
      <c r="L39" s="34">
        <v>-4.7748529411764711</v>
      </c>
      <c r="M39" s="34">
        <v>-5.5706617647058829</v>
      </c>
      <c r="N39" s="34">
        <v>-6.3664705882352948</v>
      </c>
      <c r="O39" s="34">
        <v>-7.1622794117647066</v>
      </c>
      <c r="P39" s="34">
        <v>-7.9580882352941194</v>
      </c>
      <c r="Q39" s="34">
        <v>-8.7538970588235312</v>
      </c>
      <c r="R39" s="34">
        <v>-9.5497058823529422</v>
      </c>
      <c r="S39" s="34">
        <v>-10.345514705882355</v>
      </c>
      <c r="T39" s="34">
        <v>-11.141323529411766</v>
      </c>
      <c r="U39" s="34">
        <v>-11.937132352941179</v>
      </c>
      <c r="V39" s="34">
        <v>-12.73294117647059</v>
      </c>
      <c r="W39" s="34">
        <v>-13.528750000000002</v>
      </c>
      <c r="X39" s="34">
        <v>-14.324558823529413</v>
      </c>
      <c r="Y39" s="34">
        <v>-15.120367647058826</v>
      </c>
      <c r="Z39" s="34">
        <v>-15.916176470588239</v>
      </c>
      <c r="AA39" s="34">
        <v>-16.71198529411765</v>
      </c>
      <c r="AB39" s="34">
        <v>-17.507794117647062</v>
      </c>
      <c r="AC39" s="34">
        <v>-18.303602941176475</v>
      </c>
      <c r="AD39" s="34">
        <v>-19.099411764705884</v>
      </c>
      <c r="AE39" s="34">
        <v>-19.895220588235297</v>
      </c>
      <c r="AF39" s="34">
        <v>-20.69102941176471</v>
      </c>
      <c r="AG39" s="34">
        <v>-21.486838235294123</v>
      </c>
      <c r="AH39" s="34">
        <v>-22.282647058823532</v>
      </c>
      <c r="AI39" s="34">
        <v>-23.078455882352944</v>
      </c>
      <c r="AJ39" s="34">
        <v>-23.874264705882357</v>
      </c>
      <c r="AK39" s="34">
        <v>-24.67007352941177</v>
      </c>
      <c r="AL39" s="34">
        <v>-25.465882352941179</v>
      </c>
      <c r="AM39" s="34">
        <v>-26.261691176470592</v>
      </c>
      <c r="AN39" s="34">
        <v>-27.057500000000005</v>
      </c>
      <c r="AO39" s="34">
        <v>-27.853308823529414</v>
      </c>
      <c r="AP39" s="34">
        <v>-28.649117647058826</v>
      </c>
      <c r="AQ39" s="34">
        <v>-29.444926470588239</v>
      </c>
      <c r="AR39" s="34">
        <v>-30.240735294117652</v>
      </c>
      <c r="AS39" s="34">
        <v>-31.036544117647065</v>
      </c>
      <c r="AT39" s="34">
        <v>-31.832352941176477</v>
      </c>
      <c r="AU39" s="34">
        <v>-32.628161764705887</v>
      </c>
      <c r="AV39" s="34">
        <v>-33.423970588235299</v>
      </c>
      <c r="AW39" s="34">
        <v>-34.219779411764712</v>
      </c>
      <c r="AX39" s="34">
        <v>-35.015588235294125</v>
      </c>
      <c r="AY39" s="34">
        <v>-35.811397058823538</v>
      </c>
      <c r="AZ39" s="34">
        <v>-36.60720588235295</v>
      </c>
      <c r="BA39" s="34">
        <v>-37.403014705882363</v>
      </c>
      <c r="BB39" s="34">
        <v>-38.198823529411769</v>
      </c>
      <c r="BC39" s="34">
        <v>-38.994632352941181</v>
      </c>
      <c r="BD39" s="34">
        <v>-39.790441176470594</v>
      </c>
      <c r="BE39" s="34">
        <v>-40.586250000000007</v>
      </c>
      <c r="BF39" s="34">
        <v>-41.38205882352942</v>
      </c>
      <c r="BG39" s="34">
        <v>-41.875460294117651</v>
      </c>
    </row>
    <row r="40" spans="2:59" x14ac:dyDescent="0.35">
      <c r="B40" t="s">
        <v>23192</v>
      </c>
      <c r="C40">
        <v>920.95</v>
      </c>
      <c r="E40">
        <v>3429</v>
      </c>
      <c r="F40" t="s">
        <v>23159</v>
      </c>
      <c r="G40" s="34">
        <v>-0.60757352941176468</v>
      </c>
      <c r="H40" s="34">
        <v>-1.2151470588235294</v>
      </c>
      <c r="I40" s="34">
        <v>-1.8227205882352941</v>
      </c>
      <c r="J40" s="34">
        <v>-2.4302941176470587</v>
      </c>
      <c r="K40" s="34">
        <v>-3.0378676470588237</v>
      </c>
      <c r="L40" s="34">
        <v>-3.6454411764705883</v>
      </c>
      <c r="M40" s="34">
        <v>-4.2530147058823529</v>
      </c>
      <c r="N40" s="34">
        <v>-4.8605882352941174</v>
      </c>
      <c r="O40" s="34">
        <v>-5.468161764705882</v>
      </c>
      <c r="P40" s="34">
        <v>-6.0757352941176475</v>
      </c>
      <c r="Q40" s="34">
        <v>-6.683308823529412</v>
      </c>
      <c r="R40" s="34">
        <v>-7.2908823529411766</v>
      </c>
      <c r="S40" s="34">
        <v>-7.8984558823529412</v>
      </c>
      <c r="T40" s="34">
        <v>-8.5060294117647057</v>
      </c>
      <c r="U40" s="34">
        <v>-9.1136029411764703</v>
      </c>
      <c r="V40" s="34">
        <v>-9.7211764705882349</v>
      </c>
      <c r="W40" s="34">
        <v>-10.328749999999999</v>
      </c>
      <c r="X40" s="34">
        <v>-10.936323529411764</v>
      </c>
      <c r="Y40" s="34">
        <v>-11.543897058823529</v>
      </c>
      <c r="Z40" s="34">
        <v>-12.151470588235295</v>
      </c>
      <c r="AA40" s="34">
        <v>-12.759044117647059</v>
      </c>
      <c r="AB40" s="34">
        <v>-13.366617647058824</v>
      </c>
      <c r="AC40" s="34">
        <v>-13.974191176470589</v>
      </c>
      <c r="AD40" s="34">
        <v>-14.581764705882353</v>
      </c>
      <c r="AE40" s="34">
        <v>-15.189338235294118</v>
      </c>
      <c r="AF40" s="34">
        <v>-15.796911764705882</v>
      </c>
      <c r="AG40" s="34">
        <v>-16.404485294117649</v>
      </c>
      <c r="AH40" s="34">
        <v>-17.012058823529411</v>
      </c>
      <c r="AI40" s="34">
        <v>-17.619632352941178</v>
      </c>
      <c r="AJ40" s="34">
        <v>-18.227205882352941</v>
      </c>
      <c r="AK40" s="34">
        <v>-18.834779411764707</v>
      </c>
      <c r="AL40" s="34">
        <v>-19.44235294117647</v>
      </c>
      <c r="AM40" s="34">
        <v>-20.049926470588236</v>
      </c>
      <c r="AN40" s="34">
        <v>-20.657499999999999</v>
      </c>
      <c r="AO40" s="34">
        <v>-21.265073529411765</v>
      </c>
      <c r="AP40" s="34">
        <v>-21.872647058823528</v>
      </c>
      <c r="AQ40" s="34">
        <v>-22.480220588235294</v>
      </c>
      <c r="AR40" s="34">
        <v>-23.087794117647057</v>
      </c>
      <c r="AS40" s="34">
        <v>-23.695367647058823</v>
      </c>
      <c r="AT40" s="34">
        <v>-24.30294117647059</v>
      </c>
      <c r="AU40" s="34">
        <v>-24.910514705882353</v>
      </c>
      <c r="AV40" s="34">
        <v>-25.518088235294119</v>
      </c>
      <c r="AW40" s="34">
        <v>-26.125661764705882</v>
      </c>
      <c r="AX40" s="34">
        <v>-26.733235294117648</v>
      </c>
      <c r="AY40" s="34">
        <v>-27.340808823529411</v>
      </c>
      <c r="AZ40" s="34">
        <v>-27.948382352941177</v>
      </c>
      <c r="BA40" s="34">
        <v>-28.55595588235294</v>
      </c>
      <c r="BB40" s="34">
        <v>-29.163529411764706</v>
      </c>
      <c r="BC40" s="34">
        <v>-29.771102941176469</v>
      </c>
      <c r="BD40" s="34">
        <v>-30.378676470588236</v>
      </c>
      <c r="BE40" s="34">
        <v>-30.986249999999998</v>
      </c>
      <c r="BF40" s="34">
        <v>-31.593823529411765</v>
      </c>
      <c r="BG40" s="34">
        <v>-31.970519117647058</v>
      </c>
    </row>
    <row r="41" spans="2:59" x14ac:dyDescent="0.35">
      <c r="B41" t="s">
        <v>23193</v>
      </c>
      <c r="C41">
        <v>1009.95</v>
      </c>
      <c r="E41">
        <v>3429</v>
      </c>
      <c r="F41" t="s">
        <v>23160</v>
      </c>
      <c r="G41" s="34">
        <v>-0.41933823529411757</v>
      </c>
      <c r="H41" s="34">
        <v>-0.83867647058823513</v>
      </c>
      <c r="I41" s="34">
        <v>-1.258014705882353</v>
      </c>
      <c r="J41" s="34">
        <v>-1.6773529411764703</v>
      </c>
      <c r="K41" s="34">
        <v>-2.0966911764705882</v>
      </c>
      <c r="L41" s="34">
        <v>-2.516029411764706</v>
      </c>
      <c r="M41" s="34">
        <v>-2.9353676470588232</v>
      </c>
      <c r="N41" s="34">
        <v>-3.3547058823529405</v>
      </c>
      <c r="O41" s="34">
        <v>-3.7740441176470583</v>
      </c>
      <c r="P41" s="34">
        <v>-4.1933823529411764</v>
      </c>
      <c r="Q41" s="34">
        <v>-4.6127205882352937</v>
      </c>
      <c r="R41" s="34">
        <v>-5.0320588235294119</v>
      </c>
      <c r="S41" s="34">
        <v>-5.4513970588235283</v>
      </c>
      <c r="T41" s="34">
        <v>-5.8707352941176465</v>
      </c>
      <c r="U41" s="34">
        <v>-6.2900735294117638</v>
      </c>
      <c r="V41" s="34">
        <v>-6.7094117647058811</v>
      </c>
      <c r="W41" s="34">
        <v>-7.1287499999999993</v>
      </c>
      <c r="X41" s="34">
        <v>-7.5480882352941165</v>
      </c>
      <c r="Y41" s="34">
        <v>-7.9674264705882356</v>
      </c>
      <c r="Z41" s="34">
        <v>-8.3867647058823529</v>
      </c>
      <c r="AA41" s="34">
        <v>-8.8061029411764711</v>
      </c>
      <c r="AB41" s="34">
        <v>-9.2254411764705875</v>
      </c>
      <c r="AC41" s="34">
        <v>-9.6447794117647057</v>
      </c>
      <c r="AD41" s="34">
        <v>-10.064117647058824</v>
      </c>
      <c r="AE41" s="34">
        <v>-10.483455882352942</v>
      </c>
      <c r="AF41" s="34">
        <v>-10.902794117647057</v>
      </c>
      <c r="AG41" s="34">
        <v>-11.322132352941175</v>
      </c>
      <c r="AH41" s="34">
        <v>-11.741470588235293</v>
      </c>
      <c r="AI41" s="34">
        <v>-12.160808823529409</v>
      </c>
      <c r="AJ41" s="34">
        <v>-12.580147058823528</v>
      </c>
      <c r="AK41" s="34">
        <v>-12.999485294117646</v>
      </c>
      <c r="AL41" s="34">
        <v>-13.418823529411762</v>
      </c>
      <c r="AM41" s="34">
        <v>-13.83816176470588</v>
      </c>
      <c r="AN41" s="34">
        <v>-14.257499999999999</v>
      </c>
      <c r="AO41" s="34">
        <v>-14.676838235294117</v>
      </c>
      <c r="AP41" s="34">
        <v>-15.096176470588233</v>
      </c>
      <c r="AQ41" s="34">
        <v>-15.515514705882353</v>
      </c>
      <c r="AR41" s="34">
        <v>-15.934852941176471</v>
      </c>
      <c r="AS41" s="34">
        <v>-16.354191176470589</v>
      </c>
      <c r="AT41" s="34">
        <v>-16.773529411764706</v>
      </c>
      <c r="AU41" s="34">
        <v>-17.192867647058822</v>
      </c>
      <c r="AV41" s="34">
        <v>-17.612205882352942</v>
      </c>
      <c r="AW41" s="34">
        <v>-18.031544117647059</v>
      </c>
      <c r="AX41" s="34">
        <v>-18.450882352941175</v>
      </c>
      <c r="AY41" s="34">
        <v>-18.870220588235295</v>
      </c>
      <c r="AZ41" s="34">
        <v>-19.289558823529411</v>
      </c>
      <c r="BA41" s="34">
        <v>-19.708897058823528</v>
      </c>
      <c r="BB41" s="34">
        <v>-20.128235294117648</v>
      </c>
      <c r="BC41" s="34">
        <v>-20.547573529411764</v>
      </c>
      <c r="BD41" s="34">
        <v>-20.966911764705884</v>
      </c>
      <c r="BE41" s="34">
        <v>-21.38625</v>
      </c>
      <c r="BF41" s="34">
        <v>-21.805588235294113</v>
      </c>
      <c r="BG41" s="34">
        <v>-22.065577941176468</v>
      </c>
    </row>
    <row r="42" spans="2:59" x14ac:dyDescent="0.35">
      <c r="B42" t="s">
        <v>23194</v>
      </c>
      <c r="C42">
        <v>1098.95</v>
      </c>
      <c r="E42">
        <v>4627</v>
      </c>
      <c r="F42" t="s">
        <v>23161</v>
      </c>
      <c r="G42" s="34">
        <v>-0.23404411764705879</v>
      </c>
      <c r="H42" s="34">
        <v>-0.46808823529411758</v>
      </c>
      <c r="I42" s="34">
        <v>-0.70213235294117637</v>
      </c>
      <c r="J42" s="34">
        <v>-0.93617647058823517</v>
      </c>
      <c r="K42" s="34">
        <v>-1.1702205882352938</v>
      </c>
      <c r="L42" s="34">
        <v>-1.4042647058823527</v>
      </c>
      <c r="M42" s="34">
        <v>-1.6383088235294117</v>
      </c>
      <c r="N42" s="34">
        <v>-1.8723529411764703</v>
      </c>
      <c r="O42" s="34">
        <v>-2.106397058823529</v>
      </c>
      <c r="P42" s="34">
        <v>-2.3404411764705877</v>
      </c>
      <c r="Q42" s="34">
        <v>-2.5744852941176468</v>
      </c>
      <c r="R42" s="34">
        <v>-2.8085294117647055</v>
      </c>
      <c r="S42" s="34">
        <v>-3.0425735294117642</v>
      </c>
      <c r="T42" s="34">
        <v>-3.2766176470588233</v>
      </c>
      <c r="U42" s="34">
        <v>-3.510661764705882</v>
      </c>
      <c r="V42" s="34">
        <v>-3.7447058823529407</v>
      </c>
      <c r="W42" s="34">
        <v>-3.9787499999999993</v>
      </c>
      <c r="X42" s="34">
        <v>-4.212794117647058</v>
      </c>
      <c r="Y42" s="34">
        <v>-4.4468382352941171</v>
      </c>
      <c r="Z42" s="34">
        <v>-4.6808823529411754</v>
      </c>
      <c r="AA42" s="34">
        <v>-4.9149264705882345</v>
      </c>
      <c r="AB42" s="34">
        <v>-5.1489705882352936</v>
      </c>
      <c r="AC42" s="34">
        <v>-5.3830147058823519</v>
      </c>
      <c r="AD42" s="34">
        <v>-5.617058823529411</v>
      </c>
      <c r="AE42" s="34">
        <v>-5.8511029411764701</v>
      </c>
      <c r="AF42" s="34">
        <v>-6.0851470588235284</v>
      </c>
      <c r="AG42" s="34">
        <v>-6.3191911764705875</v>
      </c>
      <c r="AH42" s="34">
        <v>-6.5532352941176466</v>
      </c>
      <c r="AI42" s="34">
        <v>-6.7872794117647048</v>
      </c>
      <c r="AJ42" s="34">
        <v>-7.021323529411764</v>
      </c>
      <c r="AK42" s="34">
        <v>-7.2553676470588231</v>
      </c>
      <c r="AL42" s="34">
        <v>-7.4894117647058813</v>
      </c>
      <c r="AM42" s="34">
        <v>-7.7234558823529396</v>
      </c>
      <c r="AN42" s="34">
        <v>-7.9574999999999987</v>
      </c>
      <c r="AO42" s="34">
        <v>-8.1915441176470569</v>
      </c>
      <c r="AP42" s="34">
        <v>-8.425588235294116</v>
      </c>
      <c r="AQ42" s="34">
        <v>-8.6596323529411752</v>
      </c>
      <c r="AR42" s="34">
        <v>-8.8936764705882343</v>
      </c>
      <c r="AS42" s="34">
        <v>-9.1277205882352916</v>
      </c>
      <c r="AT42" s="34">
        <v>-9.3617647058823508</v>
      </c>
      <c r="AU42" s="34">
        <v>-9.5958088235294099</v>
      </c>
      <c r="AV42" s="34">
        <v>-9.829852941176469</v>
      </c>
      <c r="AW42" s="34">
        <v>-10.063897058823528</v>
      </c>
      <c r="AX42" s="34">
        <v>-10.297941176470587</v>
      </c>
      <c r="AY42" s="34">
        <v>-10.531985294117645</v>
      </c>
      <c r="AZ42" s="34">
        <v>-10.766029411764704</v>
      </c>
      <c r="BA42" s="34">
        <v>-11.000073529411763</v>
      </c>
      <c r="BB42" s="34">
        <v>-11.234117647058822</v>
      </c>
      <c r="BC42" s="34">
        <v>-11.468161764705881</v>
      </c>
      <c r="BD42" s="34">
        <v>-11.70220588235294</v>
      </c>
      <c r="BE42" s="34">
        <v>-11.936249999999998</v>
      </c>
      <c r="BF42" s="34">
        <v>-12.170294117647057</v>
      </c>
      <c r="BG42" s="34">
        <v>-12.315401470588235</v>
      </c>
    </row>
    <row r="43" spans="2:59" x14ac:dyDescent="0.35">
      <c r="B43" t="s">
        <v>23195</v>
      </c>
      <c r="C43">
        <v>1187.95</v>
      </c>
      <c r="E43">
        <v>4627</v>
      </c>
      <c r="F43" t="s">
        <v>23162</v>
      </c>
      <c r="G43" s="34">
        <v>-4.8749999999999967E-2</v>
      </c>
      <c r="H43" s="34">
        <v>-9.7499999999999934E-2</v>
      </c>
      <c r="I43" s="34">
        <v>-0.14624999999999988</v>
      </c>
      <c r="J43" s="34">
        <v>-0.19499999999999987</v>
      </c>
      <c r="K43" s="34">
        <v>-0.24374999999999983</v>
      </c>
      <c r="L43" s="34">
        <v>-0.29249999999999976</v>
      </c>
      <c r="M43" s="34">
        <v>-0.34124999999999978</v>
      </c>
      <c r="N43" s="34">
        <v>-0.38999999999999974</v>
      </c>
      <c r="O43" s="34">
        <v>-0.4387499999999997</v>
      </c>
      <c r="P43" s="34">
        <v>-0.48749999999999966</v>
      </c>
      <c r="Q43" s="34">
        <v>-0.53624999999999967</v>
      </c>
      <c r="R43" s="34">
        <v>-0.58499999999999952</v>
      </c>
      <c r="S43" s="34">
        <v>-0.63374999999999959</v>
      </c>
      <c r="T43" s="34">
        <v>-0.68249999999999955</v>
      </c>
      <c r="U43" s="34">
        <v>-0.73124999999999951</v>
      </c>
      <c r="V43" s="34">
        <v>-0.77999999999999947</v>
      </c>
      <c r="W43" s="34">
        <v>-0.82874999999999943</v>
      </c>
      <c r="X43" s="34">
        <v>-0.87749999999999939</v>
      </c>
      <c r="Y43" s="34">
        <v>-0.92624999999999935</v>
      </c>
      <c r="Z43" s="34">
        <v>-0.97499999999999931</v>
      </c>
      <c r="AA43" s="34">
        <v>-1.0237499999999993</v>
      </c>
      <c r="AB43" s="34">
        <v>-1.0724999999999993</v>
      </c>
      <c r="AC43" s="34">
        <v>-1.1212499999999992</v>
      </c>
      <c r="AD43" s="34">
        <v>-1.169999999999999</v>
      </c>
      <c r="AE43" s="34">
        <v>-1.2187499999999991</v>
      </c>
      <c r="AF43" s="34">
        <v>-1.2674999999999992</v>
      </c>
      <c r="AG43" s="34">
        <v>-1.3162499999999993</v>
      </c>
      <c r="AH43" s="34">
        <v>-1.3649999999999991</v>
      </c>
      <c r="AI43" s="34">
        <v>-1.413749999999999</v>
      </c>
      <c r="AJ43" s="34">
        <v>-1.462499999999999</v>
      </c>
      <c r="AK43" s="34">
        <v>-1.5112499999999989</v>
      </c>
      <c r="AL43" s="34">
        <v>-1.5599999999999989</v>
      </c>
      <c r="AM43" s="34">
        <v>-1.608749999999999</v>
      </c>
      <c r="AN43" s="34">
        <v>-1.6574999999999989</v>
      </c>
      <c r="AO43" s="34">
        <v>-1.7062499999999989</v>
      </c>
      <c r="AP43" s="34">
        <v>-1.7549999999999988</v>
      </c>
      <c r="AQ43" s="34">
        <v>-1.8037499999999986</v>
      </c>
      <c r="AR43" s="34">
        <v>-1.8524999999999987</v>
      </c>
      <c r="AS43" s="34">
        <v>-1.9012499999999988</v>
      </c>
      <c r="AT43" s="34">
        <v>-1.9499999999999986</v>
      </c>
      <c r="AU43" s="34">
        <v>-1.9987499999999987</v>
      </c>
      <c r="AV43" s="34">
        <v>-2.0474999999999985</v>
      </c>
      <c r="AW43" s="34">
        <v>-2.0962499999999986</v>
      </c>
      <c r="AX43" s="34">
        <v>-2.1449999999999987</v>
      </c>
      <c r="AY43" s="34">
        <v>-2.1937499999999983</v>
      </c>
      <c r="AZ43" s="34">
        <v>-2.2424999999999984</v>
      </c>
      <c r="BA43" s="34">
        <v>-2.2912499999999985</v>
      </c>
      <c r="BB43" s="34">
        <v>-2.3399999999999981</v>
      </c>
      <c r="BC43" s="34">
        <v>-2.3887499999999982</v>
      </c>
      <c r="BD43" s="34">
        <v>-2.4374999999999982</v>
      </c>
      <c r="BE43" s="34">
        <v>-2.4862499999999983</v>
      </c>
      <c r="BF43" s="34">
        <v>-2.5349999999999984</v>
      </c>
      <c r="BG43" s="34">
        <v>-2.5652249999999981</v>
      </c>
    </row>
    <row r="44" spans="2:59" x14ac:dyDescent="0.35">
      <c r="B44" t="s">
        <v>23196</v>
      </c>
      <c r="C44">
        <v>1276.95</v>
      </c>
      <c r="E44">
        <v>3429</v>
      </c>
      <c r="F44" t="s">
        <v>23163</v>
      </c>
      <c r="G44" s="34">
        <v>0.13654411764705884</v>
      </c>
      <c r="H44" s="34">
        <v>0.27308823529411769</v>
      </c>
      <c r="I44" s="34">
        <v>0.40963235294117656</v>
      </c>
      <c r="J44" s="34">
        <v>0.54617647058823537</v>
      </c>
      <c r="K44" s="34">
        <v>0.68272058823529436</v>
      </c>
      <c r="L44" s="34">
        <v>0.81926470588235312</v>
      </c>
      <c r="M44" s="34">
        <v>0.95580882352941199</v>
      </c>
      <c r="N44" s="34">
        <v>1.0923529411764707</v>
      </c>
      <c r="O44" s="34">
        <v>1.2288970588235297</v>
      </c>
      <c r="P44" s="34">
        <v>1.3654411764705887</v>
      </c>
      <c r="Q44" s="34">
        <v>1.5019852941176475</v>
      </c>
      <c r="R44" s="34">
        <v>1.6385294117647062</v>
      </c>
      <c r="S44" s="34">
        <v>1.7750735294117652</v>
      </c>
      <c r="T44" s="34">
        <v>1.911617647058824</v>
      </c>
      <c r="U44" s="34">
        <v>2.048161764705883</v>
      </c>
      <c r="V44" s="34">
        <v>2.1847058823529415</v>
      </c>
      <c r="W44" s="34">
        <v>2.3212500000000005</v>
      </c>
      <c r="X44" s="34">
        <v>2.4577941176470595</v>
      </c>
      <c r="Y44" s="34">
        <v>2.594338235294118</v>
      </c>
      <c r="Z44" s="34">
        <v>2.7308823529411774</v>
      </c>
      <c r="AA44" s="34">
        <v>2.867426470588236</v>
      </c>
      <c r="AB44" s="34">
        <v>3.0039705882352949</v>
      </c>
      <c r="AC44" s="34">
        <v>3.1405147058823539</v>
      </c>
      <c r="AD44" s="34">
        <v>3.2770588235294125</v>
      </c>
      <c r="AE44" s="34">
        <v>3.4136029411764715</v>
      </c>
      <c r="AF44" s="34">
        <v>3.5501470588235304</v>
      </c>
      <c r="AG44" s="34">
        <v>3.686691176470589</v>
      </c>
      <c r="AH44" s="34">
        <v>3.823235294117648</v>
      </c>
      <c r="AI44" s="34">
        <v>3.9597794117647069</v>
      </c>
      <c r="AJ44" s="34">
        <v>4.0963235294117659</v>
      </c>
      <c r="AK44" s="34">
        <v>4.232867647058824</v>
      </c>
      <c r="AL44" s="34">
        <v>4.369411764705883</v>
      </c>
      <c r="AM44" s="34">
        <v>4.505955882352942</v>
      </c>
      <c r="AN44" s="34">
        <v>4.642500000000001</v>
      </c>
      <c r="AO44" s="34">
        <v>4.7790441176470599</v>
      </c>
      <c r="AP44" s="34">
        <v>4.9155882352941189</v>
      </c>
      <c r="AQ44" s="34">
        <v>5.052132352941177</v>
      </c>
      <c r="AR44" s="34">
        <v>5.188676470588236</v>
      </c>
      <c r="AS44" s="34">
        <v>5.3252205882352959</v>
      </c>
      <c r="AT44" s="34">
        <v>5.4617647058823549</v>
      </c>
      <c r="AU44" s="34">
        <v>5.5983088235294138</v>
      </c>
      <c r="AV44" s="34">
        <v>5.7348529411764719</v>
      </c>
      <c r="AW44" s="34">
        <v>5.8713970588235309</v>
      </c>
      <c r="AX44" s="34">
        <v>6.0079411764705899</v>
      </c>
      <c r="AY44" s="34">
        <v>6.1444852941176489</v>
      </c>
      <c r="AZ44" s="34">
        <v>6.2810294117647079</v>
      </c>
      <c r="BA44" s="34">
        <v>6.4175735294117668</v>
      </c>
      <c r="BB44" s="34">
        <v>6.5541176470588249</v>
      </c>
      <c r="BC44" s="34">
        <v>6.6906617647058839</v>
      </c>
      <c r="BD44" s="34">
        <v>6.8272058823529429</v>
      </c>
      <c r="BE44" s="34">
        <v>6.9637500000000019</v>
      </c>
      <c r="BF44" s="34">
        <v>7.1002941176470609</v>
      </c>
      <c r="BG44" s="34">
        <v>7.1849514705882376</v>
      </c>
    </row>
    <row r="45" spans="2:59" x14ac:dyDescent="0.35">
      <c r="B45" t="s">
        <v>23197</v>
      </c>
      <c r="C45">
        <v>1365.95</v>
      </c>
      <c r="E45">
        <v>3429</v>
      </c>
      <c r="F45" t="s">
        <v>23164</v>
      </c>
      <c r="G45" s="34">
        <v>0.3218382352941177</v>
      </c>
      <c r="H45" s="34">
        <v>0.64367647058823541</v>
      </c>
      <c r="I45" s="34">
        <v>0.96551470588235289</v>
      </c>
      <c r="J45" s="34">
        <v>1.2873529411764708</v>
      </c>
      <c r="K45" s="34">
        <v>1.6091911764705884</v>
      </c>
      <c r="L45" s="34">
        <v>1.9310294117647058</v>
      </c>
      <c r="M45" s="34">
        <v>2.252867647058824</v>
      </c>
      <c r="N45" s="34">
        <v>2.5747058823529416</v>
      </c>
      <c r="O45" s="34">
        <v>2.8965441176470592</v>
      </c>
      <c r="P45" s="34">
        <v>3.2183823529411768</v>
      </c>
      <c r="Q45" s="34">
        <v>3.5402205882352944</v>
      </c>
      <c r="R45" s="34">
        <v>3.8620588235294115</v>
      </c>
      <c r="S45" s="34">
        <v>4.18389705882353</v>
      </c>
      <c r="T45" s="34">
        <v>4.5057352941176481</v>
      </c>
      <c r="U45" s="34">
        <v>4.8275735294117652</v>
      </c>
      <c r="V45" s="34">
        <v>5.1494117647058832</v>
      </c>
      <c r="W45" s="34">
        <v>5.4712500000000013</v>
      </c>
      <c r="X45" s="34">
        <v>5.7930882352941184</v>
      </c>
      <c r="Y45" s="34">
        <v>6.1149264705882365</v>
      </c>
      <c r="Z45" s="34">
        <v>6.4367647058823536</v>
      </c>
      <c r="AA45" s="34">
        <v>6.7586029411764716</v>
      </c>
      <c r="AB45" s="34">
        <v>7.0804411764705888</v>
      </c>
      <c r="AC45" s="34">
        <v>7.4022794117647068</v>
      </c>
      <c r="AD45" s="34">
        <v>7.7241176470588231</v>
      </c>
      <c r="AE45" s="34">
        <v>8.045955882352942</v>
      </c>
      <c r="AF45" s="34">
        <v>8.36779411764706</v>
      </c>
      <c r="AG45" s="34">
        <v>8.6896323529411781</v>
      </c>
      <c r="AH45" s="34">
        <v>9.0114705882352961</v>
      </c>
      <c r="AI45" s="34">
        <v>9.3333088235294142</v>
      </c>
      <c r="AJ45" s="34">
        <v>9.6551470588235304</v>
      </c>
      <c r="AK45" s="34">
        <v>9.9769852941176485</v>
      </c>
      <c r="AL45" s="34">
        <v>10.298823529411766</v>
      </c>
      <c r="AM45" s="34">
        <v>10.620661764705885</v>
      </c>
      <c r="AN45" s="34">
        <v>10.942500000000003</v>
      </c>
      <c r="AO45" s="34">
        <v>11.264338235294119</v>
      </c>
      <c r="AP45" s="34">
        <v>11.586176470588237</v>
      </c>
      <c r="AQ45" s="34">
        <v>11.908014705882355</v>
      </c>
      <c r="AR45" s="34">
        <v>12.229852941176473</v>
      </c>
      <c r="AS45" s="34">
        <v>12.551691176470589</v>
      </c>
      <c r="AT45" s="34">
        <v>12.873529411764707</v>
      </c>
      <c r="AU45" s="34">
        <v>13.195367647058825</v>
      </c>
      <c r="AV45" s="34">
        <v>13.517205882352943</v>
      </c>
      <c r="AW45" s="34">
        <v>13.839044117647061</v>
      </c>
      <c r="AX45" s="34">
        <v>14.160882352941178</v>
      </c>
      <c r="AY45" s="34">
        <v>14.482720588235296</v>
      </c>
      <c r="AZ45" s="34">
        <v>14.804558823529414</v>
      </c>
      <c r="BA45" s="34">
        <v>15.126397058823532</v>
      </c>
      <c r="BB45" s="34">
        <v>15.448235294117646</v>
      </c>
      <c r="BC45" s="34">
        <v>15.770073529411764</v>
      </c>
      <c r="BD45" s="34">
        <v>16.091911764705884</v>
      </c>
      <c r="BE45" s="34">
        <v>16.41375</v>
      </c>
      <c r="BF45" s="34">
        <v>16.73558823529412</v>
      </c>
      <c r="BG45" s="34">
        <v>16.935127941176475</v>
      </c>
    </row>
    <row r="46" spans="2:59" x14ac:dyDescent="0.35">
      <c r="B46" t="s">
        <v>23198</v>
      </c>
      <c r="C46">
        <v>1461.95</v>
      </c>
      <c r="E46">
        <v>3429</v>
      </c>
      <c r="F46" t="s">
        <v>23165</v>
      </c>
      <c r="G46" s="34">
        <v>0.50713235294117642</v>
      </c>
      <c r="H46" s="34">
        <v>1.0142647058823528</v>
      </c>
      <c r="I46" s="34">
        <v>1.5213970588235295</v>
      </c>
      <c r="J46" s="34">
        <v>2.0285294117647057</v>
      </c>
      <c r="K46" s="34">
        <v>2.5356617647058823</v>
      </c>
      <c r="L46" s="34">
        <v>3.042794117647059</v>
      </c>
      <c r="M46" s="34">
        <v>3.5499264705882356</v>
      </c>
      <c r="N46" s="34">
        <v>4.0570588235294114</v>
      </c>
      <c r="O46" s="34">
        <v>4.5641911764705885</v>
      </c>
      <c r="P46" s="34">
        <v>5.0713235294117647</v>
      </c>
      <c r="Q46" s="34">
        <v>5.5784558823529409</v>
      </c>
      <c r="R46" s="34">
        <v>6.085588235294118</v>
      </c>
      <c r="S46" s="34">
        <v>6.5927205882352951</v>
      </c>
      <c r="T46" s="34">
        <v>7.0998529411764713</v>
      </c>
      <c r="U46" s="34">
        <v>7.6069852941176483</v>
      </c>
      <c r="V46" s="34">
        <v>8.1141176470588228</v>
      </c>
      <c r="W46" s="34">
        <v>8.6212499999999999</v>
      </c>
      <c r="X46" s="34">
        <v>9.1283823529411769</v>
      </c>
      <c r="Y46" s="34">
        <v>9.6355147058823523</v>
      </c>
      <c r="Z46" s="34">
        <v>10.142647058823529</v>
      </c>
      <c r="AA46" s="34">
        <v>10.649779411764706</v>
      </c>
      <c r="AB46" s="34">
        <v>11.156911764705882</v>
      </c>
      <c r="AC46" s="34">
        <v>11.664044117647059</v>
      </c>
      <c r="AD46" s="34">
        <v>12.171176470588236</v>
      </c>
      <c r="AE46" s="34">
        <v>12.678308823529411</v>
      </c>
      <c r="AF46" s="34">
        <v>13.18544117647059</v>
      </c>
      <c r="AG46" s="34">
        <v>13.692573529411767</v>
      </c>
      <c r="AH46" s="34">
        <v>14.199705882352943</v>
      </c>
      <c r="AI46" s="34">
        <v>14.70683823529412</v>
      </c>
      <c r="AJ46" s="34">
        <v>15.213970588235297</v>
      </c>
      <c r="AK46" s="34">
        <v>15.72110294117647</v>
      </c>
      <c r="AL46" s="34">
        <v>16.228235294117646</v>
      </c>
      <c r="AM46" s="34">
        <v>16.735367647058823</v>
      </c>
      <c r="AN46" s="34">
        <v>17.2425</v>
      </c>
      <c r="AO46" s="34">
        <v>17.749632352941177</v>
      </c>
      <c r="AP46" s="34">
        <v>18.256764705882354</v>
      </c>
      <c r="AQ46" s="34">
        <v>18.763897058823531</v>
      </c>
      <c r="AR46" s="34">
        <v>19.271029411764705</v>
      </c>
      <c r="AS46" s="34">
        <v>19.778161764705882</v>
      </c>
      <c r="AT46" s="34">
        <v>20.285294117647059</v>
      </c>
      <c r="AU46" s="34">
        <v>20.792426470588236</v>
      </c>
      <c r="AV46" s="34">
        <v>21.299558823529413</v>
      </c>
      <c r="AW46" s="34">
        <v>21.80669117647059</v>
      </c>
      <c r="AX46" s="34">
        <v>22.313823529411764</v>
      </c>
      <c r="AY46" s="34">
        <v>22.820955882352941</v>
      </c>
      <c r="AZ46" s="34">
        <v>23.328088235294118</v>
      </c>
      <c r="BA46" s="34">
        <v>23.835220588235295</v>
      </c>
      <c r="BB46" s="34">
        <v>24.342352941176472</v>
      </c>
      <c r="BC46" s="34">
        <v>24.849485294117645</v>
      </c>
      <c r="BD46" s="34">
        <v>25.356617647058822</v>
      </c>
      <c r="BE46" s="34">
        <v>25.86375</v>
      </c>
      <c r="BF46" s="34">
        <v>26.37088235294118</v>
      </c>
      <c r="BG46" s="34">
        <v>26.685304411764708</v>
      </c>
    </row>
    <row r="47" spans="2:59" x14ac:dyDescent="0.35">
      <c r="B47" t="s">
        <v>23199</v>
      </c>
      <c r="C47">
        <v>1551.45</v>
      </c>
      <c r="E47">
        <v>3429</v>
      </c>
      <c r="F47" t="s">
        <v>23166</v>
      </c>
      <c r="G47" s="34">
        <v>0.69242647058823525</v>
      </c>
      <c r="H47" s="34">
        <v>1.3848529411764705</v>
      </c>
      <c r="I47" s="34">
        <v>2.0772794117647058</v>
      </c>
      <c r="J47" s="34">
        <v>2.769705882352941</v>
      </c>
      <c r="K47" s="34">
        <v>3.4621323529411763</v>
      </c>
      <c r="L47" s="34">
        <v>4.1545588235294115</v>
      </c>
      <c r="M47" s="34">
        <v>4.8469852941176468</v>
      </c>
      <c r="N47" s="34">
        <v>5.539411764705882</v>
      </c>
      <c r="O47" s="34">
        <v>6.2318382352941173</v>
      </c>
      <c r="P47" s="34">
        <v>6.9242647058823525</v>
      </c>
      <c r="Q47" s="34">
        <v>7.6166911764705878</v>
      </c>
      <c r="R47" s="34">
        <v>8.3091176470588231</v>
      </c>
      <c r="S47" s="34">
        <v>9.0015441176470592</v>
      </c>
      <c r="T47" s="34">
        <v>9.6939705882352936</v>
      </c>
      <c r="U47" s="34">
        <v>10.38639705882353</v>
      </c>
      <c r="V47" s="34">
        <v>11.078823529411764</v>
      </c>
      <c r="W47" s="34">
        <v>11.77125</v>
      </c>
      <c r="X47" s="34">
        <v>12.463676470588235</v>
      </c>
      <c r="Y47" s="34">
        <v>13.156102941176471</v>
      </c>
      <c r="Z47" s="34">
        <v>13.848529411764705</v>
      </c>
      <c r="AA47" s="34">
        <v>14.540955882352941</v>
      </c>
      <c r="AB47" s="34">
        <v>15.233382352941176</v>
      </c>
      <c r="AC47" s="34">
        <v>15.925808823529412</v>
      </c>
      <c r="AD47" s="34">
        <v>16.618235294117646</v>
      </c>
      <c r="AE47" s="34">
        <v>17.310661764705884</v>
      </c>
      <c r="AF47" s="34">
        <v>18.003088235294118</v>
      </c>
      <c r="AG47" s="34">
        <v>18.695514705882353</v>
      </c>
      <c r="AH47" s="34">
        <v>19.387941176470587</v>
      </c>
      <c r="AI47" s="34">
        <v>20.080367647058825</v>
      </c>
      <c r="AJ47" s="34">
        <v>20.772794117647059</v>
      </c>
      <c r="AK47" s="34">
        <v>21.465220588235294</v>
      </c>
      <c r="AL47" s="34">
        <v>22.157647058823528</v>
      </c>
      <c r="AM47" s="34">
        <v>22.850073529411766</v>
      </c>
      <c r="AN47" s="34">
        <v>23.5425</v>
      </c>
      <c r="AO47" s="34">
        <v>24.234926470588235</v>
      </c>
      <c r="AP47" s="34">
        <v>24.927352941176469</v>
      </c>
      <c r="AQ47" s="34">
        <v>25.619779411764707</v>
      </c>
      <c r="AR47" s="34">
        <v>26.312205882352941</v>
      </c>
      <c r="AS47" s="34">
        <v>27.004632352941176</v>
      </c>
      <c r="AT47" s="34">
        <v>27.69705882352941</v>
      </c>
      <c r="AU47" s="34">
        <v>28.389485294117648</v>
      </c>
      <c r="AV47" s="34">
        <v>29.081911764705882</v>
      </c>
      <c r="AW47" s="34">
        <v>29.774338235294117</v>
      </c>
      <c r="AX47" s="34">
        <v>30.466764705882351</v>
      </c>
      <c r="AY47" s="34">
        <v>31.159191176470589</v>
      </c>
      <c r="AZ47" s="34">
        <v>31.851617647058823</v>
      </c>
      <c r="BA47" s="34">
        <v>32.544044117647061</v>
      </c>
      <c r="BB47" s="34">
        <v>33.236470588235292</v>
      </c>
      <c r="BC47" s="34">
        <v>33.92889705882353</v>
      </c>
      <c r="BD47" s="34">
        <v>34.621323529411768</v>
      </c>
      <c r="BE47" s="34">
        <v>35.313749999999999</v>
      </c>
      <c r="BF47" s="34">
        <v>36.006176470588237</v>
      </c>
      <c r="BG47" s="34">
        <v>36.435480882352941</v>
      </c>
    </row>
    <row r="48" spans="2:59" x14ac:dyDescent="0.35">
      <c r="B48" t="s">
        <v>23149</v>
      </c>
      <c r="C48">
        <v>416.95</v>
      </c>
      <c r="E48">
        <v>2722</v>
      </c>
      <c r="F48" t="s">
        <v>23176</v>
      </c>
      <c r="G48" s="34">
        <v>0.85124999999999995</v>
      </c>
      <c r="H48" s="34">
        <v>1.7024999999999999</v>
      </c>
      <c r="I48" s="34">
        <v>2.55375</v>
      </c>
      <c r="J48" s="34">
        <v>3.4049999999999998</v>
      </c>
      <c r="K48" s="34">
        <v>4.2562499999999996</v>
      </c>
      <c r="L48" s="34">
        <v>5.1074999999999999</v>
      </c>
      <c r="M48" s="34">
        <v>5.9587500000000002</v>
      </c>
      <c r="N48" s="34">
        <v>6.81</v>
      </c>
      <c r="O48" s="34">
        <v>7.6612499999999999</v>
      </c>
      <c r="P48" s="34">
        <v>8.5124999999999993</v>
      </c>
      <c r="Q48" s="34">
        <v>9.3637499999999996</v>
      </c>
      <c r="R48" s="34">
        <v>10.215</v>
      </c>
      <c r="S48" s="34">
        <v>11.06625</v>
      </c>
      <c r="T48" s="34">
        <v>11.9175</v>
      </c>
      <c r="U48" s="34">
        <v>12.768750000000001</v>
      </c>
      <c r="V48" s="34">
        <v>13.62</v>
      </c>
      <c r="W48" s="34">
        <v>14.47125</v>
      </c>
      <c r="X48" s="34">
        <v>15.3225</v>
      </c>
      <c r="Y48" s="34">
        <v>16.173749999999998</v>
      </c>
      <c r="Z48" s="34">
        <v>17.024999999999999</v>
      </c>
      <c r="AA48" s="34">
        <v>17.876249999999999</v>
      </c>
      <c r="AB48" s="34">
        <v>18.727499999999999</v>
      </c>
      <c r="AC48" s="34">
        <v>19.578749999999999</v>
      </c>
      <c r="AD48" s="34">
        <v>20.43</v>
      </c>
      <c r="AE48" s="34">
        <v>21.28125</v>
      </c>
      <c r="AF48" s="34">
        <v>22.1325</v>
      </c>
      <c r="AG48" s="34">
        <v>22.983750000000001</v>
      </c>
      <c r="AH48" s="34">
        <v>23.835000000000001</v>
      </c>
      <c r="AI48" s="34">
        <v>24.686250000000001</v>
      </c>
      <c r="AJ48" s="34">
        <v>25.537500000000001</v>
      </c>
      <c r="AK48" s="34">
        <v>26.388750000000002</v>
      </c>
      <c r="AL48" s="34">
        <v>27.24</v>
      </c>
      <c r="AM48" s="34">
        <v>28.091249999999999</v>
      </c>
      <c r="AN48" s="34">
        <v>28.942499999999999</v>
      </c>
      <c r="AO48" s="34">
        <v>29.793749999999999</v>
      </c>
      <c r="AP48" s="34">
        <v>30.645</v>
      </c>
      <c r="AQ48" s="34">
        <v>31.49625</v>
      </c>
      <c r="AR48" s="34">
        <v>32.347499999999997</v>
      </c>
      <c r="AS48" s="34">
        <v>33.198749999999997</v>
      </c>
      <c r="AT48" s="34">
        <v>34.049999999999997</v>
      </c>
      <c r="AU48" s="34">
        <v>34.901249999999997</v>
      </c>
      <c r="AV48" s="34">
        <v>35.752499999999998</v>
      </c>
      <c r="AW48" s="34">
        <v>36.603749999999998</v>
      </c>
      <c r="AX48" s="34">
        <v>37.454999999999998</v>
      </c>
      <c r="AY48" s="34">
        <v>38.306249999999999</v>
      </c>
      <c r="AZ48" s="34">
        <v>39.157499999999999</v>
      </c>
      <c r="BA48" s="34">
        <v>40.008749999999999</v>
      </c>
      <c r="BB48" s="34">
        <v>40.86</v>
      </c>
      <c r="BC48" s="34">
        <v>41.71125</v>
      </c>
      <c r="BD48" s="34">
        <v>42.5625</v>
      </c>
      <c r="BE48" s="34">
        <v>43.41375</v>
      </c>
      <c r="BF48" s="34">
        <v>44.265000000000001</v>
      </c>
      <c r="BG48" s="34">
        <v>44.792775000000006</v>
      </c>
    </row>
    <row r="49" spans="2:61" x14ac:dyDescent="0.35">
      <c r="B49" t="s">
        <v>23200</v>
      </c>
      <c r="C49">
        <v>544.95000000000005</v>
      </c>
    </row>
    <row r="50" spans="2:61" x14ac:dyDescent="0.35">
      <c r="B50" t="s">
        <v>23201</v>
      </c>
      <c r="C50">
        <v>672.95</v>
      </c>
    </row>
    <row r="51" spans="2:61" x14ac:dyDescent="0.35">
      <c r="B51" t="s">
        <v>23202</v>
      </c>
      <c r="C51">
        <v>769.95</v>
      </c>
      <c r="F51" t="s">
        <v>23262</v>
      </c>
      <c r="G51" s="34">
        <v>-0.86007352941176474</v>
      </c>
      <c r="H51" s="34">
        <v>-1.7201470588235295</v>
      </c>
      <c r="I51" s="34">
        <v>-2.580220588235294</v>
      </c>
      <c r="J51" s="34">
        <v>-3.4402941176470589</v>
      </c>
      <c r="K51" s="34">
        <v>-4.3003676470588239</v>
      </c>
      <c r="L51" s="34">
        <v>-5.160441176470588</v>
      </c>
      <c r="M51" s="34">
        <v>-6.0205147058823529</v>
      </c>
      <c r="N51" s="34">
        <v>-6.8805882352941179</v>
      </c>
      <c r="O51" s="34">
        <v>-7.740661764705882</v>
      </c>
      <c r="P51" s="34">
        <v>-8.6007352941176478</v>
      </c>
      <c r="Q51" s="34">
        <v>-9.4608088235294119</v>
      </c>
      <c r="R51" s="34">
        <v>-10.320882352941176</v>
      </c>
      <c r="S51" s="34">
        <v>-11.180955882352942</v>
      </c>
      <c r="T51" s="34">
        <v>-12.041029411764706</v>
      </c>
      <c r="U51" s="34">
        <v>-12.90110294117647</v>
      </c>
      <c r="V51" s="34">
        <v>-13.761176470588236</v>
      </c>
      <c r="W51" s="34">
        <v>-14.62125</v>
      </c>
      <c r="X51" s="34">
        <v>-15.481323529411764</v>
      </c>
      <c r="Y51" s="34">
        <v>-16.341397058823528</v>
      </c>
      <c r="Z51" s="34">
        <v>-17.201470588235296</v>
      </c>
      <c r="AA51" s="34">
        <v>-18.06154411764706</v>
      </c>
      <c r="AB51" s="34">
        <v>-18.921617647058824</v>
      </c>
      <c r="AC51" s="34">
        <v>-19.781691176470588</v>
      </c>
      <c r="AD51" s="34">
        <v>-20.641764705882352</v>
      </c>
      <c r="AE51" s="34">
        <v>-21.501838235294116</v>
      </c>
      <c r="AF51" s="34">
        <v>-22.361911764705884</v>
      </c>
      <c r="AG51" s="34">
        <v>-23.221985294117648</v>
      </c>
      <c r="AH51" s="34">
        <v>-24.082058823529412</v>
      </c>
      <c r="AI51" s="34">
        <v>-24.942132352941176</v>
      </c>
      <c r="AJ51" s="34">
        <v>-25.80220588235294</v>
      </c>
      <c r="AK51" s="34">
        <v>-26.662279411764708</v>
      </c>
      <c r="AL51" s="34">
        <v>-27.522352941176472</v>
      </c>
      <c r="AM51" s="34">
        <v>-28.382426470588236</v>
      </c>
      <c r="AN51" s="34">
        <v>-29.2425</v>
      </c>
      <c r="AO51" s="34">
        <v>-30.102573529411764</v>
      </c>
      <c r="AP51" s="34">
        <v>-30.962647058823528</v>
      </c>
      <c r="AQ51" s="34">
        <v>-31.822720588235295</v>
      </c>
      <c r="AR51" s="34">
        <v>-32.682794117647056</v>
      </c>
      <c r="AS51" s="34">
        <v>-33.54286764705882</v>
      </c>
      <c r="AT51" s="34">
        <v>-34.402941176470591</v>
      </c>
      <c r="AU51" s="34">
        <v>-35.263014705882355</v>
      </c>
      <c r="AV51" s="34">
        <v>-36.123088235294119</v>
      </c>
      <c r="AW51" s="34">
        <v>-36.983161764705883</v>
      </c>
      <c r="AX51" s="34">
        <v>-37.843235294117648</v>
      </c>
      <c r="AY51" s="34">
        <v>-38.703308823529412</v>
      </c>
      <c r="AZ51" s="34">
        <v>-39.563382352941176</v>
      </c>
      <c r="BA51" s="34">
        <v>-40.42345588235294</v>
      </c>
      <c r="BB51" s="34">
        <v>-41.283529411764704</v>
      </c>
      <c r="BC51" s="34">
        <v>-42.143602941176468</v>
      </c>
      <c r="BD51" s="34">
        <v>-43.003676470588232</v>
      </c>
      <c r="BE51" s="34">
        <v>-43.863750000000003</v>
      </c>
      <c r="BF51" s="34">
        <v>-44.723823529411767</v>
      </c>
      <c r="BG51" s="34">
        <v>-45.583897058823531</v>
      </c>
      <c r="BH51" s="34">
        <v>-46.443970588235295</v>
      </c>
      <c r="BI51" s="34">
        <v>-47.304044117647059</v>
      </c>
    </row>
    <row r="52" spans="2:61" x14ac:dyDescent="0.35">
      <c r="B52" t="s">
        <v>23203</v>
      </c>
      <c r="C52">
        <v>866.95</v>
      </c>
      <c r="F52" t="s">
        <v>23263</v>
      </c>
      <c r="G52" s="34">
        <v>-0.7660073529411765</v>
      </c>
      <c r="H52" s="34">
        <v>-1.532014705882353</v>
      </c>
      <c r="I52" s="34">
        <v>-2.2980220588235296</v>
      </c>
      <c r="J52" s="34">
        <v>-3.064029411764706</v>
      </c>
      <c r="K52" s="34">
        <v>-3.8300367647058824</v>
      </c>
      <c r="L52" s="34">
        <v>-4.5960441176470592</v>
      </c>
      <c r="M52" s="34">
        <v>-5.3620514705882352</v>
      </c>
      <c r="N52" s="34">
        <v>-6.128058823529412</v>
      </c>
      <c r="O52" s="34">
        <v>-6.8940661764705879</v>
      </c>
      <c r="P52" s="34">
        <v>-7.6600735294117648</v>
      </c>
      <c r="Q52" s="34">
        <v>-8.4260808823529416</v>
      </c>
      <c r="R52" s="34">
        <v>-9.1920882352941184</v>
      </c>
      <c r="S52" s="34">
        <v>-9.9580955882352935</v>
      </c>
      <c r="T52" s="34">
        <v>-10.72410294117647</v>
      </c>
      <c r="U52" s="34">
        <v>-11.490110294117647</v>
      </c>
      <c r="V52" s="34">
        <v>-12.256117647058824</v>
      </c>
      <c r="W52" s="34">
        <v>-13.022125000000001</v>
      </c>
      <c r="X52" s="34">
        <v>-13.788132352941176</v>
      </c>
      <c r="Y52" s="34">
        <v>-14.554139705882353</v>
      </c>
      <c r="Z52" s="34">
        <v>-15.32014705882353</v>
      </c>
      <c r="AA52" s="34">
        <v>-16.086154411764706</v>
      </c>
      <c r="AB52" s="34">
        <v>-16.852161764705883</v>
      </c>
      <c r="AC52" s="34">
        <v>-17.61816911764706</v>
      </c>
      <c r="AD52" s="34">
        <v>-18.384176470588237</v>
      </c>
      <c r="AE52" s="34">
        <v>-19.15018382352941</v>
      </c>
      <c r="AF52" s="34">
        <v>-19.916191176470587</v>
      </c>
      <c r="AG52" s="34">
        <v>-20.682198529411764</v>
      </c>
      <c r="AH52" s="34">
        <v>-21.448205882352941</v>
      </c>
      <c r="AI52" s="34">
        <v>-22.214213235294118</v>
      </c>
      <c r="AJ52" s="34">
        <v>-22.980220588235294</v>
      </c>
      <c r="AK52" s="34">
        <v>-23.746227941176471</v>
      </c>
      <c r="AL52" s="34">
        <v>-24.512235294117648</v>
      </c>
      <c r="AM52" s="34">
        <v>-25.278242647058825</v>
      </c>
      <c r="AN52" s="34">
        <v>-26.044250000000002</v>
      </c>
      <c r="AO52" s="34">
        <v>-26.810257352941175</v>
      </c>
      <c r="AP52" s="34">
        <v>-27.576264705882352</v>
      </c>
      <c r="AQ52" s="34">
        <v>-28.342272058823529</v>
      </c>
      <c r="AR52" s="34">
        <v>-29.108279411764705</v>
      </c>
      <c r="AS52" s="34">
        <v>-29.874286764705882</v>
      </c>
      <c r="AT52" s="34">
        <v>-30.640294117647059</v>
      </c>
      <c r="AU52" s="34">
        <v>-31.406301470588236</v>
      </c>
      <c r="AV52" s="34">
        <v>-32.172308823529413</v>
      </c>
      <c r="AW52" s="34">
        <v>-32.938316176470586</v>
      </c>
      <c r="AX52" s="34">
        <v>-33.704323529411766</v>
      </c>
      <c r="AY52" s="34">
        <v>-34.47033088235294</v>
      </c>
      <c r="AZ52" s="34">
        <v>-35.23633823529412</v>
      </c>
      <c r="BA52" s="34">
        <v>-36.002345588235293</v>
      </c>
      <c r="BB52" s="34">
        <v>-36.768352941176474</v>
      </c>
      <c r="BC52" s="34">
        <v>-37.534360294117647</v>
      </c>
      <c r="BD52" s="34">
        <v>-38.30036764705882</v>
      </c>
      <c r="BE52" s="34">
        <v>-39.066375000000001</v>
      </c>
      <c r="BF52" s="34">
        <v>-39.832382352941174</v>
      </c>
      <c r="BG52" s="34">
        <v>-40.598389705882354</v>
      </c>
      <c r="BH52" s="34">
        <v>-41.364397058823528</v>
      </c>
      <c r="BI52" s="34">
        <v>-42.130404411764708</v>
      </c>
    </row>
    <row r="53" spans="2:61" x14ac:dyDescent="0.35">
      <c r="B53" t="s">
        <v>23204</v>
      </c>
      <c r="C53">
        <v>963.95</v>
      </c>
      <c r="F53" t="s">
        <v>23264</v>
      </c>
      <c r="G53" s="34">
        <v>-0.671875</v>
      </c>
      <c r="H53" s="34">
        <v>-1.34375</v>
      </c>
      <c r="I53" s="34">
        <v>-2.015625</v>
      </c>
      <c r="J53" s="34">
        <v>-2.6875</v>
      </c>
      <c r="K53" s="34">
        <v>-3.359375</v>
      </c>
      <c r="L53" s="34">
        <v>-4.03125</v>
      </c>
      <c r="M53" s="34">
        <v>-4.703125</v>
      </c>
      <c r="N53" s="34">
        <v>-5.375</v>
      </c>
      <c r="O53" s="34">
        <v>-6.046875</v>
      </c>
      <c r="P53" s="34">
        <v>-6.71875</v>
      </c>
      <c r="Q53" s="34">
        <v>-7.390625</v>
      </c>
      <c r="R53" s="34">
        <v>-8.0625</v>
      </c>
      <c r="S53" s="34">
        <v>-8.734375</v>
      </c>
      <c r="T53" s="34">
        <v>-9.40625</v>
      </c>
      <c r="U53" s="34">
        <v>-10.078125</v>
      </c>
      <c r="V53" s="34">
        <v>-10.75</v>
      </c>
      <c r="W53" s="34">
        <v>-11.421875</v>
      </c>
      <c r="X53" s="34">
        <v>-12.09375</v>
      </c>
      <c r="Y53" s="34">
        <v>-12.765625</v>
      </c>
      <c r="Z53" s="34">
        <v>-13.4375</v>
      </c>
      <c r="AA53" s="34">
        <v>-14.109375</v>
      </c>
      <c r="AB53" s="34">
        <v>-14.78125</v>
      </c>
      <c r="AC53" s="34">
        <v>-15.453125</v>
      </c>
      <c r="AD53" s="34">
        <v>-16.125</v>
      </c>
      <c r="AE53" s="34">
        <v>-16.796875</v>
      </c>
      <c r="AF53" s="34">
        <v>-17.46875</v>
      </c>
      <c r="AG53" s="34">
        <v>-18.140625</v>
      </c>
      <c r="AH53" s="34">
        <v>-18.8125</v>
      </c>
      <c r="AI53" s="34">
        <v>-19.484375</v>
      </c>
      <c r="AJ53" s="34">
        <v>-20.15625</v>
      </c>
      <c r="AK53" s="34">
        <v>-20.828125</v>
      </c>
      <c r="AL53" s="34">
        <v>-21.5</v>
      </c>
      <c r="AM53" s="34">
        <v>-22.171875</v>
      </c>
      <c r="AN53" s="34">
        <v>-22.84375</v>
      </c>
      <c r="AO53" s="34">
        <v>-23.515625</v>
      </c>
      <c r="AP53" s="34">
        <v>-24.1875</v>
      </c>
      <c r="AQ53" s="34">
        <v>-24.859375</v>
      </c>
      <c r="AR53" s="34">
        <v>-25.53125</v>
      </c>
      <c r="AS53" s="34">
        <v>-26.203125</v>
      </c>
      <c r="AT53" s="34">
        <v>-26.875</v>
      </c>
      <c r="AU53" s="34">
        <v>-27.546875</v>
      </c>
      <c r="AV53" s="34">
        <v>-28.21875</v>
      </c>
      <c r="AW53" s="34">
        <v>-28.890625</v>
      </c>
      <c r="AX53" s="34">
        <v>-29.5625</v>
      </c>
      <c r="AY53" s="34">
        <v>-30.234375</v>
      </c>
      <c r="AZ53" s="34">
        <v>-30.90625</v>
      </c>
      <c r="BA53" s="34">
        <v>-31.578125</v>
      </c>
      <c r="BB53" s="34">
        <v>-32.25</v>
      </c>
      <c r="BC53" s="34">
        <v>-32.921875</v>
      </c>
      <c r="BD53" s="34">
        <v>-33.59375</v>
      </c>
      <c r="BE53" s="34">
        <v>-34.265625</v>
      </c>
      <c r="BF53" s="34">
        <v>-34.9375</v>
      </c>
      <c r="BG53" s="34">
        <v>-35.609375</v>
      </c>
      <c r="BH53" s="34">
        <v>-36.28125</v>
      </c>
      <c r="BI53" s="34">
        <v>-36.953125</v>
      </c>
    </row>
    <row r="54" spans="2:61" x14ac:dyDescent="0.35">
      <c r="B54" t="s">
        <v>23205</v>
      </c>
      <c r="C54">
        <v>1060.95</v>
      </c>
      <c r="F54" t="s">
        <v>23265</v>
      </c>
      <c r="G54" s="34">
        <v>-0.5777426470588235</v>
      </c>
      <c r="H54" s="34">
        <v>-1.155485294117647</v>
      </c>
      <c r="I54" s="34">
        <v>-1.7332279411764706</v>
      </c>
      <c r="J54" s="34">
        <v>-2.310970588235294</v>
      </c>
      <c r="K54" s="34">
        <v>-2.8887132352941176</v>
      </c>
      <c r="L54" s="34">
        <v>-3.4664558823529412</v>
      </c>
      <c r="M54" s="34">
        <v>-4.0441985294117648</v>
      </c>
      <c r="N54" s="34">
        <v>-4.621941176470588</v>
      </c>
      <c r="O54" s="34">
        <v>-5.1996838235294121</v>
      </c>
      <c r="P54" s="34">
        <v>-5.7774264705882352</v>
      </c>
      <c r="Q54" s="34">
        <v>-6.3551691176470584</v>
      </c>
      <c r="R54" s="34">
        <v>-6.9329117647058824</v>
      </c>
      <c r="S54" s="34">
        <v>-7.5106544117647056</v>
      </c>
      <c r="T54" s="34">
        <v>-8.0883970588235297</v>
      </c>
      <c r="U54" s="34">
        <v>-8.6661397058823528</v>
      </c>
      <c r="V54" s="34">
        <v>-9.243882352941176</v>
      </c>
      <c r="W54" s="34">
        <v>-9.8216249999999992</v>
      </c>
      <c r="X54" s="34">
        <v>-10.399367647058824</v>
      </c>
      <c r="Y54" s="34">
        <v>-10.977110294117647</v>
      </c>
      <c r="Z54" s="34">
        <v>-11.55485294117647</v>
      </c>
      <c r="AA54" s="34">
        <v>-12.132595588235294</v>
      </c>
      <c r="AB54" s="34">
        <v>-12.710338235294117</v>
      </c>
      <c r="AC54" s="34">
        <v>-13.288080882352942</v>
      </c>
      <c r="AD54" s="34">
        <v>-13.865823529411765</v>
      </c>
      <c r="AE54" s="34">
        <v>-14.443566176470588</v>
      </c>
      <c r="AF54" s="34">
        <v>-15.021308823529411</v>
      </c>
      <c r="AG54" s="34">
        <v>-15.599051470588236</v>
      </c>
      <c r="AH54" s="34">
        <v>-16.176794117647059</v>
      </c>
      <c r="AI54" s="34">
        <v>-16.754536764705882</v>
      </c>
      <c r="AJ54" s="34">
        <v>-17.332279411764706</v>
      </c>
      <c r="AK54" s="34">
        <v>-17.910022058823529</v>
      </c>
      <c r="AL54" s="34">
        <v>-18.487764705882352</v>
      </c>
      <c r="AM54" s="34">
        <v>-19.065507352941175</v>
      </c>
      <c r="AN54" s="34">
        <v>-19.643249999999998</v>
      </c>
      <c r="AO54" s="34">
        <v>-20.220992647058825</v>
      </c>
      <c r="AP54" s="34">
        <v>-20.798735294117648</v>
      </c>
      <c r="AQ54" s="34">
        <v>-21.376477941176471</v>
      </c>
      <c r="AR54" s="34">
        <v>-21.954220588235295</v>
      </c>
      <c r="AS54" s="34">
        <v>-22.531963235294118</v>
      </c>
      <c r="AT54" s="34">
        <v>-23.109705882352941</v>
      </c>
      <c r="AU54" s="34">
        <v>-23.687448529411764</v>
      </c>
      <c r="AV54" s="34">
        <v>-24.265191176470587</v>
      </c>
      <c r="AW54" s="34">
        <v>-24.84293382352941</v>
      </c>
      <c r="AX54" s="34">
        <v>-25.420676470588234</v>
      </c>
      <c r="AY54" s="34">
        <v>-25.99841911764706</v>
      </c>
      <c r="AZ54" s="34">
        <v>-26.576161764705883</v>
      </c>
      <c r="BA54" s="34">
        <v>-27.153904411764707</v>
      </c>
      <c r="BB54" s="34">
        <v>-27.73164705882353</v>
      </c>
      <c r="BC54" s="34">
        <v>-28.309389705882353</v>
      </c>
      <c r="BD54" s="34">
        <v>-28.887132352941176</v>
      </c>
      <c r="BE54" s="34">
        <v>-29.464874999999999</v>
      </c>
      <c r="BF54" s="34">
        <v>-30.042617647058822</v>
      </c>
      <c r="BG54" s="34">
        <v>-30.620360294117646</v>
      </c>
      <c r="BH54" s="34">
        <v>-31.198102941176472</v>
      </c>
      <c r="BI54" s="34">
        <v>-31.775845588235295</v>
      </c>
    </row>
    <row r="55" spans="2:61" x14ac:dyDescent="0.35">
      <c r="B55" t="s">
        <v>23206</v>
      </c>
      <c r="C55">
        <v>1157.95</v>
      </c>
      <c r="F55" t="s">
        <v>23266</v>
      </c>
      <c r="G55" s="34">
        <v>-0.48361029411764705</v>
      </c>
      <c r="H55" s="34">
        <v>-0.96722058823529411</v>
      </c>
      <c r="I55" s="34">
        <v>-1.4508308823529412</v>
      </c>
      <c r="J55" s="34">
        <v>-1.9344411764705882</v>
      </c>
      <c r="K55" s="34">
        <v>-2.4180514705882352</v>
      </c>
      <c r="L55" s="34">
        <v>-2.9016617647058824</v>
      </c>
      <c r="M55" s="34">
        <v>-3.3852720588235292</v>
      </c>
      <c r="N55" s="34">
        <v>-3.8688823529411764</v>
      </c>
      <c r="O55" s="34">
        <v>-4.3524926470588232</v>
      </c>
      <c r="P55" s="34">
        <v>-4.8361029411764704</v>
      </c>
      <c r="Q55" s="34">
        <v>-5.3197132352941177</v>
      </c>
      <c r="R55" s="34">
        <v>-5.8033235294117649</v>
      </c>
      <c r="S55" s="34">
        <v>-6.2869338235294121</v>
      </c>
      <c r="T55" s="34">
        <v>-6.7705441176470584</v>
      </c>
      <c r="U55" s="34">
        <v>-7.2541544117647057</v>
      </c>
      <c r="V55" s="34">
        <v>-7.7377647058823529</v>
      </c>
      <c r="W55" s="34">
        <v>-8.2213750000000001</v>
      </c>
      <c r="X55" s="34">
        <v>-8.7049852941176464</v>
      </c>
      <c r="Y55" s="34">
        <v>-9.1885955882352945</v>
      </c>
      <c r="Z55" s="34">
        <v>-9.6722058823529409</v>
      </c>
      <c r="AA55" s="34">
        <v>-10.155816176470589</v>
      </c>
      <c r="AB55" s="34">
        <v>-10.639426470588235</v>
      </c>
      <c r="AC55" s="34">
        <v>-11.123036764705882</v>
      </c>
      <c r="AD55" s="34">
        <v>-11.60664705882353</v>
      </c>
      <c r="AE55" s="34">
        <v>-12.090257352941176</v>
      </c>
      <c r="AF55" s="34">
        <v>-12.573867647058824</v>
      </c>
      <c r="AG55" s="34">
        <v>-13.057477941176471</v>
      </c>
      <c r="AH55" s="34">
        <v>-13.541088235294117</v>
      </c>
      <c r="AI55" s="34">
        <v>-14.024698529411765</v>
      </c>
      <c r="AJ55" s="34">
        <v>-14.508308823529411</v>
      </c>
      <c r="AK55" s="34">
        <v>-14.991919117647059</v>
      </c>
      <c r="AL55" s="34">
        <v>-15.475529411764706</v>
      </c>
      <c r="AM55" s="34">
        <v>-15.959139705882352</v>
      </c>
      <c r="AN55" s="34">
        <v>-16.44275</v>
      </c>
      <c r="AO55" s="34">
        <v>-16.926360294117647</v>
      </c>
      <c r="AP55" s="34">
        <v>-17.409970588235293</v>
      </c>
      <c r="AQ55" s="34">
        <v>-17.893580882352943</v>
      </c>
      <c r="AR55" s="34">
        <v>-18.377191176470589</v>
      </c>
      <c r="AS55" s="34">
        <v>-18.860801470588235</v>
      </c>
      <c r="AT55" s="34">
        <v>-19.344411764705882</v>
      </c>
      <c r="AU55" s="34">
        <v>-19.828022058823528</v>
      </c>
      <c r="AV55" s="34">
        <v>-20.311632352941178</v>
      </c>
      <c r="AW55" s="34">
        <v>-20.795242647058824</v>
      </c>
      <c r="AX55" s="34">
        <v>-21.278852941176471</v>
      </c>
      <c r="AY55" s="34">
        <v>-21.762463235294117</v>
      </c>
      <c r="AZ55" s="34">
        <v>-22.246073529411763</v>
      </c>
      <c r="BA55" s="34">
        <v>-22.729683823529413</v>
      </c>
      <c r="BB55" s="34">
        <v>-23.21329411764706</v>
      </c>
      <c r="BC55" s="34">
        <v>-23.696904411764706</v>
      </c>
      <c r="BD55" s="34">
        <v>-24.180514705882352</v>
      </c>
      <c r="BE55" s="34">
        <v>-24.664124999999999</v>
      </c>
      <c r="BF55" s="34">
        <v>-25.147735294117648</v>
      </c>
      <c r="BG55" s="34">
        <v>-25.631345588235295</v>
      </c>
      <c r="BH55" s="34">
        <v>-26.114955882352941</v>
      </c>
      <c r="BI55" s="34">
        <v>-26.598566176470587</v>
      </c>
    </row>
    <row r="56" spans="2:61" x14ac:dyDescent="0.35">
      <c r="B56" t="s">
        <v>23207</v>
      </c>
      <c r="C56">
        <v>1254.95</v>
      </c>
      <c r="F56" t="s">
        <v>23268</v>
      </c>
      <c r="G56" s="34">
        <v>-0.38944852941176478</v>
      </c>
      <c r="H56" s="34">
        <v>-0.77889705882352955</v>
      </c>
      <c r="I56" s="34">
        <v>-1.1683455882352944</v>
      </c>
      <c r="J56" s="34">
        <v>-1.5577941176470591</v>
      </c>
      <c r="K56" s="34">
        <v>-1.947242647058824</v>
      </c>
      <c r="L56" s="34">
        <v>-2.3366911764705889</v>
      </c>
      <c r="M56" s="34">
        <v>-2.7261397058823533</v>
      </c>
      <c r="N56" s="34">
        <v>-3.1155882352941182</v>
      </c>
      <c r="O56" s="34">
        <v>-3.5050367647058827</v>
      </c>
      <c r="P56" s="34">
        <v>-3.894485294117648</v>
      </c>
      <c r="Q56" s="34">
        <v>-4.2839338235294129</v>
      </c>
      <c r="R56" s="34">
        <v>-4.6733823529411778</v>
      </c>
      <c r="S56" s="34">
        <v>-5.0628308823529418</v>
      </c>
      <c r="T56" s="34">
        <v>-5.4522794117647067</v>
      </c>
      <c r="U56" s="34">
        <v>-5.8417279411764715</v>
      </c>
      <c r="V56" s="34">
        <v>-6.2311764705882364</v>
      </c>
      <c r="W56" s="34">
        <v>-6.6206250000000004</v>
      </c>
      <c r="X56" s="34">
        <v>-7.0100735294117653</v>
      </c>
      <c r="Y56" s="34">
        <v>-7.3995220588235302</v>
      </c>
      <c r="Z56" s="34">
        <v>-7.788970588235296</v>
      </c>
      <c r="AA56" s="34">
        <v>-8.17841911764706</v>
      </c>
      <c r="AB56" s="34">
        <v>-8.5678676470588258</v>
      </c>
      <c r="AC56" s="34">
        <v>-8.9573161764705898</v>
      </c>
      <c r="AD56" s="34">
        <v>-9.3467647058823555</v>
      </c>
      <c r="AE56" s="34">
        <v>-9.7362132352941195</v>
      </c>
      <c r="AF56" s="34">
        <v>-10.125661764705884</v>
      </c>
      <c r="AG56" s="34">
        <v>-10.515110294117649</v>
      </c>
      <c r="AH56" s="34">
        <v>-10.904558823529413</v>
      </c>
      <c r="AI56" s="34">
        <v>-11.294007352941177</v>
      </c>
      <c r="AJ56" s="34">
        <v>-11.683455882352943</v>
      </c>
      <c r="AK56" s="34">
        <v>-12.072904411764707</v>
      </c>
      <c r="AL56" s="34">
        <v>-12.462352941176473</v>
      </c>
      <c r="AM56" s="34">
        <v>-12.851801470588237</v>
      </c>
      <c r="AN56" s="34">
        <v>-13.241250000000001</v>
      </c>
      <c r="AO56" s="34">
        <v>-13.630698529411767</v>
      </c>
      <c r="AP56" s="34">
        <v>-14.020147058823531</v>
      </c>
      <c r="AQ56" s="34">
        <v>-14.409595588235296</v>
      </c>
      <c r="AR56" s="34">
        <v>-14.79904411764706</v>
      </c>
      <c r="AS56" s="34">
        <v>-15.188492647058826</v>
      </c>
      <c r="AT56" s="34">
        <v>-15.577941176470592</v>
      </c>
      <c r="AU56" s="34">
        <v>-15.967389705882356</v>
      </c>
      <c r="AV56" s="34">
        <v>-16.35683823529412</v>
      </c>
      <c r="AW56" s="34">
        <v>-16.746286764705886</v>
      </c>
      <c r="AX56" s="34">
        <v>-17.135735294117652</v>
      </c>
      <c r="AY56" s="34">
        <v>-17.525183823529414</v>
      </c>
      <c r="AZ56" s="34">
        <v>-17.91463235294118</v>
      </c>
      <c r="BA56" s="34">
        <v>-18.304080882352945</v>
      </c>
      <c r="BB56" s="34">
        <v>-18.693529411764711</v>
      </c>
      <c r="BC56" s="34">
        <v>-19.082977941176473</v>
      </c>
      <c r="BD56" s="34">
        <v>-19.472426470588239</v>
      </c>
      <c r="BE56" s="34">
        <v>-19.861875000000005</v>
      </c>
      <c r="BF56" s="34">
        <v>-20.251323529411767</v>
      </c>
      <c r="BG56" s="34">
        <v>-20.640772058823533</v>
      </c>
      <c r="BH56" s="34">
        <v>-21.030220588235299</v>
      </c>
      <c r="BI56" s="34">
        <v>-21.419669117647061</v>
      </c>
    </row>
    <row r="57" spans="2:61" x14ac:dyDescent="0.35">
      <c r="B57" t="s">
        <v>23208</v>
      </c>
      <c r="C57">
        <v>1352.95</v>
      </c>
      <c r="F57" t="s">
        <v>23267</v>
      </c>
      <c r="G57" s="34">
        <v>0.21367647058823541</v>
      </c>
      <c r="H57" s="34">
        <v>0.42735294117647082</v>
      </c>
      <c r="I57" s="34">
        <v>0.64102941176470618</v>
      </c>
      <c r="J57" s="34">
        <v>0.85470588235294165</v>
      </c>
      <c r="K57" s="34">
        <v>1.0683823529411769</v>
      </c>
      <c r="L57" s="34">
        <v>1.2820588235294124</v>
      </c>
      <c r="M57" s="34">
        <v>1.4957352941176476</v>
      </c>
      <c r="N57" s="34">
        <v>1.7094117647058833</v>
      </c>
      <c r="O57" s="34">
        <v>1.9230882352941185</v>
      </c>
      <c r="P57" s="34">
        <v>2.1367647058823538</v>
      </c>
      <c r="Q57" s="34">
        <v>2.3504411764705897</v>
      </c>
      <c r="R57" s="34">
        <v>2.5641176470588247</v>
      </c>
      <c r="S57" s="34">
        <v>2.7777941176470602</v>
      </c>
      <c r="T57" s="34">
        <v>2.9914705882352952</v>
      </c>
      <c r="U57" s="34">
        <v>3.2051470588235311</v>
      </c>
      <c r="V57" s="34">
        <v>3.4188235294117666</v>
      </c>
      <c r="W57" s="34">
        <v>3.6325000000000016</v>
      </c>
      <c r="X57" s="34">
        <v>3.8461764705882371</v>
      </c>
      <c r="Y57" s="34">
        <v>4.0598529411764721</v>
      </c>
      <c r="Z57" s="34">
        <v>4.2735294117647076</v>
      </c>
      <c r="AA57" s="34">
        <v>4.487205882352943</v>
      </c>
      <c r="AB57" s="34">
        <v>4.7008823529411794</v>
      </c>
      <c r="AC57" s="34">
        <v>4.914558823529414</v>
      </c>
      <c r="AD57" s="34">
        <v>5.1282352941176494</v>
      </c>
      <c r="AE57" s="34">
        <v>5.3419117647058849</v>
      </c>
      <c r="AF57" s="34">
        <v>5.5555882352941204</v>
      </c>
      <c r="AG57" s="34">
        <v>5.7692647058823558</v>
      </c>
      <c r="AH57" s="34">
        <v>5.9829411764705904</v>
      </c>
      <c r="AI57" s="34">
        <v>6.1966176470588259</v>
      </c>
      <c r="AJ57" s="34">
        <v>6.4102941176470623</v>
      </c>
      <c r="AK57" s="34">
        <v>6.6239705882352977</v>
      </c>
      <c r="AL57" s="34">
        <v>6.8376470588235332</v>
      </c>
      <c r="AM57" s="34">
        <v>7.0513235294117678</v>
      </c>
      <c r="AN57" s="34">
        <v>7.2650000000000032</v>
      </c>
      <c r="AO57" s="34">
        <v>7.4786764705882387</v>
      </c>
      <c r="AP57" s="34">
        <v>7.6923529411764742</v>
      </c>
      <c r="AQ57" s="34">
        <v>7.9060294117647096</v>
      </c>
      <c r="AR57" s="34">
        <v>8.1197058823529442</v>
      </c>
      <c r="AS57" s="34">
        <v>8.3333823529411806</v>
      </c>
      <c r="AT57" s="34">
        <v>8.5470588235294152</v>
      </c>
      <c r="AU57" s="34">
        <v>8.7607352941176497</v>
      </c>
      <c r="AV57" s="34">
        <v>8.9744117647058861</v>
      </c>
      <c r="AW57" s="34">
        <v>9.1880882352941224</v>
      </c>
      <c r="AX57" s="34">
        <v>9.4017647058823588</v>
      </c>
      <c r="AY57" s="34">
        <v>9.6154411764705934</v>
      </c>
      <c r="AZ57" s="34">
        <v>9.829117647058828</v>
      </c>
      <c r="BA57" s="34">
        <v>10.042794117647064</v>
      </c>
      <c r="BB57" s="34">
        <v>10.256470588235299</v>
      </c>
      <c r="BC57" s="34">
        <v>10.470147058823535</v>
      </c>
      <c r="BD57" s="34">
        <v>10.68382352941177</v>
      </c>
      <c r="BE57" s="34">
        <v>10.897500000000004</v>
      </c>
      <c r="BF57" s="34">
        <v>11.111176470588241</v>
      </c>
      <c r="BG57" s="34">
        <v>11.324852941176475</v>
      </c>
      <c r="BH57" s="34">
        <v>11.538529411764712</v>
      </c>
      <c r="BI57" s="34">
        <v>11.752205882352946</v>
      </c>
    </row>
    <row r="58" spans="2:61" x14ac:dyDescent="0.35">
      <c r="B58" t="s">
        <v>23209</v>
      </c>
      <c r="C58">
        <v>1449.95</v>
      </c>
      <c r="F58" t="s">
        <v>23273</v>
      </c>
      <c r="G58" s="34">
        <v>0.30985294117647078</v>
      </c>
      <c r="H58" s="34">
        <v>0.61970588235294155</v>
      </c>
      <c r="I58" s="34">
        <v>0.92955882352941255</v>
      </c>
      <c r="J58" s="34">
        <v>1.2394117647058831</v>
      </c>
      <c r="K58" s="34">
        <v>1.5492647058823541</v>
      </c>
      <c r="L58" s="34">
        <v>1.8591176470588251</v>
      </c>
      <c r="M58" s="34">
        <v>2.1689705882352959</v>
      </c>
      <c r="N58" s="34">
        <v>2.4788235294117662</v>
      </c>
      <c r="O58" s="34">
        <v>2.7886764705882374</v>
      </c>
      <c r="P58" s="34">
        <v>3.0985294117647082</v>
      </c>
      <c r="Q58" s="34">
        <v>3.408382352941179</v>
      </c>
      <c r="R58" s="34">
        <v>3.7182352941176502</v>
      </c>
      <c r="S58" s="34">
        <v>4.0280882352941214</v>
      </c>
      <c r="T58" s="34">
        <v>4.3379411764705917</v>
      </c>
      <c r="U58" s="34">
        <v>4.6477941176470621</v>
      </c>
      <c r="V58" s="34">
        <v>4.9576470588235324</v>
      </c>
      <c r="W58" s="34">
        <v>5.2675000000000045</v>
      </c>
      <c r="X58" s="34">
        <v>5.5773529411764748</v>
      </c>
      <c r="Y58" s="34">
        <v>5.8872058823529452</v>
      </c>
      <c r="Z58" s="34">
        <v>6.1970588235294164</v>
      </c>
      <c r="AA58" s="34">
        <v>6.5069117647058876</v>
      </c>
      <c r="AB58" s="34">
        <v>6.8167647058823579</v>
      </c>
      <c r="AC58" s="34">
        <v>7.1266176470588283</v>
      </c>
      <c r="AD58" s="34">
        <v>7.4364705882353004</v>
      </c>
      <c r="AE58" s="34">
        <v>7.7463235294117698</v>
      </c>
      <c r="AF58" s="34">
        <v>8.0561764705882428</v>
      </c>
      <c r="AG58" s="34">
        <v>8.3660294117647123</v>
      </c>
      <c r="AH58" s="34">
        <v>8.6758823529411835</v>
      </c>
      <c r="AI58" s="34">
        <v>8.9857352941176547</v>
      </c>
      <c r="AJ58" s="34">
        <v>9.2955882352941241</v>
      </c>
      <c r="AK58" s="34">
        <v>9.6054411764705954</v>
      </c>
      <c r="AL58" s="34">
        <v>9.9152941176470648</v>
      </c>
      <c r="AM58" s="34">
        <v>10.225147058823538</v>
      </c>
      <c r="AN58" s="34">
        <v>10.535000000000009</v>
      </c>
      <c r="AO58" s="34">
        <v>10.844852941176478</v>
      </c>
      <c r="AP58" s="34">
        <v>11.15470588235295</v>
      </c>
      <c r="AQ58" s="34">
        <v>11.464558823529421</v>
      </c>
      <c r="AR58" s="34">
        <v>11.77441176470589</v>
      </c>
      <c r="AS58" s="34">
        <v>12.084264705882362</v>
      </c>
      <c r="AT58" s="34">
        <v>12.394117647058833</v>
      </c>
      <c r="AU58" s="34">
        <v>12.703970588235304</v>
      </c>
      <c r="AV58" s="34">
        <v>13.013823529411775</v>
      </c>
      <c r="AW58" s="34">
        <v>13.323676470588246</v>
      </c>
      <c r="AX58" s="34">
        <v>13.633529411764716</v>
      </c>
      <c r="AY58" s="34">
        <v>13.943382352941187</v>
      </c>
      <c r="AZ58" s="34">
        <v>14.253235294117657</v>
      </c>
      <c r="BA58" s="34">
        <v>14.563088235294128</v>
      </c>
      <c r="BB58" s="34">
        <v>14.872941176470601</v>
      </c>
      <c r="BC58" s="34">
        <v>15.18279411764707</v>
      </c>
      <c r="BD58" s="34">
        <v>15.49264705882354</v>
      </c>
      <c r="BE58" s="34">
        <v>15.802500000000011</v>
      </c>
      <c r="BF58" s="34">
        <v>16.112352941176486</v>
      </c>
      <c r="BG58" s="34">
        <v>16.422205882352955</v>
      </c>
      <c r="BH58" s="34">
        <v>16.732058823529425</v>
      </c>
      <c r="BI58" s="34">
        <v>17.041911764705898</v>
      </c>
    </row>
    <row r="59" spans="2:61" x14ac:dyDescent="0.35">
      <c r="B59" t="s">
        <v>23210</v>
      </c>
      <c r="C59">
        <v>1547.45</v>
      </c>
      <c r="F59" t="s">
        <v>23272</v>
      </c>
      <c r="G59" s="34">
        <v>0.40602941176470625</v>
      </c>
      <c r="H59" s="34">
        <v>0.8120588235294125</v>
      </c>
      <c r="I59" s="34">
        <v>1.2180882352941187</v>
      </c>
      <c r="J59" s="34">
        <v>1.624117647058825</v>
      </c>
      <c r="K59" s="34">
        <v>2.0301470588235313</v>
      </c>
      <c r="L59" s="34">
        <v>2.4361764705882374</v>
      </c>
      <c r="M59" s="34">
        <v>2.8422058823529439</v>
      </c>
      <c r="N59" s="34">
        <v>3.24823529411765</v>
      </c>
      <c r="O59" s="34">
        <v>3.6542647058823565</v>
      </c>
      <c r="P59" s="34">
        <v>4.0602941176470626</v>
      </c>
      <c r="Q59" s="34">
        <v>4.4663235294117687</v>
      </c>
      <c r="R59" s="34">
        <v>4.8723529411764748</v>
      </c>
      <c r="S59" s="34">
        <v>5.2783823529411817</v>
      </c>
      <c r="T59" s="34">
        <v>5.6844117647058878</v>
      </c>
      <c r="U59" s="34">
        <v>6.090441176470593</v>
      </c>
      <c r="V59" s="34">
        <v>6.4964705882353</v>
      </c>
      <c r="W59" s="34">
        <v>6.9025000000000061</v>
      </c>
      <c r="X59" s="34">
        <v>7.308529411764713</v>
      </c>
      <c r="Y59" s="34">
        <v>7.7145588235294182</v>
      </c>
      <c r="Z59" s="34">
        <v>8.1205882352941252</v>
      </c>
      <c r="AA59" s="34">
        <v>8.5266176470588313</v>
      </c>
      <c r="AB59" s="34">
        <v>8.9326470588235374</v>
      </c>
      <c r="AC59" s="34">
        <v>9.3386764705882435</v>
      </c>
      <c r="AD59" s="34">
        <v>9.7447058823529495</v>
      </c>
      <c r="AE59" s="34">
        <v>10.150735294117656</v>
      </c>
      <c r="AF59" s="34">
        <v>10.556764705882363</v>
      </c>
      <c r="AG59" s="34">
        <v>10.96279411764707</v>
      </c>
      <c r="AH59" s="34">
        <v>11.368823529411776</v>
      </c>
      <c r="AI59" s="34">
        <v>11.774852941176482</v>
      </c>
      <c r="AJ59" s="34">
        <v>12.180882352941186</v>
      </c>
      <c r="AK59" s="34">
        <v>12.586911764705894</v>
      </c>
      <c r="AL59" s="34">
        <v>12.9929411764706</v>
      </c>
      <c r="AM59" s="34">
        <v>13.398970588235306</v>
      </c>
      <c r="AN59" s="34">
        <v>13.805000000000012</v>
      </c>
      <c r="AO59" s="34">
        <v>14.21102941176472</v>
      </c>
      <c r="AP59" s="34">
        <v>14.617058823529426</v>
      </c>
      <c r="AQ59" s="34">
        <v>15.023088235294132</v>
      </c>
      <c r="AR59" s="34">
        <v>15.429117647058836</v>
      </c>
      <c r="AS59" s="34">
        <v>15.835147058823543</v>
      </c>
      <c r="AT59" s="34">
        <v>16.24117647058825</v>
      </c>
      <c r="AU59" s="34">
        <v>16.647205882352957</v>
      </c>
      <c r="AV59" s="34">
        <v>17.053235294117663</v>
      </c>
      <c r="AW59" s="34">
        <v>17.459264705882369</v>
      </c>
      <c r="AX59" s="34">
        <v>17.865294117647075</v>
      </c>
      <c r="AY59" s="34">
        <v>18.271323529411781</v>
      </c>
      <c r="AZ59" s="34">
        <v>18.677352941176487</v>
      </c>
      <c r="BA59" s="34">
        <v>19.083382352941193</v>
      </c>
      <c r="BB59" s="34">
        <v>19.489411764705899</v>
      </c>
      <c r="BC59" s="34">
        <v>19.895441176470605</v>
      </c>
      <c r="BD59" s="34">
        <v>20.301470588235311</v>
      </c>
      <c r="BE59" s="34">
        <v>20.707500000000017</v>
      </c>
      <c r="BF59" s="34">
        <v>21.113529411764727</v>
      </c>
      <c r="BG59" s="34">
        <v>21.519558823529433</v>
      </c>
      <c r="BH59" s="34">
        <v>21.925588235294139</v>
      </c>
      <c r="BI59" s="34">
        <v>22.331617647058845</v>
      </c>
    </row>
    <row r="60" spans="2:61" x14ac:dyDescent="0.35">
      <c r="F60" t="s">
        <v>23271</v>
      </c>
      <c r="G60" s="34">
        <v>0.50220588235294172</v>
      </c>
      <c r="H60" s="34">
        <v>1.0044117647058834</v>
      </c>
      <c r="I60" s="34">
        <v>1.5066176470588251</v>
      </c>
      <c r="J60" s="34">
        <v>2.0088235294117669</v>
      </c>
      <c r="K60" s="34">
        <v>2.5110294117647083</v>
      </c>
      <c r="L60" s="34">
        <v>3.0132352941176501</v>
      </c>
      <c r="M60" s="34">
        <v>3.5154411764705915</v>
      </c>
      <c r="N60" s="34">
        <v>4.0176470588235338</v>
      </c>
      <c r="O60" s="34">
        <v>4.5198529411764747</v>
      </c>
      <c r="P60" s="34">
        <v>5.0220588235294166</v>
      </c>
      <c r="Q60" s="34">
        <v>5.5242647058823584</v>
      </c>
      <c r="R60" s="34">
        <v>6.0264705882353002</v>
      </c>
      <c r="S60" s="34">
        <v>6.5286764705882421</v>
      </c>
      <c r="T60" s="34">
        <v>7.030882352941183</v>
      </c>
      <c r="U60" s="34">
        <v>7.5330882352941257</v>
      </c>
      <c r="V60" s="34">
        <v>8.0352941176470676</v>
      </c>
      <c r="W60" s="34">
        <v>8.5375000000000085</v>
      </c>
      <c r="X60" s="34">
        <v>9.0397058823529495</v>
      </c>
      <c r="Y60" s="34">
        <v>9.5419117647058922</v>
      </c>
      <c r="Z60" s="34">
        <v>10.044117647058833</v>
      </c>
      <c r="AA60" s="34">
        <v>10.546323529411776</v>
      </c>
      <c r="AB60" s="34">
        <v>11.048529411764717</v>
      </c>
      <c r="AC60" s="34">
        <v>11.55073529411766</v>
      </c>
      <c r="AD60" s="34">
        <v>12.0529411764706</v>
      </c>
      <c r="AE60" s="34">
        <v>12.555147058823541</v>
      </c>
      <c r="AF60" s="34">
        <v>13.057352941176484</v>
      </c>
      <c r="AG60" s="34">
        <v>13.559558823529425</v>
      </c>
      <c r="AH60" s="34">
        <v>14.061764705882366</v>
      </c>
      <c r="AI60" s="34">
        <v>14.563970588235307</v>
      </c>
      <c r="AJ60" s="34">
        <v>15.066176470588251</v>
      </c>
      <c r="AK60" s="34">
        <v>15.568382352941194</v>
      </c>
      <c r="AL60" s="34">
        <v>16.070588235294135</v>
      </c>
      <c r="AM60" s="34">
        <v>16.572794117647074</v>
      </c>
      <c r="AN60" s="34">
        <v>17.075000000000017</v>
      </c>
      <c r="AO60" s="34">
        <v>17.57720588235296</v>
      </c>
      <c r="AP60" s="34">
        <v>18.079411764705899</v>
      </c>
      <c r="AQ60" s="34">
        <v>18.581617647058842</v>
      </c>
      <c r="AR60" s="34">
        <v>19.083823529411784</v>
      </c>
      <c r="AS60" s="34">
        <v>19.586029411764727</v>
      </c>
      <c r="AT60" s="34">
        <v>20.088235294117666</v>
      </c>
      <c r="AU60" s="34">
        <v>20.590441176470609</v>
      </c>
      <c r="AV60" s="34">
        <v>21.092647058823552</v>
      </c>
      <c r="AW60" s="34">
        <v>21.594852941176491</v>
      </c>
      <c r="AX60" s="34">
        <v>22.097058823529434</v>
      </c>
      <c r="AY60" s="34">
        <v>22.599264705882376</v>
      </c>
      <c r="AZ60" s="34">
        <v>23.101470588235319</v>
      </c>
      <c r="BA60" s="34">
        <v>23.603676470588258</v>
      </c>
      <c r="BB60" s="34">
        <v>24.105882352941201</v>
      </c>
      <c r="BC60" s="34">
        <v>24.60808823529414</v>
      </c>
      <c r="BD60" s="34">
        <v>25.110294117647083</v>
      </c>
      <c r="BE60" s="34">
        <v>25.612500000000026</v>
      </c>
      <c r="BF60" s="34">
        <v>26.114705882352968</v>
      </c>
      <c r="BG60" s="34">
        <v>26.616911764705911</v>
      </c>
      <c r="BH60" s="34">
        <v>27.11911764705885</v>
      </c>
      <c r="BI60" s="34">
        <v>27.621323529411793</v>
      </c>
    </row>
    <row r="61" spans="2:61" x14ac:dyDescent="0.35">
      <c r="F61" t="s">
        <v>23270</v>
      </c>
      <c r="G61" s="34">
        <v>0.5982352941176472</v>
      </c>
      <c r="H61" s="34">
        <v>1.1964705882352944</v>
      </c>
      <c r="I61" s="34">
        <v>1.7947058823529414</v>
      </c>
      <c r="J61" s="34">
        <v>2.3929411764705888</v>
      </c>
      <c r="K61" s="34">
        <v>2.9911764705882358</v>
      </c>
      <c r="L61" s="34">
        <v>3.5894117647058827</v>
      </c>
      <c r="M61" s="34">
        <v>4.1876470588235302</v>
      </c>
      <c r="N61" s="34">
        <v>4.7858823529411776</v>
      </c>
      <c r="O61" s="34">
        <v>5.3841176470588241</v>
      </c>
      <c r="P61" s="34">
        <v>5.9823529411764715</v>
      </c>
      <c r="Q61" s="34">
        <v>6.5805882352941181</v>
      </c>
      <c r="R61" s="34">
        <v>7.1788235294117655</v>
      </c>
      <c r="S61" s="34">
        <v>7.7770588235294138</v>
      </c>
      <c r="T61" s="34">
        <v>8.3752941176470603</v>
      </c>
      <c r="U61" s="34">
        <v>8.9735294117647069</v>
      </c>
      <c r="V61" s="34">
        <v>9.5717647058823552</v>
      </c>
      <c r="W61" s="34">
        <v>10.170000000000002</v>
      </c>
      <c r="X61" s="34">
        <v>10.768235294117648</v>
      </c>
      <c r="Y61" s="34">
        <v>11.366470588235297</v>
      </c>
      <c r="Z61" s="34">
        <v>11.964705882352943</v>
      </c>
      <c r="AA61" s="34">
        <v>12.56294117647059</v>
      </c>
      <c r="AB61" s="34">
        <v>13.161176470588236</v>
      </c>
      <c r="AC61" s="34">
        <v>13.759411764705884</v>
      </c>
      <c r="AD61" s="34">
        <v>14.357647058823531</v>
      </c>
      <c r="AE61" s="34">
        <v>14.955882352941178</v>
      </c>
      <c r="AF61" s="34">
        <v>15.554117647058828</v>
      </c>
      <c r="AG61" s="34">
        <v>16.152352941176474</v>
      </c>
      <c r="AH61" s="34">
        <v>16.750588235294121</v>
      </c>
      <c r="AI61" s="34">
        <v>17.348823529411767</v>
      </c>
      <c r="AJ61" s="34">
        <v>17.947058823529414</v>
      </c>
      <c r="AK61" s="34">
        <v>18.545294117647064</v>
      </c>
      <c r="AL61" s="34">
        <v>19.14352941176471</v>
      </c>
      <c r="AM61" s="34">
        <v>19.741764705882357</v>
      </c>
      <c r="AN61" s="34">
        <v>20.340000000000003</v>
      </c>
      <c r="AO61" s="34">
        <v>20.93823529411765</v>
      </c>
      <c r="AP61" s="34">
        <v>21.536470588235296</v>
      </c>
      <c r="AQ61" s="34">
        <v>22.134705882352943</v>
      </c>
      <c r="AR61" s="34">
        <v>22.732941176470593</v>
      </c>
      <c r="AS61" s="34">
        <v>23.33117647058824</v>
      </c>
      <c r="AT61" s="34">
        <v>23.929411764705886</v>
      </c>
      <c r="AU61" s="34">
        <v>24.527647058823533</v>
      </c>
      <c r="AV61" s="34">
        <v>25.125882352941179</v>
      </c>
      <c r="AW61" s="34">
        <v>25.724117647058826</v>
      </c>
      <c r="AX61" s="34">
        <v>26.322352941176472</v>
      </c>
      <c r="AY61" s="34">
        <v>26.920588235294122</v>
      </c>
      <c r="AZ61" s="34">
        <v>27.518823529411769</v>
      </c>
      <c r="BA61" s="34">
        <v>28.117058823529415</v>
      </c>
      <c r="BB61" s="34">
        <v>28.715294117647062</v>
      </c>
      <c r="BC61" s="34">
        <v>29.313529411764708</v>
      </c>
      <c r="BD61" s="34">
        <v>29.911764705882355</v>
      </c>
      <c r="BE61" s="34">
        <v>30.510000000000005</v>
      </c>
      <c r="BF61" s="34">
        <v>31.108235294117655</v>
      </c>
      <c r="BG61" s="34">
        <v>31.706470588235302</v>
      </c>
      <c r="BH61" s="34">
        <v>32.304705882352948</v>
      </c>
      <c r="BI61" s="34">
        <v>32.902941176470598</v>
      </c>
    </row>
    <row r="62" spans="2:61" x14ac:dyDescent="0.35">
      <c r="B62" t="s">
        <v>23262</v>
      </c>
      <c r="C62">
        <v>387.75</v>
      </c>
      <c r="F62" t="s">
        <v>23213</v>
      </c>
      <c r="G62" s="34">
        <v>0.73970588235294099</v>
      </c>
      <c r="H62" s="34">
        <v>1.479411764705882</v>
      </c>
      <c r="I62" s="34">
        <v>2.2191176470588232</v>
      </c>
      <c r="J62" s="34">
        <v>2.958823529411764</v>
      </c>
      <c r="K62" s="34">
        <v>3.6985294117647052</v>
      </c>
      <c r="L62" s="34">
        <v>4.4382352941176464</v>
      </c>
      <c r="M62" s="34">
        <v>5.1779411764705872</v>
      </c>
      <c r="N62" s="34">
        <v>5.9176470588235279</v>
      </c>
      <c r="O62" s="34">
        <v>6.6573529411764687</v>
      </c>
      <c r="P62" s="34">
        <v>7.3970588235294104</v>
      </c>
      <c r="Q62" s="34">
        <v>8.1367647058823511</v>
      </c>
      <c r="R62" s="34">
        <v>8.8764705882352928</v>
      </c>
      <c r="S62" s="34">
        <v>9.6161764705882344</v>
      </c>
      <c r="T62" s="34">
        <v>10.355882352941174</v>
      </c>
      <c r="U62" s="34">
        <v>11.095588235294116</v>
      </c>
      <c r="V62" s="34">
        <v>11.835294117647056</v>
      </c>
      <c r="W62" s="34">
        <v>12.574999999999996</v>
      </c>
      <c r="X62" s="34">
        <v>13.314705882352937</v>
      </c>
      <c r="Y62" s="34">
        <v>14.054411764705879</v>
      </c>
      <c r="Z62" s="34">
        <v>14.794117647058821</v>
      </c>
      <c r="AA62" s="34">
        <v>15.533823529411761</v>
      </c>
      <c r="AB62" s="34">
        <v>16.273529411764702</v>
      </c>
      <c r="AC62" s="34">
        <v>17.013235294117642</v>
      </c>
      <c r="AD62" s="34">
        <v>17.752941176470586</v>
      </c>
      <c r="AE62" s="34">
        <v>18.492647058823525</v>
      </c>
      <c r="AF62" s="34">
        <v>19.232352941176469</v>
      </c>
      <c r="AG62" s="34">
        <v>19.972058823529409</v>
      </c>
      <c r="AH62" s="34">
        <v>20.711764705882349</v>
      </c>
      <c r="AI62" s="34">
        <v>21.451470588235292</v>
      </c>
      <c r="AJ62" s="34">
        <v>22.191176470588232</v>
      </c>
      <c r="AK62" s="34">
        <v>22.930882352941168</v>
      </c>
      <c r="AL62" s="34">
        <v>23.670588235294112</v>
      </c>
      <c r="AM62" s="34">
        <v>24.410294117647052</v>
      </c>
      <c r="AN62" s="34">
        <v>25.149999999999991</v>
      </c>
      <c r="AO62" s="34">
        <v>25.889705882352935</v>
      </c>
      <c r="AP62" s="34">
        <v>26.629411764705875</v>
      </c>
      <c r="AQ62" s="34">
        <v>27.369117647058818</v>
      </c>
      <c r="AR62" s="34">
        <v>28.108823529411758</v>
      </c>
      <c r="AS62" s="34">
        <v>28.848529411764698</v>
      </c>
      <c r="AT62" s="34">
        <v>29.588235294117641</v>
      </c>
      <c r="AU62" s="34">
        <v>30.327941176470581</v>
      </c>
      <c r="AV62" s="34">
        <v>31.067647058823521</v>
      </c>
      <c r="AW62" s="34">
        <v>31.807352941176465</v>
      </c>
      <c r="AX62" s="34">
        <v>32.547058823529404</v>
      </c>
      <c r="AY62" s="34">
        <v>33.286764705882348</v>
      </c>
      <c r="AZ62" s="34">
        <v>34.026470588235284</v>
      </c>
      <c r="BA62" s="34">
        <v>34.766176470588228</v>
      </c>
      <c r="BB62" s="34">
        <v>35.505882352941171</v>
      </c>
      <c r="BC62" s="34">
        <v>36.245588235294107</v>
      </c>
      <c r="BD62" s="34">
        <v>36.985294117647051</v>
      </c>
      <c r="BE62" s="34">
        <v>37.724999999999994</v>
      </c>
      <c r="BF62" s="34">
        <v>38.464705882352938</v>
      </c>
      <c r="BG62" s="34">
        <v>39.204411764705874</v>
      </c>
      <c r="BH62" s="34">
        <v>39.944117647058818</v>
      </c>
      <c r="BI62" s="34">
        <v>40.683823529411761</v>
      </c>
    </row>
    <row r="63" spans="2:61" x14ac:dyDescent="0.35">
      <c r="B63" t="s">
        <v>23263</v>
      </c>
      <c r="C63">
        <v>451.71499999999997</v>
      </c>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row>
    <row r="64" spans="2:61" x14ac:dyDescent="0.35">
      <c r="B64" t="s">
        <v>23264</v>
      </c>
      <c r="C64">
        <v>515.72500000000002</v>
      </c>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row>
    <row r="65" spans="2:59" x14ac:dyDescent="0.35">
      <c r="B65" t="s">
        <v>23265</v>
      </c>
      <c r="C65">
        <v>579.73500000000001</v>
      </c>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row>
    <row r="66" spans="2:59" x14ac:dyDescent="0.35">
      <c r="B66" t="s">
        <v>23266</v>
      </c>
      <c r="C66">
        <v>643.745</v>
      </c>
      <c r="F66" s="829" t="s">
        <v>32</v>
      </c>
      <c r="G66" s="829"/>
      <c r="H66" s="829"/>
      <c r="I66" s="829"/>
      <c r="J66" s="829"/>
      <c r="M66" s="829" t="s">
        <v>23221</v>
      </c>
      <c r="N66" s="829"/>
      <c r="O66" s="829"/>
      <c r="P66" s="829"/>
      <c r="T66" s="34"/>
      <c r="U66" s="34"/>
      <c r="V66" s="829" t="s">
        <v>23247</v>
      </c>
      <c r="W66" s="829"/>
      <c r="X66" s="829"/>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row>
    <row r="67" spans="2:59" x14ac:dyDescent="0.35">
      <c r="B67" t="s">
        <v>23268</v>
      </c>
      <c r="C67">
        <v>707.77499999999998</v>
      </c>
      <c r="F67" t="s">
        <v>23153</v>
      </c>
      <c r="G67" t="s">
        <v>65</v>
      </c>
      <c r="H67" t="s">
        <v>23216</v>
      </c>
      <c r="I67" t="s">
        <v>23217</v>
      </c>
      <c r="J67" t="s">
        <v>23218</v>
      </c>
      <c r="M67" t="s">
        <v>65</v>
      </c>
      <c r="N67" t="s">
        <v>23292</v>
      </c>
      <c r="O67" t="s">
        <v>23216</v>
      </c>
      <c r="P67" t="s">
        <v>23292</v>
      </c>
      <c r="Q67" t="s">
        <v>23217</v>
      </c>
      <c r="R67" t="s">
        <v>23218</v>
      </c>
      <c r="T67" s="34"/>
      <c r="U67" s="34"/>
      <c r="V67" t="s">
        <v>23246</v>
      </c>
      <c r="W67" t="s">
        <v>35</v>
      </c>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row>
    <row r="68" spans="2:59" x14ac:dyDescent="0.35">
      <c r="B68" t="s">
        <v>23267</v>
      </c>
      <c r="C68">
        <v>1117.9000000000001</v>
      </c>
      <c r="E68" t="str">
        <f>IF(F68="A","A1",G68)</f>
        <v>A1</v>
      </c>
      <c r="F68" t="str">
        <f>'Load Plan '!C16</f>
        <v>A</v>
      </c>
      <c r="G68" t="str">
        <f>'Load Plan '!C17</f>
        <v>A1R</v>
      </c>
      <c r="H68" s="34">
        <f>IFERROR(IF(F68="A",(('Load Plan '!$C$21*(VLOOKUP(Indeces!G68,Indeces!$B$4:$C$59,2,FALSE)-972.6))/68000),""),"")</f>
        <v>-8.6424838235294139</v>
      </c>
      <c r="I68" s="34">
        <f>IFERROR(IF(F68="A",(('Load Plan '!$C$28*(VLOOKUP(Indeces!G68,Indeces!$B$4:$C$59,2,FALSE)-972.6))/68000),""),"")</f>
        <v>-8.562902941176473</v>
      </c>
      <c r="J68" s="34">
        <f>IFERROR(IF(F68&lt;&gt;"A",(('Load Plan '!$C$35*(VLOOKUP(Indeces!G68,Indeces!$B$4:$C$59,2,FALSE)-972.6))/68000),(H68+I68)),"")</f>
        <v>-17.205386764705885</v>
      </c>
      <c r="M68" t="s">
        <v>23262</v>
      </c>
      <c r="N68" t="str">
        <f>'Load Plan '!$C$42</f>
        <v>LD-8</v>
      </c>
      <c r="O68" s="34" t="str">
        <f t="shared" ref="O68:O78" si="0">IF(N68="LD-2",R68/2,"")</f>
        <v/>
      </c>
      <c r="P68" t="str">
        <f>'Load Plan '!$C$49</f>
        <v>None</v>
      </c>
      <c r="Q68" s="34" t="str">
        <f t="shared" ref="Q68:Q78" si="1">IF(P68="LD-2",R68/2,"")</f>
        <v/>
      </c>
      <c r="R68" s="34">
        <f>IFERROR((('Load Plan '!$C$55*(VLOOKUP(Indeces!M68,Indeces!$B$62:$C$73,2,FALSE)-972.6))/68000),"")</f>
        <v>-9.3403985294117646</v>
      </c>
      <c r="T68" s="34"/>
      <c r="U68" s="34"/>
      <c r="V68">
        <v>500</v>
      </c>
      <c r="W68" s="34">
        <v>-0.4</v>
      </c>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row>
    <row r="69" spans="2:59" x14ac:dyDescent="0.35">
      <c r="B69" t="s">
        <v>23273</v>
      </c>
      <c r="C69">
        <v>1183.3000000000002</v>
      </c>
      <c r="E69" t="str">
        <f>IF(F69="A","A2",G69)</f>
        <v>A2</v>
      </c>
      <c r="F69" t="str">
        <f>'Load Plan '!D16</f>
        <v>A</v>
      </c>
      <c r="G69" t="str">
        <f>'Load Plan '!D17</f>
        <v>A2R</v>
      </c>
      <c r="H69" s="34">
        <f>IFERROR(IF(F69="A",(('Load Plan '!$D$21*(VLOOKUP(Indeces!G69,Indeces!$B$4:$C$59,2,FALSE)-972.6))/68000),""),"")</f>
        <v>-12.485636029411765</v>
      </c>
      <c r="I69" s="34">
        <f>IFERROR(IF(F69="A",(('Load Plan '!$D$28*(VLOOKUP(Indeces!G69,Indeces!$B$4:$C$59,2,FALSE)-972.6))/68000),""),"")</f>
        <v>0</v>
      </c>
      <c r="J69" s="34">
        <f>IFERROR(IF(F69&lt;&gt;"A",(('Load Plan '!$D$35*(VLOOKUP(Indeces!G69,Indeces!$B$4:$C$59,2,FALSE)-972.6))/68000),(H69+I69)),"")</f>
        <v>-12.485636029411765</v>
      </c>
      <c r="M69" t="s">
        <v>23263</v>
      </c>
      <c r="N69" t="str">
        <f>'Load Plan '!$D$42</f>
        <v>LD-8</v>
      </c>
      <c r="O69" s="34" t="str">
        <f t="shared" si="0"/>
        <v/>
      </c>
      <c r="P69" t="str">
        <f>'Load Plan '!$D$49</f>
        <v>None</v>
      </c>
      <c r="Q69" s="34" t="str">
        <f t="shared" si="1"/>
        <v/>
      </c>
      <c r="R69" s="34">
        <f>IFERROR((('Load Plan '!$D$55*(VLOOKUP(Indeces!M69,Indeces!$B$62:$C$73,2,FALSE)-972.6))/68000),"")</f>
        <v>-7.6830537499999991</v>
      </c>
      <c r="T69" s="34"/>
      <c r="U69" s="34"/>
      <c r="V69">
        <v>1000</v>
      </c>
      <c r="W69" s="34">
        <v>-0.8</v>
      </c>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row>
    <row r="70" spans="2:59" x14ac:dyDescent="0.35">
      <c r="B70" t="s">
        <v>23272</v>
      </c>
      <c r="C70">
        <v>1248.7000000000003</v>
      </c>
      <c r="E70" t="str">
        <f>IF(F70="A","A3",G70)</f>
        <v>A3</v>
      </c>
      <c r="F70" t="str">
        <f>'Load Plan '!E16</f>
        <v>A</v>
      </c>
      <c r="G70" t="str">
        <f>'Load Plan '!E17</f>
        <v>A3R</v>
      </c>
      <c r="H70" s="34">
        <f>IFERROR(IF(F70="A",(('Load Plan '!$E$21*(VLOOKUP(Indeces!G70,Indeces!$B$4:$C$59,2,FALSE)-972.6))/68000),""),"")</f>
        <v>0</v>
      </c>
      <c r="I70" s="34">
        <f>IFERROR(IF(F70="A",(('Load Plan '!$E$28*(VLOOKUP(Indeces!G70,Indeces!$B$4:$C$59,2,FALSE)-972.6))/68000),""),"")</f>
        <v>-8.7264286764705865</v>
      </c>
      <c r="J70" s="34">
        <f>IFERROR(IF(F70&lt;&gt;"A",(('Load Plan '!$E$35*(VLOOKUP(Indeces!G70,Indeces!$B$4:$C$59,2,FALSE)-972.6))/68000),(H70+I70)),"")</f>
        <v>-8.7264286764705865</v>
      </c>
      <c r="M70" t="s">
        <v>23264</v>
      </c>
      <c r="N70" t="str">
        <f>'Load Plan '!$E$42</f>
        <v>LD-8</v>
      </c>
      <c r="O70" s="34" t="str">
        <f t="shared" si="0"/>
        <v/>
      </c>
      <c r="P70" t="str">
        <f>'Load Plan '!$E$49</f>
        <v>None</v>
      </c>
      <c r="Q70" s="34" t="str">
        <f t="shared" si="1"/>
        <v/>
      </c>
      <c r="R70" s="34">
        <f>IFERROR((('Load Plan '!$E$55*(VLOOKUP(Indeces!M70,Indeces!$B$62:$C$73,2,FALSE)-972.6))/68000),"")</f>
        <v>-7.3704687499999997</v>
      </c>
      <c r="T70" s="34"/>
      <c r="U70" s="34"/>
      <c r="V70">
        <v>1500</v>
      </c>
      <c r="W70">
        <v>-1.1000000000000001</v>
      </c>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row>
    <row r="71" spans="2:59" x14ac:dyDescent="0.35">
      <c r="B71" t="s">
        <v>23271</v>
      </c>
      <c r="C71">
        <v>1314.1000000000004</v>
      </c>
      <c r="E71" t="str">
        <f>IF(F71="A","A4",G71)</f>
        <v>A4</v>
      </c>
      <c r="F71" t="str">
        <f>'Load Plan '!F16</f>
        <v>A</v>
      </c>
      <c r="G71" t="str">
        <f>'Load Plan '!F17</f>
        <v>A4R</v>
      </c>
      <c r="H71" s="34">
        <f>IFERROR(IF(F71="A",(('Load Plan '!$F$21*(VLOOKUP(Indeces!G71,Indeces!$B$4:$C$59,2,FALSE)-972.6))/68000),""),"")</f>
        <v>-2.3404411764705877</v>
      </c>
      <c r="I71" s="34">
        <f>IFERROR(IF(F71="A",(('Load Plan '!$F$28*(VLOOKUP(Indeces!G71,Indeces!$B$4:$C$59,2,FALSE)-972.6))/68000),""),"")</f>
        <v>-5.0459911764705874</v>
      </c>
      <c r="J71" s="34">
        <f>IFERROR(IF(F71&lt;&gt;"A",(('Load Plan '!$F$35*(VLOOKUP(Indeces!G71,Indeces!$B$4:$C$59,2,FALSE)-972.6))/68000),(H71+I71)),"")</f>
        <v>-7.3864323529411751</v>
      </c>
      <c r="M71" t="s">
        <v>23265</v>
      </c>
      <c r="N71" t="str">
        <f>'Load Plan '!$F$42</f>
        <v>None</v>
      </c>
      <c r="O71" s="34" t="str">
        <f t="shared" si="0"/>
        <v/>
      </c>
      <c r="P71" t="str">
        <f>'Load Plan '!$F$49</f>
        <v>None</v>
      </c>
      <c r="Q71" s="34" t="str">
        <f t="shared" si="1"/>
        <v/>
      </c>
      <c r="R71" s="34" t="str">
        <f>IFERROR((('Load Plan '!$F$55*(VLOOKUP(Indeces!M71,Indeces!$B$62:$C$73,2,FALSE)-972.6))/68000),"")</f>
        <v/>
      </c>
      <c r="T71" s="34"/>
      <c r="U71" s="34"/>
      <c r="V71">
        <v>2000</v>
      </c>
      <c r="W71">
        <v>-1.5</v>
      </c>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row>
    <row r="72" spans="2:59" x14ac:dyDescent="0.35">
      <c r="B72" t="s">
        <v>23270</v>
      </c>
      <c r="C72">
        <v>1379.4</v>
      </c>
      <c r="E72" t="str">
        <f>IF(F72="A","",G72)</f>
        <v/>
      </c>
      <c r="F72" t="str">
        <f>'Load Plan '!G16</f>
        <v>A</v>
      </c>
      <c r="G72" t="str">
        <f>'Load Plan '!G17</f>
        <v xml:space="preserve"> </v>
      </c>
      <c r="H72" s="34" t="str">
        <f>IFERROR(IF(F72="A",(('Load Plan '!$G$21*(VLOOKUP(Indeces!G72,Indeces!$B$4:$C$59,2,FALSE)-972.6))/68000),""),"")</f>
        <v/>
      </c>
      <c r="I72" s="34" t="str">
        <f>IFERROR(IF(F72="A",(('Load Plan '!$G$28*(VLOOKUP(Indeces!G72,Indeces!$B$4:$C$59,2,FALSE)-972.6))/68000),""),"")</f>
        <v/>
      </c>
      <c r="J72" s="34" t="str">
        <f>IFERROR(IF(F72&lt;&gt;"A",(('Load Plan '!$G$35*(VLOOKUP(Indeces!G72,Indeces!$B$4:$C$59,2,FALSE)-972.6))/68000),(H72+I72)),"")</f>
        <v/>
      </c>
      <c r="M72" t="s">
        <v>23266</v>
      </c>
      <c r="N72" t="str">
        <f>'Load Plan '!$G$42</f>
        <v>None</v>
      </c>
      <c r="O72" s="34" t="str">
        <f t="shared" si="0"/>
        <v/>
      </c>
      <c r="P72" t="str">
        <f>'Load Plan '!$G$49</f>
        <v>None</v>
      </c>
      <c r="Q72" s="34" t="str">
        <f t="shared" si="1"/>
        <v/>
      </c>
      <c r="R72" s="34" t="str">
        <f>IFERROR((('Load Plan '!$G$55*(VLOOKUP(Indeces!M72,Indeces!$B$62:$C$73,2,FALSE)-972.6))/68000),"")</f>
        <v/>
      </c>
      <c r="T72" s="34"/>
      <c r="U72" s="34"/>
      <c r="V72">
        <v>2500</v>
      </c>
      <c r="W72">
        <v>-1.8</v>
      </c>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row>
    <row r="73" spans="2:59" x14ac:dyDescent="0.35">
      <c r="B73" t="s">
        <v>23213</v>
      </c>
      <c r="C73">
        <v>1475.6</v>
      </c>
      <c r="E73" t="str">
        <f>IF(F73="A","A5",G73)</f>
        <v>A5</v>
      </c>
      <c r="F73" t="str">
        <f>'Load Plan '!H16</f>
        <v>A</v>
      </c>
      <c r="G73" t="str">
        <f>'Load Plan '!H17</f>
        <v>A5R</v>
      </c>
      <c r="H73" s="34">
        <f>IFERROR(IF(F73="A",(('Load Plan '!$H$21*(VLOOKUP(Indeces!G73,Indeces!$B$4:$C$59,2,FALSE)-972.6))/68000),""),"")</f>
        <v>-1.0252124999999994</v>
      </c>
      <c r="I73" s="34">
        <f>IFERROR(IF(F73="A",(('Load Plan '!$H$28*(VLOOKUP(Indeces!G73,Indeces!$B$4:$C$59,2,FALSE)-972.6))/68000),""),"")</f>
        <v>-1.1373374999999992</v>
      </c>
      <c r="J73" s="34">
        <f>IFERROR(IF(F73&lt;&gt;"A",(('Load Plan '!$H$35*(VLOOKUP(Indeces!G73,Indeces!$B$4:$C$59,2,FALSE)-972.6))/68000),(H73+I73)),"")</f>
        <v>-2.1625499999999986</v>
      </c>
      <c r="M73" t="s">
        <v>23268</v>
      </c>
      <c r="N73" t="str">
        <f>'Load Plan '!$H$42</f>
        <v>None</v>
      </c>
      <c r="O73" s="34" t="str">
        <f t="shared" si="0"/>
        <v/>
      </c>
      <c r="P73" t="str">
        <f>'Load Plan '!$H$49</f>
        <v>None</v>
      </c>
      <c r="Q73" s="34" t="str">
        <f t="shared" si="1"/>
        <v/>
      </c>
      <c r="R73" s="34" t="str">
        <f>IFERROR((('Load Plan '!$H$55*(VLOOKUP(Indeces!M73,Indeces!$B$62:$C$73,2,FALSE)-972.6))/68000),"")</f>
        <v/>
      </c>
      <c r="T73" s="34"/>
      <c r="U73" s="34"/>
      <c r="V73">
        <v>3000</v>
      </c>
      <c r="W73">
        <v>-2.2000000000000002</v>
      </c>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row>
    <row r="74" spans="2:59" x14ac:dyDescent="0.35">
      <c r="E74" t="str">
        <f>IF(F74="A","A6",G74)</f>
        <v>A6</v>
      </c>
      <c r="F74" t="str">
        <f>'Load Plan '!I16</f>
        <v>A</v>
      </c>
      <c r="G74" t="str">
        <f>'Load Plan '!I17</f>
        <v>A6R</v>
      </c>
      <c r="H74" s="34">
        <f>IFERROR(IF(F74="A",(('Load Plan '!$I$21*(VLOOKUP(Indeces!G74,Indeces!$B$4:$C$59,2,FALSE)-972.6))/68000),""),"")</f>
        <v>2.6612448529411772</v>
      </c>
      <c r="I74" s="34">
        <f>IFERROR(IF(F74="A",(('Load Plan '!$I$28*(VLOOKUP(Indeces!G74,Indeces!$B$4:$C$59,2,FALSE)-972.6))/68000),""),"")</f>
        <v>2.9821235294117656</v>
      </c>
      <c r="J74" s="34">
        <f>IFERROR(IF(F74&lt;&gt;"A",(('Load Plan '!$I$35*(VLOOKUP(Indeces!G74,Indeces!$B$4:$C$59,2,FALSE)-972.6))/68000),(H74+I74)),"")</f>
        <v>5.6433683823529428</v>
      </c>
      <c r="M74" t="s">
        <v>23267</v>
      </c>
      <c r="N74" t="str">
        <f>'Load Plan '!$I$42</f>
        <v>None</v>
      </c>
      <c r="O74" s="34" t="str">
        <f t="shared" si="0"/>
        <v/>
      </c>
      <c r="P74" t="str">
        <f>'Load Plan '!$I$49</f>
        <v>LD-8</v>
      </c>
      <c r="Q74" s="34" t="str">
        <f t="shared" si="1"/>
        <v/>
      </c>
      <c r="R74" s="34">
        <f>IFERROR((('Load Plan '!$I$55*(VLOOKUP(Indeces!M74,Indeces!$B$62:$C$73,2,FALSE)-972.6))/68000),"")</f>
        <v>0</v>
      </c>
      <c r="T74" s="34"/>
      <c r="U74" s="34"/>
      <c r="V74">
        <v>3500</v>
      </c>
      <c r="W74">
        <v>-2.5</v>
      </c>
      <c r="Y74" s="34"/>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row>
    <row r="75" spans="2:59" x14ac:dyDescent="0.35">
      <c r="E75" t="str">
        <f>IF(F75="A","",G75)</f>
        <v/>
      </c>
      <c r="F75" t="str">
        <f>'Load Plan '!J16</f>
        <v>A</v>
      </c>
      <c r="G75" t="str">
        <f>'Load Plan '!J17</f>
        <v xml:space="preserve"> </v>
      </c>
      <c r="H75" s="34" t="str">
        <f>IFERROR(IF(F75="A",(('Load Plan '!$J$21*(VLOOKUP(Indeces!G75,Indeces!$B$4:$C$59,2,FALSE)-972.6))/68000),""),"")</f>
        <v/>
      </c>
      <c r="I75" s="34" t="str">
        <f>IFERROR(IF(F75="A",(('Load Plan '!$J$28*(VLOOKUP(Indeces!G75,Indeces!$B$4:$C$59,2,FALSE)-972.6))/68000),""),"")</f>
        <v/>
      </c>
      <c r="J75" s="34" t="str">
        <f>IFERROR(IF(F75&lt;&gt;"A",(('Load Plan '!$J$35*(VLOOKUP(Indeces!G75,Indeces!$B$4:$C$59,2,FALSE)-972.6))/68000),(H75+I75)),"")</f>
        <v/>
      </c>
      <c r="M75" t="s">
        <v>23273</v>
      </c>
      <c r="N75" t="str">
        <f>'Load Plan '!$J$42</f>
        <v>None</v>
      </c>
      <c r="O75" s="34" t="str">
        <f t="shared" si="0"/>
        <v/>
      </c>
      <c r="P75" t="str">
        <f>'Load Plan '!$J$49</f>
        <v>LD-8</v>
      </c>
      <c r="Q75" s="34" t="str">
        <f t="shared" si="1"/>
        <v/>
      </c>
      <c r="R75" s="34">
        <f>IFERROR((('Load Plan '!$J$55*(VLOOKUP(Indeces!M75,Indeces!$B$62:$C$73,2,FALSE)-972.6))/68000),"")</f>
        <v>0</v>
      </c>
      <c r="V75">
        <v>4000</v>
      </c>
      <c r="W75">
        <v>-2.8</v>
      </c>
    </row>
    <row r="76" spans="2:59" x14ac:dyDescent="0.35">
      <c r="E76" t="str">
        <f>IF(F76="A","A7",G76)</f>
        <v>A7</v>
      </c>
      <c r="F76" t="str">
        <f>'Load Plan '!K16</f>
        <v>A</v>
      </c>
      <c r="G76" t="str">
        <f>'Load Plan '!K17</f>
        <v>A7R</v>
      </c>
      <c r="H76" s="34">
        <f>IFERROR(IF(F76="A",(('Load Plan '!$K$21*(VLOOKUP(Indeces!G76,Indeces!$B$4:$C$59,2,FALSE)-972.6))/68000),""),"")</f>
        <v>6.1117080882352948</v>
      </c>
      <c r="I76" s="34">
        <f>IFERROR(IF(F76="A",(('Load Plan '!$K$28*(VLOOKUP(Indeces!G76,Indeces!$B$4:$C$59,2,FALSE)-972.6))/68000),""),"")</f>
        <v>6.5494080882352952</v>
      </c>
      <c r="J76" s="34">
        <f>IFERROR(IF(F76&lt;&gt;"A",(('Load Plan '!$K$35*(VLOOKUP(Indeces!G76,Indeces!$B$4:$C$59,2,FALSE)-972.6))/68000),(H76+I76)),"")</f>
        <v>12.661116176470589</v>
      </c>
      <c r="M76" t="s">
        <v>23272</v>
      </c>
      <c r="N76" t="str">
        <f>'Load Plan '!$K$42</f>
        <v>None</v>
      </c>
      <c r="O76" s="34" t="str">
        <f t="shared" si="0"/>
        <v/>
      </c>
      <c r="P76" t="str">
        <f>'Load Plan '!$K$49</f>
        <v>LD-8</v>
      </c>
      <c r="Q76" s="34" t="str">
        <f t="shared" si="1"/>
        <v/>
      </c>
      <c r="R76" s="34">
        <f>IFERROR((('Load Plan '!$K$55*(VLOOKUP(Indeces!M76,Indeces!$B$62:$C$73,2,FALSE)-972.6))/68000),"")</f>
        <v>0</v>
      </c>
      <c r="V76">
        <v>4500</v>
      </c>
      <c r="W76">
        <v>-3.1</v>
      </c>
    </row>
    <row r="77" spans="2:59" x14ac:dyDescent="0.35">
      <c r="E77" t="str">
        <f>IF(F77="A","A8",G77)</f>
        <v>A8</v>
      </c>
      <c r="F77" t="str">
        <f>'Load Plan '!L16</f>
        <v>A</v>
      </c>
      <c r="G77" t="str">
        <f>'Load Plan '!L17</f>
        <v>A8R</v>
      </c>
      <c r="H77" s="34">
        <f>IFERROR(IF(F77="A",(('Load Plan '!$L$21*(VLOOKUP(Indeces!G77,Indeces!$B$4:$C$59,2,FALSE)-972.6))/68000),""),"")</f>
        <v>8.7784610294117655</v>
      </c>
      <c r="I77" s="34">
        <f>IFERROR(IF(F77="A",(('Load Plan '!$L$28*(VLOOKUP(Indeces!G77,Indeces!$B$4:$C$59,2,FALSE)-972.6))/68000),""),"")</f>
        <v>11.136626470588237</v>
      </c>
      <c r="J77" s="34">
        <f>IFERROR(IF(F77&lt;&gt;"A",(('Load Plan '!$L$35*(VLOOKUP(Indeces!G77,Indeces!$B$4:$C$59,2,FALSE)-972.6))/68000),(H77+I77)),"")</f>
        <v>19.915087500000002</v>
      </c>
      <c r="M77" t="s">
        <v>23271</v>
      </c>
      <c r="N77" t="str">
        <f>'Load Plan '!$L$42</f>
        <v>None</v>
      </c>
      <c r="O77" s="34" t="str">
        <f t="shared" si="0"/>
        <v/>
      </c>
      <c r="P77" t="str">
        <f>'Load Plan '!$L$49</f>
        <v>LD-8</v>
      </c>
      <c r="Q77" s="34" t="str">
        <f t="shared" si="1"/>
        <v/>
      </c>
      <c r="R77" s="34">
        <f>IFERROR((('Load Plan '!$L$55*(VLOOKUP(Indeces!M77,Indeces!$B$62:$C$73,2,FALSE)-972.6))/68000),"")</f>
        <v>4.2838161764705927</v>
      </c>
      <c r="V77">
        <v>5000</v>
      </c>
      <c r="W77">
        <v>-3.4</v>
      </c>
    </row>
    <row r="78" spans="2:59" x14ac:dyDescent="0.35">
      <c r="E78" t="str">
        <f>IF(F78="A","",G78)</f>
        <v/>
      </c>
      <c r="F78" t="str">
        <f>'Load Plan '!M16</f>
        <v>A</v>
      </c>
      <c r="G78" t="str">
        <f>'Load Plan '!M17</f>
        <v xml:space="preserve"> </v>
      </c>
      <c r="H78" s="34" t="str">
        <f>IFERROR(IF(F78="A",(('Load Plan '!$M$21*(VLOOKUP(Indeces!G78,Indeces!$B$4:$C$59,2,FALSE)-972.6))/68000),""),"")</f>
        <v/>
      </c>
      <c r="I78" s="34" t="str">
        <f>IFERROR(IF(F78="A",(('Load Plan '!$M$28*(VLOOKUP(Indeces!G78,Indeces!$B$4:$C$59,2,FALSE)-972.6))/68000),""),"")</f>
        <v/>
      </c>
      <c r="J78" s="34" t="str">
        <f>IFERROR(IF(F78&lt;&gt;"A",(('Load Plan '!$M$35*(VLOOKUP(Indeces!G78,Indeces!$B$4:$C$59,2,FALSE)-972.6))/68000),(H78+I78)),"")</f>
        <v/>
      </c>
      <c r="M78" t="s">
        <v>23270</v>
      </c>
      <c r="N78" t="str">
        <f>'Load Plan '!$M$42</f>
        <v>None</v>
      </c>
      <c r="O78" s="34" t="str">
        <f t="shared" si="0"/>
        <v/>
      </c>
      <c r="P78" t="str">
        <f>'Load Plan '!$M$49</f>
        <v>LD-8</v>
      </c>
      <c r="Q78" s="34" t="str">
        <f t="shared" si="1"/>
        <v/>
      </c>
      <c r="R78" s="34">
        <f>IFERROR((('Load Plan '!$M$55*(VLOOKUP(Indeces!M78,Indeces!$B$62:$C$73,2,FALSE)-972.6))/68000),"")</f>
        <v>6.7122000000000011</v>
      </c>
      <c r="V78">
        <v>5500</v>
      </c>
      <c r="W78">
        <v>-3.6</v>
      </c>
    </row>
    <row r="79" spans="2:59" x14ac:dyDescent="0.35">
      <c r="E79" t="str">
        <f>IF(F79="A","A9",G79)</f>
        <v>A9</v>
      </c>
      <c r="F79" t="str">
        <f>'Load Plan '!N16</f>
        <v>A</v>
      </c>
      <c r="G79" t="str">
        <f>'Load Plan '!N17</f>
        <v>A9R</v>
      </c>
      <c r="H79" s="34">
        <f>IFERROR(IF(F79="A",(('Load Plan '!$N$21*(VLOOKUP(Indeces!G79,Indeces!$B$4:$C$59,2,FALSE)-972.6))/68000),""),"")</f>
        <v>10.095577941176471</v>
      </c>
      <c r="I79" s="34">
        <f>IFERROR(IF(F79="A",(('Load Plan '!$N$28*(VLOOKUP(Indeces!G79,Indeces!$B$4:$C$59,2,FALSE)-972.6))/68000),""),"")</f>
        <v>15.011805882352942</v>
      </c>
      <c r="J79" s="34">
        <f>IFERROR(IF(F79&lt;&gt;"A",(('Load Plan '!$N$35*(VLOOKUP(Indeces!G79,Indeces!$B$4:$C$59,2,FALSE)-972.6))/68000),(H79+I79)),"")</f>
        <v>25.10738382352941</v>
      </c>
      <c r="M79" t="s">
        <v>23213</v>
      </c>
      <c r="R79" s="34">
        <f>IFERROR((('Load Plan '!$N$55*(VLOOKUP(Indeces!M79,Indeces!$B$62:$C$73,2,FALSE)-972.6))/68000),"")</f>
        <v>8.255117647058821</v>
      </c>
      <c r="V79">
        <v>6000</v>
      </c>
      <c r="W79">
        <v>-3.9</v>
      </c>
    </row>
    <row r="80" spans="2:59" x14ac:dyDescent="0.35">
      <c r="E80" t="str">
        <f>IF(F80="A","A10",G80)</f>
        <v>A10</v>
      </c>
      <c r="F80" t="str">
        <f>'Load Plan '!O16</f>
        <v>A</v>
      </c>
      <c r="G80" t="str">
        <f>'Load Plan '!O17</f>
        <v>A10</v>
      </c>
      <c r="H80" s="34">
        <f>IFERROR(IF(F80="A",(('Load Plan '!$O$21*(VLOOKUP(Indeces!G80,Indeces!$B$4:$C$59,2,FALSE)-972.6))/68000),""),"")</f>
        <v>14.054137500000001</v>
      </c>
      <c r="I80" s="34">
        <f>IFERROR(IF(F80="A",(('Load Plan '!$O$28*(VLOOKUP(Indeces!G80,Indeces!$B$4:$C$59,2,FALSE)-972.6))/68000),""),"")</f>
        <v>0</v>
      </c>
      <c r="J80" s="34">
        <f>IFERROR(IF(F80&lt;&gt;"A",(('Load Plan '!$O$35*(VLOOKUP(Indeces!G80,Indeces!$B$4:$C$59,2,FALSE)-972.6))/68000),(H80+I80)),"")</f>
        <v>14.054137500000001</v>
      </c>
      <c r="R80" s="80">
        <f>SUM($R$68:$R$79)</f>
        <v>-5.1427872058823478</v>
      </c>
      <c r="S80" s="80"/>
      <c r="V80">
        <v>6500</v>
      </c>
      <c r="W80">
        <v>-4.0999999999999996</v>
      </c>
    </row>
    <row r="81" spans="5:23" x14ac:dyDescent="0.35">
      <c r="J81" s="80">
        <f>SUM($J$68:$J$80)</f>
        <v>29.414659558823537</v>
      </c>
      <c r="K81" s="80"/>
      <c r="O81" s="34">
        <f>SUM($O$68:$O$79)</f>
        <v>0</v>
      </c>
      <c r="P81" s="34"/>
      <c r="Q81" s="34">
        <f>SUM($Q$68:$Q$79)</f>
        <v>0</v>
      </c>
      <c r="V81">
        <v>7000</v>
      </c>
      <c r="W81">
        <v>-4.3</v>
      </c>
    </row>
    <row r="82" spans="5:23" x14ac:dyDescent="0.35">
      <c r="V82">
        <v>7500</v>
      </c>
      <c r="W82">
        <v>-4.5999999999999996</v>
      </c>
    </row>
    <row r="83" spans="5:23" x14ac:dyDescent="0.35">
      <c r="E83" t="s">
        <v>23291</v>
      </c>
      <c r="F83">
        <f>(H81-I81)</f>
        <v>0</v>
      </c>
      <c r="O83" s="34">
        <f>O81-Q81</f>
        <v>0</v>
      </c>
      <c r="V83">
        <v>8000</v>
      </c>
      <c r="W83">
        <v>-4.8</v>
      </c>
    </row>
    <row r="84" spans="5:23" ht="15" thickBot="1" x14ac:dyDescent="0.4">
      <c r="E84" t="s">
        <v>19333</v>
      </c>
      <c r="F84" s="34">
        <f>SUM($J$81,$R$80)</f>
        <v>24.271872352941188</v>
      </c>
      <c r="V84">
        <v>8500</v>
      </c>
      <c r="W84">
        <v>-5</v>
      </c>
    </row>
    <row r="85" spans="5:23" ht="15" thickBot="1" x14ac:dyDescent="0.4">
      <c r="J85" s="372" t="s">
        <v>23334</v>
      </c>
      <c r="K85" s="373">
        <f>($K$2*(I3-972.6))/68000</f>
        <v>0</v>
      </c>
      <c r="V85">
        <v>9000</v>
      </c>
      <c r="W85">
        <v>-5.0999999999999996</v>
      </c>
    </row>
    <row r="86" spans="5:23" x14ac:dyDescent="0.35">
      <c r="V86">
        <v>9500</v>
      </c>
      <c r="W86">
        <v>-5.3</v>
      </c>
    </row>
    <row r="87" spans="5:23" x14ac:dyDescent="0.35">
      <c r="V87">
        <v>10000</v>
      </c>
      <c r="W87">
        <v>-5.5</v>
      </c>
    </row>
    <row r="88" spans="5:23" x14ac:dyDescent="0.35">
      <c r="V88">
        <v>10500</v>
      </c>
      <c r="W88">
        <v>-5.6</v>
      </c>
    </row>
    <row r="89" spans="5:23" x14ac:dyDescent="0.35">
      <c r="V89">
        <v>11000</v>
      </c>
      <c r="W89">
        <v>-5.7</v>
      </c>
    </row>
    <row r="90" spans="5:23" x14ac:dyDescent="0.35">
      <c r="V90">
        <v>11500</v>
      </c>
      <c r="W90">
        <v>-5.9</v>
      </c>
    </row>
    <row r="91" spans="5:23" x14ac:dyDescent="0.35">
      <c r="V91">
        <v>12000</v>
      </c>
      <c r="W91">
        <v>-6</v>
      </c>
    </row>
    <row r="92" spans="5:23" x14ac:dyDescent="0.35">
      <c r="V92">
        <v>12500</v>
      </c>
      <c r="W92">
        <v>-6.1</v>
      </c>
    </row>
    <row r="93" spans="5:23" x14ac:dyDescent="0.35">
      <c r="V93">
        <v>13000</v>
      </c>
      <c r="W93">
        <v>-6.2</v>
      </c>
    </row>
    <row r="94" spans="5:23" x14ac:dyDescent="0.35">
      <c r="V94">
        <v>13500</v>
      </c>
      <c r="W94">
        <v>-6.3</v>
      </c>
    </row>
    <row r="95" spans="5:23" x14ac:dyDescent="0.35">
      <c r="V95">
        <v>14000</v>
      </c>
      <c r="W95">
        <v>-6.4</v>
      </c>
    </row>
    <row r="96" spans="5:23" x14ac:dyDescent="0.35">
      <c r="V96">
        <v>14500</v>
      </c>
      <c r="W96">
        <v>-6.5</v>
      </c>
    </row>
    <row r="97" spans="10:23" x14ac:dyDescent="0.35">
      <c r="V97">
        <v>15000</v>
      </c>
      <c r="W97">
        <v>-6.5</v>
      </c>
    </row>
    <row r="98" spans="10:23" x14ac:dyDescent="0.35">
      <c r="V98">
        <v>15500</v>
      </c>
      <c r="W98">
        <v>-6.6</v>
      </c>
    </row>
    <row r="99" spans="10:23" x14ac:dyDescent="0.35">
      <c r="V99">
        <v>16000</v>
      </c>
      <c r="W99">
        <v>-6.6</v>
      </c>
    </row>
    <row r="100" spans="10:23" x14ac:dyDescent="0.35">
      <c r="V100">
        <v>16500</v>
      </c>
      <c r="W100">
        <v>-6.7</v>
      </c>
    </row>
    <row r="101" spans="10:23" x14ac:dyDescent="0.35">
      <c r="V101">
        <v>17000</v>
      </c>
      <c r="W101">
        <v>-6.7</v>
      </c>
    </row>
    <row r="102" spans="10:23" x14ac:dyDescent="0.35">
      <c r="V102">
        <v>17500</v>
      </c>
      <c r="W102">
        <v>-6.7</v>
      </c>
    </row>
    <row r="103" spans="10:23" x14ac:dyDescent="0.35">
      <c r="V103">
        <v>18000</v>
      </c>
      <c r="W103">
        <v>-6.8</v>
      </c>
    </row>
    <row r="104" spans="10:23" x14ac:dyDescent="0.35">
      <c r="V104">
        <v>18500</v>
      </c>
      <c r="W104">
        <v>-6.7</v>
      </c>
    </row>
    <row r="105" spans="10:23" x14ac:dyDescent="0.35">
      <c r="V105">
        <v>19000</v>
      </c>
      <c r="W105">
        <v>-6.7</v>
      </c>
    </row>
    <row r="106" spans="10:23" x14ac:dyDescent="0.35">
      <c r="V106">
        <v>19500</v>
      </c>
      <c r="W106">
        <v>-6.7</v>
      </c>
    </row>
    <row r="107" spans="10:23" x14ac:dyDescent="0.35">
      <c r="V107">
        <v>20000</v>
      </c>
      <c r="W107">
        <v>-6.6</v>
      </c>
    </row>
    <row r="108" spans="10:23" x14ac:dyDescent="0.35">
      <c r="J108" s="43"/>
      <c r="V108">
        <v>20500</v>
      </c>
      <c r="W108">
        <v>-6.5</v>
      </c>
    </row>
    <row r="109" spans="10:23" x14ac:dyDescent="0.35">
      <c r="V109">
        <v>21000</v>
      </c>
      <c r="W109">
        <v>-6.3</v>
      </c>
    </row>
    <row r="110" spans="10:23" x14ac:dyDescent="0.35">
      <c r="V110">
        <v>21500</v>
      </c>
      <c r="W110">
        <v>-6.1</v>
      </c>
    </row>
    <row r="111" spans="10:23" x14ac:dyDescent="0.35">
      <c r="V111">
        <v>22000</v>
      </c>
      <c r="W111">
        <v>-5.9</v>
      </c>
    </row>
    <row r="112" spans="10:23" x14ac:dyDescent="0.35">
      <c r="V112">
        <v>22500</v>
      </c>
      <c r="W112">
        <v>-5.6</v>
      </c>
    </row>
    <row r="113" spans="22:23" x14ac:dyDescent="0.35">
      <c r="V113">
        <v>23000</v>
      </c>
      <c r="W113">
        <v>-5.2</v>
      </c>
    </row>
    <row r="114" spans="22:23" x14ac:dyDescent="0.35">
      <c r="V114">
        <v>23500</v>
      </c>
      <c r="W114">
        <v>-4.9000000000000004</v>
      </c>
    </row>
    <row r="115" spans="22:23" x14ac:dyDescent="0.35">
      <c r="V115">
        <v>24000</v>
      </c>
      <c r="W115">
        <v>-4.5</v>
      </c>
    </row>
    <row r="116" spans="22:23" x14ac:dyDescent="0.35">
      <c r="V116">
        <v>24500</v>
      </c>
      <c r="W116">
        <v>-4.0999999999999996</v>
      </c>
    </row>
    <row r="117" spans="22:23" x14ac:dyDescent="0.35">
      <c r="V117">
        <v>25000</v>
      </c>
      <c r="W117">
        <v>-3.8</v>
      </c>
    </row>
    <row r="118" spans="22:23" x14ac:dyDescent="0.35">
      <c r="V118">
        <v>25500</v>
      </c>
      <c r="W118">
        <v>-3.3</v>
      </c>
    </row>
    <row r="119" spans="22:23" x14ac:dyDescent="0.35">
      <c r="V119">
        <v>26000</v>
      </c>
      <c r="W119">
        <v>-2.8</v>
      </c>
    </row>
    <row r="120" spans="22:23" x14ac:dyDescent="0.35">
      <c r="V120">
        <v>26500</v>
      </c>
      <c r="W120">
        <v>-2.2999999999999998</v>
      </c>
    </row>
    <row r="121" spans="22:23" x14ac:dyDescent="0.35">
      <c r="V121">
        <v>27000</v>
      </c>
      <c r="W121">
        <v>-1.9</v>
      </c>
    </row>
    <row r="122" spans="22:23" x14ac:dyDescent="0.35">
      <c r="V122">
        <v>27500</v>
      </c>
      <c r="W122">
        <v>-1.3</v>
      </c>
    </row>
    <row r="123" spans="22:23" x14ac:dyDescent="0.35">
      <c r="V123">
        <v>28000</v>
      </c>
      <c r="W123">
        <v>-0.7</v>
      </c>
    </row>
    <row r="124" spans="22:23" x14ac:dyDescent="0.35">
      <c r="V124">
        <v>28500</v>
      </c>
      <c r="W124">
        <v>-0.1</v>
      </c>
    </row>
    <row r="125" spans="22:23" x14ac:dyDescent="0.35">
      <c r="V125">
        <v>29000</v>
      </c>
      <c r="W125">
        <v>0.6</v>
      </c>
    </row>
    <row r="126" spans="22:23" x14ac:dyDescent="0.35">
      <c r="V126">
        <v>29500</v>
      </c>
      <c r="W126">
        <v>1.3</v>
      </c>
    </row>
    <row r="127" spans="22:23" x14ac:dyDescent="0.35">
      <c r="V127">
        <v>30000</v>
      </c>
      <c r="W127">
        <v>2.1</v>
      </c>
    </row>
    <row r="128" spans="22:23" x14ac:dyDescent="0.35">
      <c r="V128">
        <v>30500</v>
      </c>
      <c r="W128">
        <v>2.9</v>
      </c>
    </row>
    <row r="129" spans="22:23" x14ac:dyDescent="0.35">
      <c r="V129">
        <v>31000</v>
      </c>
      <c r="W129">
        <v>3.7</v>
      </c>
    </row>
    <row r="130" spans="22:23" x14ac:dyDescent="0.35">
      <c r="V130">
        <v>31500</v>
      </c>
      <c r="W130">
        <v>4.5999999999999996</v>
      </c>
    </row>
    <row r="131" spans="22:23" x14ac:dyDescent="0.35">
      <c r="V131">
        <v>32000</v>
      </c>
      <c r="W131">
        <v>5.5</v>
      </c>
    </row>
    <row r="132" spans="22:23" x14ac:dyDescent="0.35">
      <c r="V132">
        <v>32500</v>
      </c>
      <c r="W132">
        <v>6.5</v>
      </c>
    </row>
    <row r="133" spans="22:23" x14ac:dyDescent="0.35">
      <c r="V133">
        <v>33000</v>
      </c>
      <c r="W133">
        <v>7.5</v>
      </c>
    </row>
    <row r="134" spans="22:23" x14ac:dyDescent="0.35">
      <c r="V134">
        <v>33500</v>
      </c>
      <c r="W134">
        <v>8.5</v>
      </c>
    </row>
    <row r="135" spans="22:23" x14ac:dyDescent="0.35">
      <c r="V135">
        <v>34000</v>
      </c>
      <c r="W135">
        <v>9.6</v>
      </c>
    </row>
    <row r="136" spans="22:23" x14ac:dyDescent="0.35">
      <c r="V136">
        <v>34500</v>
      </c>
      <c r="W136">
        <v>10.8</v>
      </c>
    </row>
    <row r="137" spans="22:23" x14ac:dyDescent="0.35">
      <c r="V137">
        <v>35000</v>
      </c>
      <c r="W137">
        <v>12</v>
      </c>
    </row>
    <row r="138" spans="22:23" x14ac:dyDescent="0.35">
      <c r="V138">
        <v>35500</v>
      </c>
      <c r="W138">
        <v>13.4</v>
      </c>
    </row>
    <row r="139" spans="22:23" x14ac:dyDescent="0.35">
      <c r="V139">
        <v>36000</v>
      </c>
      <c r="W139">
        <v>14.7</v>
      </c>
    </row>
    <row r="140" spans="22:23" x14ac:dyDescent="0.35">
      <c r="V140">
        <v>36500</v>
      </c>
      <c r="W140">
        <v>16</v>
      </c>
    </row>
    <row r="141" spans="22:23" x14ac:dyDescent="0.35">
      <c r="V141">
        <v>37000</v>
      </c>
      <c r="W141">
        <v>17.5</v>
      </c>
    </row>
    <row r="142" spans="22:23" x14ac:dyDescent="0.35">
      <c r="V142">
        <v>37500</v>
      </c>
      <c r="W142">
        <v>19.100000000000001</v>
      </c>
    </row>
    <row r="143" spans="22:23" x14ac:dyDescent="0.35">
      <c r="V143">
        <v>38000</v>
      </c>
      <c r="W143">
        <v>20.7</v>
      </c>
    </row>
    <row r="144" spans="22:23" x14ac:dyDescent="0.35">
      <c r="V144">
        <v>38500</v>
      </c>
      <c r="W144">
        <v>22.4</v>
      </c>
    </row>
    <row r="145" spans="22:23" x14ac:dyDescent="0.35">
      <c r="V145">
        <v>39000</v>
      </c>
      <c r="W145">
        <v>24.2</v>
      </c>
    </row>
    <row r="146" spans="22:23" x14ac:dyDescent="0.35">
      <c r="V146">
        <v>39500</v>
      </c>
      <c r="W146">
        <v>24</v>
      </c>
    </row>
    <row r="147" spans="22:23" x14ac:dyDescent="0.35">
      <c r="V147">
        <v>40000</v>
      </c>
      <c r="W147">
        <v>23.4</v>
      </c>
    </row>
    <row r="148" spans="22:23" x14ac:dyDescent="0.35">
      <c r="V148">
        <v>40500</v>
      </c>
      <c r="W148">
        <v>22.8</v>
      </c>
    </row>
    <row r="149" spans="22:23" x14ac:dyDescent="0.35">
      <c r="V149">
        <v>41000</v>
      </c>
      <c r="W149">
        <v>22.1</v>
      </c>
    </row>
    <row r="150" spans="22:23" x14ac:dyDescent="0.35">
      <c r="V150">
        <v>41500</v>
      </c>
      <c r="W150">
        <v>21.4</v>
      </c>
    </row>
    <row r="151" spans="22:23" x14ac:dyDescent="0.35">
      <c r="V151">
        <v>42000</v>
      </c>
      <c r="W151">
        <v>20.8</v>
      </c>
    </row>
    <row r="152" spans="22:23" x14ac:dyDescent="0.35">
      <c r="V152">
        <v>42500</v>
      </c>
      <c r="W152">
        <v>20.100000000000001</v>
      </c>
    </row>
    <row r="153" spans="22:23" x14ac:dyDescent="0.35">
      <c r="V153">
        <v>43000</v>
      </c>
      <c r="W153">
        <v>19.5</v>
      </c>
    </row>
    <row r="154" spans="22:23" x14ac:dyDescent="0.35">
      <c r="V154">
        <v>43500</v>
      </c>
      <c r="W154">
        <v>18.8</v>
      </c>
    </row>
    <row r="155" spans="22:23" x14ac:dyDescent="0.35">
      <c r="V155">
        <v>44000</v>
      </c>
      <c r="W155">
        <v>18.2</v>
      </c>
    </row>
    <row r="156" spans="22:23" x14ac:dyDescent="0.35">
      <c r="V156">
        <v>44500</v>
      </c>
      <c r="W156">
        <v>17.5</v>
      </c>
    </row>
    <row r="157" spans="22:23" x14ac:dyDescent="0.35">
      <c r="V157">
        <v>45000</v>
      </c>
      <c r="W157">
        <v>16.899999999999999</v>
      </c>
    </row>
    <row r="158" spans="22:23" x14ac:dyDescent="0.35">
      <c r="V158">
        <v>45500</v>
      </c>
      <c r="W158">
        <v>16.3</v>
      </c>
    </row>
    <row r="159" spans="22:23" x14ac:dyDescent="0.35">
      <c r="V159">
        <v>46000</v>
      </c>
      <c r="W159">
        <v>15.6</v>
      </c>
    </row>
    <row r="160" spans="22:23" x14ac:dyDescent="0.35">
      <c r="V160">
        <v>46500</v>
      </c>
      <c r="W160">
        <v>15</v>
      </c>
    </row>
    <row r="161" spans="22:23" x14ac:dyDescent="0.35">
      <c r="V161">
        <v>47000</v>
      </c>
      <c r="W161">
        <v>14.3</v>
      </c>
    </row>
    <row r="162" spans="22:23" x14ac:dyDescent="0.35">
      <c r="V162">
        <v>47500</v>
      </c>
      <c r="W162">
        <v>13.6</v>
      </c>
    </row>
    <row r="163" spans="22:23" x14ac:dyDescent="0.35">
      <c r="V163">
        <v>48000</v>
      </c>
      <c r="W163">
        <v>13.1</v>
      </c>
    </row>
    <row r="164" spans="22:23" x14ac:dyDescent="0.35">
      <c r="V164">
        <v>48500</v>
      </c>
      <c r="W164">
        <v>12.4</v>
      </c>
    </row>
    <row r="165" spans="22:23" x14ac:dyDescent="0.35">
      <c r="V165">
        <v>49000</v>
      </c>
      <c r="W165">
        <v>11.7</v>
      </c>
    </row>
    <row r="166" spans="22:23" x14ac:dyDescent="0.35">
      <c r="V166">
        <v>49500</v>
      </c>
      <c r="W166">
        <v>11.1</v>
      </c>
    </row>
    <row r="167" spans="22:23" x14ac:dyDescent="0.35">
      <c r="V167">
        <v>50000</v>
      </c>
      <c r="W167">
        <v>10.4</v>
      </c>
    </row>
    <row r="168" spans="22:23" x14ac:dyDescent="0.35">
      <c r="V168">
        <v>50500</v>
      </c>
      <c r="W168">
        <v>9.6999999999999993</v>
      </c>
    </row>
    <row r="169" spans="22:23" x14ac:dyDescent="0.35">
      <c r="V169">
        <v>51000</v>
      </c>
      <c r="W169">
        <v>9.1</v>
      </c>
    </row>
    <row r="170" spans="22:23" x14ac:dyDescent="0.35">
      <c r="V170">
        <v>51500</v>
      </c>
      <c r="W170">
        <v>8.5</v>
      </c>
    </row>
    <row r="171" spans="22:23" x14ac:dyDescent="0.35">
      <c r="V171">
        <v>52000</v>
      </c>
      <c r="W171">
        <v>7.8</v>
      </c>
    </row>
    <row r="172" spans="22:23" x14ac:dyDescent="0.35">
      <c r="V172">
        <v>52500</v>
      </c>
      <c r="W172">
        <v>7</v>
      </c>
    </row>
    <row r="173" spans="22:23" x14ac:dyDescent="0.35">
      <c r="V173">
        <v>53000</v>
      </c>
      <c r="W173">
        <v>6.2</v>
      </c>
    </row>
    <row r="174" spans="22:23" x14ac:dyDescent="0.35">
      <c r="V174">
        <v>53778</v>
      </c>
      <c r="W174">
        <v>4.9000000000000004</v>
      </c>
    </row>
  </sheetData>
  <mergeCells count="5">
    <mergeCell ref="G2:BG2"/>
    <mergeCell ref="G1:AG1"/>
    <mergeCell ref="F66:J66"/>
    <mergeCell ref="M66:P66"/>
    <mergeCell ref="V66:X66"/>
  </mergeCells>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9CA54-12C1-4F21-8C36-4DFE582D47EC}">
  <sheetPr codeName="Sheet9">
    <tabColor theme="8" tint="-0.499984740745262"/>
    <pageSetUpPr fitToPage="1"/>
  </sheetPr>
  <dimension ref="B1:GC176"/>
  <sheetViews>
    <sheetView showGridLines="0" zoomScale="89" zoomScaleNormal="89" workbookViewId="0">
      <selection activeCell="N161" sqref="N161"/>
    </sheetView>
  </sheetViews>
  <sheetFormatPr defaultRowHeight="14.5" x14ac:dyDescent="0.35"/>
  <cols>
    <col min="1" max="1" width="3.90625" customWidth="1"/>
    <col min="2" max="2" width="10.08984375" bestFit="1" customWidth="1"/>
    <col min="3" max="9" width="11.90625" bestFit="1" customWidth="1"/>
    <col min="10" max="10" width="9.54296875" bestFit="1" customWidth="1"/>
    <col min="11" max="11" width="10.1796875" bestFit="1" customWidth="1"/>
    <col min="12" max="18" width="11.90625" bestFit="1" customWidth="1"/>
    <col min="19" max="20" width="9.54296875" bestFit="1" customWidth="1"/>
    <col min="21" max="22" width="10.26953125" bestFit="1" customWidth="1"/>
    <col min="23" max="27" width="9.54296875" bestFit="1" customWidth="1"/>
    <col min="28" max="28" width="6.90625" customWidth="1"/>
    <col min="29" max="32" width="9.54296875" bestFit="1" customWidth="1"/>
    <col min="33" max="53" width="10.1796875" bestFit="1" customWidth="1"/>
    <col min="54" max="54" width="6.90625" customWidth="1"/>
    <col min="55" max="55" width="10.1796875" bestFit="1" customWidth="1"/>
    <col min="56" max="56" width="6.90625" customWidth="1"/>
    <col min="57" max="57" width="10.1796875" bestFit="1" customWidth="1"/>
    <col min="58" max="58" width="6.90625" customWidth="1"/>
    <col min="59" max="59" width="10.1796875" bestFit="1" customWidth="1"/>
    <col min="60" max="60" width="6.90625" customWidth="1"/>
    <col min="61" max="61" width="10.1796875" bestFit="1" customWidth="1"/>
    <col min="62" max="62" width="6.90625" customWidth="1"/>
    <col min="63" max="63" width="10.1796875" bestFit="1" customWidth="1"/>
    <col min="64" max="64" width="6.90625" customWidth="1"/>
    <col min="65" max="65" width="10.1796875" bestFit="1" customWidth="1"/>
    <col min="66" max="66" width="6.90625" customWidth="1"/>
    <col min="67" max="67" width="10.1796875" bestFit="1" customWidth="1"/>
    <col min="68" max="74" width="6.90625" customWidth="1"/>
    <col min="75" max="76" width="10.1796875" bestFit="1" customWidth="1"/>
    <col min="77" max="83" width="6.90625" customWidth="1"/>
    <col min="84" max="93" width="10.1796875" bestFit="1" customWidth="1"/>
    <col min="94" max="94" width="2.90625" customWidth="1"/>
    <col min="95" max="165" width="9.54296875" bestFit="1" customWidth="1"/>
    <col min="166" max="185" width="8.81640625" bestFit="1" customWidth="1"/>
  </cols>
  <sheetData>
    <row r="1" spans="2:185" ht="15" thickBot="1" x14ac:dyDescent="0.4"/>
    <row r="2" spans="2:185" ht="15" thickBot="1" x14ac:dyDescent="0.4">
      <c r="B2" s="831" t="s">
        <v>51</v>
      </c>
      <c r="C2" s="830" t="s">
        <v>53</v>
      </c>
      <c r="D2" s="830"/>
      <c r="E2" s="830"/>
      <c r="F2" s="830"/>
      <c r="G2" s="830"/>
      <c r="H2" s="830"/>
      <c r="I2" s="830"/>
      <c r="J2" s="830"/>
      <c r="K2" s="830"/>
      <c r="L2" s="830"/>
      <c r="M2" s="830"/>
      <c r="N2" s="830"/>
      <c r="O2" s="830"/>
      <c r="P2" s="830"/>
      <c r="Q2" s="830"/>
      <c r="R2" s="830"/>
      <c r="S2" s="830"/>
      <c r="T2" s="830"/>
      <c r="U2" s="830"/>
      <c r="V2" s="830"/>
      <c r="W2" s="830"/>
      <c r="X2" s="830"/>
      <c r="Y2" s="830"/>
      <c r="Z2" s="830"/>
      <c r="AA2" s="830"/>
      <c r="AB2" s="830"/>
      <c r="AC2" s="830"/>
      <c r="AD2" s="830"/>
      <c r="AE2" s="830"/>
      <c r="AF2" s="830"/>
      <c r="AG2" s="830"/>
      <c r="AH2" s="830"/>
      <c r="AI2" s="830"/>
      <c r="AJ2" s="830"/>
      <c r="AK2" s="830"/>
      <c r="AL2" s="830"/>
      <c r="AM2" s="830"/>
      <c r="AN2" s="830"/>
      <c r="AO2" s="830"/>
      <c r="AP2" s="830"/>
      <c r="AQ2" s="830"/>
      <c r="AR2" s="830"/>
      <c r="AS2" s="830"/>
      <c r="AT2" s="830"/>
      <c r="AU2" s="830"/>
      <c r="AV2" s="830"/>
      <c r="AW2" s="830"/>
      <c r="AX2" s="830"/>
      <c r="AY2" s="830"/>
      <c r="AZ2" s="830"/>
      <c r="BA2" s="830"/>
      <c r="BB2" s="830"/>
      <c r="BC2" s="830"/>
      <c r="BD2" s="830"/>
      <c r="BE2" s="830"/>
      <c r="BF2" s="830"/>
      <c r="BG2" s="830"/>
      <c r="BH2" s="830"/>
      <c r="BI2" s="830"/>
      <c r="BJ2" s="830"/>
      <c r="BK2" s="830"/>
      <c r="BL2" s="830"/>
      <c r="BM2" s="830"/>
      <c r="BN2" s="830"/>
      <c r="BO2" s="830"/>
      <c r="BP2" s="830"/>
      <c r="BQ2" s="830"/>
      <c r="BR2" s="830"/>
      <c r="BS2" s="830"/>
      <c r="BT2" s="830"/>
      <c r="BU2" s="830"/>
      <c r="BV2" s="830"/>
      <c r="BW2" s="830"/>
      <c r="BX2" s="830"/>
      <c r="BY2" s="830"/>
      <c r="BZ2" s="830"/>
      <c r="CA2" s="830"/>
      <c r="CB2" s="830"/>
      <c r="CC2" s="830"/>
      <c r="CD2" s="830"/>
      <c r="CE2" s="830"/>
      <c r="CF2" s="830"/>
      <c r="CG2" s="830"/>
      <c r="CH2" s="830"/>
      <c r="CI2" s="830"/>
      <c r="CJ2" s="830"/>
      <c r="CK2" s="830"/>
      <c r="CL2" s="830"/>
      <c r="CM2" s="830"/>
      <c r="CN2" s="830"/>
      <c r="CO2" s="830"/>
      <c r="CP2" s="270"/>
      <c r="CQ2" s="830" t="s">
        <v>53</v>
      </c>
      <c r="CR2" s="830"/>
      <c r="CS2" s="830"/>
      <c r="CT2" s="830"/>
      <c r="CU2" s="830"/>
      <c r="CV2" s="830"/>
      <c r="CW2" s="830"/>
      <c r="CX2" s="830"/>
      <c r="CY2" s="830"/>
      <c r="CZ2" s="830"/>
      <c r="DA2" s="830"/>
      <c r="DB2" s="830"/>
      <c r="DC2" s="830"/>
      <c r="DD2" s="830"/>
      <c r="DE2" s="830"/>
      <c r="DF2" s="830"/>
      <c r="DG2" s="830"/>
      <c r="DH2" s="830"/>
      <c r="DI2" s="830"/>
      <c r="DJ2" s="830"/>
      <c r="DK2" s="830"/>
      <c r="DL2" s="830"/>
      <c r="DM2" s="830"/>
      <c r="DN2" s="830"/>
      <c r="DO2" s="830"/>
      <c r="DP2" s="830"/>
      <c r="DQ2" s="830"/>
      <c r="DR2" s="830"/>
      <c r="DS2" s="830"/>
      <c r="DT2" s="830"/>
      <c r="DU2" s="830"/>
      <c r="DV2" s="830"/>
      <c r="DW2" s="830"/>
      <c r="DX2" s="830"/>
      <c r="DY2" s="830"/>
      <c r="DZ2" s="830"/>
      <c r="EA2" s="830"/>
      <c r="EB2" s="830"/>
      <c r="EC2" s="830"/>
      <c r="ED2" s="830"/>
      <c r="EE2" s="830"/>
      <c r="EF2" s="830"/>
      <c r="EG2" s="830"/>
      <c r="EH2" s="830"/>
      <c r="EI2" s="830"/>
      <c r="EJ2" s="830"/>
      <c r="EK2" s="830"/>
      <c r="EL2" s="830"/>
      <c r="EM2" s="830"/>
      <c r="EN2" s="830"/>
      <c r="EO2" s="830"/>
      <c r="EP2" s="830"/>
      <c r="EQ2" s="830"/>
      <c r="ER2" s="830"/>
      <c r="ES2" s="830"/>
      <c r="ET2" s="830"/>
      <c r="EU2" s="830"/>
      <c r="EV2" s="830"/>
      <c r="EW2" s="830"/>
      <c r="EX2" s="830"/>
      <c r="EY2" s="830"/>
      <c r="EZ2" s="830"/>
      <c r="FA2" s="830"/>
      <c r="FB2" s="830"/>
      <c r="FC2" s="830"/>
      <c r="FD2" s="830"/>
      <c r="FE2" s="830"/>
      <c r="FF2" s="830"/>
      <c r="FG2" s="830"/>
      <c r="FH2" s="830"/>
      <c r="FI2" s="830"/>
      <c r="FJ2" s="830"/>
      <c r="FK2" s="830"/>
      <c r="FL2" s="830"/>
      <c r="FM2" s="830"/>
      <c r="FN2" s="830"/>
      <c r="FO2" s="830"/>
      <c r="FP2" s="830"/>
      <c r="FQ2" s="830"/>
      <c r="FR2" s="830"/>
      <c r="FS2" s="830"/>
      <c r="FT2" s="830"/>
      <c r="FU2" s="830"/>
      <c r="FV2" s="830"/>
      <c r="FW2" s="830"/>
      <c r="FX2" s="830"/>
      <c r="FY2" s="830"/>
      <c r="FZ2" s="830"/>
      <c r="GA2" s="830"/>
      <c r="GB2" s="830"/>
      <c r="GC2" s="830"/>
    </row>
    <row r="3" spans="2:185" ht="15" thickBot="1" x14ac:dyDescent="0.4">
      <c r="B3" s="831"/>
      <c r="C3" s="830" t="s">
        <v>23283</v>
      </c>
      <c r="D3" s="830"/>
      <c r="E3" s="830"/>
      <c r="F3" s="830"/>
      <c r="G3" s="830"/>
      <c r="H3" s="830"/>
      <c r="I3" s="830"/>
      <c r="J3" s="830"/>
      <c r="K3" s="830"/>
      <c r="L3" s="830"/>
      <c r="M3" s="830"/>
      <c r="N3" s="830"/>
      <c r="O3" s="830"/>
      <c r="P3" s="830"/>
      <c r="Q3" s="830"/>
      <c r="R3" s="830"/>
      <c r="S3" s="830"/>
      <c r="T3" s="830"/>
      <c r="U3" s="830"/>
      <c r="V3" s="830"/>
      <c r="W3" s="830"/>
      <c r="X3" s="830"/>
      <c r="Y3" s="830"/>
      <c r="Z3" s="830"/>
      <c r="AA3" s="830"/>
      <c r="AB3" s="830"/>
      <c r="AC3" s="830"/>
      <c r="AD3" s="830"/>
      <c r="AE3" s="830"/>
      <c r="AF3" s="830"/>
      <c r="AG3" s="830"/>
      <c r="AH3" s="830"/>
      <c r="AI3" s="830"/>
      <c r="AJ3" s="830"/>
      <c r="AK3" s="830"/>
      <c r="AL3" s="830"/>
      <c r="AM3" s="830"/>
      <c r="AN3" s="830"/>
      <c r="AO3" s="830"/>
      <c r="AP3" s="830"/>
      <c r="AQ3" s="830"/>
      <c r="AR3" s="830"/>
      <c r="AS3" s="830"/>
      <c r="AT3" s="830"/>
      <c r="AU3" s="830"/>
      <c r="AV3" s="830"/>
      <c r="AW3" s="830"/>
      <c r="AX3" s="830"/>
      <c r="AY3" s="830"/>
      <c r="AZ3" s="830"/>
      <c r="BA3" s="830"/>
      <c r="BB3" s="830"/>
      <c r="BC3" s="830"/>
      <c r="BD3" s="830"/>
      <c r="BE3" s="830"/>
      <c r="BF3" s="830"/>
      <c r="BG3" s="830"/>
      <c r="BH3" s="830"/>
      <c r="BI3" s="830"/>
      <c r="BJ3" s="830"/>
      <c r="BK3" s="830"/>
      <c r="BL3" s="830"/>
      <c r="BM3" s="830"/>
      <c r="BN3" s="830"/>
      <c r="BO3" s="830"/>
      <c r="BP3" s="830"/>
      <c r="BQ3" s="830"/>
      <c r="BR3" s="830"/>
      <c r="BS3" s="830"/>
      <c r="BT3" s="830"/>
      <c r="BU3" s="830"/>
      <c r="BV3" s="830"/>
      <c r="BW3" s="830"/>
      <c r="BX3" s="830"/>
      <c r="BY3" s="830"/>
      <c r="BZ3" s="830"/>
      <c r="CA3" s="830"/>
      <c r="CB3" s="830"/>
      <c r="CC3" s="830"/>
      <c r="CD3" s="830"/>
      <c r="CE3" s="830"/>
      <c r="CF3" s="830"/>
      <c r="CG3" s="830"/>
      <c r="CH3" s="830"/>
      <c r="CI3" s="830"/>
      <c r="CJ3" s="830"/>
      <c r="CK3" s="830"/>
      <c r="CL3" s="830"/>
      <c r="CM3" s="830"/>
      <c r="CN3" s="830"/>
      <c r="CO3" s="830"/>
      <c r="CP3" s="270"/>
      <c r="CQ3" s="830" t="s">
        <v>23285</v>
      </c>
      <c r="CR3" s="830"/>
      <c r="CS3" s="830"/>
      <c r="CT3" s="830"/>
      <c r="CU3" s="830"/>
      <c r="CV3" s="830"/>
      <c r="CW3" s="830"/>
      <c r="CX3" s="830"/>
      <c r="CY3" s="830"/>
      <c r="CZ3" s="830"/>
      <c r="DA3" s="830"/>
      <c r="DB3" s="830"/>
      <c r="DC3" s="830"/>
      <c r="DD3" s="830"/>
      <c r="DE3" s="830"/>
      <c r="DF3" s="830"/>
      <c r="DG3" s="830"/>
      <c r="DH3" s="830"/>
      <c r="DI3" s="830"/>
      <c r="DJ3" s="830"/>
      <c r="DK3" s="830"/>
      <c r="DL3" s="830"/>
      <c r="DM3" s="830"/>
      <c r="DN3" s="830"/>
      <c r="DO3" s="830"/>
      <c r="DP3" s="830"/>
      <c r="DQ3" s="830"/>
      <c r="DR3" s="830"/>
      <c r="DS3" s="830"/>
      <c r="DT3" s="830"/>
      <c r="DU3" s="830"/>
      <c r="DV3" s="830"/>
      <c r="DW3" s="830"/>
      <c r="DX3" s="830"/>
      <c r="DY3" s="830"/>
      <c r="DZ3" s="830"/>
      <c r="EA3" s="830"/>
      <c r="EB3" s="830"/>
      <c r="EC3" s="830"/>
      <c r="ED3" s="830"/>
      <c r="EE3" s="830"/>
      <c r="EF3" s="830"/>
      <c r="EG3" s="830"/>
      <c r="EH3" s="830"/>
      <c r="EI3" s="830"/>
      <c r="EJ3" s="830"/>
      <c r="EK3" s="830"/>
      <c r="EL3" s="830"/>
      <c r="EM3" s="830"/>
      <c r="EN3" s="830"/>
      <c r="EO3" s="830"/>
      <c r="EP3" s="830"/>
      <c r="EQ3" s="830"/>
      <c r="ER3" s="830"/>
      <c r="ES3" s="830"/>
      <c r="ET3" s="830"/>
      <c r="EU3" s="830"/>
      <c r="EV3" s="830"/>
      <c r="EW3" s="830"/>
      <c r="EX3" s="830"/>
      <c r="EY3" s="830"/>
      <c r="EZ3" s="830"/>
      <c r="FA3" s="830"/>
      <c r="FB3" s="830"/>
      <c r="FC3" s="830"/>
      <c r="FD3" s="830"/>
      <c r="FE3" s="830"/>
      <c r="FF3" s="830"/>
      <c r="FG3" s="830"/>
      <c r="FH3" s="830"/>
      <c r="FI3" s="830"/>
      <c r="FJ3" s="830"/>
      <c r="FK3" s="830"/>
      <c r="FL3" s="830"/>
      <c r="FM3" s="830"/>
      <c r="FN3" s="830"/>
      <c r="FO3" s="830"/>
      <c r="FP3" s="830"/>
      <c r="FQ3" s="830"/>
      <c r="FR3" s="830"/>
      <c r="FS3" s="830"/>
      <c r="FT3" s="830"/>
      <c r="FU3" s="830"/>
      <c r="FV3" s="830"/>
      <c r="FW3" s="830"/>
      <c r="FX3" s="830"/>
      <c r="FY3" s="830"/>
      <c r="FZ3" s="830"/>
      <c r="GA3" s="830"/>
      <c r="GB3" s="830"/>
      <c r="GC3" s="830"/>
    </row>
    <row r="4" spans="2:185" ht="15" thickBot="1" x14ac:dyDescent="0.4">
      <c r="B4" s="831"/>
      <c r="C4" s="830" t="s">
        <v>23284</v>
      </c>
      <c r="D4" s="830"/>
      <c r="E4" s="830"/>
      <c r="F4" s="830"/>
      <c r="G4" s="830"/>
      <c r="H4" s="830"/>
      <c r="I4" s="830"/>
      <c r="J4" s="830"/>
      <c r="K4" s="830"/>
      <c r="L4" s="830"/>
      <c r="M4" s="830"/>
      <c r="N4" s="830"/>
      <c r="O4" s="830"/>
      <c r="P4" s="830"/>
      <c r="Q4" s="830"/>
      <c r="R4" s="830"/>
      <c r="S4" s="830"/>
      <c r="T4" s="830"/>
      <c r="U4" s="830"/>
      <c r="V4" s="830"/>
      <c r="W4" s="830"/>
      <c r="X4" s="830"/>
      <c r="Y4" s="830"/>
      <c r="Z4" s="830"/>
      <c r="AA4" s="830"/>
      <c r="AB4" s="830"/>
      <c r="AC4" s="830"/>
      <c r="AD4" s="830"/>
      <c r="AE4" s="830"/>
      <c r="AF4" s="830"/>
      <c r="AG4" s="830"/>
      <c r="AH4" s="830"/>
      <c r="AI4" s="830"/>
      <c r="AJ4" s="830"/>
      <c r="AK4" s="830"/>
      <c r="AL4" s="830"/>
      <c r="AM4" s="830"/>
      <c r="AN4" s="830"/>
      <c r="AO4" s="830"/>
      <c r="AP4" s="830"/>
      <c r="AQ4" s="830"/>
      <c r="AR4" s="830"/>
      <c r="AS4" s="830"/>
      <c r="AT4" s="830"/>
      <c r="AU4" s="830"/>
      <c r="AV4" s="830"/>
      <c r="AW4" s="830"/>
      <c r="AX4" s="830"/>
      <c r="AY4" s="830"/>
      <c r="AZ4" s="830"/>
      <c r="BA4" s="830"/>
      <c r="BB4" s="830"/>
      <c r="BC4" s="830"/>
      <c r="BD4" s="830"/>
      <c r="BE4" s="830"/>
      <c r="BF4" s="830"/>
      <c r="BG4" s="830"/>
      <c r="BH4" s="830"/>
      <c r="BI4" s="830"/>
      <c r="BJ4" s="830"/>
      <c r="BK4" s="830"/>
      <c r="BL4" s="830"/>
      <c r="BM4" s="830"/>
      <c r="BN4" s="830"/>
      <c r="BO4" s="830"/>
      <c r="BP4" s="830"/>
      <c r="BQ4" s="830"/>
      <c r="BR4" s="830"/>
      <c r="BS4" s="830"/>
      <c r="BT4" s="830"/>
      <c r="BU4" s="830"/>
      <c r="BV4" s="830"/>
      <c r="BW4" s="830"/>
      <c r="BX4" s="830"/>
      <c r="BY4" s="830"/>
      <c r="BZ4" s="830"/>
      <c r="CA4" s="830"/>
      <c r="CB4" s="830"/>
      <c r="CC4" s="830"/>
      <c r="CD4" s="830"/>
      <c r="CE4" s="830"/>
      <c r="CF4" s="830"/>
      <c r="CG4" s="830"/>
      <c r="CH4" s="830"/>
      <c r="CI4" s="830"/>
      <c r="CJ4" s="830"/>
      <c r="CK4" s="830"/>
      <c r="CL4" s="830"/>
      <c r="CM4" s="830"/>
      <c r="CN4" s="830"/>
      <c r="CO4" s="830"/>
      <c r="CP4" s="270"/>
      <c r="CQ4" s="830" t="s">
        <v>54</v>
      </c>
      <c r="CR4" s="830"/>
      <c r="CS4" s="830"/>
      <c r="CT4" s="830"/>
      <c r="CU4" s="830"/>
      <c r="CV4" s="830"/>
      <c r="CW4" s="830"/>
      <c r="CX4" s="830"/>
      <c r="CY4" s="830"/>
      <c r="CZ4" s="830"/>
      <c r="DA4" s="830"/>
      <c r="DB4" s="830"/>
      <c r="DC4" s="830"/>
      <c r="DD4" s="830"/>
      <c r="DE4" s="830"/>
      <c r="DF4" s="830"/>
      <c r="DG4" s="830"/>
      <c r="DH4" s="830"/>
      <c r="DI4" s="830"/>
      <c r="DJ4" s="830"/>
      <c r="DK4" s="830"/>
      <c r="DL4" s="830"/>
      <c r="DM4" s="830"/>
      <c r="DN4" s="830"/>
      <c r="DO4" s="830"/>
      <c r="DP4" s="830"/>
      <c r="DQ4" s="830"/>
      <c r="DR4" s="830"/>
      <c r="DS4" s="830"/>
      <c r="DT4" s="830"/>
      <c r="DU4" s="830"/>
      <c r="DV4" s="830"/>
      <c r="DW4" s="830"/>
      <c r="DX4" s="830"/>
      <c r="DY4" s="830"/>
      <c r="DZ4" s="830"/>
      <c r="EA4" s="830"/>
      <c r="EB4" s="830"/>
      <c r="EC4" s="830"/>
      <c r="ED4" s="830"/>
      <c r="EE4" s="830"/>
      <c r="EF4" s="830"/>
      <c r="EG4" s="830"/>
      <c r="EH4" s="830"/>
      <c r="EI4" s="830"/>
      <c r="EJ4" s="830"/>
      <c r="EK4" s="830"/>
      <c r="EL4" s="830"/>
      <c r="EM4" s="830"/>
      <c r="EN4" s="830"/>
      <c r="EO4" s="830"/>
      <c r="EP4" s="830"/>
      <c r="EQ4" s="830"/>
      <c r="ER4" s="830"/>
      <c r="ES4" s="830"/>
      <c r="ET4" s="830"/>
      <c r="EU4" s="830"/>
      <c r="EV4" s="830"/>
      <c r="EW4" s="830"/>
      <c r="EX4" s="830"/>
      <c r="EY4" s="830"/>
      <c r="EZ4" s="830"/>
      <c r="FA4" s="830"/>
      <c r="FB4" s="830"/>
      <c r="FC4" s="830"/>
      <c r="FD4" s="830"/>
      <c r="FE4" s="830"/>
      <c r="FF4" s="830"/>
      <c r="FG4" s="830"/>
      <c r="FH4" s="830"/>
      <c r="FI4" s="830"/>
      <c r="FJ4" s="830"/>
      <c r="FK4" s="830"/>
      <c r="FL4" s="830"/>
      <c r="FM4" s="830"/>
      <c r="FN4" s="830"/>
      <c r="FO4" s="830"/>
      <c r="FP4" s="830"/>
      <c r="FQ4" s="830"/>
      <c r="FR4" s="830"/>
      <c r="FS4" s="830"/>
      <c r="FT4" s="830"/>
      <c r="FU4" s="830"/>
      <c r="FV4" s="830"/>
      <c r="FW4" s="830"/>
      <c r="FX4" s="830"/>
      <c r="FY4" s="830"/>
      <c r="FZ4" s="830"/>
      <c r="GA4" s="830"/>
      <c r="GB4" s="830"/>
      <c r="GC4" s="830"/>
    </row>
    <row r="5" spans="2:185" ht="15" thickBot="1" x14ac:dyDescent="0.4">
      <c r="B5" s="831"/>
      <c r="C5" s="273">
        <v>70</v>
      </c>
      <c r="D5" s="273">
        <v>71</v>
      </c>
      <c r="E5" s="273">
        <v>72</v>
      </c>
      <c r="F5" s="273">
        <v>73</v>
      </c>
      <c r="G5" s="273">
        <v>74</v>
      </c>
      <c r="H5" s="273">
        <v>75</v>
      </c>
      <c r="I5" s="273">
        <v>76</v>
      </c>
      <c r="J5" s="273">
        <v>77</v>
      </c>
      <c r="K5" s="273">
        <v>78</v>
      </c>
      <c r="L5" s="273">
        <v>79</v>
      </c>
      <c r="M5" s="273">
        <v>80</v>
      </c>
      <c r="N5" s="273">
        <v>81</v>
      </c>
      <c r="O5" s="273">
        <v>82</v>
      </c>
      <c r="P5" s="273">
        <v>83</v>
      </c>
      <c r="Q5" s="273">
        <v>84</v>
      </c>
      <c r="R5" s="273">
        <v>85</v>
      </c>
      <c r="S5" s="273">
        <v>86</v>
      </c>
      <c r="T5" s="273">
        <v>87</v>
      </c>
      <c r="U5" s="273">
        <v>88</v>
      </c>
      <c r="V5" s="273">
        <v>89</v>
      </c>
      <c r="W5" s="273">
        <v>90</v>
      </c>
      <c r="X5" s="273">
        <v>91</v>
      </c>
      <c r="Y5" s="273">
        <v>92</v>
      </c>
      <c r="Z5" s="273">
        <v>93</v>
      </c>
      <c r="AA5" s="273">
        <v>94</v>
      </c>
      <c r="AB5" s="273">
        <v>95</v>
      </c>
      <c r="AC5" s="273">
        <v>96</v>
      </c>
      <c r="AD5" s="273">
        <v>97</v>
      </c>
      <c r="AE5" s="273">
        <v>98</v>
      </c>
      <c r="AF5" s="273">
        <v>99</v>
      </c>
      <c r="AG5" s="273">
        <v>100</v>
      </c>
      <c r="AH5" s="273">
        <v>101</v>
      </c>
      <c r="AI5" s="273">
        <v>102</v>
      </c>
      <c r="AJ5" s="273">
        <v>103</v>
      </c>
      <c r="AK5" s="273">
        <v>104</v>
      </c>
      <c r="AL5" s="273">
        <v>105</v>
      </c>
      <c r="AM5" s="273">
        <v>106</v>
      </c>
      <c r="AN5" s="273">
        <v>107</v>
      </c>
      <c r="AO5" s="273">
        <v>108</v>
      </c>
      <c r="AP5" s="273">
        <v>109</v>
      </c>
      <c r="AQ5" s="273">
        <v>110</v>
      </c>
      <c r="AR5" s="273">
        <v>111</v>
      </c>
      <c r="AS5" s="273">
        <v>112</v>
      </c>
      <c r="AT5" s="273">
        <v>113</v>
      </c>
      <c r="AU5" s="273">
        <v>114</v>
      </c>
      <c r="AV5" s="273">
        <v>115</v>
      </c>
      <c r="AW5" s="273">
        <v>116</v>
      </c>
      <c r="AX5" s="273">
        <v>117</v>
      </c>
      <c r="AY5" s="273">
        <v>118</v>
      </c>
      <c r="AZ5" s="273">
        <v>119</v>
      </c>
      <c r="BA5" s="273">
        <v>120</v>
      </c>
      <c r="BB5" s="273">
        <v>121</v>
      </c>
      <c r="BC5" s="273">
        <v>122</v>
      </c>
      <c r="BD5" s="273">
        <v>123</v>
      </c>
      <c r="BE5" s="273">
        <v>124</v>
      </c>
      <c r="BF5" s="273">
        <v>125</v>
      </c>
      <c r="BG5" s="273">
        <v>126</v>
      </c>
      <c r="BH5" s="273">
        <v>127</v>
      </c>
      <c r="BI5" s="273">
        <v>128</v>
      </c>
      <c r="BJ5" s="273">
        <v>129</v>
      </c>
      <c r="BK5" s="273">
        <v>130</v>
      </c>
      <c r="BL5" s="273">
        <v>131</v>
      </c>
      <c r="BM5" s="273">
        <v>132</v>
      </c>
      <c r="BN5" s="273">
        <v>133</v>
      </c>
      <c r="BO5" s="273">
        <v>134</v>
      </c>
      <c r="BP5" s="273">
        <v>135</v>
      </c>
      <c r="BQ5" s="273">
        <v>136</v>
      </c>
      <c r="BR5" s="273">
        <v>137</v>
      </c>
      <c r="BS5" s="273">
        <v>138</v>
      </c>
      <c r="BT5" s="273">
        <v>139</v>
      </c>
      <c r="BU5" s="273">
        <v>140</v>
      </c>
      <c r="BV5" s="273">
        <v>141</v>
      </c>
      <c r="BW5" s="273">
        <v>142</v>
      </c>
      <c r="BX5" s="273">
        <v>143</v>
      </c>
      <c r="BY5" s="273">
        <v>144</v>
      </c>
      <c r="BZ5" s="273">
        <v>145</v>
      </c>
      <c r="CA5" s="273">
        <v>146</v>
      </c>
      <c r="CB5" s="273">
        <v>147</v>
      </c>
      <c r="CC5" s="273">
        <v>148</v>
      </c>
      <c r="CD5" s="273">
        <v>149</v>
      </c>
      <c r="CE5" s="273">
        <v>150</v>
      </c>
      <c r="CF5" s="273">
        <v>151</v>
      </c>
      <c r="CG5" s="273">
        <v>152</v>
      </c>
      <c r="CH5" s="273">
        <v>153</v>
      </c>
      <c r="CI5" s="273">
        <v>154</v>
      </c>
      <c r="CJ5" s="273">
        <v>155</v>
      </c>
      <c r="CK5" s="273">
        <v>156</v>
      </c>
      <c r="CL5" s="273">
        <v>157</v>
      </c>
      <c r="CM5" s="273">
        <v>158</v>
      </c>
      <c r="CN5" s="273">
        <v>159</v>
      </c>
      <c r="CO5" s="273">
        <v>160</v>
      </c>
      <c r="CP5" s="273"/>
      <c r="CQ5" s="274">
        <v>70</v>
      </c>
      <c r="CR5" s="274">
        <v>71</v>
      </c>
      <c r="CS5" s="274">
        <v>72</v>
      </c>
      <c r="CT5" s="274">
        <v>73</v>
      </c>
      <c r="CU5" s="274">
        <v>74</v>
      </c>
      <c r="CV5" s="274">
        <v>75</v>
      </c>
      <c r="CW5" s="274">
        <v>76</v>
      </c>
      <c r="CX5" s="274">
        <v>77</v>
      </c>
      <c r="CY5" s="274">
        <v>78</v>
      </c>
      <c r="CZ5" s="274">
        <v>79</v>
      </c>
      <c r="DA5" s="274">
        <v>80</v>
      </c>
      <c r="DB5" s="274">
        <v>81</v>
      </c>
      <c r="DC5" s="274">
        <v>82</v>
      </c>
      <c r="DD5" s="274">
        <v>83</v>
      </c>
      <c r="DE5" s="274">
        <v>84</v>
      </c>
      <c r="DF5" s="274">
        <v>85</v>
      </c>
      <c r="DG5" s="274">
        <v>86</v>
      </c>
      <c r="DH5" s="274">
        <v>87</v>
      </c>
      <c r="DI5" s="274">
        <v>88</v>
      </c>
      <c r="DJ5" s="274">
        <v>89</v>
      </c>
      <c r="DK5" s="274">
        <v>90</v>
      </c>
      <c r="DL5" s="274">
        <v>91</v>
      </c>
      <c r="DM5" s="274">
        <v>92</v>
      </c>
      <c r="DN5" s="274">
        <v>93</v>
      </c>
      <c r="DO5" s="274">
        <v>94</v>
      </c>
      <c r="DP5" s="274">
        <v>95</v>
      </c>
      <c r="DQ5" s="274">
        <v>96</v>
      </c>
      <c r="DR5" s="274">
        <v>97</v>
      </c>
      <c r="DS5" s="274">
        <v>98</v>
      </c>
      <c r="DT5" s="274">
        <v>99</v>
      </c>
      <c r="DU5" s="274">
        <v>100</v>
      </c>
      <c r="DV5" s="274">
        <v>101</v>
      </c>
      <c r="DW5" s="274">
        <v>102</v>
      </c>
      <c r="DX5" s="274">
        <v>103</v>
      </c>
      <c r="DY5" s="274">
        <v>104</v>
      </c>
      <c r="DZ5" s="274">
        <v>105</v>
      </c>
      <c r="EA5" s="274">
        <v>106</v>
      </c>
      <c r="EB5" s="274">
        <v>107</v>
      </c>
      <c r="EC5" s="274">
        <v>108</v>
      </c>
      <c r="ED5" s="274">
        <v>109</v>
      </c>
      <c r="EE5" s="274">
        <v>110</v>
      </c>
      <c r="EF5" s="274">
        <v>111</v>
      </c>
      <c r="EG5" s="274">
        <v>112</v>
      </c>
      <c r="EH5" s="274">
        <v>113</v>
      </c>
      <c r="EI5" s="274">
        <v>114</v>
      </c>
      <c r="EJ5" s="274">
        <v>115</v>
      </c>
      <c r="EK5" s="274">
        <v>116</v>
      </c>
      <c r="EL5" s="274">
        <v>117</v>
      </c>
      <c r="EM5" s="274">
        <v>118</v>
      </c>
      <c r="EN5" s="274">
        <v>119</v>
      </c>
      <c r="EO5" s="274">
        <v>120</v>
      </c>
      <c r="EP5" s="274">
        <v>121</v>
      </c>
      <c r="EQ5" s="274">
        <v>122</v>
      </c>
      <c r="ER5" s="274">
        <v>123</v>
      </c>
      <c r="ES5" s="274">
        <v>124</v>
      </c>
      <c r="ET5" s="274">
        <v>125</v>
      </c>
      <c r="EU5" s="274">
        <v>126</v>
      </c>
      <c r="EV5" s="274">
        <v>127</v>
      </c>
      <c r="EW5" s="274">
        <v>128</v>
      </c>
      <c r="EX5" s="274">
        <v>129</v>
      </c>
      <c r="EY5" s="274">
        <v>130</v>
      </c>
      <c r="EZ5" s="274">
        <v>131</v>
      </c>
      <c r="FA5" s="274">
        <v>132</v>
      </c>
      <c r="FB5" s="274">
        <v>133</v>
      </c>
      <c r="FC5" s="274">
        <v>134</v>
      </c>
      <c r="FD5" s="274">
        <v>135</v>
      </c>
      <c r="FE5" s="274">
        <v>136</v>
      </c>
      <c r="FF5" s="274">
        <v>137</v>
      </c>
      <c r="FG5" s="274">
        <v>138</v>
      </c>
      <c r="FH5" s="274">
        <v>139</v>
      </c>
      <c r="FI5" s="274">
        <v>140</v>
      </c>
      <c r="FJ5" s="271">
        <v>141</v>
      </c>
      <c r="FK5" s="271">
        <v>142</v>
      </c>
      <c r="FL5" s="271">
        <v>143</v>
      </c>
      <c r="FM5" s="271">
        <v>144</v>
      </c>
      <c r="FN5" s="271">
        <v>145</v>
      </c>
      <c r="FO5" s="271">
        <v>146</v>
      </c>
      <c r="FP5" s="271">
        <v>147</v>
      </c>
      <c r="FQ5" s="271">
        <v>148</v>
      </c>
      <c r="FR5" s="271">
        <v>149</v>
      </c>
      <c r="FS5" s="271">
        <v>150</v>
      </c>
      <c r="FT5" s="271">
        <v>151</v>
      </c>
      <c r="FU5" s="271">
        <v>152</v>
      </c>
      <c r="FV5" s="271">
        <v>153</v>
      </c>
      <c r="FW5" s="271">
        <v>154</v>
      </c>
      <c r="FX5" s="271">
        <v>155</v>
      </c>
      <c r="FY5" s="271">
        <v>156</v>
      </c>
      <c r="FZ5" s="271">
        <v>157</v>
      </c>
      <c r="GA5" s="271">
        <v>158</v>
      </c>
      <c r="GB5" s="271">
        <v>159</v>
      </c>
      <c r="GC5" s="271">
        <v>160</v>
      </c>
    </row>
    <row r="6" spans="2:185" ht="15" thickBot="1" x14ac:dyDescent="0.4">
      <c r="B6" s="298">
        <v>0</v>
      </c>
      <c r="C6" s="275">
        <v>6.5015570883221194</v>
      </c>
      <c r="D6" s="275">
        <v>6.546680502031835</v>
      </c>
      <c r="E6" s="275">
        <v>6.5919832031252801</v>
      </c>
      <c r="F6" s="275">
        <v>6.6374651750807176</v>
      </c>
      <c r="G6" s="275">
        <v>6.6831255221412658</v>
      </c>
      <c r="H6" s="275">
        <v>6.7289623205572271</v>
      </c>
      <c r="I6" s="275">
        <v>6.7749724514453717</v>
      </c>
      <c r="J6" s="275">
        <v>6.8211514132278932</v>
      </c>
      <c r="K6" s="275">
        <v>6.8674931111715392</v>
      </c>
      <c r="L6" s="275">
        <v>6.9139896209195433</v>
      </c>
      <c r="M6" s="275">
        <v>6.9606309220659028</v>
      </c>
      <c r="N6" s="275">
        <v>7.0074045967880156</v>
      </c>
      <c r="O6" s="275">
        <v>7.0542954874834409</v>
      </c>
      <c r="P6" s="275">
        <v>7.1012853066443009</v>
      </c>
      <c r="Q6" s="275">
        <v>7.1483521926399094</v>
      </c>
      <c r="R6" s="275">
        <v>7.195470207982952</v>
      </c>
      <c r="S6" s="275">
        <v>7.2426087838445259</v>
      </c>
      <c r="T6" s="275">
        <v>7.2897321279368192</v>
      </c>
      <c r="U6" s="275">
        <v>7.336798633278157</v>
      </c>
      <c r="V6" s="275">
        <v>7.3837603511299514</v>
      </c>
      <c r="W6" s="275">
        <v>7.430562617267082</v>
      </c>
      <c r="X6" s="275">
        <v>7.4771439387551917</v>
      </c>
      <c r="Y6" s="275">
        <v>7.5234362515952169</v>
      </c>
      <c r="Z6" s="275">
        <v>7.5693656462607217</v>
      </c>
      <c r="AA6" s="275">
        <v>7.6148536323287512</v>
      </c>
      <c r="AB6" s="275">
        <v>7.6598189793013161</v>
      </c>
      <c r="AC6" s="275">
        <v>7.7041801253248048</v>
      </c>
      <c r="AD6" s="275">
        <v>7.7478580775401698</v>
      </c>
      <c r="AE6" s="275">
        <v>7.7907796275791101</v>
      </c>
      <c r="AF6" s="275">
        <v>7.8328805821796132</v>
      </c>
      <c r="AG6" s="275">
        <v>7.874108601249314</v>
      </c>
      <c r="AH6" s="275">
        <v>7.9144252051194668</v>
      </c>
      <c r="AI6" s="275">
        <v>7.9538066083953298</v>
      </c>
      <c r="AJ6" s="275">
        <v>7.992243255196839</v>
      </c>
      <c r="AK6" s="275">
        <v>8.0297381981346305</v>
      </c>
      <c r="AL6" s="275">
        <v>8.0663046784934149</v>
      </c>
      <c r="AM6" s="275">
        <v>8.1019633553749468</v>
      </c>
      <c r="AN6" s="275">
        <v>8.1367395913081957</v>
      </c>
      <c r="AO6" s="275">
        <v>8.1706610800018655</v>
      </c>
      <c r="AP6" s="275">
        <v>8.2037559619005904</v>
      </c>
      <c r="AQ6" s="275">
        <v>8.2360514599613293</v>
      </c>
      <c r="AR6" s="275">
        <v>8.2675729984776147</v>
      </c>
      <c r="AS6" s="275">
        <v>8.2983437381027887</v>
      </c>
      <c r="AT6" s="275">
        <v>8.3283844577267079</v>
      </c>
      <c r="AU6" s="275">
        <v>8.3577137249484412</v>
      </c>
      <c r="AV6" s="275">
        <v>8.3863483104532133</v>
      </c>
      <c r="AW6" s="275">
        <v>8.414303809496543</v>
      </c>
      <c r="AX6" s="275">
        <v>8.4415954306295724</v>
      </c>
      <c r="AY6" s="275">
        <v>8.4682388961496233</v>
      </c>
      <c r="AZ6" s="275">
        <v>8.4942513744545334</v>
      </c>
      <c r="BA6" s="275">
        <v>8.5196523421892376</v>
      </c>
      <c r="BB6" s="275">
        <v>8.5444642687481078</v>
      </c>
      <c r="BC6" s="275">
        <v>8.5687130389026169</v>
      </c>
      <c r="BD6" s="275">
        <v>8.5924280799986672</v>
      </c>
      <c r="BE6" s="275">
        <v>8.6156422218110684</v>
      </c>
      <c r="BF6" s="275">
        <v>8.6383913661597465</v>
      </c>
      <c r="BG6" s="275">
        <v>8.6607140631123372</v>
      </c>
      <c r="BH6" s="275">
        <v>8.6826510796273109</v>
      </c>
      <c r="BI6" s="275">
        <v>8.7042450159404439</v>
      </c>
      <c r="BJ6" s="275">
        <v>8.7255399893239254</v>
      </c>
      <c r="BK6" s="275">
        <v>8.7465813744022611</v>
      </c>
      <c r="BL6" s="275">
        <v>8.7674155681662658</v>
      </c>
      <c r="BM6" s="275">
        <v>8.7880897360862846</v>
      </c>
      <c r="BN6" s="275">
        <v>8.808651491826982</v>
      </c>
      <c r="BO6" s="275">
        <v>8.8291484662686965</v>
      </c>
      <c r="BP6" s="275">
        <v>8.8496277325705961</v>
      </c>
      <c r="BQ6" s="275">
        <v>8.8701350745555221</v>
      </c>
      <c r="BR6" s="275">
        <v>8.8907141167838333</v>
      </c>
      <c r="BS6" s="275">
        <v>8.9114053742612267</v>
      </c>
      <c r="BT6" s="275">
        <v>8.9322453204214902</v>
      </c>
      <c r="BU6" s="275">
        <v>8.9532656009850324</v>
      </c>
      <c r="BV6" s="275">
        <v>8.9744925239945754</v>
      </c>
      <c r="BW6" s="275">
        <v>8.9959469241001422</v>
      </c>
      <c r="BX6" s="275">
        <v>9.0176444363573349</v>
      </c>
      <c r="BY6" s="275">
        <v>9.0395961396556732</v>
      </c>
      <c r="BZ6" s="275">
        <v>9.0618094666566389</v>
      </c>
      <c r="CA6" s="275">
        <v>9.0842892440227629</v>
      </c>
      <c r="CB6" s="275">
        <v>9.1070387280935279</v>
      </c>
      <c r="CC6" s="275">
        <v>9.1300605283297251</v>
      </c>
      <c r="CD6" s="275">
        <v>9.1533573493002311</v>
      </c>
      <c r="CE6" s="275">
        <v>9.1769325189586777</v>
      </c>
      <c r="CF6" s="275">
        <v>9.2007902993102242</v>
      </c>
      <c r="CG6" s="275">
        <v>9.2249359937304156</v>
      </c>
      <c r="CH6" s="275">
        <v>9.249375875090406</v>
      </c>
      <c r="CI6" s="275">
        <v>9.2741169636334266</v>
      </c>
      <c r="CJ6" s="275">
        <v>9.2991666861275117</v>
      </c>
      <c r="CK6" s="275">
        <v>9.3245324500603797</v>
      </c>
      <c r="CL6" s="275">
        <v>9.3502211691940413</v>
      </c>
      <c r="CM6" s="275">
        <v>9.3762387791992996</v>
      </c>
      <c r="CN6" s="275">
        <v>9.4025897831079241</v>
      </c>
      <c r="CO6" s="275">
        <v>9.4292768644565701</v>
      </c>
      <c r="CP6" s="275"/>
      <c r="CQ6" s="276">
        <v>6.0853950034250408</v>
      </c>
      <c r="CR6" s="276">
        <v>6.1429411986099147</v>
      </c>
      <c r="CS6" s="276">
        <v>6.2008306506349138</v>
      </c>
      <c r="CT6" s="276">
        <v>6.2590894272349624</v>
      </c>
      <c r="CU6" s="276">
        <v>6.3177463136372163</v>
      </c>
      <c r="CV6" s="276">
        <v>6.3768330603129639</v>
      </c>
      <c r="CW6" s="276">
        <v>6.4363846159731608</v>
      </c>
      <c r="CX6" s="276">
        <v>6.4964393222492394</v>
      </c>
      <c r="CY6" s="276">
        <v>6.5570390344660483</v>
      </c>
      <c r="CZ6" s="276">
        <v>6.6182291163758507</v>
      </c>
      <c r="DA6" s="276">
        <v>6.6800582348929227</v>
      </c>
      <c r="DB6" s="276">
        <v>6.7425778537035796</v>
      </c>
      <c r="DC6" s="276">
        <v>6.805841293890639</v>
      </c>
      <c r="DD6" s="276">
        <v>6.8699022006756332</v>
      </c>
      <c r="DE6" s="276">
        <v>6.9348122390609914</v>
      </c>
      <c r="DF6" s="276">
        <v>7.0006178561744408</v>
      </c>
      <c r="DG6" s="276">
        <v>7.0673560199725953</v>
      </c>
      <c r="DH6" s="276">
        <v>7.1350489978272016</v>
      </c>
      <c r="DI6" s="276">
        <v>7.2036984823247332</v>
      </c>
      <c r="DJ6" s="276">
        <v>7.2732796720526851</v>
      </c>
      <c r="DK6" s="276">
        <v>7.3437361822252214</v>
      </c>
      <c r="DL6" s="276">
        <v>7.4149767658776868</v>
      </c>
      <c r="DM6" s="276">
        <v>7.4868746710165253</v>
      </c>
      <c r="DN6" s="276">
        <v>7.5592700501512304</v>
      </c>
      <c r="DO6" s="276">
        <v>7.6319753140658468</v>
      </c>
      <c r="DP6" s="276">
        <v>7.7047828745668818</v>
      </c>
      <c r="DQ6" s="276">
        <v>7.7774744763398198</v>
      </c>
      <c r="DR6" s="276">
        <v>7.8498312659106162</v>
      </c>
      <c r="DS6" s="276">
        <v>7.9216437810712534</v>
      </c>
      <c r="DT6" s="276">
        <v>7.9927210701747589</v>
      </c>
      <c r="DU6" s="276">
        <v>8.0628981592431739</v>
      </c>
      <c r="DV6" s="276">
        <v>8.1320411580468495</v>
      </c>
      <c r="DW6" s="276">
        <v>8.200049530937747</v>
      </c>
      <c r="DX6" s="276">
        <v>8.2668554676541142</v>
      </c>
      <c r="DY6" s="276">
        <v>8.3324207641464891</v>
      </c>
      <c r="DZ6" s="276">
        <v>8.3967319913044758</v>
      </c>
      <c r="EA6" s="276">
        <v>8.4597948666902383</v>
      </c>
      <c r="EB6" s="276">
        <v>8.5216286450774295</v>
      </c>
      <c r="EC6" s="276">
        <v>8.5822610991481856</v>
      </c>
      <c r="ED6" s="276">
        <v>8.6417243885215687</v>
      </c>
      <c r="EE6" s="276">
        <v>8.7000518952028685</v>
      </c>
      <c r="EF6" s="276">
        <v>8.7572759666481979</v>
      </c>
      <c r="EG6" s="276">
        <v>8.8134264462272753</v>
      </c>
      <c r="EH6" s="276">
        <v>8.8685298609873566</v>
      </c>
      <c r="EI6" s="276">
        <v>8.9226091531509777</v>
      </c>
      <c r="EJ6" s="276">
        <v>8.9756838647112787</v>
      </c>
      <c r="EK6" s="276">
        <v>9.0277706998332707</v>
      </c>
      <c r="EL6" s="276">
        <v>9.0788843891036741</v>
      </c>
      <c r="EM6" s="276">
        <v>9.1290387608121932</v>
      </c>
      <c r="EN6" s="276">
        <v>9.178247893467999</v>
      </c>
      <c r="EO6" s="276">
        <v>9.2265271959873463</v>
      </c>
      <c r="EP6" s="276">
        <v>9.2738942580738186</v>
      </c>
      <c r="EQ6" s="276">
        <v>9.3203693486676329</v>
      </c>
      <c r="ER6" s="276">
        <v>9.3659755130563749</v>
      </c>
      <c r="ES6" s="276">
        <v>9.4107383067817114</v>
      </c>
      <c r="ET6" s="276">
        <v>9.4546852749210899</v>
      </c>
      <c r="EU6" s="276">
        <v>9.4978453158937306</v>
      </c>
      <c r="EV6" s="276">
        <v>9.5402480572550097</v>
      </c>
      <c r="EW6" s="276">
        <v>9.581923331752968</v>
      </c>
      <c r="EX6" s="276">
        <v>9.6229007951252363</v>
      </c>
      <c r="EY6" s="276">
        <v>9.6632096874945237</v>
      </c>
      <c r="EZ6" s="276">
        <v>9.702878714053524</v>
      </c>
      <c r="FA6" s="276">
        <v>9.7419360077942354</v>
      </c>
      <c r="FB6" s="276">
        <v>9.7804091342177255</v>
      </c>
      <c r="FC6" s="276">
        <v>9.818325101948238</v>
      </c>
      <c r="FD6" s="276">
        <v>9.8557103516263034</v>
      </c>
      <c r="FE6" s="276">
        <v>9.8925907069891359</v>
      </c>
      <c r="FF6" s="276">
        <v>9.9289912856411568</v>
      </c>
      <c r="FG6" s="276">
        <v>9.9649363812573224</v>
      </c>
      <c r="FH6" s="276">
        <v>10.000449341548791</v>
      </c>
      <c r="FI6" s="276">
        <v>10.035552474207719</v>
      </c>
      <c r="FJ6" s="272">
        <v>10.07026701338363</v>
      </c>
      <c r="FK6" s="272">
        <v>10.104613170823869</v>
      </c>
      <c r="FL6" s="272">
        <v>10.1386102802177</v>
      </c>
      <c r="FM6" s="272">
        <v>10.172277024789519</v>
      </c>
      <c r="FN6" s="272">
        <v>10.205631722163989</v>
      </c>
      <c r="FO6" s="272">
        <v>10.2386926312057</v>
      </c>
      <c r="FP6" s="272">
        <v>10.2714782444216</v>
      </c>
      <c r="FQ6" s="272">
        <v>10.304007535293801</v>
      </c>
      <c r="FR6" s="272">
        <v>10.336300139615339</v>
      </c>
      <c r="FS6" s="272">
        <v>10.36837646041497</v>
      </c>
      <c r="FT6" s="272">
        <v>10.40025769515352</v>
      </c>
      <c r="FU6" s="272">
        <v>10.431965790531409</v>
      </c>
      <c r="FV6" s="272">
        <v>10.46352333442189</v>
      </c>
      <c r="FW6" s="272">
        <v>10.494953396644171</v>
      </c>
      <c r="FX6" s="272">
        <v>10.52627933118166</v>
      </c>
      <c r="FY6" s="272">
        <v>10.557524552609101</v>
      </c>
      <c r="FZ6" s="272">
        <v>10.58871229927723</v>
      </c>
      <c r="GA6" s="272">
        <v>10.619865395344441</v>
      </c>
      <c r="GB6" s="272">
        <v>10.65100602297739</v>
      </c>
      <c r="GC6" s="272">
        <v>10.68215551481175</v>
      </c>
    </row>
    <row r="7" spans="2:185" ht="15" thickBot="1" x14ac:dyDescent="0.4">
      <c r="B7" s="298">
        <v>1</v>
      </c>
      <c r="C7" s="275">
        <v>6.2805053814242546</v>
      </c>
      <c r="D7" s="275">
        <v>6.3256426528157066</v>
      </c>
      <c r="E7" s="275">
        <v>6.3709696418553303</v>
      </c>
      <c r="F7" s="275">
        <v>6.4164873921882863</v>
      </c>
      <c r="G7" s="275">
        <v>6.4621961404436066</v>
      </c>
      <c r="H7" s="275">
        <v>6.5080951679139538</v>
      </c>
      <c r="I7" s="275">
        <v>6.5541826331451842</v>
      </c>
      <c r="J7" s="275">
        <v>6.6004553833274882</v>
      </c>
      <c r="K7" s="275">
        <v>6.6469087418820214</v>
      </c>
      <c r="L7" s="275">
        <v>6.6935362688567652</v>
      </c>
      <c r="M7" s="275">
        <v>6.7403294895686052</v>
      </c>
      <c r="N7" s="275">
        <v>6.7872775852557474</v>
      </c>
      <c r="O7" s="275">
        <v>6.8343670373262801</v>
      </c>
      <c r="P7" s="275">
        <v>6.8815812143440773</v>
      </c>
      <c r="Q7" s="275">
        <v>6.928899888941439</v>
      </c>
      <c r="R7" s="275">
        <v>6.9762986720349884</v>
      </c>
      <c r="S7" s="275">
        <v>7.0237483568795742</v>
      </c>
      <c r="T7" s="275">
        <v>7.0712141794172592</v>
      </c>
      <c r="U7" s="275">
        <v>7.1186550273508562</v>
      </c>
      <c r="V7" s="275">
        <v>7.1660226680714096</v>
      </c>
      <c r="W7" s="275">
        <v>7.2132611076211024</v>
      </c>
      <c r="X7" s="275">
        <v>7.2603062248840882</v>
      </c>
      <c r="Y7" s="275">
        <v>7.307085832935603</v>
      </c>
      <c r="Z7" s="275">
        <v>7.3535203001758251</v>
      </c>
      <c r="AA7" s="275">
        <v>7.3995238300091577</v>
      </c>
      <c r="AB7" s="275">
        <v>7.4450064646228187</v>
      </c>
      <c r="AC7" s="275">
        <v>7.4898768433988341</v>
      </c>
      <c r="AD7" s="275">
        <v>7.5340456818057504</v>
      </c>
      <c r="AE7" s="275">
        <v>7.5774298067112698</v>
      </c>
      <c r="AF7" s="275">
        <v>7.6199563827814938</v>
      </c>
      <c r="AG7" s="275">
        <v>7.6615667497552424</v>
      </c>
      <c r="AH7" s="275">
        <v>7.7022191819213166</v>
      </c>
      <c r="AI7" s="275">
        <v>7.7418899970840824</v>
      </c>
      <c r="AJ7" s="275">
        <v>7.780572797453801</v>
      </c>
      <c r="AK7" s="275">
        <v>7.8182760837508676</v>
      </c>
      <c r="AL7" s="275">
        <v>7.8550198375579221</v>
      </c>
      <c r="AM7" s="275">
        <v>7.8908317782472057</v>
      </c>
      <c r="AN7" s="275">
        <v>7.9257438813380503</v>
      </c>
      <c r="AO7" s="275">
        <v>7.9597895103409133</v>
      </c>
      <c r="AP7" s="275">
        <v>7.9930012852774386</v>
      </c>
      <c r="AQ7" s="275">
        <v>8.0254096543957392</v>
      </c>
      <c r="AR7" s="275">
        <v>8.0570420604557516</v>
      </c>
      <c r="AS7" s="275">
        <v>8.0879225784085396</v>
      </c>
      <c r="AT7" s="275">
        <v>8.1180719205052938</v>
      </c>
      <c r="AU7" s="275">
        <v>8.1475077365694428</v>
      </c>
      <c r="AV7" s="275">
        <v>8.17624516712314</v>
      </c>
      <c r="AW7" s="275">
        <v>8.2042976255555331</v>
      </c>
      <c r="AX7" s="275">
        <v>8.2316777851224625</v>
      </c>
      <c r="AY7" s="275">
        <v>8.2583987228601998</v>
      </c>
      <c r="AZ7" s="275">
        <v>8.2844751285568226</v>
      </c>
      <c r="BA7" s="275">
        <v>8.3099244388948872</v>
      </c>
      <c r="BB7" s="275">
        <v>8.33476773330956</v>
      </c>
      <c r="BC7" s="275">
        <v>8.3590302559949556</v>
      </c>
      <c r="BD7" s="275">
        <v>8.3827415108734247</v>
      </c>
      <c r="BE7" s="275">
        <v>8.4059349819156122</v>
      </c>
      <c r="BF7" s="275">
        <v>8.4286476120075022</v>
      </c>
      <c r="BG7" s="275">
        <v>8.450919198057921</v>
      </c>
      <c r="BH7" s="275">
        <v>8.4727918307614427</v>
      </c>
      <c r="BI7" s="275">
        <v>8.4943094506037955</v>
      </c>
      <c r="BJ7" s="275">
        <v>8.5155175348510479</v>
      </c>
      <c r="BK7" s="275">
        <v>8.5364628883931601</v>
      </c>
      <c r="BL7" s="275">
        <v>8.5571934865781518</v>
      </c>
      <c r="BM7" s="275">
        <v>8.577758306283684</v>
      </c>
      <c r="BN7" s="275">
        <v>8.5982070777033979</v>
      </c>
      <c r="BO7" s="275">
        <v>8.6185898917168391</v>
      </c>
      <c r="BP7" s="275">
        <v>8.638956607893304</v>
      </c>
      <c r="BQ7" s="275">
        <v>8.6593560305731412</v>
      </c>
      <c r="BR7" s="275">
        <v>8.6798348598770918</v>
      </c>
      <c r="BS7" s="275">
        <v>8.7004364817858644</v>
      </c>
      <c r="BT7" s="275">
        <v>8.7211997281833096</v>
      </c>
      <c r="BU7" s="275">
        <v>8.7421577933275092</v>
      </c>
      <c r="BV7" s="275">
        <v>8.7633375095859183</v>
      </c>
      <c r="BW7" s="275">
        <v>8.7847591417335327</v>
      </c>
      <c r="BX7" s="275">
        <v>8.8064367594035566</v>
      </c>
      <c r="BY7" s="275">
        <v>8.8283791242935319</v>
      </c>
      <c r="BZ7" s="275">
        <v>8.8505909285347784</v>
      </c>
      <c r="CA7" s="275">
        <v>8.8730741760977399</v>
      </c>
      <c r="CB7" s="275">
        <v>8.8958295139157997</v>
      </c>
      <c r="CC7" s="275">
        <v>8.9188573727873717</v>
      </c>
      <c r="CD7" s="275">
        <v>8.9421588419754965</v>
      </c>
      <c r="CE7" s="275">
        <v>8.9657362550950435</v>
      </c>
      <c r="CF7" s="275">
        <v>8.9895935000147986</v>
      </c>
      <c r="CG7" s="275">
        <v>9.0137360833012181</v>
      </c>
      <c r="CH7" s="275">
        <v>9.0381709858110817</v>
      </c>
      <c r="CI7" s="275">
        <v>9.0629063465071216</v>
      </c>
      <c r="CJ7" s="275">
        <v>9.0879510110626622</v>
      </c>
      <c r="CK7" s="275">
        <v>9.1133139829455576</v>
      </c>
      <c r="CL7" s="275">
        <v>9.1390038180654027</v>
      </c>
      <c r="CM7" s="275">
        <v>9.165028008680757</v>
      </c>
      <c r="CN7" s="275">
        <v>9.1913924058157672</v>
      </c>
      <c r="CO7" s="275">
        <v>9.2181007291550152</v>
      </c>
      <c r="CP7" s="275"/>
      <c r="CQ7" s="276">
        <v>5.8550025499245324</v>
      </c>
      <c r="CR7" s="276">
        <v>5.9124322327128214</v>
      </c>
      <c r="CS7" s="276">
        <v>5.9701969187042554</v>
      </c>
      <c r="CT7" s="276">
        <v>6.0283226705422024</v>
      </c>
      <c r="CU7" s="276">
        <v>6.0868384899264782</v>
      </c>
      <c r="CV7" s="276">
        <v>6.1457766505883891</v>
      </c>
      <c r="CW7" s="276">
        <v>6.2051730417632793</v>
      </c>
      <c r="CX7" s="276">
        <v>6.2650675041970798</v>
      </c>
      <c r="CY7" s="276">
        <v>6.3255041285360827</v>
      </c>
      <c r="CZ7" s="276">
        <v>6.3865314678393936</v>
      </c>
      <c r="DA7" s="276">
        <v>6.4482025898874964</v>
      </c>
      <c r="DB7" s="276">
        <v>6.510574859032138</v>
      </c>
      <c r="DC7" s="276">
        <v>6.5737092908964652</v>
      </c>
      <c r="DD7" s="276">
        <v>6.6376692692541326</v>
      </c>
      <c r="DE7" s="276">
        <v>6.702518363526841</v>
      </c>
      <c r="DF7" s="276">
        <v>6.7683169613328573</v>
      </c>
      <c r="DG7" s="276">
        <v>6.8351174745844236</v>
      </c>
      <c r="DH7" s="276">
        <v>6.902958044140818</v>
      </c>
      <c r="DI7" s="276">
        <v>6.9718550005239441</v>
      </c>
      <c r="DJ7" s="276">
        <v>7.0417948196742044</v>
      </c>
      <c r="DK7" s="276">
        <v>7.1127268113407238</v>
      </c>
      <c r="DL7" s="276">
        <v>7.1845580503182456</v>
      </c>
      <c r="DM7" s="276">
        <v>7.2571518749057438</v>
      </c>
      <c r="DN7" s="276">
        <v>7.3303306070065641</v>
      </c>
      <c r="DO7" s="276">
        <v>7.4038822637223154</v>
      </c>
      <c r="DP7" s="276">
        <v>7.4775703347997169</v>
      </c>
      <c r="DQ7" s="276">
        <v>7.5511454358915264</v>
      </c>
      <c r="DR7" s="276">
        <v>7.6243577425112523</v>
      </c>
      <c r="DS7" s="276">
        <v>7.696969292152084</v>
      </c>
      <c r="DT7" s="276">
        <v>7.7687652843086576</v>
      </c>
      <c r="DU7" s="276">
        <v>7.8395633980139383</v>
      </c>
      <c r="DV7" s="276">
        <v>7.9092200881831234</v>
      </c>
      <c r="DW7" s="276">
        <v>7.9776330699669602</v>
      </c>
      <c r="DX7" s="276">
        <v>8.0447398290131975</v>
      </c>
      <c r="DY7" s="276">
        <v>8.110512791913731</v>
      </c>
      <c r="DZ7" s="276">
        <v>8.1749523920718659</v>
      </c>
      <c r="EA7" s="276">
        <v>8.2380794284921457</v>
      </c>
      <c r="EB7" s="276">
        <v>8.299927862539743</v>
      </c>
      <c r="EC7" s="276">
        <v>8.3605387420591288</v>
      </c>
      <c r="ED7" s="276">
        <v>8.419955504479308</v>
      </c>
      <c r="EE7" s="276">
        <v>8.4782206105340059</v>
      </c>
      <c r="EF7" s="276">
        <v>8.535373313445568</v>
      </c>
      <c r="EG7" s="276">
        <v>8.5914483350530748</v>
      </c>
      <c r="EH7" s="276">
        <v>8.6464752501846203</v>
      </c>
      <c r="EI7" s="276">
        <v>8.7004784341160111</v>
      </c>
      <c r="EJ7" s="276">
        <v>8.7534774795294918</v>
      </c>
      <c r="EK7" s="276">
        <v>8.8054880227025123</v>
      </c>
      <c r="EL7" s="276">
        <v>8.8565229228041957</v>
      </c>
      <c r="EM7" s="276">
        <v>8.9065937079617878</v>
      </c>
      <c r="EN7" s="276">
        <v>8.9557121432284621</v>
      </c>
      <c r="EO7" s="276">
        <v>9.0038917126009785</v>
      </c>
      <c r="EP7" s="276">
        <v>9.0511487793013465</v>
      </c>
      <c r="EQ7" s="276">
        <v>9.0975032314001893</v>
      </c>
      <c r="ER7" s="276">
        <v>9.1429785363655078</v>
      </c>
      <c r="ES7" s="276">
        <v>9.1876012757046812</v>
      </c>
      <c r="ET7" s="276">
        <v>9.2314003452190807</v>
      </c>
      <c r="EU7" s="276">
        <v>9.2744060446068044</v>
      </c>
      <c r="EV7" s="276">
        <v>9.3166492443746094</v>
      </c>
      <c r="EW7" s="276">
        <v>9.3581607429092113</v>
      </c>
      <c r="EX7" s="276">
        <v>9.3989708501270997</v>
      </c>
      <c r="EY7" s="276">
        <v>9.4391091784946823</v>
      </c>
      <c r="EZ7" s="276">
        <v>9.4786045918995434</v>
      </c>
      <c r="FA7" s="276">
        <v>9.5174852524403395</v>
      </c>
      <c r="FB7" s="276">
        <v>9.5557787070887166</v>
      </c>
      <c r="FC7" s="276">
        <v>9.5935119646830671</v>
      </c>
      <c r="FD7" s="276">
        <v>9.6307115259970288</v>
      </c>
      <c r="FE7" s="276">
        <v>9.6674033449135361</v>
      </c>
      <c r="FF7" s="276">
        <v>9.7036127169360267</v>
      </c>
      <c r="FG7" s="276">
        <v>9.739364111468845</v>
      </c>
      <c r="FH7" s="276">
        <v>9.7746809836277659</v>
      </c>
      <c r="FI7" s="276">
        <v>9.8095856148529279</v>
      </c>
      <c r="FJ7" s="272">
        <v>9.8440990338055254</v>
      </c>
      <c r="FK7" s="272">
        <v>9.8782410568389416</v>
      </c>
      <c r="FL7" s="272">
        <v>9.9120304627529325</v>
      </c>
      <c r="FM7" s="272">
        <v>9.9454852869255372</v>
      </c>
      <c r="FN7" s="272">
        <v>9.9786231949204147</v>
      </c>
      <c r="FO7" s="272">
        <v>10.011461882588589</v>
      </c>
      <c r="FP7" s="272">
        <v>10.04401945040963</v>
      </c>
      <c r="FQ7" s="272">
        <v>10.076314711065731</v>
      </c>
      <c r="FR7" s="272">
        <v>10.108367405280379</v>
      </c>
      <c r="FS7" s="272">
        <v>10.14019831656103</v>
      </c>
      <c r="FT7" s="272">
        <v>10.17182928757093</v>
      </c>
      <c r="FU7" s="272">
        <v>10.203283148552799</v>
      </c>
      <c r="FV7" s="272">
        <v>10.23458357213684</v>
      </c>
      <c r="FW7" s="272">
        <v>10.26575487019783</v>
      </c>
      <c r="FX7" s="272">
        <v>10.296821748378029</v>
      </c>
      <c r="FY7" s="272">
        <v>10.327809033350571</v>
      </c>
      <c r="FZ7" s="272">
        <v>10.35874138733285</v>
      </c>
      <c r="GA7" s="272">
        <v>10.389643023853891</v>
      </c>
      <c r="GB7" s="272">
        <v>10.420537438113289</v>
      </c>
      <c r="GC7" s="272">
        <v>10.451447164066209</v>
      </c>
    </row>
    <row r="8" spans="2:185" ht="15" thickBot="1" x14ac:dyDescent="0.4">
      <c r="B8" s="298">
        <v>2</v>
      </c>
      <c r="C8" s="275">
        <v>6.059142536537764</v>
      </c>
      <c r="D8" s="275">
        <v>6.1042780620249184</v>
      </c>
      <c r="E8" s="275">
        <v>6.149613168499223</v>
      </c>
      <c r="F8" s="275">
        <v>6.1951499830619632</v>
      </c>
      <c r="G8" s="275">
        <v>6.2408899068548216</v>
      </c>
      <c r="H8" s="275">
        <v>6.2868334683817162</v>
      </c>
      <c r="I8" s="275">
        <v>6.3329801572527131</v>
      </c>
      <c r="J8" s="275">
        <v>6.3793282363257244</v>
      </c>
      <c r="K8" s="275">
        <v>6.4258745297703346</v>
      </c>
      <c r="L8" s="275">
        <v>6.472614183785752</v>
      </c>
      <c r="M8" s="275">
        <v>6.5195403953644684</v>
      </c>
      <c r="N8" s="275">
        <v>6.5666441023385094</v>
      </c>
      <c r="O8" s="275">
        <v>6.6139136246968437</v>
      </c>
      <c r="P8" s="275">
        <v>6.661334242687543</v>
      </c>
      <c r="Q8" s="275">
        <v>6.7088876918940867</v>
      </c>
      <c r="R8" s="275">
        <v>6.7565515508797311</v>
      </c>
      <c r="S8" s="275">
        <v>6.8042984968707136</v>
      </c>
      <c r="T8" s="275">
        <v>6.8520954158853282</v>
      </c>
      <c r="U8" s="275">
        <v>6.8999023839248732</v>
      </c>
      <c r="V8" s="275">
        <v>6.9476715898419776</v>
      </c>
      <c r="W8" s="275">
        <v>6.995346339926968</v>
      </c>
      <c r="X8" s="275">
        <v>7.0428603426195906</v>
      </c>
      <c r="Y8" s="275">
        <v>7.0901374865797928</v>
      </c>
      <c r="Z8" s="275">
        <v>7.1370922877464009</v>
      </c>
      <c r="AA8" s="275">
        <v>7.1836311230735026</v>
      </c>
      <c r="AB8" s="275">
        <v>7.2296543368465001</v>
      </c>
      <c r="AC8" s="275">
        <v>7.2750593069383767</v>
      </c>
      <c r="AD8" s="275">
        <v>7.3197445345970316</v>
      </c>
      <c r="AE8" s="275">
        <v>7.3636146787855372</v>
      </c>
      <c r="AF8" s="275">
        <v>7.406586139657275</v>
      </c>
      <c r="AG8" s="275">
        <v>7.4485923745179656</v>
      </c>
      <c r="AH8" s="275">
        <v>7.489587832852866</v>
      </c>
      <c r="AI8" s="275">
        <v>7.5295495067119091</v>
      </c>
      <c r="AJ8" s="275">
        <v>7.5684756963209079</v>
      </c>
      <c r="AK8" s="275">
        <v>7.6063824210622757</v>
      </c>
      <c r="AL8" s="275">
        <v>7.6432985105859057</v>
      </c>
      <c r="AM8" s="275">
        <v>7.6792605194919723</v>
      </c>
      <c r="AN8" s="275">
        <v>7.7143083029686004</v>
      </c>
      <c r="AO8" s="275">
        <v>7.7484816444359641</v>
      </c>
      <c r="AP8" s="275">
        <v>7.7818179655418467</v>
      </c>
      <c r="AQ8" s="275">
        <v>7.8143509530726041</v>
      </c>
      <c r="AR8" s="275">
        <v>7.8461098804367504</v>
      </c>
      <c r="AS8" s="275">
        <v>7.8771194250438494</v>
      </c>
      <c r="AT8" s="275">
        <v>7.9073998391683959</v>
      </c>
      <c r="AU8" s="275">
        <v>7.9369673928200291</v>
      </c>
      <c r="AV8" s="275">
        <v>7.9658350589053226</v>
      </c>
      <c r="AW8" s="275">
        <v>7.994013444935792</v>
      </c>
      <c r="AX8" s="275">
        <v>8.0215119820423642</v>
      </c>
      <c r="AY8" s="275">
        <v>8.0483403500122215</v>
      </c>
      <c r="AZ8" s="275">
        <v>8.0745100426160938</v>
      </c>
      <c r="BA8" s="275">
        <v>8.1000358804156924</v>
      </c>
      <c r="BB8" s="275">
        <v>8.1249372113558351</v>
      </c>
      <c r="BC8" s="275">
        <v>8.1492385663029889</v>
      </c>
      <c r="BD8" s="275">
        <v>8.1729696763436621</v>
      </c>
      <c r="BE8" s="275">
        <v>8.1961649494892477</v>
      </c>
      <c r="BF8" s="275">
        <v>8.2188626427987295</v>
      </c>
      <c r="BG8" s="275">
        <v>8.2411039899230047</v>
      </c>
      <c r="BH8" s="275">
        <v>8.262932472123353</v>
      </c>
      <c r="BI8" s="275">
        <v>8.2843933154325295</v>
      </c>
      <c r="BJ8" s="275">
        <v>8.3055332090843503</v>
      </c>
      <c r="BK8" s="275">
        <v>8.3264001882888063</v>
      </c>
      <c r="BL8" s="275">
        <v>8.3470436014586813</v>
      </c>
      <c r="BM8" s="275">
        <v>8.367514074636901</v>
      </c>
      <c r="BN8" s="275">
        <v>8.3878633839793544</v>
      </c>
      <c r="BO8" s="275">
        <v>8.4081441471595024</v>
      </c>
      <c r="BP8" s="275">
        <v>8.4284092495833498</v>
      </c>
      <c r="BQ8" s="275">
        <v>8.4487109401536475</v>
      </c>
      <c r="BR8" s="275">
        <v>8.46909957597539</v>
      </c>
      <c r="BS8" s="275">
        <v>8.489622074589505</v>
      </c>
      <c r="BT8" s="275">
        <v>8.510320240366319</v>
      </c>
      <c r="BU8" s="275">
        <v>8.5312292375400283</v>
      </c>
      <c r="BV8" s="275">
        <v>8.5523765321583429</v>
      </c>
      <c r="BW8" s="275">
        <v>8.5737815698225095</v>
      </c>
      <c r="BX8" s="275">
        <v>8.5954562927401597</v>
      </c>
      <c r="BY8" s="275">
        <v>8.6174063898720661</v>
      </c>
      <c r="BZ8" s="275">
        <v>8.6396330100889944</v>
      </c>
      <c r="CA8" s="275">
        <v>8.6621346117887015</v>
      </c>
      <c r="CB8" s="275">
        <v>8.6849086705072871</v>
      </c>
      <c r="CC8" s="275">
        <v>8.7079530694284308</v>
      </c>
      <c r="CD8" s="275">
        <v>8.7312671023201425</v>
      </c>
      <c r="CE8" s="275">
        <v>8.754852093077357</v>
      </c>
      <c r="CF8" s="275">
        <v>8.7787116748694682</v>
      </c>
      <c r="CG8" s="275">
        <v>8.802851783614134</v>
      </c>
      <c r="CH8" s="275">
        <v>8.8272804175179207</v>
      </c>
      <c r="CI8" s="275">
        <v>8.8520072069733153</v>
      </c>
      <c r="CJ8" s="275">
        <v>8.877042833687506</v>
      </c>
      <c r="CK8" s="275">
        <v>8.9023983376603173</v>
      </c>
      <c r="CL8" s="275">
        <v>8.9280843558973615</v>
      </c>
      <c r="CM8" s="275">
        <v>8.9541103455837376</v>
      </c>
      <c r="CN8" s="275">
        <v>8.9804838529943645</v>
      </c>
      <c r="CO8" s="275">
        <v>9.0072098928058253</v>
      </c>
      <c r="CP8" s="275"/>
      <c r="CQ8" s="276">
        <v>5.6248627961437334</v>
      </c>
      <c r="CR8" s="276">
        <v>5.682178708115492</v>
      </c>
      <c r="CS8" s="276">
        <v>5.7398201177476107</v>
      </c>
      <c r="CT8" s="276">
        <v>5.7978127532684196</v>
      </c>
      <c r="CU8" s="276">
        <v>5.8561854414188934</v>
      </c>
      <c r="CV8" s="276">
        <v>5.9149705191038056</v>
      </c>
      <c r="CW8" s="276">
        <v>5.9742042833634059</v>
      </c>
      <c r="CX8" s="276">
        <v>6.033927470024917</v>
      </c>
      <c r="CY8" s="276">
        <v>6.0941857406470668</v>
      </c>
      <c r="CZ8" s="276">
        <v>6.155030139863694</v>
      </c>
      <c r="DA8" s="276">
        <v>6.2165174575699149</v>
      </c>
      <c r="DB8" s="276">
        <v>6.2787103882049511</v>
      </c>
      <c r="DC8" s="276">
        <v>6.3416773180176467</v>
      </c>
      <c r="DD8" s="276">
        <v>6.4054914880620863</v>
      </c>
      <c r="DE8" s="276">
        <v>6.4702291807896843</v>
      </c>
      <c r="DF8" s="276">
        <v>6.5359664846131338</v>
      </c>
      <c r="DG8" s="276">
        <v>6.6027741596559526</v>
      </c>
      <c r="DH8" s="276">
        <v>6.6707102575170234</v>
      </c>
      <c r="DI8" s="276">
        <v>6.7398105584894124</v>
      </c>
      <c r="DJ8" s="276">
        <v>6.8100776368506164</v>
      </c>
      <c r="DK8" s="276">
        <v>6.8814702917771999</v>
      </c>
      <c r="DL8" s="276">
        <v>6.953895735576678</v>
      </c>
      <c r="DM8" s="276">
        <v>7.027206761591156</v>
      </c>
      <c r="DN8" s="276">
        <v>7.1012049594898654</v>
      </c>
      <c r="DO8" s="276">
        <v>7.1756494482197004</v>
      </c>
      <c r="DP8" s="276">
        <v>7.250269452959996</v>
      </c>
      <c r="DQ8" s="276">
        <v>7.3247788585580373</v>
      </c>
      <c r="DR8" s="276">
        <v>7.3988913751361691</v>
      </c>
      <c r="DS8" s="276">
        <v>7.4723354888796569</v>
      </c>
      <c r="DT8" s="276">
        <v>7.5448684373307788</v>
      </c>
      <c r="DU8" s="276">
        <v>7.6162880293901152</v>
      </c>
      <c r="DV8" s="276">
        <v>7.6864406943508117</v>
      </c>
      <c r="DW8" s="276">
        <v>7.7552243152421854</v>
      </c>
      <c r="DX8" s="276">
        <v>7.8225854264869561</v>
      </c>
      <c r="DY8" s="276">
        <v>7.8885117923104513</v>
      </c>
      <c r="DZ8" s="276">
        <v>7.9530224191290806</v>
      </c>
      <c r="EA8" s="276">
        <v>8.0161571997493635</v>
      </c>
      <c r="EB8" s="276">
        <v>8.0779677865032991</v>
      </c>
      <c r="EC8" s="276">
        <v>8.1385104447802199</v>
      </c>
      <c r="ED8" s="276">
        <v>8.1978409590702164</v>
      </c>
      <c r="EE8" s="276">
        <v>8.2560112932094221</v>
      </c>
      <c r="EF8" s="276">
        <v>8.3130675947409944</v>
      </c>
      <c r="EG8" s="276">
        <v>8.3690491712310262</v>
      </c>
      <c r="EH8" s="276">
        <v>8.4239881645261327</v>
      </c>
      <c r="EI8" s="276">
        <v>8.4779097551827522</v>
      </c>
      <c r="EJ8" s="276">
        <v>8.53083281836299</v>
      </c>
      <c r="EK8" s="276">
        <v>8.5827710104373605</v>
      </c>
      <c r="EL8" s="276">
        <v>8.6337342792462479</v>
      </c>
      <c r="EM8" s="276">
        <v>8.6837307472078233</v>
      </c>
      <c r="EN8" s="276">
        <v>8.73276881364961</v>
      </c>
      <c r="EO8" s="276">
        <v>8.7808591919897605</v>
      </c>
      <c r="EP8" s="276">
        <v>8.8280165121588077</v>
      </c>
      <c r="EQ8" s="276">
        <v>8.8742601625409225</v>
      </c>
      <c r="ER8" s="276">
        <v>8.9196142407925194</v>
      </c>
      <c r="ES8" s="276">
        <v>8.9641067457989845</v>
      </c>
      <c r="ET8" s="276">
        <v>9.0077683363487893</v>
      </c>
      <c r="EU8" s="276">
        <v>9.0506310220785604</v>
      </c>
      <c r="EV8" s="276">
        <v>9.0927270600869701</v>
      </c>
      <c r="EW8" s="276">
        <v>9.1340881885006695</v>
      </c>
      <c r="EX8" s="276">
        <v>9.1747452074680638</v>
      </c>
      <c r="EY8" s="276">
        <v>9.2147278465829014</v>
      </c>
      <c r="EZ8" s="276">
        <v>9.2540648301402566</v>
      </c>
      <c r="FA8" s="276">
        <v>9.2927840507139301</v>
      </c>
      <c r="FB8" s="276">
        <v>9.3309127724828222</v>
      </c>
      <c r="FC8" s="276">
        <v>9.3684778003422959</v>
      </c>
      <c r="FD8" s="276">
        <v>9.4055055667225069</v>
      </c>
      <c r="FE8" s="276">
        <v>9.4420221062825576</v>
      </c>
      <c r="FF8" s="276">
        <v>9.4780529113794127</v>
      </c>
      <c r="FG8" s="276">
        <v>9.5136226890838778</v>
      </c>
      <c r="FH8" s="276">
        <v>9.5487550703799666</v>
      </c>
      <c r="FI8" s="276">
        <v>9.5834723460457116</v>
      </c>
      <c r="FJ8" s="272">
        <v>9.6177953108696101</v>
      </c>
      <c r="FK8" s="272">
        <v>9.6517432806949852</v>
      </c>
      <c r="FL8" s="272">
        <v>9.6853343072613765</v>
      </c>
      <c r="FM8" s="272">
        <v>9.7185855670555057</v>
      </c>
      <c r="FN8" s="272">
        <v>9.7515138605102933</v>
      </c>
      <c r="FO8" s="272">
        <v>9.7841361399566367</v>
      </c>
      <c r="FP8" s="272">
        <v>9.8164699905441193</v>
      </c>
      <c r="FQ8" s="272">
        <v>9.8485340100392289</v>
      </c>
      <c r="FR8" s="272">
        <v>9.8803480599035094</v>
      </c>
      <c r="FS8" s="272">
        <v>9.91193338283861</v>
      </c>
      <c r="FT8" s="272">
        <v>9.9433125972805971</v>
      </c>
      <c r="FU8" s="272">
        <v>9.9745095872077787</v>
      </c>
      <c r="FV8" s="272">
        <v>10.005549308102101</v>
      </c>
      <c r="FW8" s="272">
        <v>10.036457529345229</v>
      </c>
      <c r="FX8" s="272">
        <v>10.067260531656849</v>
      </c>
      <c r="FY8" s="272">
        <v>10.09798477661678</v>
      </c>
      <c r="FZ8" s="272">
        <v>10.12865656439674</v>
      </c>
      <c r="GA8" s="272">
        <v>10.159301695520231</v>
      </c>
      <c r="GB8" s="272">
        <v>10.189945152274269</v>
      </c>
      <c r="GC8" s="272">
        <v>10.22061081456507</v>
      </c>
    </row>
    <row r="9" spans="2:185" ht="15" thickBot="1" x14ac:dyDescent="0.4">
      <c r="B9" s="298">
        <v>3</v>
      </c>
      <c r="C9" s="275">
        <v>5.8374741589298376</v>
      </c>
      <c r="D9" s="275">
        <v>5.882591705022012</v>
      </c>
      <c r="E9" s="275">
        <v>5.9279180233499096</v>
      </c>
      <c r="F9" s="275">
        <v>5.973456337405354</v>
      </c>
      <c r="G9" s="275">
        <v>6.0192092337603667</v>
      </c>
      <c r="H9" s="275">
        <v>6.0651785179861637</v>
      </c>
      <c r="I9" s="275">
        <v>6.1113650505912087</v>
      </c>
      <c r="J9" s="275">
        <v>6.1577685611573001</v>
      </c>
      <c r="K9" s="275">
        <v>6.2043874385681042</v>
      </c>
      <c r="L9" s="275">
        <v>6.2512184946134672</v>
      </c>
      <c r="M9" s="275">
        <v>6.2982566970360851</v>
      </c>
      <c r="N9" s="275">
        <v>6.3454948658300916</v>
      </c>
      <c r="O9" s="275">
        <v>6.3929233226844646</v>
      </c>
      <c r="P9" s="275">
        <v>6.4405294771470967</v>
      </c>
      <c r="Q9" s="275">
        <v>6.4882973238301931</v>
      </c>
      <c r="R9" s="275">
        <v>6.536206813369521</v>
      </c>
      <c r="S9" s="275">
        <v>6.5842330495231201</v>
      </c>
      <c r="T9" s="275">
        <v>6.6323452652525701</v>
      </c>
      <c r="U9" s="275">
        <v>6.6805055586512099</v>
      </c>
      <c r="V9" s="275">
        <v>6.7286674428954862</v>
      </c>
      <c r="W9" s="275">
        <v>6.7767743810470664</v>
      </c>
      <c r="X9" s="275">
        <v>6.8247585902516557</v>
      </c>
      <c r="Y9" s="275">
        <v>6.8725404320080354</v>
      </c>
      <c r="Z9" s="275">
        <v>6.9200286198041443</v>
      </c>
      <c r="AA9" s="275">
        <v>6.967121346876251</v>
      </c>
      <c r="AB9" s="275">
        <v>7.0137083951517987</v>
      </c>
      <c r="AC9" s="275">
        <v>7.0596743743916184</v>
      </c>
      <c r="AD9" s="275">
        <v>7.1049033446772958</v>
      </c>
      <c r="AE9" s="275">
        <v>7.1492849859235186</v>
      </c>
      <c r="AF9" s="275">
        <v>7.1927220160846783</v>
      </c>
      <c r="AG9" s="275">
        <v>7.2351377535300267</v>
      </c>
      <c r="AH9" s="275">
        <v>7.276481976243006</v>
      </c>
      <c r="AI9" s="275">
        <v>7.3167332248233148</v>
      </c>
      <c r="AJ9" s="275">
        <v>7.3558967662748183</v>
      </c>
      <c r="AK9" s="275">
        <v>7.3939990351454323</v>
      </c>
      <c r="AL9" s="275">
        <v>7.4310804443431326</v>
      </c>
      <c r="AM9" s="275">
        <v>7.4671884598407807</v>
      </c>
      <c r="AN9" s="275">
        <v>7.5023720903246387</v>
      </c>
      <c r="AO9" s="275">
        <v>7.5366781119709962</v>
      </c>
      <c r="AP9" s="275">
        <v>7.5701488210022667</v>
      </c>
      <c r="AQ9" s="275">
        <v>7.6028209152018498</v>
      </c>
      <c r="AR9" s="275">
        <v>7.6347251214784464</v>
      </c>
      <c r="AS9" s="275">
        <v>7.6658862845905036</v>
      </c>
      <c r="AT9" s="275">
        <v>7.696323741837034</v>
      </c>
      <c r="AU9" s="275">
        <v>7.7260519037784432</v>
      </c>
      <c r="AV9" s="275">
        <v>7.7550810369838388</v>
      </c>
      <c r="AW9" s="275">
        <v>7.7834182996421397</v>
      </c>
      <c r="AX9" s="275">
        <v>7.8110691040700244</v>
      </c>
      <c r="AY9" s="275">
        <v>7.8380388476581899</v>
      </c>
      <c r="AZ9" s="275">
        <v>7.8643349394504964</v>
      </c>
      <c r="BA9" s="275">
        <v>7.8899688629672076</v>
      </c>
      <c r="BB9" s="275">
        <v>7.9149578478357903</v>
      </c>
      <c r="BC9" s="275">
        <v>7.9393257244482269</v>
      </c>
      <c r="BD9" s="275">
        <v>7.9631027829836114</v>
      </c>
      <c r="BE9" s="275">
        <v>7.9863248252987802</v>
      </c>
      <c r="BF9" s="275">
        <v>8.0090318445066231</v>
      </c>
      <c r="BG9" s="275">
        <v>8.0312667668215578</v>
      </c>
      <c r="BH9" s="275">
        <v>8.0530745185660582</v>
      </c>
      <c r="BI9" s="275">
        <v>8.074501488109977</v>
      </c>
      <c r="BJ9" s="275">
        <v>8.0955953268209253</v>
      </c>
      <c r="BK9" s="275">
        <v>8.1164049814813009</v>
      </c>
      <c r="BL9" s="275">
        <v>8.1369808425389429</v>
      </c>
      <c r="BM9" s="275">
        <v>8.1573748981718577</v>
      </c>
      <c r="BN9" s="275">
        <v>8.1776407867288068</v>
      </c>
      <c r="BO9" s="275">
        <v>8.1978336350845495</v>
      </c>
      <c r="BP9" s="275">
        <v>8.2180095628599368</v>
      </c>
      <c r="BQ9" s="275">
        <v>8.2382247366118957</v>
      </c>
      <c r="BR9" s="275">
        <v>8.2585338973537432</v>
      </c>
      <c r="BS9" s="275">
        <v>8.2789883851040358</v>
      </c>
      <c r="BT9" s="275">
        <v>8.2996338542315886</v>
      </c>
      <c r="BU9" s="275">
        <v>8.3205080736720465</v>
      </c>
      <c r="BV9" s="275">
        <v>8.3416393352679243</v>
      </c>
      <c r="BW9" s="275">
        <v>8.3630459345282926</v>
      </c>
      <c r="BX9" s="275">
        <v>8.384736910954091</v>
      </c>
      <c r="BY9" s="275">
        <v>8.4067138594608561</v>
      </c>
      <c r="BZ9" s="275">
        <v>8.4289733467798396</v>
      </c>
      <c r="CA9" s="275">
        <v>8.4515094067050125</v>
      </c>
      <c r="CB9" s="275">
        <v>8.4743157154984399</v>
      </c>
      <c r="CC9" s="275">
        <v>8.4973872464839779</v>
      </c>
      <c r="CD9" s="275">
        <v>8.520721369215158</v>
      </c>
      <c r="CE9" s="275">
        <v>8.5443184537490993</v>
      </c>
      <c r="CF9" s="275">
        <v>8.5681820726960574</v>
      </c>
      <c r="CG9" s="275">
        <v>8.5923188883277053</v>
      </c>
      <c r="CH9" s="275">
        <v>8.6167382921133289</v>
      </c>
      <c r="CI9" s="275">
        <v>8.6414518442655019</v>
      </c>
      <c r="CJ9" s="275">
        <v>8.6664725487384118</v>
      </c>
      <c r="CK9" s="275">
        <v>8.6918139975637878</v>
      </c>
      <c r="CL9" s="275">
        <v>8.7174894272646775</v>
      </c>
      <c r="CM9" s="275">
        <v>8.7435107463449242</v>
      </c>
      <c r="CN9" s="275">
        <v>8.769887610531466</v>
      </c>
      <c r="CO9" s="275">
        <v>8.7966266333263299</v>
      </c>
      <c r="CP9" s="275"/>
      <c r="CQ9" s="276">
        <v>5.3950025049918224</v>
      </c>
      <c r="CR9" s="276">
        <v>5.452210362002341</v>
      </c>
      <c r="CS9" s="276">
        <v>5.5097332574180866</v>
      </c>
      <c r="CT9" s="276">
        <v>5.5675962645642647</v>
      </c>
      <c r="CU9" s="276">
        <v>5.6258276415480051</v>
      </c>
      <c r="CV9" s="276">
        <v>5.6844593087290427</v>
      </c>
      <c r="CW9" s="276">
        <v>5.7435273924198187</v>
      </c>
      <c r="CX9" s="276">
        <v>5.8030728356355112</v>
      </c>
      <c r="CY9" s="276">
        <v>5.863142069232099</v>
      </c>
      <c r="CZ9" s="276">
        <v>5.92378772276364</v>
      </c>
      <c r="DA9" s="276">
        <v>5.9850693294255226</v>
      </c>
      <c r="DB9" s="276">
        <v>6.0470539366981786</v>
      </c>
      <c r="DC9" s="276">
        <v>6.1098164640587953</v>
      </c>
      <c r="DD9" s="276">
        <v>6.1734395396829971</v>
      </c>
      <c r="DE9" s="276">
        <v>6.2380123906463458</v>
      </c>
      <c r="DF9" s="276">
        <v>6.303628164103289</v>
      </c>
      <c r="DG9" s="276">
        <v>6.3703788755926576</v>
      </c>
      <c r="DH9" s="276">
        <v>6.4383471608587026</v>
      </c>
      <c r="DI9" s="276">
        <v>6.5075944061347224</v>
      </c>
      <c r="DJ9" s="276">
        <v>6.5781459125149544</v>
      </c>
      <c r="DK9" s="276">
        <v>6.6499754511979914</v>
      </c>
      <c r="DL9" s="276">
        <v>6.7229931036752841</v>
      </c>
      <c r="DM9" s="276">
        <v>6.7970403338365868</v>
      </c>
      <c r="DN9" s="276">
        <v>6.8718941522443666</v>
      </c>
      <c r="DO9" s="276">
        <v>6.9472791250459149</v>
      </c>
      <c r="DP9" s="276">
        <v>7.0228839735920952</v>
      </c>
      <c r="DQ9" s="276">
        <v>7.0983796664006711</v>
      </c>
      <c r="DR9" s="276">
        <v>7.1734374248342032</v>
      </c>
      <c r="DS9" s="276">
        <v>7.2477463862095739</v>
      </c>
      <c r="DT9" s="276">
        <v>7.3210307647784454</v>
      </c>
      <c r="DU9" s="276">
        <v>7.3930652161972317</v>
      </c>
      <c r="DV9" s="276">
        <v>7.4636857251762656</v>
      </c>
      <c r="DW9" s="276">
        <v>7.53279316344788</v>
      </c>
      <c r="DX9" s="276">
        <v>7.6003484567526831</v>
      </c>
      <c r="DY9" s="276">
        <v>7.6663610999525513</v>
      </c>
      <c r="DZ9" s="276">
        <v>7.7308746394318284</v>
      </c>
      <c r="EA9" s="276">
        <v>7.7939526827047194</v>
      </c>
      <c r="EB9" s="276">
        <v>7.8556675907093982</v>
      </c>
      <c r="EC9" s="276">
        <v>7.9160924583908079</v>
      </c>
      <c r="ED9" s="276">
        <v>7.975296006588966</v>
      </c>
      <c r="EE9" s="276">
        <v>8.033339649017142</v>
      </c>
      <c r="EF9" s="276">
        <v>8.0902760229444404</v>
      </c>
      <c r="EG9" s="276">
        <v>8.1461484488203979</v>
      </c>
      <c r="EH9" s="276">
        <v>8.2009909813879069</v>
      </c>
      <c r="EI9" s="276">
        <v>8.2548288833877539</v>
      </c>
      <c r="EJ9" s="276">
        <v>8.3076794829148923</v>
      </c>
      <c r="EK9" s="276">
        <v>8.3595534647091103</v>
      </c>
      <c r="EL9" s="276">
        <v>8.4104566806982621</v>
      </c>
      <c r="EM9" s="276">
        <v>8.4603925155015478</v>
      </c>
      <c r="EN9" s="276">
        <v>8.509364678751222</v>
      </c>
      <c r="EO9" s="276">
        <v>8.5573800404612488</v>
      </c>
      <c r="EP9" s="276">
        <v>8.6044509068098467</v>
      </c>
      <c r="EQ9" s="276">
        <v>8.6505961497205135</v>
      </c>
      <c r="ER9" s="276">
        <v>8.6958409453332752</v>
      </c>
      <c r="ES9" s="276">
        <v>8.7402153749676383</v>
      </c>
      <c r="ET9" s="276">
        <v>8.7837524827802742</v>
      </c>
      <c r="EU9" s="276">
        <v>8.8264863977470274</v>
      </c>
      <c r="EV9" s="276">
        <v>8.868450903800543</v>
      </c>
      <c r="EW9" s="276">
        <v>8.9096785774874512</v>
      </c>
      <c r="EX9" s="276">
        <v>8.9502004333133467</v>
      </c>
      <c r="EY9" s="276">
        <v>8.9900459413063611</v>
      </c>
      <c r="EZ9" s="276">
        <v>9.0292432733412049</v>
      </c>
      <c r="FA9" s="276">
        <v>9.0678196552028272</v>
      </c>
      <c r="FB9" s="276">
        <v>9.1058017266083642</v>
      </c>
      <c r="FC9" s="276">
        <v>9.1432158325963915</v>
      </c>
      <c r="FD9" s="276">
        <v>9.1800881870576667</v>
      </c>
      <c r="FE9" s="276">
        <v>9.2164448675110187</v>
      </c>
      <c r="FF9" s="276">
        <v>9.2523116257448681</v>
      </c>
      <c r="FG9" s="276">
        <v>9.2877135359376801</v>
      </c>
      <c r="FH9" s="276">
        <v>9.3226745482074165</v>
      </c>
      <c r="FI9" s="276">
        <v>9.3572170588669987</v>
      </c>
      <c r="FJ9" s="272">
        <v>9.3913616281189007</v>
      </c>
      <c r="FK9" s="272">
        <v>9.4251269531697073</v>
      </c>
      <c r="FL9" s="272">
        <v>9.4585301396415211</v>
      </c>
      <c r="FM9" s="272">
        <v>9.4915872310146838</v>
      </c>
      <c r="FN9" s="272">
        <v>9.5243138904932643</v>
      </c>
      <c r="FO9" s="272">
        <v>9.5567261063838007</v>
      </c>
      <c r="FP9" s="272">
        <v>9.5888408105174765</v>
      </c>
      <c r="FQ9" s="272">
        <v>9.6206763408070266</v>
      </c>
      <c r="FR9" s="272">
        <v>9.6522527223875265</v>
      </c>
      <c r="FS9" s="272">
        <v>9.6835917738649293</v>
      </c>
      <c r="FT9" s="272">
        <v>9.714717062782638</v>
      </c>
      <c r="FU9" s="272">
        <v>9.7456537403657055</v>
      </c>
      <c r="FV9" s="272">
        <v>9.7764282845818116</v>
      </c>
      <c r="FW9" s="272">
        <v>9.8070681766200032</v>
      </c>
      <c r="FX9" s="272">
        <v>9.8376015317370218</v>
      </c>
      <c r="FY9" s="272">
        <v>9.8680567025205885</v>
      </c>
      <c r="FZ9" s="272">
        <v>9.8984618714785046</v>
      </c>
      <c r="GA9" s="272">
        <v>9.9288446502273473</v>
      </c>
      <c r="GB9" s="272">
        <v>9.9592317035154228</v>
      </c>
      <c r="GC9" s="272">
        <v>9.9896484165115371</v>
      </c>
    </row>
    <row r="10" spans="2:185" ht="15" thickBot="1" x14ac:dyDescent="0.4">
      <c r="B10" s="298">
        <v>4</v>
      </c>
      <c r="C10" s="275">
        <v>5.6155076913649768</v>
      </c>
      <c r="D10" s="275">
        <v>5.6605904954051294</v>
      </c>
      <c r="E10" s="275">
        <v>5.7058904877070864</v>
      </c>
      <c r="F10" s="275">
        <v>5.7514119905052619</v>
      </c>
      <c r="G10" s="275">
        <v>5.797158785354128</v>
      </c>
      <c r="H10" s="275">
        <v>5.84313397235531</v>
      </c>
      <c r="I10" s="275">
        <v>5.8893398089044284</v>
      </c>
      <c r="J10" s="275">
        <v>5.9357775263750998</v>
      </c>
      <c r="K10" s="275">
        <v>5.9824471231477832</v>
      </c>
      <c r="L10" s="275">
        <v>6.0293471321670253</v>
      </c>
      <c r="M10" s="275">
        <v>6.0764743604805931</v>
      </c>
      <c r="N10" s="275">
        <v>6.1238235964457743</v>
      </c>
      <c r="O10" s="275">
        <v>6.1713872765668114</v>
      </c>
      <c r="P10" s="275">
        <v>6.2191550968009386</v>
      </c>
      <c r="Q10" s="275">
        <v>6.2671135406484968</v>
      </c>
      <c r="R10" s="275">
        <v>6.315245276564637</v>
      </c>
      <c r="S10" s="275">
        <v>6.363528350989216</v>
      </c>
      <c r="T10" s="275">
        <v>6.4119350801554962</v>
      </c>
      <c r="U10" s="275">
        <v>6.4604305514170237</v>
      </c>
      <c r="V10" s="275">
        <v>6.5089707301327424</v>
      </c>
      <c r="W10" s="275">
        <v>6.5575003628123527</v>
      </c>
      <c r="X10" s="275">
        <v>6.6059511061213376</v>
      </c>
      <c r="Y10" s="275">
        <v>6.6542404025242039</v>
      </c>
      <c r="Z10" s="275">
        <v>6.7022714264388794</v>
      </c>
      <c r="AA10" s="275">
        <v>6.7499341001839586</v>
      </c>
      <c r="AB10" s="275">
        <v>6.7971070804540306</v>
      </c>
      <c r="AC10" s="275">
        <v>6.8436608827905179</v>
      </c>
      <c r="AD10" s="275">
        <v>6.8894627184183639</v>
      </c>
      <c r="AE10" s="275">
        <v>6.9343837528263288</v>
      </c>
      <c r="AF10" s="275">
        <v>6.9783089282854176</v>
      </c>
      <c r="AG10" s="275">
        <v>7.021148020874282</v>
      </c>
      <c r="AH10" s="275">
        <v>7.0628448170731604</v>
      </c>
      <c r="AI10" s="275">
        <v>7.1033807892076606</v>
      </c>
      <c r="AJ10" s="275">
        <v>7.1427716256782752</v>
      </c>
      <c r="AK10" s="275">
        <v>7.1810582906249252</v>
      </c>
      <c r="AL10" s="275">
        <v>7.2182962768937777</v>
      </c>
      <c r="AM10" s="275">
        <v>7.2545462328961516</v>
      </c>
      <c r="AN10" s="275">
        <v>7.2898673802562666</v>
      </c>
      <c r="AO10" s="275">
        <v>7.3243136609056494</v>
      </c>
      <c r="AP10" s="275">
        <v>7.357931904020429</v>
      </c>
      <c r="AQ10" s="275">
        <v>7.3907612535059588</v>
      </c>
      <c r="AR10" s="275">
        <v>7.4228332852694248</v>
      </c>
      <c r="AS10" s="275">
        <v>7.454172458648701</v>
      </c>
      <c r="AT10" s="275">
        <v>7.4847967169440963</v>
      </c>
      <c r="AU10" s="275">
        <v>7.5147181756789196</v>
      </c>
      <c r="AV10" s="275">
        <v>7.5439439317938417</v>
      </c>
      <c r="AW10" s="275">
        <v>7.5724771064471721</v>
      </c>
      <c r="AX10" s="275">
        <v>7.6003182927086579</v>
      </c>
      <c r="AY10" s="275">
        <v>7.627467575423398</v>
      </c>
      <c r="AZ10" s="275">
        <v>7.6539271453741629</v>
      </c>
      <c r="BA10" s="275">
        <v>7.6797041928793437</v>
      </c>
      <c r="BB10" s="275">
        <v>7.7048133628824864</v>
      </c>
      <c r="BC10" s="275">
        <v>7.7292779432031242</v>
      </c>
      <c r="BD10" s="275">
        <v>7.7531294130706208</v>
      </c>
      <c r="BE10" s="275">
        <v>7.7764057396003734</v>
      </c>
      <c r="BF10" s="275">
        <v>7.799149265146605</v>
      </c>
      <c r="BG10" s="275">
        <v>7.8214049174967704</v>
      </c>
      <c r="BH10" s="275">
        <v>7.8432190702614903</v>
      </c>
      <c r="BI10" s="275">
        <v>7.8646390403024427</v>
      </c>
      <c r="BJ10" s="275">
        <v>7.8857130564848443</v>
      </c>
      <c r="BK10" s="275">
        <v>7.9064905154018801</v>
      </c>
      <c r="BL10" s="275">
        <v>7.9270223708205751</v>
      </c>
      <c r="BM10" s="275">
        <v>7.9473615335133241</v>
      </c>
      <c r="BN10" s="275">
        <v>7.967563167576424</v>
      </c>
      <c r="BO10" s="275">
        <v>7.9876847555864616</v>
      </c>
      <c r="BP10" s="275">
        <v>8.0077857744742591</v>
      </c>
      <c r="BQ10" s="275">
        <v>8.0279267946866302</v>
      </c>
      <c r="BR10" s="275">
        <v>8.0481678239301804</v>
      </c>
      <c r="BS10" s="275">
        <v>8.0685658211347953</v>
      </c>
      <c r="BT10" s="275">
        <v>8.0891715581915076</v>
      </c>
      <c r="BU10" s="275">
        <v>8.1100263807102984</v>
      </c>
      <c r="BV10" s="275">
        <v>8.1311597349817095</v>
      </c>
      <c r="BW10" s="275">
        <v>8.1525883062237305</v>
      </c>
      <c r="BX10" s="275">
        <v>8.1743171248136424</v>
      </c>
      <c r="BY10" s="275">
        <v>8.196342284051946</v>
      </c>
      <c r="BZ10" s="275">
        <v>8.2186544241756767</v>
      </c>
      <c r="CA10" s="275">
        <v>8.2412421142750727</v>
      </c>
      <c r="CB10" s="275">
        <v>8.264094578095035</v>
      </c>
      <c r="CC10" s="275">
        <v>8.2872035809099316</v>
      </c>
      <c r="CD10" s="275">
        <v>8.310564542885027</v>
      </c>
      <c r="CE10" s="275">
        <v>8.3341770432936499</v>
      </c>
      <c r="CF10" s="275">
        <v>8.358044880897312</v>
      </c>
      <c r="CG10" s="275">
        <v>8.3821758152953425</v>
      </c>
      <c r="CH10" s="275">
        <v>8.4065810675982302</v>
      </c>
      <c r="CI10" s="275">
        <v>8.43127462265997</v>
      </c>
      <c r="CJ10" s="275">
        <v>8.456272355121909</v>
      </c>
      <c r="CK10" s="275">
        <v>8.4815909991936209</v>
      </c>
      <c r="CL10" s="275">
        <v>8.507246996811876</v>
      </c>
      <c r="CM10" s="275">
        <v>8.5332552870449963</v>
      </c>
      <c r="CN10" s="275">
        <v>8.5596281330748258</v>
      </c>
      <c r="CO10" s="275">
        <v>8.5863741084193386</v>
      </c>
      <c r="CP10" s="275"/>
      <c r="CQ10" s="276">
        <v>5.1654474250476392</v>
      </c>
      <c r="CR10" s="276">
        <v>5.2225561040738224</v>
      </c>
      <c r="CS10" s="276">
        <v>5.2799687870627503</v>
      </c>
      <c r="CT10" s="276">
        <v>5.3377096037679124</v>
      </c>
      <c r="CU10" s="276">
        <v>5.3958058761659728</v>
      </c>
      <c r="CV10" s="276">
        <v>5.454288643189547</v>
      </c>
      <c r="CW10" s="276">
        <v>5.5131932766499396</v>
      </c>
      <c r="CX10" s="276">
        <v>5.5725602005263877</v>
      </c>
      <c r="CY10" s="276">
        <v>5.6324357231824553</v>
      </c>
      <c r="CZ10" s="276">
        <v>5.6928729845720074</v>
      </c>
      <c r="DA10" s="276">
        <v>5.7539330035463001</v>
      </c>
      <c r="DB10" s="276">
        <v>5.8156857757787783</v>
      </c>
      <c r="DC10" s="276">
        <v>5.8782113065410488</v>
      </c>
      <c r="DD10" s="276">
        <v>5.9416003422137829</v>
      </c>
      <c r="DE10" s="276">
        <v>6.0059543591324243</v>
      </c>
      <c r="DF10" s="276">
        <v>6.0713840490655038</v>
      </c>
      <c r="DG10" s="276">
        <v>6.1380051194750873</v>
      </c>
      <c r="DH10" s="276">
        <v>6.2059298532272198</v>
      </c>
      <c r="DI10" s="276">
        <v>6.2752529786304869</v>
      </c>
      <c r="DJ10" s="276">
        <v>6.3460317186808508</v>
      </c>
      <c r="DK10" s="276">
        <v>6.4182628904759254</v>
      </c>
      <c r="DL10" s="276">
        <v>6.4918635184023756</v>
      </c>
      <c r="DM10" s="276">
        <v>6.5666624545236436</v>
      </c>
      <c r="DN10" s="276">
        <v>6.6424065749698169</v>
      </c>
      <c r="DO10" s="276">
        <v>6.7187785760559269</v>
      </c>
      <c r="DP10" s="276">
        <v>6.7954196500627697</v>
      </c>
      <c r="DQ10" s="276">
        <v>6.8719516731975796</v>
      </c>
      <c r="DR10" s="276">
        <v>6.9479974398026769</v>
      </c>
      <c r="DS10" s="276">
        <v>7.0232003693973466</v>
      </c>
      <c r="DT10" s="276">
        <v>7.0972452318082144</v>
      </c>
      <c r="DU10" s="276">
        <v>7.1698788228043089</v>
      </c>
      <c r="DV10" s="276">
        <v>7.2409259096205787</v>
      </c>
      <c r="DW10" s="276">
        <v>7.310294463327601</v>
      </c>
      <c r="DX10" s="276">
        <v>7.3779675460468708</v>
      </c>
      <c r="DY10" s="276">
        <v>7.4439851398859336</v>
      </c>
      <c r="DZ10" s="276">
        <v>7.5084227543994064</v>
      </c>
      <c r="EA10" s="276">
        <v>7.5713727019850827</v>
      </c>
      <c r="EB10" s="276">
        <v>7.6329306575728832</v>
      </c>
      <c r="EC10" s="276">
        <v>7.6931873864008598</v>
      </c>
      <c r="ED10" s="276">
        <v>7.7522243253133576</v>
      </c>
      <c r="EE10" s="276">
        <v>7.8101116092874818</v>
      </c>
      <c r="EF10" s="276">
        <v>7.8669074808837998</v>
      </c>
      <c r="EG10" s="276">
        <v>7.9226584152116653</v>
      </c>
      <c r="EH10" s="276">
        <v>7.9773996043064788</v>
      </c>
      <c r="EI10" s="276">
        <v>8.0311556660311965</v>
      </c>
      <c r="EJ10" s="276">
        <v>8.0839416036739919</v>
      </c>
      <c r="EK10" s="276">
        <v>8.1357641669164984</v>
      </c>
      <c r="EL10" s="276">
        <v>8.1866238457098071</v>
      </c>
      <c r="EM10" s="276">
        <v>8.2365177085977432</v>
      </c>
      <c r="EN10" s="276">
        <v>8.2854430762211315</v>
      </c>
      <c r="EO10" s="276">
        <v>8.3334015508350046</v>
      </c>
      <c r="EP10" s="276">
        <v>8.3804023937011856</v>
      </c>
      <c r="EQ10" s="276">
        <v>8.4264641250754657</v>
      </c>
      <c r="ER10" s="276">
        <v>8.4716138463012172</v>
      </c>
      <c r="ES10" s="276">
        <v>8.5158847997117118</v>
      </c>
      <c r="ET10" s="276">
        <v>8.5593133065585523</v>
      </c>
      <c r="EU10" s="276">
        <v>8.6019361052008421</v>
      </c>
      <c r="EV10" s="276">
        <v>8.6437885807367589</v>
      </c>
      <c r="EW10" s="276">
        <v>8.6849039026929127</v>
      </c>
      <c r="EX10" s="276">
        <v>8.7253128568529092</v>
      </c>
      <c r="EY10" s="276">
        <v>8.7650441180459673</v>
      </c>
      <c r="EZ10" s="276">
        <v>8.8041247549607249</v>
      </c>
      <c r="FA10" s="276">
        <v>8.8425808154756123</v>
      </c>
      <c r="FB10" s="276">
        <v>8.8804378841617186</v>
      </c>
      <c r="FC10" s="276">
        <v>8.917721528922641</v>
      </c>
      <c r="FD10" s="276">
        <v>8.9544575673945292</v>
      </c>
      <c r="FE10" s="276">
        <v>8.9906720959801483</v>
      </c>
      <c r="FF10" s="276">
        <v>9.0263912476330397</v>
      </c>
      <c r="FG10" s="276">
        <v>9.0616406902963895</v>
      </c>
      <c r="FH10" s="276">
        <v>9.0964449492032724</v>
      </c>
      <c r="FI10" s="276">
        <v>9.1308267163669186</v>
      </c>
      <c r="FJ10" s="272">
        <v>9.1648063596611227</v>
      </c>
      <c r="FK10" s="272">
        <v>9.1984018179809866</v>
      </c>
      <c r="FL10" s="272">
        <v>9.231628958529031</v>
      </c>
      <c r="FM10" s="272">
        <v>9.2645023241403681</v>
      </c>
      <c r="FN10" s="272">
        <v>9.297036088022784</v>
      </c>
      <c r="FO10" s="272">
        <v>9.3292450071351336</v>
      </c>
      <c r="FP10" s="272">
        <v>9.3611452139751616</v>
      </c>
      <c r="FQ10" s="272">
        <v>9.3927547656088581</v>
      </c>
      <c r="FR10" s="272">
        <v>9.4240939380196416</v>
      </c>
      <c r="FS10" s="272">
        <v>9.4551852957832043</v>
      </c>
      <c r="FT10" s="272">
        <v>9.4860535832689568</v>
      </c>
      <c r="FU10" s="272">
        <v>9.5167254833264998</v>
      </c>
      <c r="FV10" s="272">
        <v>9.5472292817352162</v>
      </c>
      <c r="FW10" s="272">
        <v>9.5775944665354213</v>
      </c>
      <c r="FX10" s="272">
        <v>9.6078512838760517</v>
      </c>
      <c r="FY10" s="272">
        <v>9.638030267579305</v>
      </c>
      <c r="FZ10" s="272">
        <v>9.6681617585616308</v>
      </c>
      <c r="GA10" s="272">
        <v>9.6982754320623048</v>
      </c>
      <c r="GB10" s="272">
        <v>9.728399853902955</v>
      </c>
      <c r="GC10" s="272">
        <v>9.7585620894422895</v>
      </c>
    </row>
    <row r="11" spans="2:185" ht="15" thickBot="1" x14ac:dyDescent="0.4">
      <c r="B11" s="298">
        <v>5</v>
      </c>
      <c r="C11" s="275">
        <v>5.3932525177587367</v>
      </c>
      <c r="D11" s="275">
        <v>5.4382834049334363</v>
      </c>
      <c r="E11" s="275">
        <v>5.4835390218449671</v>
      </c>
      <c r="F11" s="275">
        <v>5.5290247812771662</v>
      </c>
      <c r="G11" s="275">
        <v>5.5747456582027617</v>
      </c>
      <c r="H11" s="275">
        <v>5.6207060528771624</v>
      </c>
      <c r="I11" s="275">
        <v>5.6669096326675321</v>
      </c>
      <c r="J11" s="275">
        <v>5.7133591511837301</v>
      </c>
      <c r="K11" s="275">
        <v>5.760056243597254</v>
      </c>
      <c r="L11" s="275">
        <v>5.807001197346966</v>
      </c>
      <c r="M11" s="275">
        <v>5.8541926975198351</v>
      </c>
      <c r="N11" s="275">
        <v>5.9016275455834153</v>
      </c>
      <c r="O11" s="275">
        <v>5.9493003478492792</v>
      </c>
      <c r="P11" s="275">
        <v>5.9972031641411947</v>
      </c>
      <c r="Q11" s="275">
        <v>6.0453250941343217</v>
      </c>
      <c r="R11" s="275">
        <v>6.0936517531335399</v>
      </c>
      <c r="S11" s="275">
        <v>6.1421645441789021</v>
      </c>
      <c r="T11" s="275">
        <v>6.1908395696501559</v>
      </c>
      <c r="U11" s="275">
        <v>6.2396459729705027</v>
      </c>
      <c r="V11" s="275">
        <v>6.2885435541215013</v>
      </c>
      <c r="W11" s="275">
        <v>6.3374798019671994</v>
      </c>
      <c r="X11" s="275">
        <v>6.3863870130076643</v>
      </c>
      <c r="Y11" s="275">
        <v>6.4351804744240093</v>
      </c>
      <c r="Z11" s="275">
        <v>6.4837582540149468</v>
      </c>
      <c r="AA11" s="275">
        <v>6.5320022824093158</v>
      </c>
      <c r="AB11" s="275">
        <v>6.5797801293000404</v>
      </c>
      <c r="AC11" s="275">
        <v>6.6269475104017923</v>
      </c>
      <c r="AD11" s="275">
        <v>6.6733525726019636</v>
      </c>
      <c r="AE11" s="275">
        <v>6.7188437033942483</v>
      </c>
      <c r="AF11" s="275">
        <v>6.7632822352592754</v>
      </c>
      <c r="AG11" s="275">
        <v>6.8065590114587007</v>
      </c>
      <c r="AH11" s="275">
        <v>6.8486096170088384</v>
      </c>
      <c r="AI11" s="275">
        <v>6.8894207548781274</v>
      </c>
      <c r="AJ11" s="275">
        <v>6.9290240125724578</v>
      </c>
      <c r="AK11" s="275">
        <v>6.9674807910419094</v>
      </c>
      <c r="AL11" s="275">
        <v>7.0048659521245318</v>
      </c>
      <c r="AM11" s="275">
        <v>7.0412554583923557</v>
      </c>
      <c r="AN11" s="275">
        <v>7.0767191780301264</v>
      </c>
      <c r="AO11" s="275">
        <v>7.1113176741651047</v>
      </c>
      <c r="AP11" s="275">
        <v>7.1451013690524512</v>
      </c>
      <c r="AQ11" s="275">
        <v>7.1781108753232754</v>
      </c>
      <c r="AR11" s="275">
        <v>7.2103777803660831</v>
      </c>
      <c r="AS11" s="275">
        <v>7.2419255225974801</v>
      </c>
      <c r="AT11" s="275">
        <v>7.2727702099963318</v>
      </c>
      <c r="AU11" s="275">
        <v>7.3029213579669934</v>
      </c>
      <c r="AV11" s="275">
        <v>7.3323826180748641</v>
      </c>
      <c r="AW11" s="275">
        <v>7.3611526694966836</v>
      </c>
      <c r="AX11" s="275">
        <v>7.3892265648857647</v>
      </c>
      <c r="AY11" s="275">
        <v>7.4165979154152346</v>
      </c>
      <c r="AZ11" s="275">
        <v>7.4432622005346971</v>
      </c>
      <c r="BA11" s="275">
        <v>7.4692209481080916</v>
      </c>
      <c r="BB11" s="275">
        <v>7.4944855911668702</v>
      </c>
      <c r="BC11" s="275">
        <v>7.5190792844665646</v>
      </c>
      <c r="BD11" s="275">
        <v>7.5430358290014716</v>
      </c>
      <c r="BE11" s="275">
        <v>7.5663965750383717</v>
      </c>
      <c r="BF11" s="275">
        <v>7.589207039683223</v>
      </c>
      <c r="BG11" s="275">
        <v>7.6115144528075556</v>
      </c>
      <c r="BH11" s="275">
        <v>7.6333665066581213</v>
      </c>
      <c r="BI11" s="275">
        <v>7.6548110449422069</v>
      </c>
      <c r="BJ11" s="275">
        <v>7.6758963262977948</v>
      </c>
      <c r="BK11" s="275">
        <v>7.6966715836368591</v>
      </c>
      <c r="BL11" s="275">
        <v>7.7171877037941874</v>
      </c>
      <c r="BM11" s="275">
        <v>7.7374979141575251</v>
      </c>
      <c r="BN11" s="275">
        <v>7.7576583786464557</v>
      </c>
      <c r="BO11" s="275">
        <v>7.7777285794336439</v>
      </c>
      <c r="BP11" s="275">
        <v>7.7977712979924378</v>
      </c>
      <c r="BQ11" s="275">
        <v>7.817851921865385</v>
      </c>
      <c r="BR11" s="275">
        <v>7.8380367343993083</v>
      </c>
      <c r="BS11" s="275">
        <v>7.858389895058485</v>
      </c>
      <c r="BT11" s="275">
        <v>7.8789691417469321</v>
      </c>
      <c r="BU11" s="275">
        <v>7.8998209189788273</v>
      </c>
      <c r="BV11" s="275">
        <v>7.9209763890849896</v>
      </c>
      <c r="BW11" s="275">
        <v>7.942449948131947</v>
      </c>
      <c r="BX11" s="275">
        <v>7.9642409739366729</v>
      </c>
      <c r="BY11" s="275">
        <v>7.9863380807102828</v>
      </c>
      <c r="BZ11" s="275">
        <v>8.0087242602141</v>
      </c>
      <c r="CA11" s="275">
        <v>8.0313814530199554</v>
      </c>
      <c r="CB11" s="275">
        <v>8.0542938454662441</v>
      </c>
      <c r="CC11" s="275">
        <v>8.0774498581517697</v>
      </c>
      <c r="CD11" s="275">
        <v>8.1008431122951414</v>
      </c>
      <c r="CE11" s="275">
        <v>8.1244727055942185</v>
      </c>
      <c r="CF11" s="275">
        <v>8.1483430524530043</v>
      </c>
      <c r="CG11" s="275">
        <v>8.1724634447593818</v>
      </c>
      <c r="CH11" s="275">
        <v>8.1968474090169963</v>
      </c>
      <c r="CI11" s="275">
        <v>8.221511882268727</v>
      </c>
      <c r="CJ11" s="275">
        <v>8.2464762018761828</v>
      </c>
      <c r="CK11" s="275">
        <v>8.2717609016956484</v>
      </c>
      <c r="CL11" s="275">
        <v>8.2973863297070167</v>
      </c>
      <c r="CM11" s="275">
        <v>8.323371147892237</v>
      </c>
      <c r="CN11" s="275">
        <v>8.3497308346979686</v>
      </c>
      <c r="CO11" s="275">
        <v>8.3764763629549837</v>
      </c>
      <c r="CP11" s="275"/>
      <c r="CQ11" s="276">
        <v>4.9362215953042146</v>
      </c>
      <c r="CR11" s="276">
        <v>4.9932432229990997</v>
      </c>
      <c r="CS11" s="276">
        <v>5.0505576935379022</v>
      </c>
      <c r="CT11" s="276">
        <v>5.1081879607341349</v>
      </c>
      <c r="CU11" s="276">
        <v>5.1661601010632952</v>
      </c>
      <c r="CV11" s="276">
        <v>5.2245038632591418</v>
      </c>
      <c r="CW11" s="276">
        <v>5.2832533281172509</v>
      </c>
      <c r="CX11" s="276">
        <v>5.3424477011865044</v>
      </c>
      <c r="CY11" s="276">
        <v>5.4021322640820086</v>
      </c>
      <c r="CZ11" s="276">
        <v>5.4623595112782279</v>
      </c>
      <c r="DA11" s="276">
        <v>5.5231904950479498</v>
      </c>
      <c r="DB11" s="276">
        <v>5.5846963844598294</v>
      </c>
      <c r="DC11" s="276">
        <v>5.6469602001605903</v>
      </c>
      <c r="DD11" s="276">
        <v>5.7100785857974454</v>
      </c>
      <c r="DE11" s="276">
        <v>5.7741632656571298</v>
      </c>
      <c r="DF11" s="276">
        <v>5.8393414297570434</v>
      </c>
      <c r="DG11" s="276">
        <v>5.9057535811835971</v>
      </c>
      <c r="DH11" s="276">
        <v>5.9735463826786521</v>
      </c>
      <c r="DI11" s="276">
        <v>6.0428572256870634</v>
      </c>
      <c r="DJ11" s="276">
        <v>6.1137881112075281</v>
      </c>
      <c r="DK11" s="276">
        <v>6.1863711909600019</v>
      </c>
      <c r="DL11" s="276">
        <v>6.2605366195048937</v>
      </c>
      <c r="DM11" s="276">
        <v>6.3360980160868579</v>
      </c>
      <c r="DN11" s="276">
        <v>6.4127632672993071</v>
      </c>
      <c r="DO11" s="276">
        <v>6.4901633568841781</v>
      </c>
      <c r="DP11" s="276">
        <v>6.567884620049588</v>
      </c>
      <c r="DQ11" s="276">
        <v>6.6454950684609404</v>
      </c>
      <c r="DR11" s="276">
        <v>6.7225646242454999</v>
      </c>
      <c r="DS11" s="276">
        <v>6.7986845947058079</v>
      </c>
      <c r="DT11" s="276">
        <v>6.8734917979157659</v>
      </c>
      <c r="DU11" s="276">
        <v>6.9466976127695439</v>
      </c>
      <c r="DV11" s="276">
        <v>7.0181136943301921</v>
      </c>
      <c r="DW11" s="276">
        <v>7.0876611999746126</v>
      </c>
      <c r="DX11" s="276">
        <v>7.1553569324808226</v>
      </c>
      <c r="DY11" s="276">
        <v>7.2212834556813492</v>
      </c>
      <c r="DZ11" s="276">
        <v>7.2855571054056094</v>
      </c>
      <c r="EA11" s="276">
        <v>7.348303583389689</v>
      </c>
      <c r="EB11" s="276">
        <v>7.4096432675586419</v>
      </c>
      <c r="EC11" s="276">
        <v>7.469684042558165</v>
      </c>
      <c r="ED11" s="276">
        <v>7.5285186671198394</v>
      </c>
      <c r="EE11" s="276">
        <v>7.58622443677696</v>
      </c>
      <c r="EF11" s="276">
        <v>7.6428638120267456</v>
      </c>
      <c r="EG11" s="276">
        <v>7.6984853334689323</v>
      </c>
      <c r="EH11" s="276">
        <v>7.7531245356419456</v>
      </c>
      <c r="EI11" s="276">
        <v>7.8068048009394708</v>
      </c>
      <c r="EJ11" s="276">
        <v>7.8595382560996736</v>
      </c>
      <c r="EK11" s="276">
        <v>7.9113269679948957</v>
      </c>
      <c r="EL11" s="276">
        <v>7.9621648600897901</v>
      </c>
      <c r="EM11" s="276">
        <v>8.0120408724642171</v>
      </c>
      <c r="EN11" s="276">
        <v>8.0609436988762422</v>
      </c>
      <c r="EO11" s="276">
        <v>8.1088676558827562</v>
      </c>
      <c r="EP11" s="276">
        <v>8.1558179990259063</v>
      </c>
      <c r="EQ11" s="276">
        <v>8.2018133854924056</v>
      </c>
      <c r="ER11" s="276">
        <v>8.2468843644787331</v>
      </c>
      <c r="ES11" s="276">
        <v>8.2910690344767914</v>
      </c>
      <c r="ET11" s="276">
        <v>8.3344081890954449</v>
      </c>
      <c r="EU11" s="276">
        <v>8.3769416584596321</v>
      </c>
      <c r="EV11" s="276">
        <v>8.4187063143653589</v>
      </c>
      <c r="EW11" s="276">
        <v>8.4597354294015883</v>
      </c>
      <c r="EX11" s="276">
        <v>8.5000588889778896</v>
      </c>
      <c r="EY11" s="276">
        <v>8.5397038489845709</v>
      </c>
      <c r="EZ11" s="276">
        <v>8.5786955755689647</v>
      </c>
      <c r="FA11" s="276">
        <v>8.6170583093242197</v>
      </c>
      <c r="FB11" s="276">
        <v>8.6548160538404204</v>
      </c>
      <c r="FC11" s="276">
        <v>8.6919932105872419</v>
      </c>
      <c r="FD11" s="276">
        <v>8.7286149834344808</v>
      </c>
      <c r="FE11" s="276">
        <v>8.7647074721071423</v>
      </c>
      <c r="FF11" s="276">
        <v>8.8002973838821212</v>
      </c>
      <c r="FG11" s="276">
        <v>8.835411341247486</v>
      </c>
      <c r="FH11" s="276">
        <v>8.8700748687813089</v>
      </c>
      <c r="FI11" s="276">
        <v>8.9043112910406315</v>
      </c>
      <c r="FJ11" s="272">
        <v>8.9381408925542942</v>
      </c>
      <c r="FK11" s="272">
        <v>8.9715806756514276</v>
      </c>
      <c r="FL11" s="272">
        <v>9.004644857974375</v>
      </c>
      <c r="FM11" s="272">
        <v>9.0373459729184784</v>
      </c>
      <c r="FN11" s="272">
        <v>9.0696962424211414</v>
      </c>
      <c r="FO11" s="272">
        <v>9.1017088762571738</v>
      </c>
      <c r="FP11" s="272">
        <v>9.1333990713530735</v>
      </c>
      <c r="FQ11" s="272">
        <v>9.1647846330107132</v>
      </c>
      <c r="FR11" s="272">
        <v>9.1958862447648713</v>
      </c>
      <c r="FS11" s="272">
        <v>9.2267274600846019</v>
      </c>
      <c r="FT11" s="272">
        <v>9.2573344946407286</v>
      </c>
      <c r="FU11" s="272">
        <v>9.2877358841848672</v>
      </c>
      <c r="FV11" s="272">
        <v>9.3179620547433508</v>
      </c>
      <c r="FW11" s="272">
        <v>9.3480448357622823</v>
      </c>
      <c r="FX11" s="272">
        <v>9.3780169355172394</v>
      </c>
      <c r="FY11" s="272">
        <v>9.4079113921531814</v>
      </c>
      <c r="FZ11" s="272">
        <v>9.4377610131730645</v>
      </c>
      <c r="GA11" s="272">
        <v>9.4675978205097433</v>
      </c>
      <c r="GB11" s="272">
        <v>9.4974525257158842</v>
      </c>
      <c r="GC11" s="272">
        <v>9.527354066696784</v>
      </c>
    </row>
    <row r="12" spans="2:185" ht="15" thickBot="1" x14ac:dyDescent="0.4">
      <c r="B12" s="298">
        <v>6</v>
      </c>
      <c r="C12" s="275">
        <v>5.1707200534854696</v>
      </c>
      <c r="D12" s="275">
        <v>5.2156815694643326</v>
      </c>
      <c r="E12" s="275">
        <v>5.2608743881404711</v>
      </c>
      <c r="F12" s="275">
        <v>5.3063049942855001</v>
      </c>
      <c r="G12" s="275">
        <v>5.351979544101237</v>
      </c>
      <c r="H12" s="275">
        <v>5.3979037327688486</v>
      </c>
      <c r="I12" s="275">
        <v>5.4440826395247042</v>
      </c>
      <c r="J12" s="275">
        <v>5.4905205487516593</v>
      </c>
      <c r="K12" s="275">
        <v>5.5372207461902674</v>
      </c>
      <c r="L12" s="275">
        <v>5.5841852902419511</v>
      </c>
      <c r="M12" s="275">
        <v>5.6314147593998758</v>
      </c>
      <c r="N12" s="275">
        <v>5.6789079778624751</v>
      </c>
      <c r="O12" s="275">
        <v>5.7266617216786004</v>
      </c>
      <c r="P12" s="275">
        <v>5.7746704056453577</v>
      </c>
      <c r="Q12" s="275">
        <v>5.8229257426711722</v>
      </c>
      <c r="R12" s="275">
        <v>5.8714163437751683</v>
      </c>
      <c r="S12" s="275">
        <v>5.9201271714798356</v>
      </c>
      <c r="T12" s="275">
        <v>5.9690386474657888</v>
      </c>
      <c r="U12" s="275">
        <v>6.0181250418006176</v>
      </c>
      <c r="V12" s="275">
        <v>6.0673516544609214</v>
      </c>
      <c r="W12" s="275">
        <v>6.1166706310566248</v>
      </c>
      <c r="X12" s="275">
        <v>6.1660164004611566</v>
      </c>
      <c r="Y12" s="275">
        <v>6.2153028195312334</v>
      </c>
      <c r="Z12" s="275">
        <v>6.2644232204157584</v>
      </c>
      <c r="AA12" s="275">
        <v>6.3132522015318218</v>
      </c>
      <c r="AB12" s="275">
        <v>6.3616472761862157</v>
      </c>
      <c r="AC12" s="275">
        <v>6.4094500157390568</v>
      </c>
      <c r="AD12" s="275">
        <v>6.4564883365903931</v>
      </c>
      <c r="AE12" s="275">
        <v>6.5025832524568798</v>
      </c>
      <c r="AF12" s="275">
        <v>6.547564175092476</v>
      </c>
      <c r="AG12" s="275">
        <v>6.591294013948227</v>
      </c>
      <c r="AH12" s="275">
        <v>6.6336961423209058</v>
      </c>
      <c r="AI12" s="275">
        <v>6.6747665926249597</v>
      </c>
      <c r="AJ12" s="275">
        <v>6.7145619571355573</v>
      </c>
      <c r="AK12" s="275">
        <v>6.7531725095435844</v>
      </c>
      <c r="AL12" s="275">
        <v>6.7906971967365353</v>
      </c>
      <c r="AM12" s="275">
        <v>6.8272284988346872</v>
      </c>
      <c r="AN12" s="275">
        <v>6.8628460820503836</v>
      </c>
      <c r="AO12" s="275">
        <v>6.8976155061122144</v>
      </c>
      <c r="AP12" s="275">
        <v>6.9315891210308358</v>
      </c>
      <c r="AQ12" s="275">
        <v>6.9648076227530256</v>
      </c>
      <c r="AR12" s="275">
        <v>6.9973015987767226</v>
      </c>
      <c r="AS12" s="275">
        <v>7.0290928223808562</v>
      </c>
      <c r="AT12" s="275">
        <v>7.0601952414097227</v>
      </c>
      <c r="AU12" s="275">
        <v>7.0906156913956622</v>
      </c>
      <c r="AV12" s="275">
        <v>7.1203544244578314</v>
      </c>
      <c r="AW12" s="275">
        <v>7.1494056443688709</v>
      </c>
      <c r="AX12" s="275">
        <v>7.1777584305164588</v>
      </c>
      <c r="AY12" s="275">
        <v>7.20539873281104</v>
      </c>
      <c r="AZ12" s="275">
        <v>7.2323133137806286</v>
      </c>
      <c r="BA12" s="275">
        <v>7.2584959007984819</v>
      </c>
      <c r="BB12" s="275">
        <v>7.2839537334366753</v>
      </c>
      <c r="BC12" s="275">
        <v>7.3087107104364186</v>
      </c>
      <c r="BD12" s="275">
        <v>7.3328049703243297</v>
      </c>
      <c r="BE12" s="275">
        <v>7.3562830928722462</v>
      </c>
      <c r="BF12" s="275">
        <v>7.3791947391949853</v>
      </c>
      <c r="BG12" s="275">
        <v>7.4015895699215921</v>
      </c>
      <c r="BH12" s="275">
        <v>7.4235162061669522</v>
      </c>
      <c r="BI12" s="275">
        <v>7.4450223889769607</v>
      </c>
      <c r="BJ12" s="275">
        <v>7.4661556918758452</v>
      </c>
      <c r="BK12" s="275">
        <v>7.4869644443383851</v>
      </c>
      <c r="BL12" s="275">
        <v>7.5074987156688522</v>
      </c>
      <c r="BM12" s="275">
        <v>7.5278112938160566</v>
      </c>
      <c r="BN12" s="275">
        <v>7.5479586085415216</v>
      </c>
      <c r="BO12" s="275">
        <v>7.5680015103012579</v>
      </c>
      <c r="BP12" s="275">
        <v>7.5880057215968311</v>
      </c>
      <c r="BQ12" s="275">
        <v>7.608041614956444</v>
      </c>
      <c r="BR12" s="275">
        <v>7.6281827572690313</v>
      </c>
      <c r="BS12" s="275">
        <v>7.6485025191447074</v>
      </c>
      <c r="BT12" s="275">
        <v>7.6690683149746492</v>
      </c>
      <c r="BU12" s="275">
        <v>7.6899341439698778</v>
      </c>
      <c r="BV12" s="275">
        <v>7.7111338647968246</v>
      </c>
      <c r="BW12" s="275">
        <v>7.7326785086024321</v>
      </c>
      <c r="BX12" s="275">
        <v>7.754559244637762</v>
      </c>
      <c r="BY12" s="275">
        <v>7.776754387849425</v>
      </c>
      <c r="BZ12" s="275">
        <v>7.799237146992744</v>
      </c>
      <c r="CA12" s="275">
        <v>7.8219816834664524</v>
      </c>
      <c r="CB12" s="275">
        <v>7.8449668124400089</v>
      </c>
      <c r="CC12" s="275">
        <v>7.8681777808074971</v>
      </c>
      <c r="CD12" s="275">
        <v>7.8916068208151247</v>
      </c>
      <c r="CE12" s="275">
        <v>7.9152530328823456</v>
      </c>
      <c r="CF12" s="275">
        <v>7.9391219300161033</v>
      </c>
      <c r="CG12" s="275">
        <v>7.9632248032598172</v>
      </c>
      <c r="CH12" s="275">
        <v>7.9875779567311556</v>
      </c>
      <c r="CI12" s="275">
        <v>8.012201795990304</v>
      </c>
      <c r="CJ12" s="275">
        <v>8.0371197210912069</v>
      </c>
      <c r="CK12" s="275">
        <v>8.0623567719847671</v>
      </c>
      <c r="CL12" s="275">
        <v>8.0879380033928125</v>
      </c>
      <c r="CM12" s="275">
        <v>8.1138866342357172</v>
      </c>
      <c r="CN12" s="275">
        <v>8.1402221172426525</v>
      </c>
      <c r="CO12" s="275">
        <v>8.1669583776408352</v>
      </c>
      <c r="CP12" s="275"/>
      <c r="CQ12" s="276">
        <v>4.707346598500453</v>
      </c>
      <c r="CR12" s="276">
        <v>4.7642965172083551</v>
      </c>
      <c r="CS12" s="276">
        <v>4.8215284903508211</v>
      </c>
      <c r="CT12" s="276">
        <v>4.8790641427816093</v>
      </c>
      <c r="CU12" s="276">
        <v>4.9369280859592468</v>
      </c>
      <c r="CV12" s="276">
        <v>4.9951484692381323</v>
      </c>
      <c r="CW12" s="276">
        <v>5.0537576523095806</v>
      </c>
      <c r="CX12" s="276">
        <v>5.1127930293138864</v>
      </c>
      <c r="CY12" s="276">
        <v>5.1722980434110806</v>
      </c>
      <c r="CZ12" s="276">
        <v>5.2323234404987966</v>
      </c>
      <c r="DA12" s="276">
        <v>5.29292882130094</v>
      </c>
      <c r="DB12" s="276">
        <v>5.3541845586748824</v>
      </c>
      <c r="DC12" s="276">
        <v>5.4161741417596572</v>
      </c>
      <c r="DD12" s="276">
        <v>5.4789969652538</v>
      </c>
      <c r="DE12" s="276">
        <v>5.5427714404587487</v>
      </c>
      <c r="DF12" s="276">
        <v>5.6076379310348958</v>
      </c>
      <c r="DG12" s="276">
        <v>5.6737601478044883</v>
      </c>
      <c r="DH12" s="276">
        <v>5.7413218877367997</v>
      </c>
      <c r="DI12" s="276">
        <v>5.8105132952881027</v>
      </c>
      <c r="DJ12" s="276">
        <v>5.8814990500755044</v>
      </c>
      <c r="DK12" s="276">
        <v>5.954366257184514</v>
      </c>
      <c r="DL12" s="276">
        <v>6.0290681477780597</v>
      </c>
      <c r="DM12" s="276">
        <v>6.1053971870093076</v>
      </c>
      <c r="DN12" s="276">
        <v>6.1830068041776496</v>
      </c>
      <c r="DO12" s="276">
        <v>6.2614625955663037</v>
      </c>
      <c r="DP12" s="276">
        <v>6.340289767227377</v>
      </c>
      <c r="DQ12" s="276">
        <v>6.4190018564228657</v>
      </c>
      <c r="DR12" s="276">
        <v>6.4971156948954008</v>
      </c>
      <c r="DS12" s="276">
        <v>6.5741654146919464</v>
      </c>
      <c r="DT12" s="276">
        <v>6.6497281377276707</v>
      </c>
      <c r="DU12" s="276">
        <v>6.7234663952630127</v>
      </c>
      <c r="DV12" s="276">
        <v>6.7951738991955004</v>
      </c>
      <c r="DW12" s="276">
        <v>6.8647945183924319</v>
      </c>
      <c r="DX12" s="276">
        <v>6.9323970603597536</v>
      </c>
      <c r="DY12" s="276">
        <v>6.9981233322992944</v>
      </c>
      <c r="DZ12" s="276">
        <v>7.0621400312595872</v>
      </c>
      <c r="EA12" s="276">
        <v>7.1246091041350299</v>
      </c>
      <c r="EB12" s="276">
        <v>7.1856745450570827</v>
      </c>
      <c r="EC12" s="276">
        <v>7.2454587121531526</v>
      </c>
      <c r="ED12" s="276">
        <v>7.3040628599796786</v>
      </c>
      <c r="EE12" s="276">
        <v>7.3615690461663617</v>
      </c>
      <c r="EF12" s="276">
        <v>7.4180421621198924</v>
      </c>
      <c r="EG12" s="276">
        <v>7.4735316303568329</v>
      </c>
      <c r="EH12" s="276">
        <v>7.5280726608728186</v>
      </c>
      <c r="EI12" s="276">
        <v>7.5816871158991566</v>
      </c>
      <c r="EJ12" s="276">
        <v>7.6343841406296837</v>
      </c>
      <c r="EK12" s="276">
        <v>7.6861608725396433</v>
      </c>
      <c r="EL12" s="276">
        <v>7.7370038173897946</v>
      </c>
      <c r="EM12" s="276">
        <v>7.7868918652339962</v>
      </c>
      <c r="EN12" s="276">
        <v>7.8358020781115707</v>
      </c>
      <c r="EO12" s="276">
        <v>7.8837183938419928</v>
      </c>
      <c r="EP12" s="276">
        <v>7.9306406073498907</v>
      </c>
      <c r="EQ12" s="276">
        <v>7.9765886100674663</v>
      </c>
      <c r="ER12" s="276">
        <v>8.0215991123650916</v>
      </c>
      <c r="ES12" s="276">
        <v>8.0657176479423693</v>
      </c>
      <c r="ET12" s="276">
        <v>8.1089909047931084</v>
      </c>
      <c r="EU12" s="276">
        <v>8.1514620490969083</v>
      </c>
      <c r="EV12" s="276">
        <v>8.1931689294540977</v>
      </c>
      <c r="EW12" s="276">
        <v>8.2341440671046691</v>
      </c>
      <c r="EX12" s="276">
        <v>8.2744155026809008</v>
      </c>
      <c r="EY12" s="276">
        <v>8.3140079614333704</v>
      </c>
      <c r="EZ12" s="276">
        <v>8.3529440760189893</v>
      </c>
      <c r="FA12" s="276">
        <v>8.3912455477144974</v>
      </c>
      <c r="FB12" s="276">
        <v>8.4289341819049</v>
      </c>
      <c r="FC12" s="276">
        <v>8.4660327402014914</v>
      </c>
      <c r="FD12" s="276">
        <v>8.5025655307766019</v>
      </c>
      <c r="FE12" s="276">
        <v>8.5385586253027981</v>
      </c>
      <c r="FF12" s="276">
        <v>8.574039567800936</v>
      </c>
      <c r="FG12" s="276">
        <v>8.60903647044222</v>
      </c>
      <c r="FH12" s="276">
        <v>8.6435765313410204</v>
      </c>
      <c r="FI12" s="276">
        <v>8.6776842784968906</v>
      </c>
      <c r="FJ12" s="272">
        <v>8.7113801285997567</v>
      </c>
      <c r="FK12" s="272">
        <v>8.7446798967777326</v>
      </c>
      <c r="FL12" s="272">
        <v>8.7775955402602541</v>
      </c>
      <c r="FM12" s="272">
        <v>8.8101368588942943</v>
      </c>
      <c r="FN12" s="272">
        <v>8.8423135225437672</v>
      </c>
      <c r="FO12" s="272">
        <v>8.8741368431676371</v>
      </c>
      <c r="FP12" s="272">
        <v>8.9056209945236855</v>
      </c>
      <c r="FQ12" s="272">
        <v>8.9367836523236566</v>
      </c>
      <c r="FR12" s="272">
        <v>8.9676461684555573</v>
      </c>
      <c r="FS12" s="272">
        <v>8.9982334231355647</v>
      </c>
      <c r="FT12" s="272">
        <v>9.0285734751387707</v>
      </c>
      <c r="FU12" s="272">
        <v>9.0586970932718316</v>
      </c>
      <c r="FV12" s="272">
        <v>9.0886372198612442</v>
      </c>
      <c r="FW12" s="272">
        <v>9.1184283936734492</v>
      </c>
      <c r="FX12" s="272">
        <v>9.148106144887711</v>
      </c>
      <c r="FY12" s="272">
        <v>9.1777063675254809</v>
      </c>
      <c r="FZ12" s="272">
        <v>9.2072646749692204</v>
      </c>
      <c r="GA12" s="272">
        <v>9.2368157520695178</v>
      </c>
      <c r="GB12" s="272">
        <v>9.2663927314819787</v>
      </c>
      <c r="GC12" s="272">
        <v>9.2960266372047826</v>
      </c>
    </row>
    <row r="13" spans="2:185" ht="15" thickBot="1" x14ac:dyDescent="0.4">
      <c r="B13" s="298">
        <v>7</v>
      </c>
      <c r="C13" s="275">
        <v>4.9479238199292546</v>
      </c>
      <c r="D13" s="275">
        <v>4.9927983783032008</v>
      </c>
      <c r="E13" s="275">
        <v>5.0379097565299604</v>
      </c>
      <c r="F13" s="275">
        <v>5.0832654825775476</v>
      </c>
      <c r="G13" s="275">
        <v>5.1288728715365046</v>
      </c>
      <c r="H13" s="275">
        <v>5.1747388984930742</v>
      </c>
      <c r="I13" s="275">
        <v>5.2208700472688134</v>
      </c>
      <c r="J13" s="275">
        <v>5.2672721331038206</v>
      </c>
      <c r="K13" s="275">
        <v>5.313950098143402</v>
      </c>
      <c r="L13" s="275">
        <v>5.3609077798591986</v>
      </c>
      <c r="M13" s="275">
        <v>5.4081476544332814</v>
      </c>
      <c r="N13" s="275">
        <v>5.4556705597667179</v>
      </c>
      <c r="O13" s="275">
        <v>5.5034754060915212</v>
      </c>
      <c r="P13" s="275">
        <v>5.5515588855579638</v>
      </c>
      <c r="Q13" s="275">
        <v>5.5999151932888447</v>
      </c>
      <c r="R13" s="275">
        <v>5.6485357637643698</v>
      </c>
      <c r="S13" s="275">
        <v>5.6974089864091892</v>
      </c>
      <c r="T13" s="275">
        <v>5.7465197374019068</v>
      </c>
      <c r="U13" s="275">
        <v>5.7958482433244667</v>
      </c>
      <c r="V13" s="275">
        <v>5.8453672309670912</v>
      </c>
      <c r="W13" s="275">
        <v>5.8950361616871829</v>
      </c>
      <c r="X13" s="275">
        <v>5.9447935018038276</v>
      </c>
      <c r="Y13" s="275">
        <v>5.9945518981130386</v>
      </c>
      <c r="Z13" s="275">
        <v>6.0441996593495544</v>
      </c>
      <c r="AA13" s="275">
        <v>6.0936049323113579</v>
      </c>
      <c r="AB13" s="275">
        <v>6.1426175818296862</v>
      </c>
      <c r="AC13" s="275">
        <v>6.1910680284039437</v>
      </c>
      <c r="AD13" s="275">
        <v>6.238765443724331</v>
      </c>
      <c r="AE13" s="275">
        <v>6.2855000494368829</v>
      </c>
      <c r="AF13" s="275">
        <v>6.3310580621892756</v>
      </c>
      <c r="AG13" s="275">
        <v>6.3752586354197014</v>
      </c>
      <c r="AH13" s="275">
        <v>6.4180049258861596</v>
      </c>
      <c r="AI13" s="275">
        <v>6.4593103414302764</v>
      </c>
      <c r="AJ13" s="275">
        <v>6.4992723807424344</v>
      </c>
      <c r="AK13" s="275">
        <v>6.5380216139931324</v>
      </c>
      <c r="AL13" s="275">
        <v>6.5756847182111491</v>
      </c>
      <c r="AM13" s="275">
        <v>6.6123694503768533</v>
      </c>
      <c r="AN13" s="275">
        <v>6.6481623437145538</v>
      </c>
      <c r="AO13" s="275">
        <v>6.6831310365349061</v>
      </c>
      <c r="AP13" s="275">
        <v>6.7173274931915463</v>
      </c>
      <c r="AQ13" s="275">
        <v>6.7507908642347516</v>
      </c>
      <c r="AR13" s="275">
        <v>6.7835497069228676</v>
      </c>
      <c r="AS13" s="275">
        <v>6.8156235894417216</v>
      </c>
      <c r="AT13" s="275">
        <v>6.8470241652629733</v>
      </c>
      <c r="AU13" s="275">
        <v>6.8777557982986872</v>
      </c>
      <c r="AV13" s="275">
        <v>6.9078158139256329</v>
      </c>
      <c r="AW13" s="275">
        <v>6.9371945003966351</v>
      </c>
      <c r="AX13" s="275">
        <v>6.9658751922073483</v>
      </c>
      <c r="AY13" s="275">
        <v>6.9938353240252553</v>
      </c>
      <c r="AZ13" s="275">
        <v>7.0210503297927627</v>
      </c>
      <c r="BA13" s="275">
        <v>7.0475025122505706</v>
      </c>
      <c r="BB13" s="275">
        <v>7.0731930945463617</v>
      </c>
      <c r="BC13" s="275">
        <v>7.0981485676246079</v>
      </c>
      <c r="BD13" s="275">
        <v>7.1224150425105339</v>
      </c>
      <c r="BE13" s="275">
        <v>7.146046920554193</v>
      </c>
      <c r="BF13" s="275">
        <v>7.1690987915451414</v>
      </c>
      <c r="BG13" s="275">
        <v>7.1916223746457861</v>
      </c>
      <c r="BH13" s="275">
        <v>7.2136664084071986</v>
      </c>
      <c r="BI13" s="275">
        <v>7.2352776540231423</v>
      </c>
      <c r="BJ13" s="275">
        <v>7.2565021721873331</v>
      </c>
      <c r="BK13" s="275">
        <v>7.2773866046100411</v>
      </c>
      <c r="BL13" s="275">
        <v>7.2979794151685544</v>
      </c>
      <c r="BM13" s="275">
        <v>7.3183321123348408</v>
      </c>
      <c r="BN13" s="275">
        <v>7.338500475865569</v>
      </c>
      <c r="BO13" s="275">
        <v>7.358545769449063</v>
      </c>
      <c r="BP13" s="275">
        <v>7.3785358178622431</v>
      </c>
      <c r="BQ13" s="275">
        <v>7.3985456079658656</v>
      </c>
      <c r="BR13" s="275">
        <v>7.4186566662105617</v>
      </c>
      <c r="BS13" s="275">
        <v>7.4389538993329056</v>
      </c>
      <c r="BT13" s="275">
        <v>7.4595183439759332</v>
      </c>
      <c r="BU13" s="275">
        <v>7.4804156663253396</v>
      </c>
      <c r="BV13" s="275">
        <v>7.5016842114603248</v>
      </c>
      <c r="BW13" s="275">
        <v>7.5233297893002646</v>
      </c>
      <c r="BX13" s="275">
        <v>7.5453311768398654</v>
      </c>
      <c r="BY13" s="275">
        <v>7.5676523621060827</v>
      </c>
      <c r="BZ13" s="275">
        <v>7.5902543479989362</v>
      </c>
      <c r="CA13" s="275">
        <v>7.6131027211371434</v>
      </c>
      <c r="CB13" s="275">
        <v>7.6361711489450013</v>
      </c>
      <c r="CC13" s="275">
        <v>7.6594423625895853</v>
      </c>
      <c r="CD13" s="275">
        <v>7.682907940602397</v>
      </c>
      <c r="CE13" s="275">
        <v>7.7065676388214603</v>
      </c>
      <c r="CF13" s="275">
        <v>7.7304286003043146</v>
      </c>
      <c r="CG13" s="275">
        <v>7.754504551162424</v>
      </c>
      <c r="CH13" s="275">
        <v>7.7788149720379316</v>
      </c>
      <c r="CI13" s="275">
        <v>7.8033841731577152</v>
      </c>
      <c r="CJ13" s="275">
        <v>7.8282401664254353</v>
      </c>
      <c r="CK13" s="275">
        <v>7.853413217491374</v>
      </c>
      <c r="CL13" s="275">
        <v>7.8789339884779466</v>
      </c>
      <c r="CM13" s="275">
        <v>7.9048312708991757</v>
      </c>
      <c r="CN13" s="275">
        <v>7.9311294687508314</v>
      </c>
      <c r="CO13" s="275">
        <v>7.957846188790116</v>
      </c>
      <c r="CP13" s="275"/>
      <c r="CQ13" s="276">
        <v>4.4788407924876541</v>
      </c>
      <c r="CR13" s="276">
        <v>4.5357373842328572</v>
      </c>
      <c r="CS13" s="276">
        <v>4.5929061371858859</v>
      </c>
      <c r="CT13" s="276">
        <v>4.6503672916142449</v>
      </c>
      <c r="CU13" s="276">
        <v>4.7081438908292359</v>
      </c>
      <c r="CV13" s="276">
        <v>4.7662623140594063</v>
      </c>
      <c r="CW13" s="276">
        <v>4.8247529328879333</v>
      </c>
      <c r="CX13" s="276">
        <v>4.883650925742117</v>
      </c>
      <c r="CY13" s="276">
        <v>4.9429972966653466</v>
      </c>
      <c r="CZ13" s="276">
        <v>5.0028401610108224</v>
      </c>
      <c r="DA13" s="276">
        <v>5.0632363835171406</v>
      </c>
      <c r="DB13" s="276">
        <v>5.1242536851638283</v>
      </c>
      <c r="DC13" s="276">
        <v>5.1859733741539289</v>
      </c>
      <c r="DD13" s="276">
        <v>5.2484938954441338</v>
      </c>
      <c r="DE13" s="276">
        <v>5.3119353983814683</v>
      </c>
      <c r="DF13" s="276">
        <v>5.3764453795005362</v>
      </c>
      <c r="DG13" s="276">
        <v>5.4422048308855269</v>
      </c>
      <c r="DH13" s="276">
        <v>5.5094323405537624</v>
      </c>
      <c r="DI13" s="276">
        <v>5.5783785488208402</v>
      </c>
      <c r="DJ13" s="276">
        <v>5.6492945564864954</v>
      </c>
      <c r="DK13" s="276">
        <v>5.722355590035118</v>
      </c>
      <c r="DL13" s="276">
        <v>5.7975557584738384</v>
      </c>
      <c r="DM13" s="276">
        <v>5.8746524198874486</v>
      </c>
      <c r="DN13" s="276">
        <v>5.9532156797034981</v>
      </c>
      <c r="DO13" s="276">
        <v>6.032727109761054</v>
      </c>
      <c r="DP13" s="276">
        <v>6.1126489442982113</v>
      </c>
      <c r="DQ13" s="276">
        <v>6.1924482936253193</v>
      </c>
      <c r="DR13" s="276">
        <v>6.2715972717259492</v>
      </c>
      <c r="DS13" s="276">
        <v>6.3495722411130062</v>
      </c>
      <c r="DT13" s="276">
        <v>6.4258745833586302</v>
      </c>
      <c r="DU13" s="276">
        <v>6.5000924364962351</v>
      </c>
      <c r="DV13" s="276">
        <v>6.5719894299507837</v>
      </c>
      <c r="DW13" s="276">
        <v>6.6415487761605192</v>
      </c>
      <c r="DX13" s="276">
        <v>6.7089218243143796</v>
      </c>
      <c r="DY13" s="276">
        <v>6.7743315453827826</v>
      </c>
      <c r="DZ13" s="276">
        <v>6.8380023432904471</v>
      </c>
      <c r="EA13" s="276">
        <v>6.9001305765618248</v>
      </c>
      <c r="EB13" s="276">
        <v>6.9608787714232063</v>
      </c>
      <c r="EC13" s="276">
        <v>7.02037859368785</v>
      </c>
      <c r="ED13" s="276">
        <v>7.0787356590973243</v>
      </c>
      <c r="EE13" s="276">
        <v>7.1360338466091262</v>
      </c>
      <c r="EF13" s="276">
        <v>7.1923385798119286</v>
      </c>
      <c r="EG13" s="276">
        <v>7.2476991063935321</v>
      </c>
      <c r="EH13" s="276">
        <v>7.3021499309777518</v>
      </c>
      <c r="EI13" s="276">
        <v>7.3557115563064146</v>
      </c>
      <c r="EJ13" s="276">
        <v>7.4083906872427896</v>
      </c>
      <c r="EK13" s="276">
        <v>7.4601801420910254</v>
      </c>
      <c r="EL13" s="276">
        <v>7.5110590432508477</v>
      </c>
      <c r="EM13" s="276">
        <v>7.5609946536764614</v>
      </c>
      <c r="EN13" s="276">
        <v>7.6099484403097719</v>
      </c>
      <c r="EO13" s="276">
        <v>7.6578888230902544</v>
      </c>
      <c r="EP13" s="276">
        <v>7.7048075598546921</v>
      </c>
      <c r="EQ13" s="276">
        <v>7.7507281332213136</v>
      </c>
      <c r="ER13" s="276">
        <v>7.7956983160980542</v>
      </c>
      <c r="ES13" s="276">
        <v>7.8397747645861147</v>
      </c>
      <c r="ET13" s="276">
        <v>7.88301129928871</v>
      </c>
      <c r="EU13" s="276">
        <v>7.9254539554238823</v>
      </c>
      <c r="EV13" s="276">
        <v>7.9671403798326548</v>
      </c>
      <c r="EW13" s="276">
        <v>8.0081010394920522</v>
      </c>
      <c r="EX13" s="276">
        <v>8.0483609340366833</v>
      </c>
      <c r="EY13" s="276">
        <v>8.0879413176814516</v>
      </c>
      <c r="EZ13" s="276">
        <v>8.1268612878238446</v>
      </c>
      <c r="FA13" s="276">
        <v>8.1651392161248211</v>
      </c>
      <c r="FB13" s="276">
        <v>8.2027940197540019</v>
      </c>
      <c r="FC13" s="276">
        <v>8.2398462502875454</v>
      </c>
      <c r="FD13" s="276">
        <v>8.2763189304926392</v>
      </c>
      <c r="FE13" s="276">
        <v>8.3122379970195421</v>
      </c>
      <c r="FF13" s="276">
        <v>8.3476321220513299</v>
      </c>
      <c r="FG13" s="276">
        <v>8.382531645386111</v>
      </c>
      <c r="FH13" s="276">
        <v>8.4169664815544323</v>
      </c>
      <c r="FI13" s="276">
        <v>8.4509633200462009</v>
      </c>
      <c r="FJ13" s="272">
        <v>8.4845431048880506</v>
      </c>
      <c r="FK13" s="272">
        <v>8.5177200723232716</v>
      </c>
      <c r="FL13" s="272">
        <v>8.5505029605358214</v>
      </c>
      <c r="FM13" s="272">
        <v>8.5828977838622915</v>
      </c>
      <c r="FN13" s="272">
        <v>8.6149108994154098</v>
      </c>
      <c r="FO13" s="272">
        <v>8.6465513871634183</v>
      </c>
      <c r="FP13" s="272">
        <v>8.6778324336651096</v>
      </c>
      <c r="FQ13" s="272">
        <v>8.7087718645922365</v>
      </c>
      <c r="FR13" s="272">
        <v>8.7393921063491575</v>
      </c>
      <c r="FS13" s="272">
        <v>8.7697198182760498</v>
      </c>
      <c r="FT13" s="272">
        <v>8.7997853553834471</v>
      </c>
      <c r="FU13" s="272">
        <v>8.8296221529237773</v>
      </c>
      <c r="FV13" s="272">
        <v>8.8592660783364856</v>
      </c>
      <c r="FW13" s="272">
        <v>8.8887547680780425</v>
      </c>
      <c r="FX13" s="272">
        <v>8.9181269502970739</v>
      </c>
      <c r="FY13" s="272">
        <v>8.9474217460183532</v>
      </c>
      <c r="FZ13" s="272">
        <v>8.976677941801853</v>
      </c>
      <c r="GA13" s="272">
        <v>9.0059332383659036</v>
      </c>
      <c r="GB13" s="272">
        <v>9.0352235037402266</v>
      </c>
      <c r="GC13" s="272">
        <v>9.0645820904293402</v>
      </c>
    </row>
    <row r="14" spans="2:185" ht="15" thickBot="1" x14ac:dyDescent="0.4">
      <c r="B14" s="298">
        <v>8</v>
      </c>
      <c r="C14" s="275">
        <v>4.724879501050772</v>
      </c>
      <c r="D14" s="275">
        <v>4.7696495446862546</v>
      </c>
      <c r="E14" s="275">
        <v>4.8146607899989391</v>
      </c>
      <c r="F14" s="275">
        <v>4.8599217690365597</v>
      </c>
      <c r="G14" s="275">
        <v>4.90544092343056</v>
      </c>
      <c r="H14" s="275">
        <v>4.951226484006316</v>
      </c>
      <c r="I14" s="275">
        <v>4.997286324273337</v>
      </c>
      <c r="J14" s="275">
        <v>5.0436277850958691</v>
      </c>
      <c r="K14" s="275">
        <v>5.0902574686005018</v>
      </c>
      <c r="L14" s="275">
        <v>5.137181000768611</v>
      </c>
      <c r="M14" s="275">
        <v>5.1844027644758262</v>
      </c>
      <c r="N14" s="275">
        <v>5.2319256083910242</v>
      </c>
      <c r="O14" s="275">
        <v>5.2797505427252158</v>
      </c>
      <c r="P14" s="275">
        <v>5.3278764411374766</v>
      </c>
      <c r="Q14" s="275">
        <v>5.3762997799876029</v>
      </c>
      <c r="R14" s="275">
        <v>5.4250144609219806</v>
      </c>
      <c r="S14" s="275">
        <v>5.4740117710462899</v>
      </c>
      <c r="T14" s="275">
        <v>5.5232804873763222</v>
      </c>
      <c r="U14" s="275">
        <v>5.5728068279178533</v>
      </c>
      <c r="V14" s="275">
        <v>5.6225728046995327</v>
      </c>
      <c r="W14" s="275">
        <v>5.6725492387902534</v>
      </c>
      <c r="X14" s="275">
        <v>5.7226815137234794</v>
      </c>
      <c r="Y14" s="275">
        <v>5.7728797230339532</v>
      </c>
      <c r="Z14" s="275">
        <v>5.8230250238425709</v>
      </c>
      <c r="AA14" s="275">
        <v>5.8729799722039298</v>
      </c>
      <c r="AB14" s="275">
        <v>5.9225907175898787</v>
      </c>
      <c r="AC14" s="275">
        <v>5.9716824819731729</v>
      </c>
      <c r="AD14" s="275">
        <v>6.0200519462485698</v>
      </c>
      <c r="AE14" s="275">
        <v>6.0674602423065398</v>
      </c>
      <c r="AF14" s="275">
        <v>6.1136380667949028</v>
      </c>
      <c r="AG14" s="275">
        <v>6.1583320778802149</v>
      </c>
      <c r="AH14" s="275">
        <v>6.2014071868898473</v>
      </c>
      <c r="AI14" s="275">
        <v>6.2429121355825439</v>
      </c>
      <c r="AJ14" s="275">
        <v>6.28301405214581</v>
      </c>
      <c r="AK14" s="275">
        <v>6.3218962266713046</v>
      </c>
      <c r="AL14" s="275">
        <v>6.3597116414380306</v>
      </c>
      <c r="AM14" s="275">
        <v>6.3965775647260852</v>
      </c>
      <c r="AN14" s="275">
        <v>6.4325820139391654</v>
      </c>
      <c r="AO14" s="275">
        <v>6.4677908382753806</v>
      </c>
      <c r="AP14" s="275">
        <v>6.5022531257585312</v>
      </c>
      <c r="AQ14" s="275">
        <v>6.5360049931685733</v>
      </c>
      <c r="AR14" s="275">
        <v>6.5690721707119204</v>
      </c>
      <c r="AS14" s="275">
        <v>6.6014717183155236</v>
      </c>
      <c r="AT14" s="275">
        <v>6.6332130872118817</v>
      </c>
      <c r="AU14" s="275">
        <v>6.6642986368965671</v>
      </c>
      <c r="AV14" s="275">
        <v>6.6947236362245404</v>
      </c>
      <c r="AW14" s="275">
        <v>6.7244757260860144</v>
      </c>
      <c r="AX14" s="275">
        <v>6.7535338798459419</v>
      </c>
      <c r="AY14" s="275">
        <v>6.7818674213956136</v>
      </c>
      <c r="AZ14" s="275">
        <v>6.8094376981098153</v>
      </c>
      <c r="BA14" s="275">
        <v>6.8362091016005433</v>
      </c>
      <c r="BB14" s="275">
        <v>6.8621728083799347</v>
      </c>
      <c r="BC14" s="275">
        <v>6.8873620942803457</v>
      </c>
      <c r="BD14" s="275">
        <v>6.911837682714995</v>
      </c>
      <c r="BE14" s="275">
        <v>6.93566468849472</v>
      </c>
      <c r="BF14" s="275">
        <v>6.9589023266984009</v>
      </c>
      <c r="BG14" s="275">
        <v>6.9816030411484693</v>
      </c>
      <c r="BH14" s="275">
        <v>7.0038143918497546</v>
      </c>
      <c r="BI14" s="275">
        <v>7.0255811450587107</v>
      </c>
      <c r="BJ14" s="275">
        <v>7.0469470603160529</v>
      </c>
      <c r="BK14" s="275">
        <v>7.0679564123156213</v>
      </c>
      <c r="BL14" s="275">
        <v>7.0886553739278346</v>
      </c>
      <c r="BM14" s="275">
        <v>7.1090933791541353</v>
      </c>
      <c r="BN14" s="275">
        <v>7.1293245654660646</v>
      </c>
      <c r="BO14" s="275">
        <v>7.1494093693114884</v>
      </c>
      <c r="BP14" s="275">
        <v>7.169416285593627</v>
      </c>
      <c r="BQ14" s="275">
        <v>7.1894236146804049</v>
      </c>
      <c r="BR14" s="275">
        <v>7.2095205079472686</v>
      </c>
      <c r="BS14" s="275">
        <v>7.2298054568236214</v>
      </c>
      <c r="BT14" s="275">
        <v>7.2503786144006854</v>
      </c>
      <c r="BU14" s="275">
        <v>7.271324496435863</v>
      </c>
      <c r="BV14" s="275">
        <v>7.2926894512704026</v>
      </c>
      <c r="BW14" s="275">
        <v>7.3144705204317688</v>
      </c>
      <c r="BX14" s="275">
        <v>7.336626870570135</v>
      </c>
      <c r="BY14" s="275">
        <v>7.3591026225470264</v>
      </c>
      <c r="BZ14" s="275">
        <v>7.3818444624541257</v>
      </c>
      <c r="CA14" s="275">
        <v>7.4048096517150359</v>
      </c>
      <c r="CB14" s="275">
        <v>7.4279678961591262</v>
      </c>
      <c r="CC14" s="275">
        <v>7.4513006915304461</v>
      </c>
      <c r="CD14" s="275">
        <v>7.4748000061863173</v>
      </c>
      <c r="CE14" s="275">
        <v>7.4984669937806361</v>
      </c>
      <c r="CF14" s="275">
        <v>7.5223109123198437</v>
      </c>
      <c r="CG14" s="275">
        <v>7.5463482319418134</v>
      </c>
      <c r="CH14" s="275">
        <v>7.5706018401531994</v>
      </c>
      <c r="CI14" s="275">
        <v>7.5951002130570604</v>
      </c>
      <c r="CJ14" s="275">
        <v>7.6198763846161537</v>
      </c>
      <c r="CK14" s="275">
        <v>7.6449665145894876</v>
      </c>
      <c r="CL14" s="275">
        <v>7.6704078578134807</v>
      </c>
      <c r="CM14" s="275">
        <v>7.6962360276883492</v>
      </c>
      <c r="CN14" s="275">
        <v>7.7224816818229227</v>
      </c>
      <c r="CO14" s="275">
        <v>7.7491671239113886</v>
      </c>
      <c r="CP14" s="275"/>
      <c r="CQ14" s="276">
        <v>4.2507185566118606</v>
      </c>
      <c r="CR14" s="276">
        <v>4.3075829136515624</v>
      </c>
      <c r="CS14" s="276">
        <v>4.3647109444748544</v>
      </c>
      <c r="CT14" s="276">
        <v>4.4221215559523062</v>
      </c>
      <c r="CU14" s="276">
        <v>4.4798362524085693</v>
      </c>
      <c r="CV14" s="276">
        <v>4.5378796367145657</v>
      </c>
      <c r="CW14" s="276">
        <v>4.5962800304948876</v>
      </c>
      <c r="CX14" s="276">
        <v>4.6550702480376014</v>
      </c>
      <c r="CY14" s="276">
        <v>4.7142885713146576</v>
      </c>
      <c r="CZ14" s="276">
        <v>4.773979992511296</v>
      </c>
      <c r="DA14" s="276">
        <v>4.8341978192453476</v>
      </c>
      <c r="DB14" s="276">
        <v>4.8950057821795818</v>
      </c>
      <c r="DC14" s="276">
        <v>4.9564808545619821</v>
      </c>
      <c r="DD14" s="276">
        <v>5.0187171026981119</v>
      </c>
      <c r="DE14" s="276">
        <v>5.0818310519533973</v>
      </c>
      <c r="DF14" s="276">
        <v>5.1459692701146311</v>
      </c>
      <c r="DG14" s="276">
        <v>5.2113189976063543</v>
      </c>
      <c r="DH14" s="276">
        <v>5.2781219205496939</v>
      </c>
      <c r="DI14" s="276">
        <v>5.346686407786212</v>
      </c>
      <c r="DJ14" s="276">
        <v>5.4173754167824084</v>
      </c>
      <c r="DK14" s="276">
        <v>5.4905109842322224</v>
      </c>
      <c r="DL14" s="276">
        <v>5.566165493077726</v>
      </c>
      <c r="DM14" s="276">
        <v>5.6440265562735519</v>
      </c>
      <c r="DN14" s="276">
        <v>5.7235257228759897</v>
      </c>
      <c r="DO14" s="276">
        <v>5.804040040672314</v>
      </c>
      <c r="DP14" s="276">
        <v>5.8849787744927129</v>
      </c>
      <c r="DQ14" s="276">
        <v>5.9657841706005392</v>
      </c>
      <c r="DR14" s="276">
        <v>6.045905133632937</v>
      </c>
      <c r="DS14" s="276">
        <v>6.1247707518580947</v>
      </c>
      <c r="DT14" s="276">
        <v>6.2017889702522684</v>
      </c>
      <c r="DU14" s="276">
        <v>6.2764239329037972</v>
      </c>
      <c r="DV14" s="276">
        <v>6.3483781242139363</v>
      </c>
      <c r="DW14" s="276">
        <v>6.4177084468254648</v>
      </c>
      <c r="DX14" s="276">
        <v>6.4847024438443821</v>
      </c>
      <c r="DY14" s="276">
        <v>6.5496876237697244</v>
      </c>
      <c r="DZ14" s="276">
        <v>6.6129438062309616</v>
      </c>
      <c r="EA14" s="276">
        <v>6.6746913525237952</v>
      </c>
      <c r="EB14" s="276">
        <v>6.7351015228460609</v>
      </c>
      <c r="EC14" s="276">
        <v>6.7943082149263789</v>
      </c>
      <c r="ED14" s="276">
        <v>6.8524168176276774</v>
      </c>
      <c r="EE14" s="276">
        <v>6.9095102531229973</v>
      </c>
      <c r="EF14" s="276">
        <v>6.9656529414544561</v>
      </c>
      <c r="EG14" s="276">
        <v>7.0208932934727759</v>
      </c>
      <c r="EH14" s="276">
        <v>7.0752651226669681</v>
      </c>
      <c r="EI14" s="276">
        <v>7.1287881907612238</v>
      </c>
      <c r="EJ14" s="276">
        <v>7.1814679757462816</v>
      </c>
      <c r="EK14" s="276">
        <v>7.2332946950385537</v>
      </c>
      <c r="EL14" s="276">
        <v>7.2842417722885289</v>
      </c>
      <c r="EM14" s="276">
        <v>7.3342648363810348</v>
      </c>
      <c r="EN14" s="276">
        <v>7.3833052567761923</v>
      </c>
      <c r="EO14" s="276">
        <v>7.4313068484077442</v>
      </c>
      <c r="EP14" s="276">
        <v>7.4782479217472124</v>
      </c>
      <c r="EQ14" s="276">
        <v>7.5241608918146587</v>
      </c>
      <c r="ER14" s="276">
        <v>7.5691136002252328</v>
      </c>
      <c r="ES14" s="276">
        <v>7.6131782215897976</v>
      </c>
      <c r="ET14" s="276">
        <v>7.6564155676793382</v>
      </c>
      <c r="EU14" s="276">
        <v>7.6988726448016847</v>
      </c>
      <c r="EV14" s="276">
        <v>7.7405848688444374</v>
      </c>
      <c r="EW14" s="276">
        <v>7.7815789820362786</v>
      </c>
      <c r="EX14" s="276">
        <v>7.8218756474581763</v>
      </c>
      <c r="EY14" s="276">
        <v>7.8614916226640768</v>
      </c>
      <c r="EZ14" s="276">
        <v>7.9004416087003033</v>
      </c>
      <c r="FA14" s="276">
        <v>7.938739875071982</v>
      </c>
      <c r="FB14" s="276">
        <v>7.9764017262237594</v>
      </c>
      <c r="FC14" s="276">
        <v>8.0134448298343983</v>
      </c>
      <c r="FD14" s="276">
        <v>8.0498903636238612</v>
      </c>
      <c r="FE14" s="276">
        <v>8.0857638320527716</v>
      </c>
      <c r="FF14" s="276">
        <v>8.1210952331331967</v>
      </c>
      <c r="FG14" s="276">
        <v>8.1559180460336034</v>
      </c>
      <c r="FH14" s="276">
        <v>8.1902664736547734</v>
      </c>
      <c r="FI14" s="276">
        <v>8.2241709959441387</v>
      </c>
      <c r="FJ14" s="272">
        <v>8.2576538082898363</v>
      </c>
      <c r="FK14" s="272">
        <v>8.290726888334488</v>
      </c>
      <c r="FL14" s="272">
        <v>8.3233941677065104</v>
      </c>
      <c r="FM14" s="272">
        <v>8.3556563387396547</v>
      </c>
      <c r="FN14" s="272">
        <v>8.3875155597374693</v>
      </c>
      <c r="FO14" s="272">
        <v>8.4189784920383772</v>
      </c>
      <c r="FP14" s="272">
        <v>8.4500576218814878</v>
      </c>
      <c r="FQ14" s="272">
        <v>8.480771443476133</v>
      </c>
      <c r="FR14" s="272">
        <v>8.511144045909818</v>
      </c>
      <c r="FS14" s="272">
        <v>8.5412044411131571</v>
      </c>
      <c r="FT14" s="272">
        <v>8.5709858051658223</v>
      </c>
      <c r="FU14" s="272">
        <v>8.6005247093387869</v>
      </c>
      <c r="FV14" s="272">
        <v>8.6298603677266765</v>
      </c>
      <c r="FW14" s="272">
        <v>8.6590339025148566</v>
      </c>
      <c r="FX14" s="272">
        <v>8.688087612610504</v>
      </c>
      <c r="FY14" s="272">
        <v>8.717064221487254</v>
      </c>
      <c r="FZ14" s="272">
        <v>8.7460060774084365</v>
      </c>
      <c r="GA14" s="272">
        <v>8.7749542913576164</v>
      </c>
      <c r="GB14" s="272">
        <v>8.8039478342293176</v>
      </c>
      <c r="GC14" s="272">
        <v>8.8330226735663224</v>
      </c>
    </row>
    <row r="15" spans="2:185" ht="15" thickBot="1" x14ac:dyDescent="0.4">
      <c r="B15" s="298">
        <v>9</v>
      </c>
      <c r="C15" s="275">
        <v>4.5016049798769684</v>
      </c>
      <c r="D15" s="275">
        <v>4.5462531553783156</v>
      </c>
      <c r="E15" s="275">
        <v>4.591145708291279</v>
      </c>
      <c r="F15" s="275">
        <v>4.6362921248078601</v>
      </c>
      <c r="G15" s="275">
        <v>4.6817019302711884</v>
      </c>
      <c r="H15" s="275">
        <v>4.7273845776836234</v>
      </c>
      <c r="I15" s="275">
        <v>4.7733493080616514</v>
      </c>
      <c r="J15" s="275">
        <v>4.8196049788578224</v>
      </c>
      <c r="K15" s="275">
        <v>4.8661598572070934</v>
      </c>
      <c r="L15" s="275">
        <v>4.9130213759620371</v>
      </c>
      <c r="M15" s="275">
        <v>4.9601958527121051</v>
      </c>
      <c r="N15" s="275">
        <v>5.0076881757808529</v>
      </c>
      <c r="O15" s="275">
        <v>5.0555014674594867</v>
      </c>
      <c r="P15" s="275">
        <v>5.1036367450784343</v>
      </c>
      <c r="Q15" s="275">
        <v>5.1520926180813182</v>
      </c>
      <c r="R15" s="275">
        <v>5.2008650904654736</v>
      </c>
      <c r="S15" s="275">
        <v>5.249947595535323</v>
      </c>
      <c r="T15" s="275">
        <v>5.2993314918292667</v>
      </c>
      <c r="U15" s="275">
        <v>5.3490073493143946</v>
      </c>
      <c r="V15" s="275">
        <v>5.3989666987015008</v>
      </c>
      <c r="W15" s="275">
        <v>5.4491980196498409</v>
      </c>
      <c r="X15" s="275">
        <v>5.4996597529444422</v>
      </c>
      <c r="Y15" s="275">
        <v>5.5502537361320261</v>
      </c>
      <c r="Z15" s="275">
        <v>5.6008484685046271</v>
      </c>
      <c r="AA15" s="275">
        <v>5.6513023275481542</v>
      </c>
      <c r="AB15" s="275">
        <v>5.7014627022665163</v>
      </c>
      <c r="AC15" s="275">
        <v>5.7511572177303174</v>
      </c>
      <c r="AD15" s="275">
        <v>5.8001814508777718</v>
      </c>
      <c r="AE15" s="275">
        <v>5.8482808372799759</v>
      </c>
      <c r="AF15" s="275">
        <v>5.8951289217673004</v>
      </c>
      <c r="AG15" s="275">
        <v>5.9403505173538056</v>
      </c>
      <c r="AH15" s="275">
        <v>5.9837247640126661</v>
      </c>
      <c r="AI15" s="275">
        <v>6.0253830180516141</v>
      </c>
      <c r="AJ15" s="275">
        <v>6.0656111914092952</v>
      </c>
      <c r="AK15" s="275">
        <v>6.1046468484005558</v>
      </c>
      <c r="AL15" s="275">
        <v>6.1426560339914564</v>
      </c>
      <c r="AM15" s="275">
        <v>6.179754693048042</v>
      </c>
      <c r="AN15" s="275">
        <v>6.2160258647059967</v>
      </c>
      <c r="AO15" s="275">
        <v>6.2515301426756311</v>
      </c>
      <c r="AP15" s="275">
        <v>6.2863119920978541</v>
      </c>
      <c r="AQ15" s="275">
        <v>6.3204036936229082</v>
      </c>
      <c r="AR15" s="275">
        <v>6.3538278737582718</v>
      </c>
      <c r="AS15" s="275">
        <v>6.3865991276855176</v>
      </c>
      <c r="AT15" s="275">
        <v>6.4187249949444292</v>
      </c>
      <c r="AU15" s="275">
        <v>6.4502063982988274</v>
      </c>
      <c r="AV15" s="275">
        <v>6.4810375359843491</v>
      </c>
      <c r="AW15" s="275">
        <v>6.5112050771477596</v>
      </c>
      <c r="AX15" s="275">
        <v>6.5406863025531372</v>
      </c>
      <c r="AY15" s="275">
        <v>6.5694456312551592</v>
      </c>
      <c r="AZ15" s="275">
        <v>6.5974301307123939</v>
      </c>
      <c r="BA15" s="275">
        <v>6.624575188059552</v>
      </c>
      <c r="BB15" s="275">
        <v>6.6508512509643358</v>
      </c>
      <c r="BC15" s="275">
        <v>6.6763093580644473</v>
      </c>
      <c r="BD15" s="275">
        <v>6.7010362316922016</v>
      </c>
      <c r="BE15" s="275">
        <v>6.7251081808270623</v>
      </c>
      <c r="BF15" s="275">
        <v>6.7485861163877079</v>
      </c>
      <c r="BG15" s="275">
        <v>6.7715207957013108</v>
      </c>
      <c r="BH15" s="275">
        <v>6.7939571490805699</v>
      </c>
      <c r="BI15" s="275">
        <v>6.8159371302694201</v>
      </c>
      <c r="BJ15" s="275">
        <v>6.8375017027426122</v>
      </c>
      <c r="BK15" s="275">
        <v>6.8586923936520412</v>
      </c>
      <c r="BL15" s="275">
        <v>6.8795526733662227</v>
      </c>
      <c r="BM15" s="275">
        <v>6.900129333529077</v>
      </c>
      <c r="BN15" s="275">
        <v>6.9204740089730432</v>
      </c>
      <c r="BO15" s="275">
        <v>6.9406449961561716</v>
      </c>
      <c r="BP15" s="275">
        <v>6.9607095431305606</v>
      </c>
      <c r="BQ15" s="275">
        <v>6.980746766364966</v>
      </c>
      <c r="BR15" s="275">
        <v>7.0008510645305844</v>
      </c>
      <c r="BS15" s="275">
        <v>7.0211345753497074</v>
      </c>
      <c r="BT15" s="275">
        <v>7.0417230370910708</v>
      </c>
      <c r="BU15" s="275">
        <v>7.0627327968745899</v>
      </c>
      <c r="BV15" s="275">
        <v>7.0842259040632376</v>
      </c>
      <c r="BW15" s="275">
        <v>7.1061829447673386</v>
      </c>
      <c r="BX15" s="275">
        <v>7.1285304995473062</v>
      </c>
      <c r="BY15" s="275">
        <v>7.151186349764485</v>
      </c>
      <c r="BZ15" s="275">
        <v>7.1740827843433594</v>
      </c>
      <c r="CA15" s="275">
        <v>7.1971710769399726</v>
      </c>
      <c r="CB15" s="275">
        <v>7.2204194002846052</v>
      </c>
      <c r="CC15" s="275">
        <v>7.2438098257451564</v>
      </c>
      <c r="CD15" s="275">
        <v>7.2673358721107677</v>
      </c>
      <c r="CE15" s="275">
        <v>7.2910007432950819</v>
      </c>
      <c r="CF15" s="275">
        <v>7.3148161074514828</v>
      </c>
      <c r="CG15" s="275">
        <v>7.3388012451154028</v>
      </c>
      <c r="CH15" s="275">
        <v>7.3629824060717866</v>
      </c>
      <c r="CI15" s="275">
        <v>7.3873922059548534</v>
      </c>
      <c r="CJ15" s="275">
        <v>7.4120688501162517</v>
      </c>
      <c r="CK15" s="275">
        <v>7.437054898212601</v>
      </c>
      <c r="CL15" s="275">
        <v>7.4623952131236999</v>
      </c>
      <c r="CM15" s="275">
        <v>7.4881337675105897</v>
      </c>
      <c r="CN15" s="275">
        <v>7.5143092698826877</v>
      </c>
      <c r="CO15" s="275">
        <v>7.5409502216609301</v>
      </c>
      <c r="CP15" s="275"/>
      <c r="CQ15" s="276">
        <v>4.0229895954586024</v>
      </c>
      <c r="CR15" s="276">
        <v>4.0798450370366428</v>
      </c>
      <c r="CS15" s="276">
        <v>4.1369575305270541</v>
      </c>
      <c r="CT15" s="276">
        <v>4.1943448053664794</v>
      </c>
      <c r="CU15" s="276">
        <v>4.2520269890021876</v>
      </c>
      <c r="CV15" s="276">
        <v>4.3100270720204357</v>
      </c>
      <c r="CW15" s="276">
        <v>4.3683714845863859</v>
      </c>
      <c r="CX15" s="276">
        <v>4.42709081642173</v>
      </c>
      <c r="CY15" s="276">
        <v>4.4862207244817736</v>
      </c>
      <c r="CZ15" s="276">
        <v>4.5458030904082438</v>
      </c>
      <c r="DA15" s="276">
        <v>4.6058875176776111</v>
      </c>
      <c r="DB15" s="276">
        <v>4.6665333033047132</v>
      </c>
      <c r="DC15" s="276">
        <v>4.7278120944562483</v>
      </c>
      <c r="DD15" s="276">
        <v>4.7898115725734982</v>
      </c>
      <c r="DE15" s="276">
        <v>4.8526407493085184</v>
      </c>
      <c r="DF15" s="276">
        <v>4.916437917770633</v>
      </c>
      <c r="DG15" s="276">
        <v>4.9813831920509957</v>
      </c>
      <c r="DH15" s="276">
        <v>5.0477191881681289</v>
      </c>
      <c r="DI15" s="276">
        <v>5.1157850385926791</v>
      </c>
      <c r="DJ15" s="276">
        <v>5.1860586071660268</v>
      </c>
      <c r="DK15" s="276">
        <v>5.2591081642788504</v>
      </c>
      <c r="DL15" s="276">
        <v>5.3351802903270098</v>
      </c>
      <c r="DM15" s="276">
        <v>5.4137976585970264</v>
      </c>
      <c r="DN15" s="276">
        <v>5.494155221747218</v>
      </c>
      <c r="DO15" s="276">
        <v>5.5755254077437417</v>
      </c>
      <c r="DP15" s="276">
        <v>5.657297504252238</v>
      </c>
      <c r="DQ15" s="276">
        <v>5.7389225482098754</v>
      </c>
      <c r="DR15" s="276">
        <v>5.8198591048559969</v>
      </c>
      <c r="DS15" s="276">
        <v>5.8995202369533546</v>
      </c>
      <c r="DT15" s="276">
        <v>5.9772210322675932</v>
      </c>
      <c r="DU15" s="276">
        <v>6.0522128304438763</v>
      </c>
      <c r="DV15" s="276">
        <v>6.1240506021732584</v>
      </c>
      <c r="DW15" s="276">
        <v>6.1929523505862214</v>
      </c>
      <c r="DX15" s="276">
        <v>6.2594323836309709</v>
      </c>
      <c r="DY15" s="276">
        <v>6.3239256530511572</v>
      </c>
      <c r="DZ15" s="276">
        <v>6.3867430055026944</v>
      </c>
      <c r="EA15" s="276">
        <v>6.448108790183559</v>
      </c>
      <c r="EB15" s="276">
        <v>6.5081909965781497</v>
      </c>
      <c r="EC15" s="276">
        <v>6.5671192460508339</v>
      </c>
      <c r="ED15" s="276">
        <v>6.6249953528797834</v>
      </c>
      <c r="EE15" s="276">
        <v>6.6818996755477356</v>
      </c>
      <c r="EF15" s="276">
        <v>6.7378949972843847</v>
      </c>
      <c r="EG15" s="276">
        <v>6.7930288517083044</v>
      </c>
      <c r="EH15" s="276">
        <v>6.8473347675921499</v>
      </c>
      <c r="EI15" s="276">
        <v>6.9008326443393768</v>
      </c>
      <c r="EJ15" s="276">
        <v>6.9535282722700336</v>
      </c>
      <c r="EK15" s="276">
        <v>7.0054118047240914</v>
      </c>
      <c r="EL15" s="276">
        <v>7.0564547387195331</v>
      </c>
      <c r="EM15" s="276">
        <v>7.1066049384204613</v>
      </c>
      <c r="EN15" s="276">
        <v>7.1557818082428444</v>
      </c>
      <c r="EO15" s="276">
        <v>7.2038886739366514</v>
      </c>
      <c r="EP15" s="276">
        <v>7.2508767578422084</v>
      </c>
      <c r="EQ15" s="276">
        <v>7.296801127985721</v>
      </c>
      <c r="ER15" s="276">
        <v>7.3417656545015042</v>
      </c>
      <c r="ES15" s="276">
        <v>7.3858599645592946</v>
      </c>
      <c r="ET15" s="276">
        <v>7.4291480424247993</v>
      </c>
      <c r="EU15" s="276">
        <v>7.4716741183052644</v>
      </c>
      <c r="EV15" s="276">
        <v>7.5134688236581502</v>
      </c>
      <c r="EW15" s="276">
        <v>7.5545535521715443</v>
      </c>
      <c r="EX15" s="276">
        <v>7.5949435542230876</v>
      </c>
      <c r="EY15" s="276">
        <v>7.6346502959004354</v>
      </c>
      <c r="EZ15" s="276">
        <v>7.6736834054458116</v>
      </c>
      <c r="FA15" s="276">
        <v>7.7120523930964042</v>
      </c>
      <c r="FB15" s="276">
        <v>7.7497682532518697</v>
      </c>
      <c r="FC15" s="276">
        <v>7.7868450086810403</v>
      </c>
      <c r="FD15" s="276">
        <v>7.8233012038861309</v>
      </c>
      <c r="FE15" s="276">
        <v>7.8591612529567536</v>
      </c>
      <c r="FF15" s="276">
        <v>7.8944563131276722</v>
      </c>
      <c r="FG15" s="276">
        <v>7.9292238816909153</v>
      </c>
      <c r="FH15" s="276">
        <v>7.9635047078265302</v>
      </c>
      <c r="FI15" s="276">
        <v>7.9973359125985652</v>
      </c>
      <c r="FJ15" s="272">
        <v>8.0307423367750985</v>
      </c>
      <c r="FK15" s="272">
        <v>8.0637323898239934</v>
      </c>
      <c r="FL15" s="272">
        <v>8.0963024292619163</v>
      </c>
      <c r="FM15" s="272">
        <v>8.1284456477659717</v>
      </c>
      <c r="FN15" s="272">
        <v>8.1601592016082325</v>
      </c>
      <c r="FO15" s="272">
        <v>8.1914475683626211</v>
      </c>
      <c r="FP15" s="272">
        <v>8.2223232494182508</v>
      </c>
      <c r="FQ15" s="272">
        <v>8.2528062363529955</v>
      </c>
      <c r="FR15" s="272">
        <v>8.2829230569655738</v>
      </c>
      <c r="FS15" s="272">
        <v>8.3127057475949329</v>
      </c>
      <c r="FT15" s="272">
        <v>8.3421908712130346</v>
      </c>
      <c r="FU15" s="272">
        <v>8.3714186104478632</v>
      </c>
      <c r="FV15" s="272">
        <v>8.4004319317440395</v>
      </c>
      <c r="FW15" s="272">
        <v>8.4292758029832857</v>
      </c>
      <c r="FX15" s="272">
        <v>8.4579964360046489</v>
      </c>
      <c r="FY15" s="272">
        <v>8.4866405122775284</v>
      </c>
      <c r="FZ15" s="272">
        <v>8.5152543374663114</v>
      </c>
      <c r="GA15" s="272">
        <v>8.5438828731529863</v>
      </c>
      <c r="GB15" s="272">
        <v>8.5725686379751238</v>
      </c>
      <c r="GC15" s="272">
        <v>8.60135057496292</v>
      </c>
    </row>
    <row r="16" spans="2:185" ht="15" thickBot="1" x14ac:dyDescent="0.4">
      <c r="B16" s="298">
        <v>10</v>
      </c>
      <c r="C16" s="275">
        <v>4.2781203528385374</v>
      </c>
      <c r="D16" s="275">
        <v>4.3226296974612781</v>
      </c>
      <c r="E16" s="275">
        <v>4.367385328279088</v>
      </c>
      <c r="F16" s="275">
        <v>4.4123976239114597</v>
      </c>
      <c r="G16" s="275">
        <v>4.4576771388412029</v>
      </c>
      <c r="H16" s="275">
        <v>4.5032345038018304</v>
      </c>
      <c r="I16" s="275">
        <v>4.549080296312777</v>
      </c>
      <c r="J16" s="275">
        <v>4.5952248763344068</v>
      </c>
      <c r="K16" s="275">
        <v>4.6416781821980253</v>
      </c>
      <c r="L16" s="275">
        <v>4.6884494827849634</v>
      </c>
      <c r="M16" s="275">
        <v>4.7355470837466331</v>
      </c>
      <c r="N16" s="275">
        <v>4.782977988918315</v>
      </c>
      <c r="O16" s="275">
        <v>4.83074752384604</v>
      </c>
      <c r="P16" s="275">
        <v>4.8788589380461884</v>
      </c>
      <c r="Q16" s="275">
        <v>4.9273130193350951</v>
      </c>
      <c r="R16" s="275">
        <v>4.9761077844490726</v>
      </c>
      <c r="S16" s="275">
        <v>5.0252383741115576</v>
      </c>
      <c r="T16" s="275">
        <v>5.074697434773384</v>
      </c>
      <c r="U16" s="275">
        <v>5.1244767126686313</v>
      </c>
      <c r="V16" s="275">
        <v>5.1745720485143618</v>
      </c>
      <c r="W16" s="275">
        <v>5.224994868502268</v>
      </c>
      <c r="X16" s="275">
        <v>5.2757349518456289</v>
      </c>
      <c r="Y16" s="275">
        <v>5.3266666619493348</v>
      </c>
      <c r="Z16" s="275">
        <v>5.3776397443372437</v>
      </c>
      <c r="AA16" s="275">
        <v>5.4285131812965313</v>
      </c>
      <c r="AB16" s="275">
        <v>5.4791393503505752</v>
      </c>
      <c r="AC16" s="275">
        <v>5.5293526937523607</v>
      </c>
      <c r="AD16" s="275">
        <v>5.5789576101070431</v>
      </c>
      <c r="AE16" s="275">
        <v>5.6277076974436344</v>
      </c>
      <c r="AF16" s="275">
        <v>5.6752583831130403</v>
      </c>
      <c r="AG16" s="275">
        <v>5.7210681749381243</v>
      </c>
      <c r="AH16" s="275">
        <v>5.7646828706694553</v>
      </c>
      <c r="AI16" s="275">
        <v>5.8064635615857449</v>
      </c>
      <c r="AJ16" s="275">
        <v>5.8468589717709172</v>
      </c>
      <c r="AK16" s="275">
        <v>5.8861215282367159</v>
      </c>
      <c r="AL16" s="275">
        <v>5.924406240558989</v>
      </c>
      <c r="AM16" s="275">
        <v>5.9618179071331827</v>
      </c>
      <c r="AN16" s="275">
        <v>5.9984311133703372</v>
      </c>
      <c r="AO16" s="275">
        <v>6.0343002387213351</v>
      </c>
      <c r="AP16" s="275">
        <v>6.0694651243907769</v>
      </c>
      <c r="AQ16" s="275">
        <v>6.1039545500844357</v>
      </c>
      <c r="AR16" s="275">
        <v>6.1377884635382074</v>
      </c>
      <c r="AS16" s="275">
        <v>6.1709794195352083</v>
      </c>
      <c r="AT16" s="275">
        <v>6.2035334552726278</v>
      </c>
      <c r="AU16" s="275">
        <v>6.2354504965981183</v>
      </c>
      <c r="AV16" s="275">
        <v>6.2667242823272797</v>
      </c>
      <c r="AW16" s="275">
        <v>6.2973416512641514</v>
      </c>
      <c r="AX16" s="275">
        <v>6.3272807423768347</v>
      </c>
      <c r="AY16" s="275">
        <v>6.3565068457824561</v>
      </c>
      <c r="AZ16" s="275">
        <v>6.3849619903910533</v>
      </c>
      <c r="BA16" s="275">
        <v>6.4125426914435604</v>
      </c>
      <c r="BB16" s="275">
        <v>6.4391652013790948</v>
      </c>
      <c r="BC16" s="275">
        <v>6.464932200472953</v>
      </c>
      <c r="BD16" s="275">
        <v>6.4899666938713629</v>
      </c>
      <c r="BE16" s="275">
        <v>6.5143473678646711</v>
      </c>
      <c r="BF16" s="275">
        <v>6.5381314897107092</v>
      </c>
      <c r="BG16" s="275">
        <v>6.5613660311067941</v>
      </c>
      <c r="BH16" s="275">
        <v>6.584092620359109</v>
      </c>
      <c r="BI16" s="275">
        <v>6.6063502732749191</v>
      </c>
      <c r="BJ16" s="275">
        <v>6.6281772129610159</v>
      </c>
      <c r="BK16" s="275">
        <v>6.6496122949462304</v>
      </c>
      <c r="BL16" s="275">
        <v>6.6706962908607164</v>
      </c>
      <c r="BM16" s="275">
        <v>6.6914731934200633</v>
      </c>
      <c r="BN16" s="275">
        <v>6.7119916894061804</v>
      </c>
      <c r="BO16" s="275">
        <v>6.7323069827718278</v>
      </c>
      <c r="BP16" s="275">
        <v>6.752483246623826</v>
      </c>
      <c r="BQ16" s="275">
        <v>6.7725971728089034</v>
      </c>
      <c r="BR16" s="275">
        <v>6.7927433822526666</v>
      </c>
      <c r="BS16" s="275">
        <v>6.8130424527143791</v>
      </c>
      <c r="BT16" s="275">
        <v>6.8336486272262844</v>
      </c>
      <c r="BU16" s="275">
        <v>6.8547329282617726</v>
      </c>
      <c r="BV16" s="275">
        <v>6.8763926806047104</v>
      </c>
      <c r="BW16" s="275">
        <v>6.89857249518289</v>
      </c>
      <c r="BX16" s="275">
        <v>6.9211435733603297</v>
      </c>
      <c r="BY16" s="275">
        <v>6.9439944804879454</v>
      </c>
      <c r="BZ16" s="275">
        <v>6.9670483451600154</v>
      </c>
      <c r="CA16" s="275">
        <v>6.9902554907585861</v>
      </c>
      <c r="CB16" s="275">
        <v>7.0135857850813412</v>
      </c>
      <c r="CC16" s="275">
        <v>7.0370236573346832</v>
      </c>
      <c r="CD16" s="275">
        <v>7.0605650404046969</v>
      </c>
      <c r="CE16" s="275">
        <v>7.0842154918222882</v>
      </c>
      <c r="CF16" s="275">
        <v>7.1079890423597254</v>
      </c>
      <c r="CG16" s="275">
        <v>7.1319075094760409</v>
      </c>
      <c r="CH16" s="275">
        <v>7.1560001013304513</v>
      </c>
      <c r="CI16" s="275">
        <v>7.1803031520801452</v>
      </c>
      <c r="CJ16" s="275">
        <v>7.2048597751187362</v>
      </c>
      <c r="CK16" s="275">
        <v>7.2297190881886584</v>
      </c>
      <c r="CL16" s="275">
        <v>7.2549344607213504</v>
      </c>
      <c r="CM16" s="275">
        <v>7.280560065463451</v>
      </c>
      <c r="CN16" s="275">
        <v>7.3066452087314167</v>
      </c>
      <c r="CO16" s="275">
        <v>7.3332269458403534</v>
      </c>
      <c r="CP16" s="275"/>
      <c r="CQ16" s="276">
        <v>3.795658344288543</v>
      </c>
      <c r="CR16" s="276">
        <v>3.852529792228764</v>
      </c>
      <c r="CS16" s="276">
        <v>3.9096539059418731</v>
      </c>
      <c r="CT16" s="276">
        <v>3.9670474834528648</v>
      </c>
      <c r="CU16" s="276">
        <v>4.0247295534176182</v>
      </c>
      <c r="CV16" s="276">
        <v>4.082721809482118</v>
      </c>
      <c r="CW16" s="276">
        <v>4.1410491490551147</v>
      </c>
      <c r="CX16" s="276">
        <v>4.1997403462018186</v>
      </c>
      <c r="CY16" s="276">
        <v>4.2588288988462821</v>
      </c>
      <c r="CZ16" s="276">
        <v>4.3183541059312196</v>
      </c>
      <c r="DA16" s="276">
        <v>4.3783624538712447</v>
      </c>
      <c r="DB16" s="276">
        <v>4.4389094295136422</v>
      </c>
      <c r="DC16" s="276">
        <v>4.5000619403646098</v>
      </c>
      <c r="DD16" s="276">
        <v>4.5619016353576196</v>
      </c>
      <c r="DE16" s="276">
        <v>4.6245296314960287</v>
      </c>
      <c r="DF16" s="276">
        <v>4.6880735823870729</v>
      </c>
      <c r="DG16" s="276">
        <v>4.7526989851162407</v>
      </c>
      <c r="DH16" s="276">
        <v>4.8186290371148193</v>
      </c>
      <c r="DI16" s="276">
        <v>4.88618441777977</v>
      </c>
      <c r="DJ16" s="276">
        <v>4.9558777246043171</v>
      </c>
      <c r="DK16" s="276">
        <v>5.0286119223911374</v>
      </c>
      <c r="DL16" s="276">
        <v>5.1051046228012371</v>
      </c>
      <c r="DM16" s="276">
        <v>5.1844149197065237</v>
      </c>
      <c r="DN16" s="276">
        <v>5.2654111410408344</v>
      </c>
      <c r="DO16" s="276">
        <v>5.3473404060454568</v>
      </c>
      <c r="DP16" s="276">
        <v>5.4296222198441857</v>
      </c>
      <c r="DQ16" s="276">
        <v>5.5117424241908202</v>
      </c>
      <c r="DR16" s="276">
        <v>5.5931941113303827</v>
      </c>
      <c r="DS16" s="276">
        <v>5.6734203226268818</v>
      </c>
      <c r="DT16" s="276">
        <v>5.7517154640698509</v>
      </c>
      <c r="DU16" s="276">
        <v>5.8270361166496283</v>
      </c>
      <c r="DV16" s="276">
        <v>5.8985180188300506</v>
      </c>
      <c r="DW16" s="276">
        <v>5.9668102353250436</v>
      </c>
      <c r="DX16" s="276">
        <v>6.0327342972135689</v>
      </c>
      <c r="DY16" s="276">
        <v>6.0967597022543503</v>
      </c>
      <c r="DZ16" s="276">
        <v>6.1591836152624024</v>
      </c>
      <c r="EA16" s="276">
        <v>6.2202159448981069</v>
      </c>
      <c r="EB16" s="276">
        <v>6.2800146889547159</v>
      </c>
      <c r="EC16" s="276">
        <v>6.3387031367615529</v>
      </c>
      <c r="ED16" s="276">
        <v>6.3963792724914699</v>
      </c>
      <c r="EE16" s="276">
        <v>6.4531212942811873</v>
      </c>
      <c r="EF16" s="276">
        <v>6.5089909593295552</v>
      </c>
      <c r="EG16" s="276">
        <v>6.5640355785377409</v>
      </c>
      <c r="EH16" s="276">
        <v>6.6182890704635966</v>
      </c>
      <c r="EI16" s="276">
        <v>6.6717722511744801</v>
      </c>
      <c r="EJ16" s="276">
        <v>6.7244923536795183</v>
      </c>
      <c r="EK16" s="276">
        <v>6.7764415353952838</v>
      </c>
      <c r="EL16" s="276">
        <v>6.8275936619247029</v>
      </c>
      <c r="EM16" s="276">
        <v>6.8778974404390132</v>
      </c>
      <c r="EN16" s="276">
        <v>6.9272608352033878</v>
      </c>
      <c r="EO16" s="276">
        <v>6.975527934107121</v>
      </c>
      <c r="EP16" s="276">
        <v>7.0225815089453354</v>
      </c>
      <c r="EQ16" s="276">
        <v>7.0685408552415137</v>
      </c>
      <c r="ER16" s="276">
        <v>7.1135648355994094</v>
      </c>
      <c r="ES16" s="276">
        <v>7.1577502267606272</v>
      </c>
      <c r="ET16" s="276">
        <v>7.2011558101398254</v>
      </c>
      <c r="EU16" s="276">
        <v>7.2438189917076361</v>
      </c>
      <c r="EV16" s="276">
        <v>7.2857638162898137</v>
      </c>
      <c r="EW16" s="276">
        <v>7.3270054863364704</v>
      </c>
      <c r="EX16" s="276">
        <v>7.3675533684081964</v>
      </c>
      <c r="EY16" s="276">
        <v>7.4074132782339257</v>
      </c>
      <c r="EZ16" s="276">
        <v>7.4465894023470378</v>
      </c>
      <c r="FA16" s="276">
        <v>7.4850860424327328</v>
      </c>
      <c r="FB16" s="276">
        <v>7.5229092970338476</v>
      </c>
      <c r="FC16" s="276">
        <v>7.5600687671695006</v>
      </c>
      <c r="FD16" s="276">
        <v>7.5965793594689668</v>
      </c>
      <c r="FE16" s="276">
        <v>7.6324632245097783</v>
      </c>
      <c r="FF16" s="276">
        <v>7.6677516993480124</v>
      </c>
      <c r="FG16" s="276">
        <v>7.7024865010254109</v>
      </c>
      <c r="FH16" s="276">
        <v>7.7367177479798359</v>
      </c>
      <c r="FI16" s="276">
        <v>7.7704943499661212</v>
      </c>
      <c r="FJ16" s="272">
        <v>7.803846746330299</v>
      </c>
      <c r="FK16" s="272">
        <v>7.8367769459146759</v>
      </c>
      <c r="FL16" s="272">
        <v>7.8692687054685768</v>
      </c>
      <c r="FM16" s="272">
        <v>7.9013050162940273</v>
      </c>
      <c r="FN16" s="272">
        <v>7.9328779527621327</v>
      </c>
      <c r="FO16" s="272">
        <v>7.963990910431261</v>
      </c>
      <c r="FP16" s="272">
        <v>7.9946577018410334</v>
      </c>
      <c r="FQ16" s="272">
        <v>8.0249009434618586</v>
      </c>
      <c r="FR16" s="272">
        <v>8.0547505000609352</v>
      </c>
      <c r="FS16" s="272">
        <v>8.0842421346058106</v>
      </c>
      <c r="FT16" s="272">
        <v>8.1134163495173937</v>
      </c>
      <c r="FU16" s="272">
        <v>8.1423173795807617</v>
      </c>
      <c r="FV16" s="272">
        <v>8.1709923017105588</v>
      </c>
      <c r="FW16" s="272">
        <v>8.1994902315536642</v>
      </c>
      <c r="FX16" s="272">
        <v>8.227861572302599</v>
      </c>
      <c r="FY16" s="272">
        <v>8.2561572627560835</v>
      </c>
      <c r="FZ16" s="272">
        <v>8.2844279395918079</v>
      </c>
      <c r="GA16" s="272">
        <v>8.3127228989038251</v>
      </c>
      <c r="GB16" s="272">
        <v>8.3410887671876726</v>
      </c>
      <c r="GC16" s="272">
        <v>8.3695679555277387</v>
      </c>
    </row>
    <row r="17" spans="2:185" ht="15" thickBot="1" x14ac:dyDescent="0.4">
      <c r="B17" s="298">
        <v>11</v>
      </c>
      <c r="C17" s="275">
        <v>4.0544479197331338</v>
      </c>
      <c r="D17" s="275">
        <v>4.0988020602248643</v>
      </c>
      <c r="E17" s="275">
        <v>4.1434030793034538</v>
      </c>
      <c r="F17" s="275">
        <v>4.1882621731532588</v>
      </c>
      <c r="G17" s="275">
        <v>4.2333908570658991</v>
      </c>
      <c r="H17" s="275">
        <v>4.2788008814084701</v>
      </c>
      <c r="I17" s="275">
        <v>4.3245041167726086</v>
      </c>
      <c r="J17" s="275">
        <v>4.3705124020110366</v>
      </c>
      <c r="K17" s="275">
        <v>4.4168373486333934</v>
      </c>
      <c r="L17" s="275">
        <v>4.4634900953914212</v>
      </c>
      <c r="M17" s="275">
        <v>4.5104810082302071</v>
      </c>
      <c r="N17" s="275">
        <v>4.5578193236921933</v>
      </c>
      <c r="O17" s="275">
        <v>4.6055127391971746</v>
      </c>
      <c r="P17" s="275">
        <v>4.6535669627785694</v>
      </c>
      <c r="Q17" s="275">
        <v>4.7019852503926893</v>
      </c>
      <c r="R17" s="275">
        <v>4.750767986338678</v>
      </c>
      <c r="S17" s="275">
        <v>4.7999124155185173</v>
      </c>
      <c r="T17" s="275">
        <v>4.8494127563524358</v>
      </c>
      <c r="U17" s="275">
        <v>4.8992612584338708</v>
      </c>
      <c r="V17" s="275">
        <v>4.9494520518460607</v>
      </c>
      <c r="W17" s="275">
        <v>5.0000000000000009</v>
      </c>
      <c r="X17" s="275">
        <v>5.0509589701374082</v>
      </c>
      <c r="Y17" s="275">
        <v>5.1021409928044994</v>
      </c>
      <c r="Z17" s="275">
        <v>5.1533942837371303</v>
      </c>
      <c r="AA17" s="275">
        <v>5.2045817986778404</v>
      </c>
      <c r="AB17" s="275">
        <v>5.2555583667927914</v>
      </c>
      <c r="AC17" s="275">
        <v>5.3061611566453601</v>
      </c>
      <c r="AD17" s="275">
        <v>5.356199536150819</v>
      </c>
      <c r="AE17" s="275">
        <v>5.4054381350682696</v>
      </c>
      <c r="AF17" s="275">
        <v>5.4535580784190616</v>
      </c>
      <c r="AG17" s="275">
        <v>5.5000000000000009</v>
      </c>
      <c r="AH17" s="275">
        <v>5.5438112467987448</v>
      </c>
      <c r="AI17" s="275">
        <v>5.585847131935048</v>
      </c>
      <c r="AJ17" s="275">
        <v>5.626570116022612</v>
      </c>
      <c r="AK17" s="275">
        <v>5.6662029833251282</v>
      </c>
      <c r="AL17" s="275">
        <v>5.7048860821391933</v>
      </c>
      <c r="AM17" s="275">
        <v>5.7427160957601959</v>
      </c>
      <c r="AN17" s="275">
        <v>5.7797624914064629</v>
      </c>
      <c r="AO17" s="275">
        <v>5.8160760959036688</v>
      </c>
      <c r="AP17" s="275">
        <v>5.8516941158588338</v>
      </c>
      <c r="AQ17" s="275">
        <v>5.8866432888226683</v>
      </c>
      <c r="AR17" s="275">
        <v>5.9209419354336292</v>
      </c>
      <c r="AS17" s="275">
        <v>5.9546012979495169</v>
      </c>
      <c r="AT17" s="275">
        <v>5.9876263622717287</v>
      </c>
      <c r="AU17" s="275">
        <v>6.0200162491837883</v>
      </c>
      <c r="AV17" s="275">
        <v>6.0517641702344456</v>
      </c>
      <c r="AW17" s="275">
        <v>6.0828568282800788</v>
      </c>
      <c r="AX17" s="275">
        <v>6.1132729163923081</v>
      </c>
      <c r="AY17" s="275">
        <v>6.142979756597196</v>
      </c>
      <c r="AZ17" s="275">
        <v>6.1719247966307371</v>
      </c>
      <c r="BA17" s="275">
        <v>6.2</v>
      </c>
      <c r="BB17" s="275">
        <v>6.2270071554497877</v>
      </c>
      <c r="BC17" s="275">
        <v>6.2531613543007936</v>
      </c>
      <c r="BD17" s="275">
        <v>6.278588074527538</v>
      </c>
      <c r="BE17" s="275">
        <v>6.3033584516517021</v>
      </c>
      <c r="BF17" s="275">
        <v>6.327525508092446</v>
      </c>
      <c r="BG17" s="275">
        <v>6.3511333374910457</v>
      </c>
      <c r="BH17" s="275">
        <v>6.3742212356063837</v>
      </c>
      <c r="BI17" s="275">
        <v>6.3968260932667356</v>
      </c>
      <c r="BJ17" s="275">
        <v>6.4189840542081118</v>
      </c>
      <c r="BK17" s="275">
        <v>6.4407318451927527</v>
      </c>
      <c r="BL17" s="275">
        <v>6.4621079866933862</v>
      </c>
      <c r="BM17" s="275">
        <v>6.483154022558085</v>
      </c>
      <c r="BN17" s="275">
        <v>6.503915896441133</v>
      </c>
      <c r="BO17" s="275">
        <v>6.5244456386105938</v>
      </c>
      <c r="BP17" s="275">
        <v>6.5448036300462826</v>
      </c>
      <c r="BQ17" s="275">
        <v>6.56506195754827</v>
      </c>
      <c r="BR17" s="275">
        <v>6.5853099916520312</v>
      </c>
      <c r="BS17" s="275">
        <v>6.6056650193103614</v>
      </c>
      <c r="BT17" s="275">
        <v>6.6262952210549484</v>
      </c>
      <c r="BU17" s="275">
        <v>6.6474533745901194</v>
      </c>
      <c r="BV17" s="275">
        <v>6.6693313125133429</v>
      </c>
      <c r="BW17" s="275">
        <v>6.6917785366564484</v>
      </c>
      <c r="BX17" s="275">
        <v>6.7145838853367499</v>
      </c>
      <c r="BY17" s="275">
        <v>6.7376213659697166</v>
      </c>
      <c r="BZ17" s="275">
        <v>6.760816759843804</v>
      </c>
      <c r="CA17" s="275">
        <v>6.7841249818166558</v>
      </c>
      <c r="CB17" s="275">
        <v>6.807519825301922</v>
      </c>
      <c r="CC17" s="275">
        <v>6.8309888178840019</v>
      </c>
      <c r="CD17" s="275">
        <v>6.8545303744156696</v>
      </c>
      <c r="CE17" s="275">
        <v>6.8781521395401519</v>
      </c>
      <c r="CF17" s="275">
        <v>6.9018700355739826</v>
      </c>
      <c r="CG17" s="275">
        <v>6.9257077843837109</v>
      </c>
      <c r="CH17" s="275">
        <v>6.9496967777881409</v>
      </c>
      <c r="CI17" s="275">
        <v>6.9738761977102879</v>
      </c>
      <c r="CJ17" s="275">
        <v>6.9982932373034199</v>
      </c>
      <c r="CK17" s="275">
        <v>7.0230031042066754</v>
      </c>
      <c r="CL17" s="275">
        <v>7.0480681197915684</v>
      </c>
      <c r="CM17" s="275">
        <v>7.0735546501855344</v>
      </c>
      <c r="CN17" s="275">
        <v>7.0995262267630634</v>
      </c>
      <c r="CO17" s="275">
        <v>7.1260323811518669</v>
      </c>
      <c r="CP17" s="275"/>
      <c r="CQ17" s="276">
        <v>3.5687235181873391</v>
      </c>
      <c r="CR17" s="276">
        <v>3.6256367573126211</v>
      </c>
      <c r="CS17" s="276">
        <v>3.6828007590694818</v>
      </c>
      <c r="CT17" s="276">
        <v>3.7402316997995522</v>
      </c>
      <c r="CU17" s="276">
        <v>3.797947869812341</v>
      </c>
      <c r="CV17" s="276">
        <v>3.8559700891396109</v>
      </c>
      <c r="CW17" s="276">
        <v>3.9143222251425298</v>
      </c>
      <c r="CX17" s="276">
        <v>3.9730318411202461</v>
      </c>
      <c r="CY17" s="276">
        <v>4.0321310150591696</v>
      </c>
      <c r="CZ17" s="276">
        <v>4.0916573821241196</v>
      </c>
      <c r="DA17" s="276">
        <v>4.1516554761848656</v>
      </c>
      <c r="DB17" s="276">
        <v>4.2121784795990891</v>
      </c>
      <c r="DC17" s="276">
        <v>4.2732905461173853</v>
      </c>
      <c r="DD17" s="276">
        <v>4.3350699580395116</v>
      </c>
      <c r="DE17" s="276">
        <v>4.397613555680179</v>
      </c>
      <c r="DF17" s="276">
        <v>4.461043226438683</v>
      </c>
      <c r="DG17" s="276">
        <v>4.5255159943329746</v>
      </c>
      <c r="DH17" s="276">
        <v>4.5912410828746459</v>
      </c>
      <c r="DI17" s="276">
        <v>4.6585126231179856</v>
      </c>
      <c r="DJ17" s="276">
        <v>4.727787134984295</v>
      </c>
      <c r="DK17" s="276">
        <v>4.8000000000000007</v>
      </c>
      <c r="DL17" s="276">
        <v>4.8768731752923351</v>
      </c>
      <c r="DM17" s="276">
        <v>4.9564648917478804</v>
      </c>
      <c r="DN17" s="276">
        <v>5.037614838106494</v>
      </c>
      <c r="DO17" s="276">
        <v>5.1196306722997562</v>
      </c>
      <c r="DP17" s="276">
        <v>5.2019642266749102</v>
      </c>
      <c r="DQ17" s="276">
        <v>5.2841236253062362</v>
      </c>
      <c r="DR17" s="276">
        <v>5.3656239181620187</v>
      </c>
      <c r="DS17" s="276">
        <v>5.4459391144484002</v>
      </c>
      <c r="DT17" s="276">
        <v>5.5244203445233921</v>
      </c>
      <c r="DU17" s="276">
        <v>5.6</v>
      </c>
      <c r="DV17" s="276">
        <v>5.670905535531535</v>
      </c>
      <c r="DW17" s="276">
        <v>5.7387019811149553</v>
      </c>
      <c r="DX17" s="276">
        <v>5.804243019786532</v>
      </c>
      <c r="DY17" s="276">
        <v>5.8679500489909726</v>
      </c>
      <c r="DZ17" s="276">
        <v>5.9300991954372586</v>
      </c>
      <c r="EA17" s="276">
        <v>5.990890917362381</v>
      </c>
      <c r="EB17" s="276">
        <v>6.05047885826305</v>
      </c>
      <c r="EC17" s="276">
        <v>6.1089844501148178</v>
      </c>
      <c r="ED17" s="276">
        <v>6.1665051552123087</v>
      </c>
      <c r="EE17" s="276">
        <v>6.2231194108102699</v>
      </c>
      <c r="EF17" s="276">
        <v>6.2788896662526748</v>
      </c>
      <c r="EG17" s="276">
        <v>6.3338642048273774</v>
      </c>
      <c r="EH17" s="276">
        <v>6.3880781061180008</v>
      </c>
      <c r="EI17" s="276">
        <v>6.4415535110740239</v>
      </c>
      <c r="EJ17" s="276">
        <v>6.4942992014664451</v>
      </c>
      <c r="EK17" s="276">
        <v>6.5463093193368884</v>
      </c>
      <c r="EL17" s="276">
        <v>6.5975606906345483</v>
      </c>
      <c r="EM17" s="276">
        <v>6.6480072324196664</v>
      </c>
      <c r="EN17" s="276">
        <v>6.6975660984168481</v>
      </c>
      <c r="EO17" s="276">
        <v>6.7460579908303551</v>
      </c>
      <c r="EP17" s="276">
        <v>6.7931893155988412</v>
      </c>
      <c r="EQ17" s="276">
        <v>6.8392518249143848</v>
      </c>
      <c r="ER17" s="276">
        <v>6.8844238440951333</v>
      </c>
      <c r="ES17" s="276">
        <v>6.9287890104642589</v>
      </c>
      <c r="ET17" s="276">
        <v>6.9723969064192186</v>
      </c>
      <c r="EU17" s="276">
        <v>7.0152779382916446</v>
      </c>
      <c r="EV17" s="276">
        <v>7.0574500666701274</v>
      </c>
      <c r="EW17" s="276">
        <v>7.0989227748183659</v>
      </c>
      <c r="EX17" s="276">
        <v>7.1396998498234989</v>
      </c>
      <c r="EY17" s="276">
        <v>7.1797815867254808</v>
      </c>
      <c r="EZ17" s="276">
        <v>7.2191666982615352</v>
      </c>
      <c r="FA17" s="276">
        <v>7.2578540842715622</v>
      </c>
      <c r="FB17" s="276">
        <v>7.2958445655155906</v>
      </c>
      <c r="FC17" s="276">
        <v>7.3331426796284589</v>
      </c>
      <c r="FD17" s="276">
        <v>7.3697586638295611</v>
      </c>
      <c r="FE17" s="276">
        <v>7.4057108116612653</v>
      </c>
      <c r="FF17" s="276">
        <v>7.4410284645388316</v>
      </c>
      <c r="FG17" s="276">
        <v>7.4757557194108184</v>
      </c>
      <c r="FH17" s="276">
        <v>7.5099539643336746</v>
      </c>
      <c r="FI17" s="276">
        <v>7.5436931172005952</v>
      </c>
      <c r="FJ17" s="272">
        <v>7.5770164316380502</v>
      </c>
      <c r="FK17" s="272">
        <v>7.6099124503855826</v>
      </c>
      <c r="FL17" s="272">
        <v>7.6423432615753466</v>
      </c>
      <c r="FM17" s="272">
        <v>7.6742799092586784</v>
      </c>
      <c r="FN17" s="272">
        <v>7.7057113849388346</v>
      </c>
      <c r="FO17" s="272">
        <v>7.7366423438332674</v>
      </c>
      <c r="FP17" s="272">
        <v>7.7670896794668209</v>
      </c>
      <c r="FQ17" s="272">
        <v>7.7970798553467393</v>
      </c>
      <c r="FR17" s="272">
        <v>7.8266469255806008</v>
      </c>
      <c r="FS17" s="272">
        <v>7.855831000795229</v>
      </c>
      <c r="FT17" s="272">
        <v>7.8846769954027076</v>
      </c>
      <c r="FU17" s="272">
        <v>7.9132335647358829</v>
      </c>
      <c r="FV17" s="272">
        <v>7.9415521835782714</v>
      </c>
      <c r="FW17" s="272">
        <v>7.96968633826976</v>
      </c>
      <c r="FX17" s="272">
        <v>7.9976908065420602</v>
      </c>
      <c r="FY17" s="272">
        <v>8.0256209781449819</v>
      </c>
      <c r="FZ17" s="272">
        <v>8.0535321132725457</v>
      </c>
      <c r="GA17" s="272">
        <v>8.0814783399047183</v>
      </c>
      <c r="GB17" s="272">
        <v>8.1095111171447982</v>
      </c>
      <c r="GC17" s="272">
        <v>8.1376770638734399</v>
      </c>
    </row>
    <row r="18" spans="2:185" ht="15" thickBot="1" x14ac:dyDescent="0.4">
      <c r="B18" s="298">
        <v>12</v>
      </c>
      <c r="C18" s="275">
        <v>3.8306121467645879</v>
      </c>
      <c r="D18" s="275">
        <v>3.874795509605788</v>
      </c>
      <c r="E18" s="275">
        <v>3.919224991183619</v>
      </c>
      <c r="F18" s="275">
        <v>3.9639125156980528</v>
      </c>
      <c r="G18" s="275">
        <v>4.0088704746612702</v>
      </c>
      <c r="H18" s="275">
        <v>4.0541116626031668</v>
      </c>
      <c r="I18" s="275">
        <v>4.0996491820538168</v>
      </c>
      <c r="J18" s="275">
        <v>4.1454963103375011</v>
      </c>
      <c r="K18" s="275">
        <v>4.191666320018836</v>
      </c>
      <c r="L18" s="275">
        <v>4.2381722447080472</v>
      </c>
      <c r="M18" s="275">
        <v>4.2850265828398149</v>
      </c>
      <c r="N18" s="275">
        <v>4.3322409347231252</v>
      </c>
      <c r="O18" s="275">
        <v>4.3798255737552871</v>
      </c>
      <c r="P18" s="275">
        <v>4.4277889630661988</v>
      </c>
      <c r="Q18" s="275">
        <v>4.4761372474356644</v>
      </c>
      <c r="R18" s="275">
        <v>4.5248737844941482</v>
      </c>
      <c r="S18" s="275">
        <v>4.5739988478458553</v>
      </c>
      <c r="T18" s="275">
        <v>4.6235097944939936</v>
      </c>
      <c r="U18" s="275">
        <v>4.6734024380918697</v>
      </c>
      <c r="V18" s="275">
        <v>4.7236758366769616</v>
      </c>
      <c r="W18" s="275">
        <v>4.7743436125914984</v>
      </c>
      <c r="X18" s="275">
        <v>4.8253966048551176</v>
      </c>
      <c r="Y18" s="275">
        <v>4.8767090550468124</v>
      </c>
      <c r="Z18" s="275">
        <v>4.9281294348039086</v>
      </c>
      <c r="AA18" s="275">
        <v>4.9795143997696147</v>
      </c>
      <c r="AB18" s="275">
        <v>5.0307131030732437</v>
      </c>
      <c r="AC18" s="275">
        <v>5.0815560557049784</v>
      </c>
      <c r="AD18" s="275">
        <v>5.131843223270157</v>
      </c>
      <c r="AE18" s="275">
        <v>5.1813234687951404</v>
      </c>
      <c r="AF18" s="275">
        <v>5.2296473619357773</v>
      </c>
      <c r="AG18" s="275">
        <v>5.2762685797562154</v>
      </c>
      <c r="AH18" s="275">
        <v>5.3207282324208798</v>
      </c>
      <c r="AI18" s="275">
        <v>5.3633829503321504</v>
      </c>
      <c r="AJ18" s="275">
        <v>5.4046772778144874</v>
      </c>
      <c r="AK18" s="275">
        <v>5.4448597734844428</v>
      </c>
      <c r="AL18" s="275">
        <v>5.4840819011971327</v>
      </c>
      <c r="AM18" s="275">
        <v>5.5224452334165797</v>
      </c>
      <c r="AN18" s="275">
        <v>5.5600214362431206</v>
      </c>
      <c r="AO18" s="275">
        <v>5.5968622560008372</v>
      </c>
      <c r="AP18" s="275">
        <v>5.633005161465281</v>
      </c>
      <c r="AQ18" s="275">
        <v>5.6684767916692174</v>
      </c>
      <c r="AR18" s="275">
        <v>5.703295154179429</v>
      </c>
      <c r="AS18" s="275">
        <v>5.7374710313965886</v>
      </c>
      <c r="AT18" s="275">
        <v>5.7710088223956397</v>
      </c>
      <c r="AU18" s="275">
        <v>5.8039069153677412</v>
      </c>
      <c r="AV18" s="275">
        <v>5.8361575783493604</v>
      </c>
      <c r="AW18" s="275">
        <v>5.8677462132947413</v>
      </c>
      <c r="AX18" s="275">
        <v>5.8986495243523658</v>
      </c>
      <c r="AY18" s="275">
        <v>5.9288313383856668</v>
      </c>
      <c r="AZ18" s="275">
        <v>5.958232163946696</v>
      </c>
      <c r="BA18" s="275">
        <v>5.9867469122581278</v>
      </c>
      <c r="BB18" s="275">
        <v>6.0142901239027688</v>
      </c>
      <c r="BC18" s="275">
        <v>6.0409626378461683</v>
      </c>
      <c r="BD18" s="275">
        <v>6.0668854694926582</v>
      </c>
      <c r="BE18" s="275">
        <v>6.0921351505391703</v>
      </c>
      <c r="BF18" s="275">
        <v>6.1167666146478039</v>
      </c>
      <c r="BG18" s="275">
        <v>6.1408243084325482</v>
      </c>
      <c r="BH18" s="275">
        <v>6.1643471317309917</v>
      </c>
      <c r="BI18" s="275">
        <v>6.18737115536352</v>
      </c>
      <c r="BJ18" s="275">
        <v>6.2099314235444751</v>
      </c>
      <c r="BK18" s="275">
        <v>6.232063352392335</v>
      </c>
      <c r="BL18" s="275">
        <v>6.2538039695704626</v>
      </c>
      <c r="BM18" s="275">
        <v>6.2751931441980764</v>
      </c>
      <c r="BN18" s="275">
        <v>6.2962749310558914</v>
      </c>
      <c r="BO18" s="275">
        <v>6.3170991738914042</v>
      </c>
      <c r="BP18" s="275">
        <v>6.3377235893600767</v>
      </c>
      <c r="BQ18" s="275">
        <v>6.3582167397610574</v>
      </c>
      <c r="BR18" s="275">
        <v>6.3786627710525128</v>
      </c>
      <c r="BS18" s="275">
        <v>6.3991701675382231</v>
      </c>
      <c r="BT18" s="275">
        <v>6.4198922092083883</v>
      </c>
      <c r="BU18" s="275">
        <v>6.4411127611452317</v>
      </c>
      <c r="BV18" s="275">
        <v>6.463272402636143</v>
      </c>
      <c r="BW18" s="275">
        <v>6.4859714265103321</v>
      </c>
      <c r="BX18" s="275">
        <v>6.5089671139103489</v>
      </c>
      <c r="BY18" s="275">
        <v>6.5321478881978328</v>
      </c>
      <c r="BZ18" s="275">
        <v>6.5554478270344996</v>
      </c>
      <c r="CA18" s="275">
        <v>6.5788265359321194</v>
      </c>
      <c r="CB18" s="275">
        <v>6.6022607670993958</v>
      </c>
      <c r="CC18" s="275">
        <v>6.6257401143899539</v>
      </c>
      <c r="CD18" s="275">
        <v>6.6492645550540743</v>
      </c>
      <c r="CE18" s="275">
        <v>6.6728429917362844</v>
      </c>
      <c r="CF18" s="275">
        <v>6.6964924279270708</v>
      </c>
      <c r="CG18" s="275">
        <v>6.7202376130703758</v>
      </c>
      <c r="CH18" s="275">
        <v>6.7441110925518988</v>
      </c>
      <c r="CI18" s="275">
        <v>6.7681536452044337</v>
      </c>
      <c r="CJ18" s="275">
        <v>6.7924150857633618</v>
      </c>
      <c r="CK18" s="275">
        <v>6.8169552894762271</v>
      </c>
      <c r="CL18" s="275">
        <v>6.8418448768857543</v>
      </c>
      <c r="CM18" s="275">
        <v>6.8671639131543403</v>
      </c>
      <c r="CN18" s="275">
        <v>6.8929950767418413</v>
      </c>
      <c r="CO18" s="275">
        <v>6.9194072633252608</v>
      </c>
      <c r="CP18" s="275"/>
      <c r="CQ18" s="276">
        <v>3.3421778400474329</v>
      </c>
      <c r="CR18" s="276">
        <v>3.399158701138981</v>
      </c>
      <c r="CS18" s="276">
        <v>3.4563910058382641</v>
      </c>
      <c r="CT18" s="276">
        <v>3.5138906475993781</v>
      </c>
      <c r="CU18" s="276">
        <v>3.5716755755729919</v>
      </c>
      <c r="CV18" s="276">
        <v>3.6297662063975018</v>
      </c>
      <c r="CW18" s="276">
        <v>3.6881859408197881</v>
      </c>
      <c r="CX18" s="276">
        <v>3.746961816512508</v>
      </c>
      <c r="CY18" s="276">
        <v>3.8061253395944878</v>
      </c>
      <c r="CZ18" s="276">
        <v>3.8657135535650262</v>
      </c>
      <c r="DA18" s="276">
        <v>3.9257704288014521</v>
      </c>
      <c r="DB18" s="276">
        <v>3.9863486942673561</v>
      </c>
      <c r="DC18" s="276">
        <v>4.0475122969026369</v>
      </c>
      <c r="DD18" s="276">
        <v>4.1093397863487118</v>
      </c>
      <c r="DE18" s="276">
        <v>4.1719291334648139</v>
      </c>
      <c r="DF18" s="276">
        <v>4.2354049193646981</v>
      </c>
      <c r="DG18" s="276">
        <v>4.2999297885107719</v>
      </c>
      <c r="DH18" s="276">
        <v>4.365724470049317</v>
      </c>
      <c r="DI18" s="276">
        <v>4.4331077299000121</v>
      </c>
      <c r="DJ18" s="276">
        <v>4.5025909672195308</v>
      </c>
      <c r="DK18" s="276">
        <v>4.5750767959240664</v>
      </c>
      <c r="DL18" s="276">
        <v>4.6512834120171194</v>
      </c>
      <c r="DM18" s="276">
        <v>4.730271460447816</v>
      </c>
      <c r="DN18" s="276">
        <v>4.8109117578606488</v>
      </c>
      <c r="DO18" s="276">
        <v>4.892454764245703</v>
      </c>
      <c r="DP18" s="276">
        <v>4.9743240470641554</v>
      </c>
      <c r="DQ18" s="276">
        <v>5.0560100733049884</v>
      </c>
      <c r="DR18" s="276">
        <v>5.1370109546583773</v>
      </c>
      <c r="DS18" s="276">
        <v>5.2167749841755384</v>
      </c>
      <c r="DT18" s="276">
        <v>5.294601909470563</v>
      </c>
      <c r="DU18" s="276">
        <v>5.3694536285673484</v>
      </c>
      <c r="DV18" s="276">
        <v>5.4404710889149328</v>
      </c>
      <c r="DW18" s="276">
        <v>5.5083084029821476</v>
      </c>
      <c r="DX18" s="276">
        <v>5.5737919616429421</v>
      </c>
      <c r="DY18" s="276">
        <v>5.6373959284658506</v>
      </c>
      <c r="DZ18" s="276">
        <v>5.6994219480717847</v>
      </c>
      <c r="EA18" s="276">
        <v>5.7600842380472317</v>
      </c>
      <c r="EB18" s="276">
        <v>5.8195449500631176</v>
      </c>
      <c r="EC18" s="276">
        <v>5.8779313832474296</v>
      </c>
      <c r="ED18" s="276">
        <v>5.9353453892309362</v>
      </c>
      <c r="EE18" s="276">
        <v>5.9918688808953497</v>
      </c>
      <c r="EF18" s="276">
        <v>6.047567153932853</v>
      </c>
      <c r="EG18" s="276">
        <v>6.1024908460545477</v>
      </c>
      <c r="EH18" s="276">
        <v>6.1566769481544608</v>
      </c>
      <c r="EI18" s="276">
        <v>6.2101490537058073</v>
      </c>
      <c r="EJ18" s="276">
        <v>6.2629168590234174</v>
      </c>
      <c r="EK18" s="276">
        <v>6.3149747098846776</v>
      </c>
      <c r="EL18" s="276">
        <v>6.3662985515582138</v>
      </c>
      <c r="EM18" s="276">
        <v>6.4168393967943631</v>
      </c>
      <c r="EN18" s="276">
        <v>6.4665067654474493</v>
      </c>
      <c r="EO18" s="276">
        <v>6.5151222891040108</v>
      </c>
      <c r="EP18" s="276">
        <v>6.5625112249936102</v>
      </c>
      <c r="EQ18" s="276">
        <v>6.6088429399851591</v>
      </c>
      <c r="ER18" s="276">
        <v>6.6542912926871747</v>
      </c>
      <c r="ES18" s="276">
        <v>6.6989440124278037</v>
      </c>
      <c r="ET18" s="276">
        <v>6.7428500424365989</v>
      </c>
      <c r="EU18" s="276">
        <v>6.786037133983494</v>
      </c>
      <c r="EV18" s="276">
        <v>6.8285195341810292</v>
      </c>
      <c r="EW18" s="276">
        <v>6.8703023581036344</v>
      </c>
      <c r="EX18" s="276">
        <v>6.9113845883223606</v>
      </c>
      <c r="EY18" s="276">
        <v>6.9517614242688177</v>
      </c>
      <c r="EZ18" s="276">
        <v>6.9914263019545961</v>
      </c>
      <c r="FA18" s="276">
        <v>7.0303727507409874</v>
      </c>
      <c r="FB18" s="276">
        <v>7.0685961945361573</v>
      </c>
      <c r="FC18" s="276">
        <v>7.1060957944710594</v>
      </c>
      <c r="FD18" s="276">
        <v>7.142876463405889</v>
      </c>
      <c r="FE18" s="276">
        <v>7.17895128696059</v>
      </c>
      <c r="FF18" s="276">
        <v>7.2143448525812524</v>
      </c>
      <c r="FG18" s="276">
        <v>7.2490986607272179</v>
      </c>
      <c r="FH18" s="276">
        <v>7.2832809736829702</v>
      </c>
      <c r="FI18" s="276">
        <v>7.3169955472109258</v>
      </c>
      <c r="FJ18" s="272">
        <v>7.3503195178165051</v>
      </c>
      <c r="FK18" s="272">
        <v>7.3832070640388689</v>
      </c>
      <c r="FL18" s="272">
        <v>7.4155859481608086</v>
      </c>
      <c r="FM18" s="272">
        <v>7.4474198390815651</v>
      </c>
      <c r="FN18" s="272">
        <v>7.4786998054219769</v>
      </c>
      <c r="FO18" s="272">
        <v>7.5094347143098013</v>
      </c>
      <c r="FP18" s="272">
        <v>7.5396461000804216</v>
      </c>
      <c r="FQ18" s="272">
        <v>7.5693651587623574</v>
      </c>
      <c r="FR18" s="272">
        <v>7.5986307085948086</v>
      </c>
      <c r="FS18" s="272">
        <v>7.627487634002529</v>
      </c>
      <c r="FT18" s="272">
        <v>7.6559856046106551</v>
      </c>
      <c r="FU18" s="272">
        <v>7.6841779772808056</v>
      </c>
      <c r="FV18" s="272">
        <v>7.712120842973432</v>
      </c>
      <c r="FW18" s="272">
        <v>7.7398722063841277</v>
      </c>
      <c r="FX18" s="272">
        <v>7.7674912956761952</v>
      </c>
      <c r="FY18" s="272">
        <v>7.795037987491078</v>
      </c>
      <c r="FZ18" s="272">
        <v>7.8225722715521133</v>
      </c>
      <c r="GA18" s="272">
        <v>7.85015350758112</v>
      </c>
      <c r="GB18" s="272">
        <v>7.8778389026123978</v>
      </c>
      <c r="GC18" s="272">
        <v>7.9056804994625729</v>
      </c>
    </row>
    <row r="19" spans="2:185" ht="15" thickBot="1" x14ac:dyDescent="0.4">
      <c r="B19" s="298">
        <v>13</v>
      </c>
      <c r="C19" s="275">
        <v>3.606639599635308</v>
      </c>
      <c r="D19" s="275">
        <v>3.6506376318850742</v>
      </c>
      <c r="E19" s="275">
        <v>3.6948796515144191</v>
      </c>
      <c r="F19" s="275">
        <v>3.7393782051508859</v>
      </c>
      <c r="G19" s="275">
        <v>3.7841464571875019</v>
      </c>
      <c r="H19" s="275">
        <v>3.829198149459843</v>
      </c>
      <c r="I19" s="275">
        <v>3.8745475315811428</v>
      </c>
      <c r="J19" s="275">
        <v>3.920209253440722</v>
      </c>
      <c r="K19" s="275">
        <v>3.9661982101329332</v>
      </c>
      <c r="L19" s="275">
        <v>4.0125293288207171</v>
      </c>
      <c r="M19" s="275">
        <v>4.0592172873165202</v>
      </c>
      <c r="N19" s="275">
        <v>4.1062761563978469</v>
      </c>
      <c r="O19" s="275">
        <v>4.1537189635142404</v>
      </c>
      <c r="P19" s="275">
        <v>4.2015571869125177</v>
      </c>
      <c r="Q19" s="275">
        <v>4.2498002102168648</v>
      </c>
      <c r="R19" s="275">
        <v>4.2984548051754956</v>
      </c>
      <c r="S19" s="275">
        <v>4.347524777485205</v>
      </c>
      <c r="T19" s="275">
        <v>4.3970110245225777</v>
      </c>
      <c r="U19" s="275">
        <v>4.4469123665523682</v>
      </c>
      <c r="V19" s="275">
        <v>4.4972268668499336</v>
      </c>
      <c r="W19" s="275">
        <v>4.5479474635022221</v>
      </c>
      <c r="X19" s="275">
        <v>4.5990347411103842</v>
      </c>
      <c r="Y19" s="275">
        <v>4.6503902722862804</v>
      </c>
      <c r="Z19" s="275">
        <v>4.701879945663709</v>
      </c>
      <c r="AA19" s="275">
        <v>4.7533573913023126</v>
      </c>
      <c r="AB19" s="275">
        <v>4.8046634383318993</v>
      </c>
      <c r="AC19" s="275">
        <v>4.8556177363439472</v>
      </c>
      <c r="AD19" s="275">
        <v>4.9060068944274278</v>
      </c>
      <c r="AE19" s="275">
        <v>4.9555667963933354</v>
      </c>
      <c r="AF19" s="275">
        <v>5.0039612144209169</v>
      </c>
      <c r="AG19" s="275">
        <v>5.0508052675189301</v>
      </c>
      <c r="AH19" s="275">
        <v>5.0958687100653863</v>
      </c>
      <c r="AI19" s="275">
        <v>5.139273983894352</v>
      </c>
      <c r="AJ19" s="275">
        <v>5.1812986615689116</v>
      </c>
      <c r="AK19" s="275">
        <v>5.2221725991496708</v>
      </c>
      <c r="AL19" s="275">
        <v>5.2620547834461391</v>
      </c>
      <c r="AM19" s="275">
        <v>5.3010547428225996</v>
      </c>
      <c r="AN19" s="275">
        <v>5.339249713460382</v>
      </c>
      <c r="AO19" s="275">
        <v>5.3766950577447901</v>
      </c>
      <c r="AP19" s="275">
        <v>5.4134305296270231</v>
      </c>
      <c r="AQ19" s="275">
        <v>5.4494841606392912</v>
      </c>
      <c r="AR19" s="275">
        <v>5.4848747277615724</v>
      </c>
      <c r="AS19" s="275">
        <v>5.5196133109363679</v>
      </c>
      <c r="AT19" s="275">
        <v>5.5537042018839413</v>
      </c>
      <c r="AU19" s="275">
        <v>5.5871452755838984</v>
      </c>
      <c r="AV19" s="275">
        <v>5.6199278155583272</v>
      </c>
      <c r="AW19" s="275">
        <v>5.6520356436345924</v>
      </c>
      <c r="AX19" s="275">
        <v>5.683443197090523</v>
      </c>
      <c r="AY19" s="275">
        <v>5.7141119946750569</v>
      </c>
      <c r="AZ19" s="275">
        <v>5.7439860897272386</v>
      </c>
      <c r="BA19" s="275">
        <v>5.7729976887985064</v>
      </c>
      <c r="BB19" s="275">
        <v>5.8011138447951938</v>
      </c>
      <c r="BC19" s="275">
        <v>5.8283819450954439</v>
      </c>
      <c r="BD19" s="275">
        <v>5.8548847676294136</v>
      </c>
      <c r="BE19" s="275">
        <v>5.8806943529131033</v>
      </c>
      <c r="BF19" s="275">
        <v>5.9058669938920083</v>
      </c>
      <c r="BG19" s="275">
        <v>5.9304484597608154</v>
      </c>
      <c r="BH19" s="275">
        <v>5.9544783054305768</v>
      </c>
      <c r="BI19" s="275">
        <v>5.977992706296912</v>
      </c>
      <c r="BJ19" s="275">
        <v>6.0010264269690863</v>
      </c>
      <c r="BK19" s="275">
        <v>6.0236143507514077</v>
      </c>
      <c r="BL19" s="275">
        <v>6.0457928207681038</v>
      </c>
      <c r="BM19" s="275">
        <v>6.0676009569062943</v>
      </c>
      <c r="BN19" s="275">
        <v>6.0890820867946376</v>
      </c>
      <c r="BO19" s="275">
        <v>6.1102854517988563</v>
      </c>
      <c r="BP19" s="275">
        <v>6.1312684364886767</v>
      </c>
      <c r="BQ19" s="275">
        <v>6.1520997900321284</v>
      </c>
      <c r="BR19" s="275">
        <v>6.1728648805067001</v>
      </c>
      <c r="BS19" s="275">
        <v>6.1936757624093044</v>
      </c>
      <c r="BT19" s="275">
        <v>6.2146954629672688</v>
      </c>
      <c r="BU19" s="275">
        <v>6.2362047876887496</v>
      </c>
      <c r="BV19" s="275">
        <v>6.2584724775042018</v>
      </c>
      <c r="BW19" s="275">
        <v>6.281270373998483</v>
      </c>
      <c r="BX19" s="275">
        <v>6.304358521354982</v>
      </c>
      <c r="BY19" s="275">
        <v>6.3276152852677559</v>
      </c>
      <c r="BZ19" s="275">
        <v>6.3509708418804811</v>
      </c>
      <c r="CA19" s="275">
        <v>6.3743832154272946</v>
      </c>
      <c r="CB19" s="275">
        <v>6.3978285776578696</v>
      </c>
      <c r="CC19" s="275">
        <v>6.4212964209165904</v>
      </c>
      <c r="CD19" s="275">
        <v>6.444786848212722</v>
      </c>
      <c r="CE19" s="275">
        <v>6.4683089725060876</v>
      </c>
      <c r="CF19" s="275">
        <v>6.4918800051433969</v>
      </c>
      <c r="CG19" s="275">
        <v>6.5155248577818767</v>
      </c>
      <c r="CH19" s="275">
        <v>6.5392762093572063</v>
      </c>
      <c r="CI19" s="275">
        <v>6.5631750771122022</v>
      </c>
      <c r="CJ19" s="275">
        <v>6.5872720057293206</v>
      </c>
      <c r="CK19" s="275">
        <v>6.6116290328023108</v>
      </c>
      <c r="CL19" s="275">
        <v>6.6363224410074704</v>
      </c>
      <c r="CM19" s="275">
        <v>6.6614452821692431</v>
      </c>
      <c r="CN19" s="275">
        <v>6.6871047451292318</v>
      </c>
      <c r="CO19" s="275">
        <v>6.7134015937760463</v>
      </c>
      <c r="CP19" s="275"/>
      <c r="CQ19" s="276">
        <v>3.1160079714446658</v>
      </c>
      <c r="CR19" s="276">
        <v>3.173081482663282</v>
      </c>
      <c r="CS19" s="276">
        <v>3.230409647826836</v>
      </c>
      <c r="CT19" s="276">
        <v>3.2880084075434199</v>
      </c>
      <c r="CU19" s="276">
        <v>3.3458957536004301</v>
      </c>
      <c r="CV19" s="276">
        <v>3.4040921486571691</v>
      </c>
      <c r="CW19" s="276">
        <v>3.4626210576914218</v>
      </c>
      <c r="CX19" s="276">
        <v>3.5215096266145318</v>
      </c>
      <c r="CY19" s="276">
        <v>3.5807895567287802</v>
      </c>
      <c r="CZ19" s="276">
        <v>3.640498243140883</v>
      </c>
      <c r="DA19" s="276">
        <v>3.7006802746798302</v>
      </c>
      <c r="DB19" s="276">
        <v>3.7613894392029659</v>
      </c>
      <c r="DC19" s="276">
        <v>3.822691454451761</v>
      </c>
      <c r="DD19" s="276">
        <v>3.8846677764621158</v>
      </c>
      <c r="DE19" s="276">
        <v>3.9474210769887659</v>
      </c>
      <c r="DF19" s="276">
        <v>4.011083435905066</v>
      </c>
      <c r="DG19" s="276">
        <v>4.0758291766369847</v>
      </c>
      <c r="DH19" s="276">
        <v>4.1418958832590604</v>
      </c>
      <c r="DI19" s="276">
        <v>4.2096187664804763</v>
      </c>
      <c r="DJ19" s="276">
        <v>4.2794732115712808</v>
      </c>
      <c r="DK19" s="276">
        <v>4.3520267299489834</v>
      </c>
      <c r="DL19" s="276">
        <v>4.4275270467561656</v>
      </c>
      <c r="DM19" s="276">
        <v>4.5054999499592849</v>
      </c>
      <c r="DN19" s="276">
        <v>4.5851454156178386</v>
      </c>
      <c r="DO19" s="276">
        <v>4.6657426241561053</v>
      </c>
      <c r="DP19" s="276">
        <v>4.7466890719724288</v>
      </c>
      <c r="DQ19" s="276">
        <v>4.827445130968016</v>
      </c>
      <c r="DR19" s="276">
        <v>4.9074794791452199</v>
      </c>
      <c r="DS19" s="276">
        <v>4.9862157380046304</v>
      </c>
      <c r="DT19" s="276">
        <v>5.0629797112644033</v>
      </c>
      <c r="DU19" s="276">
        <v>5.1370333820109346</v>
      </c>
      <c r="DV19" s="276">
        <v>5.2079421270137267</v>
      </c>
      <c r="DW19" s="276">
        <v>5.2759340156343351</v>
      </c>
      <c r="DX19" s="276">
        <v>5.3415330335792044</v>
      </c>
      <c r="DY19" s="276">
        <v>5.4051834149118507</v>
      </c>
      <c r="DZ19" s="276">
        <v>5.4672049139391419</v>
      </c>
      <c r="EA19" s="276">
        <v>5.5278304472275526</v>
      </c>
      <c r="EB19" s="276">
        <v>5.5872362661690902</v>
      </c>
      <c r="EC19" s="276">
        <v>5.6455599723841567</v>
      </c>
      <c r="ED19" s="276">
        <v>5.7029110823922853</v>
      </c>
      <c r="EE19" s="276">
        <v>5.7593773558856336</v>
      </c>
      <c r="EF19" s="276">
        <v>5.8150286230922346</v>
      </c>
      <c r="EG19" s="276">
        <v>5.8699190267490513</v>
      </c>
      <c r="EH19" s="276">
        <v>5.9240881554756877</v>
      </c>
      <c r="EI19" s="276">
        <v>5.9775612846973711</v>
      </c>
      <c r="EJ19" s="276">
        <v>6.0303487393516004</v>
      </c>
      <c r="EK19" s="276">
        <v>6.0824441549123316</v>
      </c>
      <c r="EL19" s="276">
        <v>6.1338210228310484</v>
      </c>
      <c r="EM19" s="276">
        <v>6.1844262996238681</v>
      </c>
      <c r="EN19" s="276">
        <v>6.2341706118741724</v>
      </c>
      <c r="EO19" s="276">
        <v>6.2829315406471897</v>
      </c>
      <c r="EP19" s="276">
        <v>6.3306352841941553</v>
      </c>
      <c r="EQ19" s="276">
        <v>6.3773471259490746</v>
      </c>
      <c r="ER19" s="276">
        <v>6.4231818376670011</v>
      </c>
      <c r="ES19" s="276">
        <v>6.4682229179834687</v>
      </c>
      <c r="ET19" s="276">
        <v>6.5125202710697714</v>
      </c>
      <c r="EU19" s="276">
        <v>6.5561010615600486</v>
      </c>
      <c r="EV19" s="276">
        <v>6.5989773031499892</v>
      </c>
      <c r="EW19" s="276">
        <v>6.6411506990044096</v>
      </c>
      <c r="EX19" s="276">
        <v>6.6826160204886609</v>
      </c>
      <c r="EY19" s="276">
        <v>6.7233637289151513</v>
      </c>
      <c r="EZ19" s="276">
        <v>6.7633821964298386</v>
      </c>
      <c r="FA19" s="276">
        <v>6.8026597165573834</v>
      </c>
      <c r="FB19" s="276">
        <v>6.8411864214729077</v>
      </c>
      <c r="FC19" s="276">
        <v>6.8789562000665478</v>
      </c>
      <c r="FD19" s="276">
        <v>6.9159687283189726</v>
      </c>
      <c r="FE19" s="276">
        <v>6.9522318001845553</v>
      </c>
      <c r="FF19" s="276">
        <v>6.9877643629650388</v>
      </c>
      <c r="FG19" s="276">
        <v>7.0226013244489218</v>
      </c>
      <c r="FH19" s="276">
        <v>7.0568039304890284</v>
      </c>
      <c r="FI19" s="276">
        <v>7.0904993181216378</v>
      </c>
      <c r="FJ19" s="272">
        <v>7.123861119872978</v>
      </c>
      <c r="FK19" s="272">
        <v>7.1567467171268628</v>
      </c>
      <c r="FL19" s="272">
        <v>7.189060185007289</v>
      </c>
      <c r="FM19" s="272">
        <v>7.2207718940164778</v>
      </c>
      <c r="FN19" s="272">
        <v>7.25187917865565</v>
      </c>
      <c r="FO19" s="272">
        <v>7.2823962063508878</v>
      </c>
      <c r="FP19" s="272">
        <v>7.3123494519998884</v>
      </c>
      <c r="FQ19" s="272">
        <v>7.3417749921572382</v>
      </c>
      <c r="FR19" s="272">
        <v>7.370716567793492</v>
      </c>
      <c r="FS19" s="272">
        <v>7.3992240334051456</v>
      </c>
      <c r="FT19" s="272">
        <v>7.4273520350567788</v>
      </c>
      <c r="FU19" s="272">
        <v>7.4551588518129899</v>
      </c>
      <c r="FV19" s="272">
        <v>7.4827053791077063</v>
      </c>
      <c r="FW19" s="272">
        <v>7.510054258182703</v>
      </c>
      <c r="FX19" s="272">
        <v>7.537269174258598</v>
      </c>
      <c r="FY19" s="272">
        <v>7.564414358822102</v>
      </c>
      <c r="FZ19" s="272">
        <v>7.5915543171933022</v>
      </c>
      <c r="GA19" s="272">
        <v>7.6187536568985061</v>
      </c>
      <c r="GB19" s="272">
        <v>7.6460762732648746</v>
      </c>
      <c r="GC19" s="272">
        <v>7.6735817562079687</v>
      </c>
    </row>
    <row r="20" spans="2:185" ht="15" thickBot="1" x14ac:dyDescent="0.4">
      <c r="B20" s="298">
        <v>14</v>
      </c>
      <c r="C20" s="275">
        <v>3.38255884313967</v>
      </c>
      <c r="D20" s="275">
        <v>3.4263582424593411</v>
      </c>
      <c r="E20" s="275">
        <v>3.4703981274742448</v>
      </c>
      <c r="F20" s="275">
        <v>3.5146915448987119</v>
      </c>
      <c r="G20" s="275">
        <v>3.5592523080425749</v>
      </c>
      <c r="H20" s="275">
        <v>3.6040949843552341</v>
      </c>
      <c r="I20" s="275">
        <v>3.6492348564173369</v>
      </c>
      <c r="J20" s="275">
        <v>3.6946878470221951</v>
      </c>
      <c r="K20" s="275">
        <v>3.7404703970489912</v>
      </c>
      <c r="L20" s="275">
        <v>3.7865992831213751</v>
      </c>
      <c r="M20" s="275">
        <v>3.833091361123993</v>
      </c>
      <c r="N20" s="275">
        <v>3.8799632224398928</v>
      </c>
      <c r="O20" s="275">
        <v>3.927230753689511</v>
      </c>
      <c r="P20" s="275">
        <v>3.9749085997545071</v>
      </c>
      <c r="Q20" s="275">
        <v>4.0230095461406066</v>
      </c>
      <c r="R20" s="275">
        <v>4.071543860874872</v>
      </c>
      <c r="S20" s="275">
        <v>4.1205186592921947</v>
      </c>
      <c r="T20" s="275">
        <v>4.1699373271416791</v>
      </c>
      <c r="U20" s="275">
        <v>4.2197987546551046</v>
      </c>
      <c r="V20" s="275">
        <v>4.2700950057175229</v>
      </c>
      <c r="W20" s="275">
        <v>4.3208037603879266</v>
      </c>
      <c r="X20" s="275">
        <v>4.3718736805037874</v>
      </c>
      <c r="Y20" s="275">
        <v>4.4232144064380954</v>
      </c>
      <c r="Z20" s="275">
        <v>4.4747030156769974</v>
      </c>
      <c r="AA20" s="275">
        <v>4.5261946993312101</v>
      </c>
      <c r="AB20" s="275">
        <v>4.5775254811429971</v>
      </c>
      <c r="AC20" s="275">
        <v>4.6285083314622968</v>
      </c>
      <c r="AD20" s="275">
        <v>4.6789262220062806</v>
      </c>
      <c r="AE20" s="275">
        <v>4.7285257531649343</v>
      </c>
      <c r="AF20" s="275">
        <v>4.7770228225848292</v>
      </c>
      <c r="AG20" s="275">
        <v>4.8241494708436754</v>
      </c>
      <c r="AH20" s="275">
        <v>4.8697565098666526</v>
      </c>
      <c r="AI20" s="275">
        <v>4.913879332495851</v>
      </c>
      <c r="AJ20" s="275">
        <v>4.9566726118443842</v>
      </c>
      <c r="AK20" s="275">
        <v>4.9983081494436803</v>
      </c>
      <c r="AL20" s="275">
        <v>5.0389284249423083</v>
      </c>
      <c r="AM20" s="275">
        <v>5.0786411707741186</v>
      </c>
      <c r="AN20" s="275">
        <v>5.1175257889407533</v>
      </c>
      <c r="AO20" s="275">
        <v>5.1556403684242369</v>
      </c>
      <c r="AP20" s="275">
        <v>5.1930270138540582</v>
      </c>
      <c r="AQ20" s="275">
        <v>5.2297155480171318</v>
      </c>
      <c r="AR20" s="275">
        <v>5.2657260029404451</v>
      </c>
      <c r="AS20" s="275">
        <v>5.3010702386026196</v>
      </c>
      <c r="AT20" s="275">
        <v>5.3357529046907208</v>
      </c>
      <c r="AU20" s="275">
        <v>5.3697718569916848</v>
      </c>
      <c r="AV20" s="275">
        <v>5.4031180585588992</v>
      </c>
      <c r="AW20" s="275">
        <v>5.4357749443983039</v>
      </c>
      <c r="AX20" s="275">
        <v>5.467717287123862</v>
      </c>
      <c r="AY20" s="275">
        <v>5.49891012466869</v>
      </c>
      <c r="AZ20" s="275">
        <v>5.529310348544568</v>
      </c>
      <c r="BA20" s="275">
        <v>5.5588776466744401</v>
      </c>
      <c r="BB20" s="275">
        <v>5.5875981739406848</v>
      </c>
      <c r="BC20" s="275">
        <v>5.6154998051835081</v>
      </c>
      <c r="BD20" s="275">
        <v>5.642637431441182</v>
      </c>
      <c r="BE20" s="275">
        <v>5.6690698616539903</v>
      </c>
      <c r="BF20" s="275">
        <v>5.69484949962255</v>
      </c>
      <c r="BG20" s="275">
        <v>5.7200214508531326</v>
      </c>
      <c r="BH20" s="275">
        <v>5.7446253985446161</v>
      </c>
      <c r="BI20" s="275">
        <v>5.7686976921982636</v>
      </c>
      <c r="BJ20" s="275">
        <v>5.7922731432437038</v>
      </c>
      <c r="BK20" s="275">
        <v>5.8153865668013873</v>
      </c>
      <c r="BL20" s="275">
        <v>5.8380742008434394</v>
      </c>
      <c r="BM20" s="275">
        <v>5.8603751365924293</v>
      </c>
      <c r="BN20" s="275">
        <v>5.8823329009677154</v>
      </c>
      <c r="BO20" s="275">
        <v>5.9039973731470079</v>
      </c>
      <c r="BP20" s="275">
        <v>5.9254273234798314</v>
      </c>
      <c r="BQ20" s="275">
        <v>5.9466940984467973</v>
      </c>
      <c r="BR20" s="275">
        <v>5.9678874709647154</v>
      </c>
      <c r="BS20" s="275">
        <v>5.9891255030060426</v>
      </c>
      <c r="BT20" s="275">
        <v>6.0105691689459197</v>
      </c>
      <c r="BU20" s="275">
        <v>6.0324182973674398</v>
      </c>
      <c r="BV20" s="275">
        <v>6.0547957625640789</v>
      </c>
      <c r="BW20" s="275">
        <v>6.0776191797381687</v>
      </c>
      <c r="BX20" s="275">
        <v>6.1007294718714462</v>
      </c>
      <c r="BY20" s="275">
        <v>6.1240069490343023</v>
      </c>
      <c r="BZ20" s="275">
        <v>6.1473756555389496</v>
      </c>
      <c r="CA20" s="275">
        <v>6.1707890645286279</v>
      </c>
      <c r="CB20" s="275">
        <v>6.194220575529406</v>
      </c>
      <c r="CC20" s="275">
        <v>6.2176580836618927</v>
      </c>
      <c r="CD20" s="275">
        <v>6.2411007966775189</v>
      </c>
      <c r="CE20" s="275">
        <v>6.2645573131314931</v>
      </c>
      <c r="CF20" s="275">
        <v>6.288044485805016</v>
      </c>
      <c r="CG20" s="275">
        <v>6.311586854901031</v>
      </c>
      <c r="CH20" s="275">
        <v>6.3352165837711949</v>
      </c>
      <c r="CI20" s="275">
        <v>6.3589739437101844</v>
      </c>
      <c r="CJ20" s="275">
        <v>6.3829085272610913</v>
      </c>
      <c r="CK20" s="275">
        <v>6.4070815816106661</v>
      </c>
      <c r="CL20" s="275">
        <v>6.4315702168956346</v>
      </c>
      <c r="CM20" s="275">
        <v>6.4564746081341173</v>
      </c>
      <c r="CN20" s="275">
        <v>6.4819270828076014</v>
      </c>
      <c r="CO20" s="275">
        <v>6.50808173613476</v>
      </c>
      <c r="CP20" s="275"/>
      <c r="CQ20" s="276">
        <v>2.8901946564961158</v>
      </c>
      <c r="CR20" s="276">
        <v>2.947384212488382</v>
      </c>
      <c r="CS20" s="276">
        <v>3.0048339565327948</v>
      </c>
      <c r="CT20" s="276">
        <v>3.0625601624040129</v>
      </c>
      <c r="CU20" s="276">
        <v>3.1205811887973489</v>
      </c>
      <c r="CV20" s="276">
        <v>3.178917911629803</v>
      </c>
      <c r="CW20" s="276">
        <v>3.237594275175121</v>
      </c>
      <c r="CX20" s="276">
        <v>3.2966380010676808</v>
      </c>
      <c r="CY20" s="276">
        <v>3.356081509016748</v>
      </c>
      <c r="CZ20" s="276">
        <v>3.415963124429557</v>
      </c>
      <c r="DA20" s="276">
        <v>3.4763286795144959</v>
      </c>
      <c r="DB20" s="276">
        <v>3.5372336614248852</v>
      </c>
      <c r="DC20" s="276">
        <v>3.5987461325751569</v>
      </c>
      <c r="DD20" s="276">
        <v>3.660950757844347</v>
      </c>
      <c r="DE20" s="276">
        <v>3.7239544363224151</v>
      </c>
      <c r="DF20" s="276">
        <v>3.7878942459013718</v>
      </c>
      <c r="DG20" s="276">
        <v>3.8529485254219158</v>
      </c>
      <c r="DH20" s="276">
        <v>3.919351169979385</v>
      </c>
      <c r="DI20" s="276">
        <v>3.98740442224394</v>
      </c>
      <c r="DJ20" s="276">
        <v>4.0574673102851149</v>
      </c>
      <c r="DK20" s="276">
        <v>4.1298605841556313</v>
      </c>
      <c r="DL20" s="276">
        <v>4.204658282079734</v>
      </c>
      <c r="DM20" s="276">
        <v>4.2815527221804688</v>
      </c>
      <c r="DN20" s="276">
        <v>4.3599831086731369</v>
      </c>
      <c r="DO20" s="276">
        <v>4.4393368023091382</v>
      </c>
      <c r="DP20" s="276">
        <v>4.5190355979537342</v>
      </c>
      <c r="DQ20" s="276">
        <v>4.5985359607048908</v>
      </c>
      <c r="DR20" s="276">
        <v>4.6773021517004461</v>
      </c>
      <c r="DS20" s="276">
        <v>4.7547792358435954</v>
      </c>
      <c r="DT20" s="276">
        <v>4.8303913118502413</v>
      </c>
      <c r="DU20" s="276">
        <v>4.9036185091360798</v>
      </c>
      <c r="DV20" s="276">
        <v>4.9741788876431912</v>
      </c>
      <c r="DW20" s="276">
        <v>5.0421443723393464</v>
      </c>
      <c r="DX20" s="276">
        <v>5.1078169150022541</v>
      </c>
      <c r="DY20" s="276">
        <v>5.1715378216794434</v>
      </c>
      <c r="DZ20" s="276">
        <v>5.2336001417766553</v>
      </c>
      <c r="EA20" s="276">
        <v>5.2942369606928832</v>
      </c>
      <c r="EB20" s="276">
        <v>5.3536318174562698</v>
      </c>
      <c r="EC20" s="276">
        <v>5.4119304842624958</v>
      </c>
      <c r="ED20" s="276">
        <v>5.4692498269777614</v>
      </c>
      <c r="EE20" s="276">
        <v>5.5256838092234846</v>
      </c>
      <c r="EF20" s="276">
        <v>5.581307366323415</v>
      </c>
      <c r="EG20" s="276">
        <v>5.6361787503534142</v>
      </c>
      <c r="EH20" s="276">
        <v>5.6903407327661668</v>
      </c>
      <c r="EI20" s="276">
        <v>5.7438208704931029</v>
      </c>
      <c r="EJ20" s="276">
        <v>5.7966308951361114</v>
      </c>
      <c r="EK20" s="276">
        <v>5.8487651700209131</v>
      </c>
      <c r="EL20" s="276">
        <v>5.9001981717299001</v>
      </c>
      <c r="EM20" s="276">
        <v>5.950881629945779</v>
      </c>
      <c r="EN20" s="276">
        <v>6.0007452740978966</v>
      </c>
      <c r="EO20" s="276">
        <v>6.0497135270236333</v>
      </c>
      <c r="EP20" s="276">
        <v>6.0977477632853594</v>
      </c>
      <c r="EQ20" s="276">
        <v>6.1448753130570646</v>
      </c>
      <c r="ER20" s="276">
        <v>6.1911613368227618</v>
      </c>
      <c r="ES20" s="276">
        <v>6.2366674796700776</v>
      </c>
      <c r="ET20" s="276">
        <v>6.2814361600688384</v>
      </c>
      <c r="EU20" s="276">
        <v>6.3254909151364664</v>
      </c>
      <c r="EV20" s="276">
        <v>6.368840508361866</v>
      </c>
      <c r="EW20" s="276">
        <v>6.4114829079061462</v>
      </c>
      <c r="EX20" s="276">
        <v>6.4534085746231939</v>
      </c>
      <c r="EY20" s="276">
        <v>6.4946032019635824</v>
      </c>
      <c r="EZ20" s="276">
        <v>6.5350501029421739</v>
      </c>
      <c r="FA20" s="276">
        <v>6.5747323908536162</v>
      </c>
      <c r="FB20" s="276">
        <v>6.6136350610131869</v>
      </c>
      <c r="FC20" s="276">
        <v>6.6517470677296213</v>
      </c>
      <c r="FD20" s="276">
        <v>6.6890635118398389</v>
      </c>
      <c r="FE20" s="276">
        <v>6.7255881356945144</v>
      </c>
      <c r="FF20" s="276">
        <v>6.7613365541637274</v>
      </c>
      <c r="FG20" s="276">
        <v>6.7963413751022914</v>
      </c>
      <c r="FH20" s="276">
        <v>6.8306633370263059</v>
      </c>
      <c r="FI20" s="276">
        <v>6.8644277650942032</v>
      </c>
      <c r="FJ20" s="272">
        <v>6.8977811402307321</v>
      </c>
      <c r="FK20" s="272">
        <v>6.9306078733770988</v>
      </c>
      <c r="FL20" s="272">
        <v>6.9628137258696254</v>
      </c>
      <c r="FM20" s="272">
        <v>6.9943694432555743</v>
      </c>
      <c r="FN20" s="272">
        <v>7.0252745193448369</v>
      </c>
      <c r="FO20" s="272">
        <v>7.0555463054374989</v>
      </c>
      <c r="FP20" s="272">
        <v>7.0852151750606787</v>
      </c>
      <c r="FQ20" s="272">
        <v>7.1143216304272956</v>
      </c>
      <c r="FR20" s="272">
        <v>7.1429142149928069</v>
      </c>
      <c r="FS20" s="272">
        <v>7.1710478272752187</v>
      </c>
      <c r="FT20" s="272">
        <v>7.1987822721034691</v>
      </c>
      <c r="FU20" s="272">
        <v>7.2261809820870919</v>
      </c>
      <c r="FV20" s="272">
        <v>7.2533098880960107</v>
      </c>
      <c r="FW20" s="272">
        <v>7.2802364456441806</v>
      </c>
      <c r="FX20" s="272">
        <v>7.3070288500109486</v>
      </c>
      <c r="FY20" s="272">
        <v>7.3337555097029492</v>
      </c>
      <c r="FZ20" s="272">
        <v>7.3604849115158837</v>
      </c>
      <c r="GA20" s="272">
        <v>7.3872860946431027</v>
      </c>
      <c r="GB20" s="272">
        <v>7.4142297011128706</v>
      </c>
      <c r="GC20" s="272">
        <v>7.4413863782940872</v>
      </c>
    </row>
    <row r="21" spans="2:185" ht="15" thickBot="1" x14ac:dyDescent="0.4">
      <c r="B21" s="298">
        <v>15</v>
      </c>
      <c r="C21" s="275">
        <v>3.1584003032564492</v>
      </c>
      <c r="D21" s="275">
        <v>3.2019892546381969</v>
      </c>
      <c r="E21" s="275">
        <v>3.245813845909896</v>
      </c>
      <c r="F21" s="275">
        <v>3.2898874851661879</v>
      </c>
      <c r="G21" s="275">
        <v>3.334224489428248</v>
      </c>
      <c r="H21" s="275">
        <v>3.3788401032142392</v>
      </c>
      <c r="I21" s="275">
        <v>3.423750494822607</v>
      </c>
      <c r="J21" s="275">
        <v>3.4689727203385381</v>
      </c>
      <c r="K21" s="275">
        <v>3.5145246425443761</v>
      </c>
      <c r="L21" s="275">
        <v>3.5604247888440081</v>
      </c>
      <c r="M21" s="275">
        <v>3.606692129382743</v>
      </c>
      <c r="N21" s="275">
        <v>3.653345754444131</v>
      </c>
      <c r="O21" s="275">
        <v>3.7004044299311531</v>
      </c>
      <c r="P21" s="275">
        <v>3.7478860123063291</v>
      </c>
      <c r="Q21" s="275">
        <v>3.7958067095797459</v>
      </c>
      <c r="R21" s="275">
        <v>3.8441801776620879</v>
      </c>
      <c r="S21" s="275">
        <v>3.8930164217411849</v>
      </c>
      <c r="T21" s="275">
        <v>3.9423203746033142</v>
      </c>
      <c r="U21" s="275">
        <v>3.992089736772003</v>
      </c>
      <c r="V21" s="275">
        <v>4.0423111340133708</v>
      </c>
      <c r="W21" s="275">
        <v>4.0929535108378259</v>
      </c>
      <c r="X21" s="275">
        <v>4.1439598276675946</v>
      </c>
      <c r="Y21" s="275">
        <v>4.1952420153821306</v>
      </c>
      <c r="Z21" s="275">
        <v>4.2466826185690483</v>
      </c>
      <c r="AA21" s="275">
        <v>4.2981394840226672</v>
      </c>
      <c r="AB21" s="275">
        <v>4.3494484180166122</v>
      </c>
      <c r="AC21" s="275">
        <v>4.4004229501423344</v>
      </c>
      <c r="AD21" s="275">
        <v>4.4508534854030168</v>
      </c>
      <c r="AE21" s="275">
        <v>4.5005104919634897</v>
      </c>
      <c r="AF21" s="275">
        <v>4.5491602028620939</v>
      </c>
      <c r="AG21" s="275">
        <v>4.5966021522916058</v>
      </c>
      <c r="AH21" s="275">
        <v>4.6427206732356483</v>
      </c>
      <c r="AI21" s="275">
        <v>4.6875114305703116</v>
      </c>
      <c r="AJ21" s="275">
        <v>4.7310554270654501</v>
      </c>
      <c r="AK21" s="275">
        <v>4.7734680592923064</v>
      </c>
      <c r="AL21" s="275">
        <v>4.8148621622725134</v>
      </c>
      <c r="AM21" s="275">
        <v>4.855332945583366</v>
      </c>
      <c r="AN21" s="275">
        <v>4.8949556207970479</v>
      </c>
      <c r="AO21" s="275">
        <v>4.93378763952503</v>
      </c>
      <c r="AP21" s="275">
        <v>4.9718718082945896</v>
      </c>
      <c r="AQ21" s="275">
        <v>5.009239031870691</v>
      </c>
      <c r="AR21" s="275">
        <v>5.045910409431225</v>
      </c>
      <c r="AS21" s="275">
        <v>5.0818987094660084</v>
      </c>
      <c r="AT21" s="275">
        <v>5.1172093119513313</v>
      </c>
      <c r="AU21" s="275">
        <v>5.1518407003615536</v>
      </c>
      <c r="AV21" s="275">
        <v>5.1857845803826326</v>
      </c>
      <c r="AW21" s="275">
        <v>5.2190257515865639</v>
      </c>
      <c r="AX21" s="275">
        <v>5.2515420653650287</v>
      </c>
      <c r="AY21" s="275">
        <v>5.2833053594615143</v>
      </c>
      <c r="AZ21" s="275">
        <v>5.3142852454385681</v>
      </c>
      <c r="BA21" s="275">
        <v>5.3444578760115684</v>
      </c>
      <c r="BB21" s="275">
        <v>5.3738179055178392</v>
      </c>
      <c r="BC21" s="275">
        <v>5.402384758704903</v>
      </c>
      <c r="BD21" s="275">
        <v>5.430196918317999</v>
      </c>
      <c r="BE21" s="275">
        <v>5.4573005458437258</v>
      </c>
      <c r="BF21" s="275">
        <v>5.4837413466489577</v>
      </c>
      <c r="BG21" s="275">
        <v>5.5095614960395727</v>
      </c>
      <c r="BH21" s="275">
        <v>5.5347995346899728</v>
      </c>
      <c r="BI21" s="275">
        <v>5.5594914010474517</v>
      </c>
      <c r="BJ21" s="275">
        <v>5.5836717670315474</v>
      </c>
      <c r="BK21" s="275">
        <v>5.607375419054665</v>
      </c>
      <c r="BL21" s="275">
        <v>5.6306386604987733</v>
      </c>
      <c r="BM21" s="275">
        <v>5.6535007993747639</v>
      </c>
      <c r="BN21" s="275">
        <v>5.6760058292218067</v>
      </c>
      <c r="BO21" s="275">
        <v>5.6982044571153221</v>
      </c>
      <c r="BP21" s="275">
        <v>5.7201566985718912</v>
      </c>
      <c r="BQ21" s="275">
        <v>5.7419353315275599</v>
      </c>
      <c r="BR21" s="275">
        <v>5.7636304265857996</v>
      </c>
      <c r="BS21" s="275">
        <v>5.7853541673463722</v>
      </c>
      <c r="BT21" s="275">
        <v>5.8072404221865268</v>
      </c>
      <c r="BU21" s="275">
        <v>5.8294215431234822</v>
      </c>
      <c r="BV21" s="275">
        <v>5.8519687348680982</v>
      </c>
      <c r="BW21" s="275">
        <v>5.8748513972987118</v>
      </c>
      <c r="BX21" s="275">
        <v>5.8979780425846604</v>
      </c>
      <c r="BY21" s="275">
        <v>5.9212561943416686</v>
      </c>
      <c r="BZ21" s="275">
        <v>5.9446158748103812</v>
      </c>
      <c r="CA21" s="275">
        <v>5.968010347469999</v>
      </c>
      <c r="CB21" s="275">
        <v>5.9914116521623546</v>
      </c>
      <c r="CC21" s="275">
        <v>6.0148064874558953</v>
      </c>
      <c r="CD21" s="275">
        <v>6.0381932477095113</v>
      </c>
      <c r="CE21" s="275">
        <v>6.0615800267764426</v>
      </c>
      <c r="CF21" s="275">
        <v>6.0849833373906526</v>
      </c>
      <c r="CG21" s="275">
        <v>6.1084273864894616</v>
      </c>
      <c r="CH21" s="275">
        <v>6.1319438424277104</v>
      </c>
      <c r="CI21" s="275">
        <v>6.1555721237557517</v>
      </c>
      <c r="CJ21" s="275">
        <v>6.1793603625916838</v>
      </c>
      <c r="CK21" s="275">
        <v>6.2033674227284052</v>
      </c>
      <c r="CL21" s="275">
        <v>6.2276668882977999</v>
      </c>
      <c r="CM21" s="275">
        <v>6.2523554769862209</v>
      </c>
      <c r="CN21" s="275">
        <v>6.2775733942896004</v>
      </c>
      <c r="CO21" s="275">
        <v>6.3035473191919866</v>
      </c>
      <c r="CP21" s="275"/>
      <c r="CQ21" s="276">
        <v>2.664713073682039</v>
      </c>
      <c r="CR21" s="276">
        <v>2.7220396694889528</v>
      </c>
      <c r="CS21" s="276">
        <v>2.7796339734459701</v>
      </c>
      <c r="CT21" s="276">
        <v>2.8375128067871098</v>
      </c>
      <c r="CU21" s="276">
        <v>2.8956951251100018</v>
      </c>
      <c r="CV21" s="276">
        <v>2.954202458642496</v>
      </c>
      <c r="CW21" s="276">
        <v>3.0130594740236671</v>
      </c>
      <c r="CX21" s="276">
        <v>3.07229469737393</v>
      </c>
      <c r="CY21" s="276">
        <v>3.13194145278338</v>
      </c>
      <c r="CZ21" s="276">
        <v>3.1920390900096351</v>
      </c>
      <c r="DA21" s="276">
        <v>3.2526346017727779</v>
      </c>
      <c r="DB21" s="276">
        <v>3.313784765912966</v>
      </c>
      <c r="DC21" s="276">
        <v>3.3755589899977752</v>
      </c>
      <c r="DD21" s="276">
        <v>3.438043076622014</v>
      </c>
      <c r="DE21" s="276">
        <v>3.5013441308199971</v>
      </c>
      <c r="DF21" s="276">
        <v>3.565596680927579</v>
      </c>
      <c r="DG21" s="276">
        <v>3.6309694425876322</v>
      </c>
      <c r="DH21" s="276">
        <v>3.697670148814221</v>
      </c>
      <c r="DI21" s="276">
        <v>3.765940798196644</v>
      </c>
      <c r="DJ21" s="276">
        <v>3.836026837395333</v>
      </c>
      <c r="DK21" s="276">
        <v>3.908101485307085</v>
      </c>
      <c r="DL21" s="276">
        <v>3.9821609365689179</v>
      </c>
      <c r="DM21" s="276">
        <v>4.0579688901780893</v>
      </c>
      <c r="DN21" s="276">
        <v>4.1351058977455981</v>
      </c>
      <c r="DO21" s="276">
        <v>4.2130676459670529</v>
      </c>
      <c r="DP21" s="276">
        <v>4.2913335004138542</v>
      </c>
      <c r="DQ21" s="276">
        <v>4.3693899482881831</v>
      </c>
      <c r="DR21" s="276">
        <v>4.4467299357019012</v>
      </c>
      <c r="DS21" s="276">
        <v>4.5228513855666321</v>
      </c>
      <c r="DT21" s="276">
        <v>4.5972773605866184</v>
      </c>
      <c r="DU21" s="276">
        <v>4.6696173405057948</v>
      </c>
      <c r="DV21" s="276">
        <v>4.7396556483725742</v>
      </c>
      <c r="DW21" s="276">
        <v>4.8073953717930724</v>
      </c>
      <c r="DX21" s="276">
        <v>4.8730068605084433</v>
      </c>
      <c r="DY21" s="276">
        <v>4.9367312396766634</v>
      </c>
      <c r="DZ21" s="276">
        <v>4.9988103020189483</v>
      </c>
      <c r="EA21" s="276">
        <v>5.0594571322679727</v>
      </c>
      <c r="EB21" s="276">
        <v>5.1188504166214557</v>
      </c>
      <c r="EC21" s="276">
        <v>5.1771374799893053</v>
      </c>
      <c r="ED21" s="276">
        <v>5.2344391104601238</v>
      </c>
      <c r="EE21" s="276">
        <v>5.2908538195537718</v>
      </c>
      <c r="EF21" s="276">
        <v>5.3464609913369356</v>
      </c>
      <c r="EG21" s="276">
        <v>5.4013229407493402</v>
      </c>
      <c r="EH21" s="276">
        <v>5.4554860266082192</v>
      </c>
      <c r="EI21" s="276">
        <v>5.5089809583683476</v>
      </c>
      <c r="EJ21" s="276">
        <v>5.5618224184429446</v>
      </c>
      <c r="EK21" s="276">
        <v>5.6140081811313847</v>
      </c>
      <c r="EL21" s="276">
        <v>5.6655182150543304</v>
      </c>
      <c r="EM21" s="276">
        <v>5.7163151789855213</v>
      </c>
      <c r="EN21" s="276">
        <v>5.7663496020705214</v>
      </c>
      <c r="EO21" s="276">
        <v>5.8155741227749784</v>
      </c>
      <c r="EP21" s="276">
        <v>5.8639645545308374</v>
      </c>
      <c r="EQ21" s="276">
        <v>5.9115313167331536</v>
      </c>
      <c r="ER21" s="276">
        <v>5.9583088836843769</v>
      </c>
      <c r="ES21" s="276">
        <v>6.0043356363733222</v>
      </c>
      <c r="ET21" s="276">
        <v>6.0496406177692368</v>
      </c>
      <c r="EU21" s="276">
        <v>6.0942394669088564</v>
      </c>
      <c r="EV21" s="276">
        <v>6.1381352071295137</v>
      </c>
      <c r="EW21" s="276">
        <v>6.1813206569490458</v>
      </c>
      <c r="EX21" s="276">
        <v>6.2237811275943304</v>
      </c>
      <c r="EY21" s="276">
        <v>6.2654970149544589</v>
      </c>
      <c r="EZ21" s="276">
        <v>6.3064462288664016</v>
      </c>
      <c r="FA21" s="276">
        <v>6.346606500846983</v>
      </c>
      <c r="FB21" s="276">
        <v>6.3859576384408774</v>
      </c>
      <c r="FC21" s="276">
        <v>6.4244838129520474</v>
      </c>
      <c r="FD21" s="276">
        <v>6.4621760089476163</v>
      </c>
      <c r="FE21" s="276">
        <v>6.4990348669978051</v>
      </c>
      <c r="FF21" s="276">
        <v>6.5350743972805958</v>
      </c>
      <c r="FG21" s="276">
        <v>6.5703275769021587</v>
      </c>
      <c r="FH21" s="276">
        <v>6.6048551556978747</v>
      </c>
      <c r="FI21" s="276">
        <v>6.6387488973841222</v>
      </c>
      <c r="FJ21" s="272">
        <v>6.6720743879153783</v>
      </c>
      <c r="FK21" s="272">
        <v>6.7047969793519808</v>
      </c>
      <c r="FL21" s="272">
        <v>6.7368560368408463</v>
      </c>
      <c r="FM21" s="272">
        <v>6.7682223299147983</v>
      </c>
      <c r="FN21" s="272">
        <v>6.7988950091234202</v>
      </c>
      <c r="FO21" s="272">
        <v>6.8288930465221078</v>
      </c>
      <c r="FP21" s="272">
        <v>6.8582499252394724</v>
      </c>
      <c r="FQ21" s="272">
        <v>6.8870102679696066</v>
      </c>
      <c r="FR21" s="272">
        <v>6.9152274097529487</v>
      </c>
      <c r="FS21" s="272">
        <v>6.9429614607368668</v>
      </c>
      <c r="FT21" s="272">
        <v>6.9702776579704482</v>
      </c>
      <c r="FU21" s="272">
        <v>6.9972449183198373</v>
      </c>
      <c r="FV21" s="272">
        <v>7.023934559056995</v>
      </c>
      <c r="FW21" s="272">
        <v>7.0504191842721387</v>
      </c>
      <c r="FX21" s="272">
        <v>7.0767717621943289</v>
      </c>
      <c r="FY21" s="272">
        <v>7.103064957063677</v>
      </c>
      <c r="FZ21" s="272">
        <v>7.1293708623341043</v>
      </c>
      <c r="GA21" s="272">
        <v>7.15576151903573</v>
      </c>
      <c r="GB21" s="272">
        <v>7.1823114437135747</v>
      </c>
      <c r="GC21" s="272">
        <v>7.2091048592107194</v>
      </c>
    </row>
    <row r="22" spans="2:185" ht="15" thickBot="1" x14ac:dyDescent="0.4">
      <c r="B22" s="298">
        <v>16</v>
      </c>
      <c r="C22" s="275">
        <v>2.9341960875329232</v>
      </c>
      <c r="D22" s="275">
        <v>2.977564502817454</v>
      </c>
      <c r="E22" s="275">
        <v>3.021162424279594</v>
      </c>
      <c r="F22" s="275">
        <v>3.06500346821585</v>
      </c>
      <c r="G22" s="275">
        <v>3.109102290103309</v>
      </c>
      <c r="H22" s="275">
        <v>3.1534746362653121</v>
      </c>
      <c r="I22" s="275">
        <v>3.198137379032401</v>
      </c>
      <c r="J22" s="275">
        <v>3.243108525167218</v>
      </c>
      <c r="K22" s="275">
        <v>3.2884071834922568</v>
      </c>
      <c r="L22" s="275">
        <v>3.3340534728961839</v>
      </c>
      <c r="M22" s="275">
        <v>3.3800683462561509</v>
      </c>
      <c r="N22" s="275">
        <v>3.4264732995587082</v>
      </c>
      <c r="O22" s="275">
        <v>3.4732899290874339</v>
      </c>
      <c r="P22" s="275">
        <v>3.520539293327849</v>
      </c>
      <c r="Q22" s="275">
        <v>3.5682410293980329</v>
      </c>
      <c r="R22" s="275">
        <v>3.6164121617079821</v>
      </c>
      <c r="S22" s="275">
        <v>3.66506551025729</v>
      </c>
      <c r="T22" s="275">
        <v>3.7142075346634682</v>
      </c>
      <c r="U22" s="275">
        <v>3.7638353291759099</v>
      </c>
      <c r="V22" s="275">
        <v>3.8139324213748171</v>
      </c>
      <c r="W22" s="275">
        <v>3.8644633958828472</v>
      </c>
      <c r="X22" s="275">
        <v>3.9153685116349002</v>
      </c>
      <c r="Y22" s="275">
        <v>3.9665605331996581</v>
      </c>
      <c r="Z22" s="275">
        <v>4.0179250210101136</v>
      </c>
      <c r="AA22" s="275">
        <v>4.0693228692424794</v>
      </c>
      <c r="AB22" s="275">
        <v>4.1205930679589464</v>
      </c>
      <c r="AC22" s="275">
        <v>4.1715551452655237</v>
      </c>
      <c r="AD22" s="275">
        <v>4.22201276137117</v>
      </c>
      <c r="AE22" s="275">
        <v>4.2717616385503696</v>
      </c>
      <c r="AF22" s="275">
        <v>4.3206058288142124</v>
      </c>
      <c r="AG22" s="275">
        <v>4.3683835421888588</v>
      </c>
      <c r="AH22" s="275">
        <v>4.4149946156130842</v>
      </c>
      <c r="AI22" s="275">
        <v>4.4604130204758254</v>
      </c>
      <c r="AJ22" s="275">
        <v>4.5046749284429612</v>
      </c>
      <c r="AK22" s="275">
        <v>4.5478518918348074</v>
      </c>
      <c r="AL22" s="275">
        <v>4.5900258212007632</v>
      </c>
      <c r="AM22" s="275">
        <v>4.6312737822982433</v>
      </c>
      <c r="AN22" s="275">
        <v>4.6716615532228696</v>
      </c>
      <c r="AO22" s="275">
        <v>4.7112422136884016</v>
      </c>
      <c r="AP22" s="275">
        <v>4.7500569076777692</v>
      </c>
      <c r="AQ22" s="275">
        <v>4.7881362532887124</v>
      </c>
      <c r="AR22" s="275">
        <v>4.825501734016922</v>
      </c>
      <c r="AS22" s="275">
        <v>4.8621668327735179</v>
      </c>
      <c r="AT22" s="275">
        <v>4.8981378569666294</v>
      </c>
      <c r="AU22" s="275">
        <v>4.9334144866892293</v>
      </c>
      <c r="AV22" s="275">
        <v>4.9679901396450754</v>
      </c>
      <c r="AW22" s="275">
        <v>5.0018523453885484</v>
      </c>
      <c r="AX22" s="275">
        <v>5.0349835138254999</v>
      </c>
      <c r="AY22" s="275">
        <v>5.0673627823075549</v>
      </c>
      <c r="AZ22" s="275">
        <v>5.0989698198957552</v>
      </c>
      <c r="BA22" s="275">
        <v>5.1297908540891726</v>
      </c>
      <c r="BB22" s="275">
        <v>5.1598251073236794</v>
      </c>
      <c r="BC22" s="275">
        <v>5.1890878499728554</v>
      </c>
      <c r="BD22" s="275">
        <v>5.2176079060775509</v>
      </c>
      <c r="BE22" s="275">
        <v>5.2454218012829497</v>
      </c>
      <c r="BF22" s="275">
        <v>5.2725683734092126</v>
      </c>
      <c r="BG22" s="275">
        <v>5.2990856885208144</v>
      </c>
      <c r="BH22" s="275">
        <v>5.325010032151388</v>
      </c>
      <c r="BI22" s="275">
        <v>5.3503761389035427</v>
      </c>
      <c r="BJ22" s="275">
        <v>5.3752180270695922</v>
      </c>
      <c r="BK22" s="275">
        <v>5.3995701158052061</v>
      </c>
      <c r="BL22" s="275">
        <v>5.4234685074329878</v>
      </c>
      <c r="BM22" s="275">
        <v>5.4469524257957618</v>
      </c>
      <c r="BN22" s="275">
        <v>5.4700658559654771</v>
      </c>
      <c r="BO22" s="275">
        <v>5.4928594545750569</v>
      </c>
      <c r="BP22" s="275">
        <v>5.5153927842951296</v>
      </c>
      <c r="BQ22" s="275">
        <v>5.5377367967555626</v>
      </c>
      <c r="BR22" s="275">
        <v>5.559976015627579</v>
      </c>
      <c r="BS22" s="275">
        <v>5.5822085279175022</v>
      </c>
      <c r="BT22" s="275">
        <v>5.6045391880555444</v>
      </c>
      <c r="BU22" s="275">
        <v>5.6270598773590468</v>
      </c>
      <c r="BV22" s="275">
        <v>5.6498200672369858</v>
      </c>
      <c r="BW22" s="275">
        <v>5.6728112118086003</v>
      </c>
      <c r="BX22" s="275">
        <v>5.6959826152098838</v>
      </c>
      <c r="BY22" s="275">
        <v>5.7192711368701428</v>
      </c>
      <c r="BZ22" s="275">
        <v>5.7426212181917471</v>
      </c>
      <c r="CA22" s="275">
        <v>5.7659919925331877</v>
      </c>
      <c r="CB22" s="275">
        <v>5.7893576480857529</v>
      </c>
      <c r="CC22" s="275">
        <v>5.812705654095546</v>
      </c>
      <c r="CD22" s="275">
        <v>5.8360347615859371</v>
      </c>
      <c r="CE22" s="275">
        <v>5.8593533520541339</v>
      </c>
      <c r="CF22" s="275">
        <v>5.8826782435509157</v>
      </c>
      <c r="CG22" s="275">
        <v>5.9060339463735509</v>
      </c>
      <c r="CH22" s="275">
        <v>5.9294523617322792</v>
      </c>
      <c r="CI22" s="275">
        <v>5.9529729643625853</v>
      </c>
      <c r="CJ22" s="275">
        <v>5.9766435996627436</v>
      </c>
      <c r="CK22" s="275">
        <v>6.0005222016317683</v>
      </c>
      <c r="CL22" s="275">
        <v>6.0246801447611027</v>
      </c>
      <c r="CM22" s="275">
        <v>6.0492090985207909</v>
      </c>
      <c r="CN22" s="275">
        <v>6.0742376879357707</v>
      </c>
      <c r="CO22" s="275">
        <v>6.0999999999999988</v>
      </c>
      <c r="CP22" s="275"/>
      <c r="CQ22" s="276">
        <v>2.4395333763868519</v>
      </c>
      <c r="CR22" s="276">
        <v>2.4970149462755682</v>
      </c>
      <c r="CS22" s="276">
        <v>2.5547732894165431</v>
      </c>
      <c r="CT22" s="276">
        <v>2.6128259002087422</v>
      </c>
      <c r="CU22" s="276">
        <v>2.6711924479524249</v>
      </c>
      <c r="CV22" s="276">
        <v>2.7298952115876221</v>
      </c>
      <c r="CW22" s="276">
        <v>2.7889596305346078</v>
      </c>
      <c r="CX22" s="276">
        <v>2.848415007706381</v>
      </c>
      <c r="CY22" s="276">
        <v>2.9082954121680569</v>
      </c>
      <c r="CZ22" s="276">
        <v>2.968640842933493</v>
      </c>
      <c r="DA22" s="276">
        <v>3.029498731025702</v>
      </c>
      <c r="DB22" s="276">
        <v>3.0909258703894209</v>
      </c>
      <c r="DC22" s="276">
        <v>3.1529908688757762</v>
      </c>
      <c r="DD22" s="276">
        <v>3.215777171603023</v>
      </c>
      <c r="DE22" s="276">
        <v>3.2793865678950178</v>
      </c>
      <c r="DF22" s="276">
        <v>3.343942712599496</v>
      </c>
      <c r="DG22" s="276">
        <v>3.4095933062720278</v>
      </c>
      <c r="DH22" s="276">
        <v>3.476507798378258</v>
      </c>
      <c r="DI22" s="276">
        <v>3.5448647276562379</v>
      </c>
      <c r="DJ22" s="276">
        <v>3.6148209928083159</v>
      </c>
      <c r="DK22" s="276">
        <v>3.686460683776855</v>
      </c>
      <c r="DL22" s="276">
        <v>3.759739429480164</v>
      </c>
      <c r="DM22" s="276">
        <v>3.834457742341248</v>
      </c>
      <c r="DN22" s="276">
        <v>3.9102825295165831</v>
      </c>
      <c r="DO22" s="276">
        <v>3.9867976628738111</v>
      </c>
      <c r="DP22" s="276">
        <v>4.0635504892100638</v>
      </c>
      <c r="DQ22" s="276">
        <v>4.1400794706085664</v>
      </c>
      <c r="DR22" s="276">
        <v>4.2159280659890976</v>
      </c>
      <c r="DS22" s="276">
        <v>4.2906577697862192</v>
      </c>
      <c r="DT22" s="276">
        <v>4.3638730193993398</v>
      </c>
      <c r="DU22" s="276">
        <v>4.4352630457294877</v>
      </c>
      <c r="DV22" s="276">
        <v>4.5046472845450278</v>
      </c>
      <c r="DW22" s="276">
        <v>4.5719941767888166</v>
      </c>
      <c r="DX22" s="276">
        <v>4.6373959213703646</v>
      </c>
      <c r="DY22" s="276">
        <v>4.7010166126375541</v>
      </c>
      <c r="DZ22" s="276">
        <v>4.7630442695840918</v>
      </c>
      <c r="EA22" s="276">
        <v>4.8236613569813649</v>
      </c>
      <c r="EB22" s="276">
        <v>4.8830317294062944</v>
      </c>
      <c r="EC22" s="276">
        <v>4.9412970486890613</v>
      </c>
      <c r="ED22" s="276">
        <v>4.9985773451654811</v>
      </c>
      <c r="EE22" s="276">
        <v>5.0549728606670472</v>
      </c>
      <c r="EF22" s="276">
        <v>5.1105659070851051</v>
      </c>
      <c r="EG22" s="276">
        <v>5.1654222704505228</v>
      </c>
      <c r="EH22" s="276">
        <v>5.2195920419184993</v>
      </c>
      <c r="EI22" s="276">
        <v>5.2731099134229371</v>
      </c>
      <c r="EJ22" s="276">
        <v>5.3259950828313123</v>
      </c>
      <c r="EK22" s="276">
        <v>5.3782510768966016</v>
      </c>
      <c r="EL22" s="276">
        <v>5.4298661286035594</v>
      </c>
      <c r="EM22" s="276">
        <v>5.4808153018265031</v>
      </c>
      <c r="EN22" s="276">
        <v>5.5310660360437147</v>
      </c>
      <c r="EO22" s="276">
        <v>5.5805879085356196</v>
      </c>
      <c r="EP22" s="276">
        <v>5.6293636610203936</v>
      </c>
      <c r="EQ22" s="276">
        <v>5.6773945359068874</v>
      </c>
      <c r="ER22" s="276">
        <v>5.7246958058773831</v>
      </c>
      <c r="ES22" s="276">
        <v>5.7712866526267987</v>
      </c>
      <c r="ET22" s="276">
        <v>5.8171813907727126</v>
      </c>
      <c r="EU22" s="276">
        <v>5.8623850345558397</v>
      </c>
      <c r="EV22" s="276">
        <v>5.9068924596989474</v>
      </c>
      <c r="EW22" s="276">
        <v>5.9506895446456216</v>
      </c>
      <c r="EX22" s="276">
        <v>5.9937551642563109</v>
      </c>
      <c r="EY22" s="276">
        <v>6.0360634754459008</v>
      </c>
      <c r="EZ22" s="276">
        <v>6.0775862708906123</v>
      </c>
      <c r="FA22" s="276">
        <v>6.1182953389754982</v>
      </c>
      <c r="FB22" s="276">
        <v>6.1581648431617104</v>
      </c>
      <c r="FC22" s="276">
        <v>6.19717377670601</v>
      </c>
      <c r="FD22" s="276">
        <v>6.2353085888397484</v>
      </c>
      <c r="FE22" s="276">
        <v>6.2725661275095943</v>
      </c>
      <c r="FF22" s="276">
        <v>6.3089570594028501</v>
      </c>
      <c r="FG22" s="276">
        <v>6.3445095941645722</v>
      </c>
      <c r="FH22" s="276">
        <v>6.379271219102451</v>
      </c>
      <c r="FI22" s="276">
        <v>6.4132993635212294</v>
      </c>
      <c r="FJ22" s="272">
        <v>6.4466310138190339</v>
      </c>
      <c r="FK22" s="272">
        <v>6.4792603171776166</v>
      </c>
      <c r="FL22" s="272">
        <v>6.5111611632716819</v>
      </c>
      <c r="FM22" s="272">
        <v>6.5423177635731644</v>
      </c>
      <c r="FN22" s="272">
        <v>6.5727341999278783</v>
      </c>
      <c r="FO22" s="272">
        <v>6.6024329318141364</v>
      </c>
      <c r="FP22" s="272">
        <v>6.6314513552696814</v>
      </c>
      <c r="FQ22" s="272">
        <v>6.659838721490142</v>
      </c>
      <c r="FR22" s="272">
        <v>6.6876536052542503</v>
      </c>
      <c r="FS22" s="272">
        <v>6.7149617827729191</v>
      </c>
      <c r="FT22" s="272">
        <v>6.7418343975201207</v>
      </c>
      <c r="FU22" s="272">
        <v>6.7683463437515821</v>
      </c>
      <c r="FV22" s="272">
        <v>6.7945748350719919</v>
      </c>
      <c r="FW22" s="272">
        <v>6.8205981520867276</v>
      </c>
      <c r="FX22" s="272">
        <v>6.8464945875848056</v>
      </c>
      <c r="FY22" s="272">
        <v>6.8723416413612393</v>
      </c>
      <c r="FZ22" s="272">
        <v>6.8982155840975414</v>
      </c>
      <c r="GA22" s="272">
        <v>6.924191691608697</v>
      </c>
      <c r="GB22" s="272">
        <v>6.9503461437837464</v>
      </c>
      <c r="GC22" s="272">
        <v>6.9767663684791392</v>
      </c>
    </row>
    <row r="23" spans="2:185" ht="15" thickBot="1" x14ac:dyDescent="0.4">
      <c r="B23" s="298">
        <v>17</v>
      </c>
      <c r="C23" s="275">
        <v>2.7099797597606359</v>
      </c>
      <c r="D23" s="275">
        <v>2.7531195142748568</v>
      </c>
      <c r="E23" s="275">
        <v>2.7964814444562478</v>
      </c>
      <c r="F23" s="275">
        <v>2.8400792108478718</v>
      </c>
      <c r="G23" s="275">
        <v>2.8839276254873791</v>
      </c>
      <c r="H23" s="275">
        <v>2.9280427373274578</v>
      </c>
      <c r="I23" s="275">
        <v>2.9724419084477032</v>
      </c>
      <c r="J23" s="275">
        <v>3.0171438712264438</v>
      </c>
      <c r="K23" s="275">
        <v>3.0621687518937559</v>
      </c>
      <c r="L23" s="275">
        <v>3.1075380393948429</v>
      </c>
      <c r="M23" s="275">
        <v>3.1532744698753898</v>
      </c>
      <c r="N23" s="275">
        <v>3.1994017860801178</v>
      </c>
      <c r="O23" s="275">
        <v>3.2459443174879201</v>
      </c>
      <c r="P23" s="275">
        <v>3.2929263113935519</v>
      </c>
      <c r="Q23" s="275">
        <v>3.3403709279940319</v>
      </c>
      <c r="R23" s="275">
        <v>3.3882987945286289</v>
      </c>
      <c r="S23" s="275">
        <v>3.436725995849748</v>
      </c>
      <c r="T23" s="275">
        <v>3.4856613681198061</v>
      </c>
      <c r="U23" s="275">
        <v>3.5351029881863791</v>
      </c>
      <c r="V23" s="275">
        <v>3.5850338945457199</v>
      </c>
      <c r="W23" s="275">
        <v>3.6354174477992949</v>
      </c>
      <c r="X23" s="275">
        <v>3.6861932828090418</v>
      </c>
      <c r="Y23" s="275">
        <v>3.737275049582685</v>
      </c>
      <c r="Z23" s="275">
        <v>3.7885505668696862</v>
      </c>
      <c r="AA23" s="275">
        <v>3.8398839874829109</v>
      </c>
      <c r="AB23" s="275">
        <v>3.891119154204818</v>
      </c>
      <c r="AC23" s="275">
        <v>3.942083899137562</v>
      </c>
      <c r="AD23" s="275">
        <v>3.9925960712103121</v>
      </c>
      <c r="AE23" s="275">
        <v>4.0424728517234891</v>
      </c>
      <c r="AF23" s="275">
        <v>4.091544636063575</v>
      </c>
      <c r="AG23" s="275">
        <v>4.1396724359329369</v>
      </c>
      <c r="AH23" s="275">
        <v>4.1867636463710953</v>
      </c>
      <c r="AI23" s="275">
        <v>4.2327787221805524</v>
      </c>
      <c r="AJ23" s="275">
        <v>4.2777250757962184</v>
      </c>
      <c r="AK23" s="275">
        <v>4.3216420249894849</v>
      </c>
      <c r="AL23" s="275">
        <v>4.3645843878907806</v>
      </c>
      <c r="AM23" s="275">
        <v>4.406610025949238</v>
      </c>
      <c r="AN23" s="275">
        <v>4.4477725231198582</v>
      </c>
      <c r="AO23" s="275">
        <v>4.4881178292743469</v>
      </c>
      <c r="AP23" s="275">
        <v>4.5276832630498793</v>
      </c>
      <c r="AQ23" s="275">
        <v>4.566497669545301</v>
      </c>
      <c r="AR23" s="275">
        <v>4.6045820216444113</v>
      </c>
      <c r="AS23" s="275">
        <v>4.6419501063559458</v>
      </c>
      <c r="AT23" s="275">
        <v>4.6786091491784711</v>
      </c>
      <c r="AU23" s="275">
        <v>4.7145603561689837</v>
      </c>
      <c r="AV23" s="275">
        <v>4.7497994478523387</v>
      </c>
      <c r="AW23" s="275">
        <v>4.7843173594380826</v>
      </c>
      <c r="AX23" s="275">
        <v>4.8181014017708721</v>
      </c>
      <c r="AY23" s="275">
        <v>4.8511372706569258</v>
      </c>
      <c r="AZ23" s="275">
        <v>4.8834121931350403</v>
      </c>
      <c r="BA23" s="275">
        <v>4.9149189594911071</v>
      </c>
      <c r="BB23" s="275">
        <v>4.945659650394556</v>
      </c>
      <c r="BC23" s="275">
        <v>4.9756473454440027</v>
      </c>
      <c r="BD23" s="275">
        <v>5.0049049643671459</v>
      </c>
      <c r="BE23" s="275">
        <v>5.0334621147148333</v>
      </c>
      <c r="BF23" s="275">
        <v>5.0613516859376473</v>
      </c>
      <c r="BG23" s="275">
        <v>5.0886074087946183</v>
      </c>
      <c r="BH23" s="275">
        <v>5.115262662730311</v>
      </c>
      <c r="BI23" s="275">
        <v>5.1413502778358886</v>
      </c>
      <c r="BJ23" s="275">
        <v>5.1669029825182582</v>
      </c>
      <c r="BK23" s="275">
        <v>5.1919542427061964</v>
      </c>
      <c r="BL23" s="275">
        <v>5.2165393534006226</v>
      </c>
      <c r="BM23" s="275">
        <v>5.2406967226673968</v>
      </c>
      <c r="BN23" s="275">
        <v>5.2644693252251757</v>
      </c>
      <c r="BO23" s="275">
        <v>5.2879062945421289</v>
      </c>
      <c r="BP23" s="275">
        <v>5.3110645444487314</v>
      </c>
      <c r="BQ23" s="275">
        <v>5.334010097025403</v>
      </c>
      <c r="BR23" s="275">
        <v>5.3568183238508764</v>
      </c>
      <c r="BS23" s="275">
        <v>5.3795715062016178</v>
      </c>
      <c r="BT23" s="275">
        <v>5.4023514251159748</v>
      </c>
      <c r="BU23" s="275">
        <v>5.4252259286045392</v>
      </c>
      <c r="BV23" s="275">
        <v>5.4482337581496969</v>
      </c>
      <c r="BW23" s="275">
        <v>5.4713776083256196</v>
      </c>
      <c r="BX23" s="275">
        <v>5.4946313296605469</v>
      </c>
      <c r="BY23" s="275">
        <v>5.5179553731974513</v>
      </c>
      <c r="BZ23" s="275">
        <v>5.5413105120047161</v>
      </c>
      <c r="CA23" s="275">
        <v>5.5646655676299792</v>
      </c>
      <c r="CB23" s="275">
        <v>5.5880002060444482</v>
      </c>
      <c r="CC23" s="275">
        <v>5.6113051064740027</v>
      </c>
      <c r="CD23" s="275">
        <v>5.6345811153288894</v>
      </c>
      <c r="CE23" s="275">
        <v>5.6578382007760437</v>
      </c>
      <c r="CF23" s="275">
        <v>5.6810945604753602</v>
      </c>
      <c r="CG23" s="275">
        <v>5.7043760300510229</v>
      </c>
      <c r="CH23" s="275">
        <v>5.7277158756785624</v>
      </c>
      <c r="CI23" s="275">
        <v>5.7511550689741844</v>
      </c>
      <c r="CJ23" s="275">
        <v>5.7747432278297817</v>
      </c>
      <c r="CK23" s="275">
        <v>5.7985406158682737</v>
      </c>
      <c r="CL23" s="275">
        <v>5.8226221203093234</v>
      </c>
      <c r="CM23" s="275">
        <v>5.8470856622517067</v>
      </c>
      <c r="CN23" s="275">
        <v>5.872072554192596</v>
      </c>
      <c r="CO23" s="275">
        <v>5.8978104929716331</v>
      </c>
      <c r="CP23" s="275"/>
      <c r="CQ23" s="276">
        <v>2.21462139133742</v>
      </c>
      <c r="CR23" s="276">
        <v>2.2722722821700132</v>
      </c>
      <c r="CS23" s="276">
        <v>2.3302100469322982</v>
      </c>
      <c r="CT23" s="276">
        <v>2.388452885158014</v>
      </c>
      <c r="CU23" s="276">
        <v>2.4470211811089499</v>
      </c>
      <c r="CV23" s="276">
        <v>2.5059379134300999</v>
      </c>
      <c r="CW23" s="276">
        <v>2.5652291657104449</v>
      </c>
      <c r="CX23" s="276">
        <v>2.624924765726667</v>
      </c>
      <c r="CY23" s="276">
        <v>2.685059087662391</v>
      </c>
      <c r="CZ23" s="276">
        <v>2.7456720575369782</v>
      </c>
      <c r="DA23" s="276">
        <v>2.8068104042928348</v>
      </c>
      <c r="DB23" s="276">
        <v>2.8685291902777221</v>
      </c>
      <c r="DC23" s="276">
        <v>2.930893619886473</v>
      </c>
      <c r="DD23" s="276">
        <v>2.993981033241023</v>
      </c>
      <c r="DE23" s="276">
        <v>3.0578827863072102</v>
      </c>
      <c r="DF23" s="276">
        <v>3.122705308113646</v>
      </c>
      <c r="DG23" s="276">
        <v>3.1885689018767982</v>
      </c>
      <c r="DH23" s="276">
        <v>3.2556018198712691</v>
      </c>
      <c r="DI23" s="276">
        <v>3.3239262651567691</v>
      </c>
      <c r="DJ23" s="276">
        <v>3.3936337618370631</v>
      </c>
      <c r="DK23" s="276">
        <v>3.464752026955344</v>
      </c>
      <c r="DL23" s="276">
        <v>3.5372137558919419</v>
      </c>
      <c r="DM23" s="276">
        <v>3.6108424290321541</v>
      </c>
      <c r="DN23" s="276">
        <v>3.685362795695164</v>
      </c>
      <c r="DO23" s="276">
        <v>3.760428791143374</v>
      </c>
      <c r="DP23" s="276">
        <v>3.835654470803012</v>
      </c>
      <c r="DQ23" s="276">
        <v>3.9106388449730969</v>
      </c>
      <c r="DR23" s="276">
        <v>3.984984669747496</v>
      </c>
      <c r="DS23" s="276">
        <v>4.0583166795543519</v>
      </c>
      <c r="DT23" s="276">
        <v>4.1303047511758262</v>
      </c>
      <c r="DU23" s="276">
        <v>4.2006922913511691</v>
      </c>
      <c r="DV23" s="276">
        <v>4.2693215670622866</v>
      </c>
      <c r="DW23" s="276">
        <v>4.3361427803432759</v>
      </c>
      <c r="DX23" s="276">
        <v>4.4012002404204731</v>
      </c>
      <c r="DY23" s="276">
        <v>4.4646026327489992</v>
      </c>
      <c r="DZ23" s="276">
        <v>4.5264912528620949</v>
      </c>
      <c r="EA23" s="276">
        <v>4.5870158417956501</v>
      </c>
      <c r="EB23" s="276">
        <v>4.6463201113697163</v>
      </c>
      <c r="EC23" s="276">
        <v>4.7045347249870186</v>
      </c>
      <c r="ED23" s="276">
        <v>4.7617747194522391</v>
      </c>
      <c r="EE23" s="276">
        <v>4.8181391018851931</v>
      </c>
      <c r="EF23" s="276">
        <v>4.8737112731742602</v>
      </c>
      <c r="EG23" s="276">
        <v>4.9285595859333853</v>
      </c>
      <c r="EH23" s="276">
        <v>4.9827377401828947</v>
      </c>
      <c r="EI23" s="276">
        <v>5.0362849564467771</v>
      </c>
      <c r="EJ23" s="276">
        <v>5.0892260400379099</v>
      </c>
      <c r="EK23" s="276">
        <v>5.1415716337660244</v>
      </c>
      <c r="EL23" s="276">
        <v>5.1933191836642303</v>
      </c>
      <c r="EM23" s="276">
        <v>5.2444553493336414</v>
      </c>
      <c r="EN23" s="276">
        <v>5.2949604910766066</v>
      </c>
      <c r="EO23" s="276">
        <v>5.344814967012737</v>
      </c>
      <c r="EP23" s="276">
        <v>5.3940052415576032</v>
      </c>
      <c r="EQ23" s="276">
        <v>5.4425267206861978</v>
      </c>
      <c r="ER23" s="276">
        <v>5.4903817445129377</v>
      </c>
      <c r="ES23" s="276">
        <v>5.5375743461843161</v>
      </c>
      <c r="ET23" s="276">
        <v>5.5841049023919984</v>
      </c>
      <c r="EU23" s="276">
        <v>5.6299667171356074</v>
      </c>
      <c r="EV23" s="276">
        <v>5.6751448515809049</v>
      </c>
      <c r="EW23" s="276">
        <v>5.7196166169421643</v>
      </c>
      <c r="EX23" s="276">
        <v>5.7633530494379617</v>
      </c>
      <c r="EY23" s="276">
        <v>5.8063208901893351</v>
      </c>
      <c r="EZ23" s="276">
        <v>5.8484848057043148</v>
      </c>
      <c r="FA23" s="276">
        <v>5.8898097284893511</v>
      </c>
      <c r="FB23" s="276">
        <v>5.9302632799399788</v>
      </c>
      <c r="FC23" s="276">
        <v>5.9698182799208839</v>
      </c>
      <c r="FD23" s="276">
        <v>6.0084553581254658</v>
      </c>
      <c r="FE23" s="276">
        <v>6.0461656392963592</v>
      </c>
      <c r="FF23" s="276">
        <v>6.0829532774243029</v>
      </c>
      <c r="FG23" s="276">
        <v>6.1188369868840082</v>
      </c>
      <c r="FH23" s="276">
        <v>6.1538482728659076</v>
      </c>
      <c r="FI23" s="276">
        <v>6.1880227778322432</v>
      </c>
      <c r="FJ23" s="272">
        <v>6.2213855945345751</v>
      </c>
      <c r="FK23" s="272">
        <v>6.2539430846027297</v>
      </c>
      <c r="FL23" s="272">
        <v>6.2856912368255919</v>
      </c>
      <c r="FM23" s="272">
        <v>6.3166305397492204</v>
      </c>
      <c r="FN23" s="272">
        <v>6.3467748387929248</v>
      </c>
      <c r="FO23" s="272">
        <v>6.3761533374709929</v>
      </c>
      <c r="FP23" s="272">
        <v>6.4048093374316881</v>
      </c>
      <c r="FQ23" s="272">
        <v>6.4327980279954993</v>
      </c>
      <c r="FR23" s="272">
        <v>6.4601841918981542</v>
      </c>
      <c r="FS23" s="272">
        <v>6.4870400678670723</v>
      </c>
      <c r="FT23" s="272">
        <v>6.5134434130671544</v>
      </c>
      <c r="FU23" s="272">
        <v>6.5394757607371572</v>
      </c>
      <c r="FV23" s="272">
        <v>6.5652208656049833</v>
      </c>
      <c r="FW23" s="272">
        <v>6.5907633413332363</v>
      </c>
      <c r="FX23" s="272">
        <v>6.6161875157738397</v>
      </c>
      <c r="FY23" s="272">
        <v>6.6415765696706233</v>
      </c>
      <c r="FZ23" s="272">
        <v>6.6670121127228672</v>
      </c>
      <c r="GA23" s="272">
        <v>6.6925745884349608</v>
      </c>
      <c r="GB23" s="272">
        <v>6.7183455953165234</v>
      </c>
      <c r="GC23" s="272">
        <v>6.7444128075753218</v>
      </c>
    </row>
    <row r="24" spans="2:185" ht="15" thickBot="1" x14ac:dyDescent="0.4">
      <c r="B24" s="298">
        <v>18</v>
      </c>
      <c r="C24" s="275">
        <v>2.4857860657104598</v>
      </c>
      <c r="D24" s="275">
        <v>2.528691224441161</v>
      </c>
      <c r="E24" s="275">
        <v>2.571810161708171</v>
      </c>
      <c r="F24" s="275">
        <v>2.6151564132137231</v>
      </c>
      <c r="G24" s="275">
        <v>2.658744754893037</v>
      </c>
      <c r="H24" s="275">
        <v>2.7025913210484069</v>
      </c>
      <c r="I24" s="275">
        <v>2.74671372195853</v>
      </c>
      <c r="J24" s="275">
        <v>2.7911311524489668</v>
      </c>
      <c r="K24" s="275">
        <v>2.8358644776010058</v>
      </c>
      <c r="L24" s="275">
        <v>2.880936273950518</v>
      </c>
      <c r="M24" s="275">
        <v>2.9263707933006211</v>
      </c>
      <c r="N24" s="275">
        <v>2.9721938007170499</v>
      </c>
      <c r="O24" s="275">
        <v>3.0184322177485021</v>
      </c>
      <c r="P24" s="275">
        <v>3.065113476733794</v>
      </c>
      <c r="Q24" s="275">
        <v>3.112264464762251</v>
      </c>
      <c r="R24" s="275">
        <v>3.1599099132618291</v>
      </c>
      <c r="S24" s="275">
        <v>3.208070085378512</v>
      </c>
      <c r="T24" s="275">
        <v>3.256757653045407</v>
      </c>
      <c r="U24" s="275">
        <v>3.3059737751324572</v>
      </c>
      <c r="V24" s="275">
        <v>3.3557036220112089</v>
      </c>
      <c r="W24" s="275">
        <v>3.40591192641743</v>
      </c>
      <c r="X24" s="275">
        <v>3.456539438334469</v>
      </c>
      <c r="Y24" s="275">
        <v>3.507501169144319</v>
      </c>
      <c r="Z24" s="275">
        <v>3.558686887652319</v>
      </c>
      <c r="AA24" s="275">
        <v>3.609963720634302</v>
      </c>
      <c r="AB24" s="275">
        <v>3.6611803879039559</v>
      </c>
      <c r="AC24" s="275">
        <v>3.7121727882576452</v>
      </c>
      <c r="AD24" s="275">
        <v>3.7627711233082679</v>
      </c>
      <c r="AE24" s="275">
        <v>3.812809026912233</v>
      </c>
      <c r="AF24" s="275">
        <v>3.862134754980374</v>
      </c>
      <c r="AG24" s="275">
        <v>3.9106231344863529</v>
      </c>
      <c r="AH24" s="275">
        <v>3.9581852479382</v>
      </c>
      <c r="AI24" s="275">
        <v>4.0047723417610248</v>
      </c>
      <c r="AJ24" s="275">
        <v>4.0503724125495353</v>
      </c>
      <c r="AK24" s="275">
        <v>4.0950012192036089</v>
      </c>
      <c r="AL24" s="275">
        <v>4.1386914316752881</v>
      </c>
      <c r="AM24" s="275">
        <v>4.1814831222674327</v>
      </c>
      <c r="AN24" s="275">
        <v>4.2234170276754472</v>
      </c>
      <c r="AO24" s="275">
        <v>4.2645305244924732</v>
      </c>
      <c r="AP24" s="275">
        <v>4.3048556101018924</v>
      </c>
      <c r="AQ24" s="275">
        <v>4.3444181310856163</v>
      </c>
      <c r="AR24" s="275">
        <v>4.3832376904947443</v>
      </c>
      <c r="AS24" s="275">
        <v>4.4213278810641858</v>
      </c>
      <c r="AT24" s="275">
        <v>4.4586966623126623</v>
      </c>
      <c r="AU24" s="275">
        <v>4.4953468231812881</v>
      </c>
      <c r="AV24" s="275">
        <v>4.5312765664065706</v>
      </c>
      <c r="AW24" s="275">
        <v>4.5664803303341719</v>
      </c>
      <c r="AX24" s="275">
        <v>4.6009500226792586</v>
      </c>
      <c r="AY24" s="275">
        <v>4.6346768370226643</v>
      </c>
      <c r="AZ24" s="275">
        <v>4.6676536779950757</v>
      </c>
      <c r="BA24" s="275">
        <v>4.6998778843293527</v>
      </c>
      <c r="BB24" s="275">
        <v>4.7313535359382231</v>
      </c>
      <c r="BC24" s="275">
        <v>4.7620925207064264</v>
      </c>
      <c r="BD24" s="275">
        <v>4.7921139920491127</v>
      </c>
      <c r="BE24" s="275">
        <v>4.8214426089627063</v>
      </c>
      <c r="BF24" s="275">
        <v>4.8501064062223538</v>
      </c>
      <c r="BG24" s="275">
        <v>4.8781350328731854</v>
      </c>
      <c r="BH24" s="275">
        <v>4.905558695078323</v>
      </c>
      <c r="BI24" s="275">
        <v>4.9324078026704008</v>
      </c>
      <c r="BJ24" s="275">
        <v>4.9587131714097987</v>
      </c>
      <c r="BK24" s="275">
        <v>4.9845066209639137</v>
      </c>
      <c r="BL24" s="275">
        <v>5.0098218474050196</v>
      </c>
      <c r="BM24" s="275">
        <v>5.0346954859243347</v>
      </c>
      <c r="BN24" s="275">
        <v>5.0591682900032513</v>
      </c>
      <c r="BO24" s="275">
        <v>5.0832863217501174</v>
      </c>
      <c r="BP24" s="275">
        <v>5.1071019532234674</v>
      </c>
      <c r="BQ24" s="275">
        <v>5.1306742911101137</v>
      </c>
      <c r="BR24" s="275">
        <v>5.1540683476735918</v>
      </c>
      <c r="BS24" s="275">
        <v>5.1773520006537694</v>
      </c>
      <c r="BT24" s="275">
        <v>5.2005899304182028</v>
      </c>
      <c r="BU24" s="275">
        <v>5.2238350007432111</v>
      </c>
      <c r="BV24" s="275">
        <v>5.2471200090149974</v>
      </c>
      <c r="BW24" s="275">
        <v>5.2704542649542656</v>
      </c>
      <c r="BX24" s="275">
        <v>5.2938272779084334</v>
      </c>
      <c r="BY24" s="275">
        <v>5.3172172812649841</v>
      </c>
      <c r="BZ24" s="275">
        <v>5.3406001439521358</v>
      </c>
      <c r="CA24" s="275">
        <v>5.3639557532837463</v>
      </c>
      <c r="CB24" s="275">
        <v>5.3872714143720426</v>
      </c>
      <c r="CC24" s="275">
        <v>5.410543091659525</v>
      </c>
      <c r="CD24" s="275">
        <v>5.4337754668814888</v>
      </c>
      <c r="CE24" s="275">
        <v>5.4569815118918026</v>
      </c>
      <c r="CF24" s="275">
        <v>5.480181991518144</v>
      </c>
      <c r="CG24" s="275">
        <v>5.5034051334916514</v>
      </c>
      <c r="CH24" s="275">
        <v>5.5266866232179552</v>
      </c>
      <c r="CI24" s="275">
        <v>5.5500700794343638</v>
      </c>
      <c r="CJ24" s="275">
        <v>5.573608241475128</v>
      </c>
      <c r="CK24" s="275">
        <v>5.5973652817284743</v>
      </c>
      <c r="CL24" s="275">
        <v>5.6214210055134668</v>
      </c>
      <c r="CM24" s="275">
        <v>5.6458780574119931</v>
      </c>
      <c r="CN24" s="275">
        <v>5.6708710232296431</v>
      </c>
      <c r="CO24" s="275">
        <v>5.6965560656890268</v>
      </c>
      <c r="CP24" s="275"/>
      <c r="CQ24" s="276">
        <v>1.9899394363808589</v>
      </c>
      <c r="CR24" s="276">
        <v>2.0477700329938009</v>
      </c>
      <c r="CS24" s="276">
        <v>2.1058980976909991</v>
      </c>
      <c r="CT24" s="276">
        <v>2.1643424786212671</v>
      </c>
      <c r="CU24" s="276">
        <v>2.2231241723118469</v>
      </c>
      <c r="CV24" s="276">
        <v>2.2822666866727461</v>
      </c>
      <c r="CW24" s="276">
        <v>2.3417964805651978</v>
      </c>
      <c r="CX24" s="276">
        <v>2.4017434959585469</v>
      </c>
      <c r="CY24" s="276">
        <v>2.462141799545094</v>
      </c>
      <c r="CZ24" s="276">
        <v>2.5230303483394341</v>
      </c>
      <c r="DA24" s="276">
        <v>2.5844538842484162</v>
      </c>
      <c r="DB24" s="276">
        <v>2.6464639381974839</v>
      </c>
      <c r="DC24" s="276">
        <v>2.7091198712793139</v>
      </c>
      <c r="DD24" s="276">
        <v>2.7724897753858482</v>
      </c>
      <c r="DE24" s="276">
        <v>2.8366508651803288</v>
      </c>
      <c r="DF24" s="276">
        <v>2.901688681602538</v>
      </c>
      <c r="DG24" s="276">
        <v>2.9676939955254582</v>
      </c>
      <c r="DH24" s="276">
        <v>3.0347558836962238</v>
      </c>
      <c r="DI24" s="276">
        <v>3.1029494682294398</v>
      </c>
      <c r="DJ24" s="276">
        <v>3.1723180027303681</v>
      </c>
      <c r="DK24" s="276">
        <v>3.2428518609294432</v>
      </c>
      <c r="DL24" s="276">
        <v>3.3144705100574789</v>
      </c>
      <c r="DM24" s="276">
        <v>3.3870146407203041</v>
      </c>
      <c r="DN24" s="276">
        <v>3.4602518926605601</v>
      </c>
      <c r="DO24" s="276">
        <v>3.5338933208131449</v>
      </c>
      <c r="DP24" s="276">
        <v>3.6076141962357742</v>
      </c>
      <c r="DQ24" s="276">
        <v>3.681074152266389</v>
      </c>
      <c r="DR24" s="276">
        <v>3.7539355266743231</v>
      </c>
      <c r="DS24" s="276">
        <v>3.8258815200787981</v>
      </c>
      <c r="DT24" s="276">
        <v>3.8966357894508268</v>
      </c>
      <c r="DU24" s="276">
        <v>3.9659823994245902</v>
      </c>
      <c r="DV24" s="276">
        <v>4.0337813975553001</v>
      </c>
      <c r="DW24" s="276">
        <v>4.0999739607019636</v>
      </c>
      <c r="DX24" s="276">
        <v>4.1645744074762909</v>
      </c>
      <c r="DY24" s="276">
        <v>4.2276522922377744</v>
      </c>
      <c r="DZ24" s="276">
        <v>4.289311349847619</v>
      </c>
      <c r="EA24" s="276">
        <v>4.3496711188484936</v>
      </c>
      <c r="EB24" s="276">
        <v>4.408853805645423</v>
      </c>
      <c r="EC24" s="276">
        <v>4.4669762289605659</v>
      </c>
      <c r="ED24" s="276">
        <v>4.5241454947189181</v>
      </c>
      <c r="EE24" s="276">
        <v>4.5804569659982048</v>
      </c>
      <c r="EF24" s="276">
        <v>4.6359934456681371</v>
      </c>
      <c r="EG24" s="276">
        <v>4.6908248908591119</v>
      </c>
      <c r="EH24" s="276">
        <v>4.7450082977081589</v>
      </c>
      <c r="EI24" s="276">
        <v>4.7985876282058078</v>
      </c>
      <c r="EJ24" s="276">
        <v>4.8515938324350607</v>
      </c>
      <c r="EK24" s="276">
        <v>4.9040451777081397</v>
      </c>
      <c r="EL24" s="276">
        <v>4.9559482261039864</v>
      </c>
      <c r="EM24" s="276">
        <v>5.007299833030479</v>
      </c>
      <c r="EN24" s="276">
        <v>5.0580903239018724</v>
      </c>
      <c r="EO24" s="276">
        <v>5.1083074243298103</v>
      </c>
      <c r="EP24" s="276">
        <v>5.1579397660500588</v>
      </c>
      <c r="EQ24" s="276">
        <v>5.2069785288040507</v>
      </c>
      <c r="ER24" s="276">
        <v>5.2554165584138381</v>
      </c>
      <c r="ES24" s="276">
        <v>5.3032456580301099</v>
      </c>
      <c r="ET24" s="276">
        <v>5.3504535301503182</v>
      </c>
      <c r="EU24" s="276">
        <v>5.3970215858884796</v>
      </c>
      <c r="EV24" s="276">
        <v>5.4429240852484693</v>
      </c>
      <c r="EW24" s="276">
        <v>5.4881284890495632</v>
      </c>
      <c r="EX24" s="276">
        <v>5.5325966817458436</v>
      </c>
      <c r="EY24" s="276">
        <v>5.5762867404772063</v>
      </c>
      <c r="EZ24" s="276">
        <v>5.6191550232278686</v>
      </c>
      <c r="FA24" s="276">
        <v>5.6611584430485973</v>
      </c>
      <c r="FB24" s="276">
        <v>5.7022568576402133</v>
      </c>
      <c r="FC24" s="276">
        <v>5.7424155281172258</v>
      </c>
      <c r="FD24" s="276">
        <v>5.7816075794468649</v>
      </c>
      <c r="FE24" s="276">
        <v>5.8198163003215306</v>
      </c>
      <c r="FF24" s="276">
        <v>5.8570368917717834</v>
      </c>
      <c r="FG24" s="276">
        <v>5.8932768499525956</v>
      </c>
      <c r="FH24" s="276">
        <v>5.9285537164638624</v>
      </c>
      <c r="FI24" s="276">
        <v>5.9628893872923809</v>
      </c>
      <c r="FJ24" s="272">
        <v>5.9963029265880401</v>
      </c>
      <c r="FK24" s="272">
        <v>6.0288071436220996</v>
      </c>
      <c r="FL24" s="272">
        <v>6.060412180056062</v>
      </c>
      <c r="FM24" s="272">
        <v>6.0911328683544603</v>
      </c>
      <c r="FN24" s="272">
        <v>6.1209946113493379</v>
      </c>
      <c r="FO24" s="272">
        <v>6.1500358458444548</v>
      </c>
      <c r="FP24" s="272">
        <v>6.1783079092601687</v>
      </c>
      <c r="FQ24" s="272">
        <v>6.2058735870470088</v>
      </c>
      <c r="FR24" s="272">
        <v>6.2328051670945142</v>
      </c>
      <c r="FS24" s="272">
        <v>6.2591824028000236</v>
      </c>
      <c r="FT24" s="272">
        <v>6.2850905546026397</v>
      </c>
      <c r="FU24" s="272">
        <v>6.3106185764561848</v>
      </c>
      <c r="FV24" s="272">
        <v>6.3358574747966578</v>
      </c>
      <c r="FW24" s="272">
        <v>6.3608988604958476</v>
      </c>
      <c r="FX24" s="272">
        <v>6.3858337272279782</v>
      </c>
      <c r="FY24" s="272">
        <v>6.4107515219376303</v>
      </c>
      <c r="FZ24" s="272">
        <v>6.4357396270192764</v>
      </c>
      <c r="GA24" s="272">
        <v>6.4608834076057402</v>
      </c>
      <c r="GB24" s="272">
        <v>6.4862665592858422</v>
      </c>
      <c r="GC24" s="272">
        <v>6.5119685040855293</v>
      </c>
    </row>
    <row r="25" spans="2:185" ht="15" thickBot="1" x14ac:dyDescent="0.4">
      <c r="B25" s="298">
        <v>19</v>
      </c>
      <c r="C25" s="275">
        <v>2.261650608128928</v>
      </c>
      <c r="D25" s="275">
        <v>2.304317631970092</v>
      </c>
      <c r="E25" s="275">
        <v>2.3471891425968829</v>
      </c>
      <c r="F25" s="275">
        <v>2.3902783842178121</v>
      </c>
      <c r="G25" s="275">
        <v>2.4335999016336851</v>
      </c>
      <c r="H25" s="275">
        <v>2.4771696881043779</v>
      </c>
      <c r="I25" s="275">
        <v>2.5210053424062142</v>
      </c>
      <c r="J25" s="275">
        <v>2.5651262289886412</v>
      </c>
      <c r="K25" s="275">
        <v>2.6095536299012618</v>
      </c>
      <c r="L25" s="275">
        <v>2.6543108688710748</v>
      </c>
      <c r="M25" s="275">
        <v>2.6994233751595909</v>
      </c>
      <c r="N25" s="275">
        <v>2.7449186359061861</v>
      </c>
      <c r="O25" s="275">
        <v>2.7908259589189508</v>
      </c>
      <c r="P25" s="275">
        <v>2.837175932786645</v>
      </c>
      <c r="Q25" s="275">
        <v>2.883999430684538</v>
      </c>
      <c r="R25" s="275">
        <v>2.931325968828304</v>
      </c>
      <c r="S25" s="275">
        <v>2.9791812236959401</v>
      </c>
      <c r="T25" s="275">
        <v>3.0275835734948959</v>
      </c>
      <c r="U25" s="275">
        <v>3.0765397058406538</v>
      </c>
      <c r="V25" s="275">
        <v>3.1260396456618849</v>
      </c>
      <c r="W25" s="275">
        <v>3.1760519409017141</v>
      </c>
      <c r="X25" s="275">
        <v>3.2265200154665989</v>
      </c>
      <c r="Y25" s="275">
        <v>3.2773606341242179</v>
      </c>
      <c r="Z25" s="275">
        <v>3.3284649578160161</v>
      </c>
      <c r="AA25" s="275">
        <v>3.3797020330995542</v>
      </c>
      <c r="AB25" s="275">
        <v>3.4309241387739742</v>
      </c>
      <c r="AC25" s="275">
        <v>3.481973407875143</v>
      </c>
      <c r="AD25" s="275">
        <v>3.5326894119842578</v>
      </c>
      <c r="AE25" s="275">
        <v>3.582917580783413</v>
      </c>
      <c r="AF25" s="275">
        <v>3.6325181156916688</v>
      </c>
      <c r="AG25" s="275">
        <v>3.6813744056913209</v>
      </c>
      <c r="AH25" s="275">
        <v>3.7293992730131462</v>
      </c>
      <c r="AI25" s="275">
        <v>3.7765373679359029</v>
      </c>
      <c r="AJ25" s="275">
        <v>3.8227630650020048</v>
      </c>
      <c r="AK25" s="275">
        <v>3.868074765307191</v>
      </c>
      <c r="AL25" s="275">
        <v>3.912487543227154</v>
      </c>
      <c r="AM25" s="275">
        <v>3.9560260485001959</v>
      </c>
      <c r="AN25" s="275">
        <v>3.9987188158140872</v>
      </c>
      <c r="AO25" s="275">
        <v>4.0405942980617731</v>
      </c>
      <c r="AP25" s="275">
        <v>4.0816784126500369</v>
      </c>
      <c r="AQ25" s="275">
        <v>4.1219932014984666</v>
      </c>
      <c r="AR25" s="275">
        <v>4.1615562237141752</v>
      </c>
      <c r="AS25" s="275">
        <v>4.2003803993134277</v>
      </c>
      <c r="AT25" s="275">
        <v>4.238474132458979</v>
      </c>
      <c r="AU25" s="275">
        <v>4.2758416378217063</v>
      </c>
      <c r="AV25" s="275">
        <v>4.3124834694069989</v>
      </c>
      <c r="AW25" s="275">
        <v>4.3483973060256762</v>
      </c>
      <c r="AX25" s="275">
        <v>4.3835790710777198</v>
      </c>
      <c r="AY25" s="275">
        <v>4.4180244323449021</v>
      </c>
      <c r="AZ25" s="275">
        <v>4.4517306137102333</v>
      </c>
      <c r="BA25" s="275">
        <v>4.4846982645464744</v>
      </c>
      <c r="BB25" s="275">
        <v>4.5169329645634022</v>
      </c>
      <c r="BC25" s="275">
        <v>4.5484459433329762</v>
      </c>
      <c r="BD25" s="275">
        <v>4.5792538404613792</v>
      </c>
      <c r="BE25" s="275">
        <v>4.6093776993654174</v>
      </c>
      <c r="BF25" s="275">
        <v>4.6388416343549306</v>
      </c>
      <c r="BG25" s="275">
        <v>4.6676716118682151</v>
      </c>
      <c r="BH25" s="275">
        <v>4.6958946175593743</v>
      </c>
      <c r="BI25" s="275">
        <v>4.7235382914659763</v>
      </c>
      <c r="BJ25" s="275">
        <v>4.7506309922233108</v>
      </c>
      <c r="BK25" s="275">
        <v>4.7772022041080264</v>
      </c>
      <c r="BL25" s="275">
        <v>4.8032831954694721</v>
      </c>
      <c r="BM25" s="275">
        <v>4.8289078408258188</v>
      </c>
      <c r="BN25" s="275">
        <v>4.8541135086699869</v>
      </c>
      <c r="BO25" s="275">
        <v>4.8789418774282094</v>
      </c>
      <c r="BP25" s="275">
        <v>4.9034394622582127</v>
      </c>
      <c r="BQ25" s="275">
        <v>4.9276575157892326</v>
      </c>
      <c r="BR25" s="275">
        <v>4.9516508430384754</v>
      </c>
      <c r="BS25" s="275">
        <v>4.9754750627377229</v>
      </c>
      <c r="BT25" s="275">
        <v>4.9991821736646918</v>
      </c>
      <c r="BU25" s="275">
        <v>5.0228151195077553</v>
      </c>
      <c r="BV25" s="275">
        <v>5.0464031135115457</v>
      </c>
      <c r="BW25" s="275">
        <v>5.0699598416739891</v>
      </c>
      <c r="BX25" s="275">
        <v>5.0934855283435958</v>
      </c>
      <c r="BY25" s="275">
        <v>5.1169718888390792</v>
      </c>
      <c r="BZ25" s="275">
        <v>5.1404078592235356</v>
      </c>
      <c r="CA25" s="275">
        <v>5.1637843517764006</v>
      </c>
      <c r="CB25" s="275">
        <v>5.1870973538210459</v>
      </c>
      <c r="CC25" s="275">
        <v>5.2103495244918578</v>
      </c>
      <c r="CD25" s="275">
        <v>5.2335507731203146</v>
      </c>
      <c r="CE25" s="275">
        <v>5.2567182986525101</v>
      </c>
      <c r="CF25" s="275">
        <v>5.2798764518551158</v>
      </c>
      <c r="CG25" s="275">
        <v>5.3030566701009976</v>
      </c>
      <c r="CH25" s="275">
        <v>5.3262976665252433</v>
      </c>
      <c r="CI25" s="275">
        <v>5.3496460341686767</v>
      </c>
      <c r="CJ25" s="275">
        <v>5.3731574405644063</v>
      </c>
      <c r="CK25" s="275">
        <v>5.3968985994147536</v>
      </c>
      <c r="CL25" s="275">
        <v>5.4209500403335937</v>
      </c>
      <c r="CM25" s="275">
        <v>5.4454086631663339</v>
      </c>
      <c r="CN25" s="275">
        <v>5.4703851456131751</v>
      </c>
      <c r="CO25" s="275">
        <v>5.4959834255935096</v>
      </c>
      <c r="CP25" s="275"/>
      <c r="CQ25" s="276">
        <v>1.7654472155611911</v>
      </c>
      <c r="CR25" s="276">
        <v>1.823463723750651</v>
      </c>
      <c r="CS25" s="276">
        <v>1.881788245637795</v>
      </c>
      <c r="CT25" s="276">
        <v>1.940440145738713</v>
      </c>
      <c r="CU25" s="276">
        <v>1.999440846911392</v>
      </c>
      <c r="CV25" s="276">
        <v>2.0588141272324672</v>
      </c>
      <c r="CW25" s="276">
        <v>2.1185864625095299</v>
      </c>
      <c r="CX25" s="276">
        <v>2.178787417074961</v>
      </c>
      <c r="CY25" s="276">
        <v>2.2394500810470501</v>
      </c>
      <c r="CZ25" s="276">
        <v>2.3006115431377321</v>
      </c>
      <c r="DA25" s="276">
        <v>2.3623133708197148</v>
      </c>
      <c r="DB25" s="276">
        <v>2.4246020385894562</v>
      </c>
      <c r="DC25" s="276">
        <v>2.4875291917237301</v>
      </c>
      <c r="DD25" s="276">
        <v>2.5511515463266958</v>
      </c>
      <c r="DE25" s="276">
        <v>2.6155300964921828</v>
      </c>
      <c r="DF25" s="276">
        <v>2.680728128216781</v>
      </c>
      <c r="DG25" s="276">
        <v>2.7468073676330049</v>
      </c>
      <c r="DH25" s="276">
        <v>2.8138215377007239</v>
      </c>
      <c r="DI25" s="276">
        <v>2.8818068873735481</v>
      </c>
      <c r="DJ25" s="276">
        <v>2.9507701398011972</v>
      </c>
      <c r="DK25" s="276">
        <v>3.0206757627637719</v>
      </c>
      <c r="DL25" s="276">
        <v>3.0914358339901868</v>
      </c>
      <c r="DM25" s="276">
        <v>3.1629058854672309</v>
      </c>
      <c r="DN25" s="276">
        <v>3.234888353662972</v>
      </c>
      <c r="DO25" s="276">
        <v>3.3071426084909619</v>
      </c>
      <c r="DP25" s="276">
        <v>3.379398858924382</v>
      </c>
      <c r="DQ25" s="276">
        <v>3.4513734515465311</v>
      </c>
      <c r="DR25" s="276">
        <v>3.5227844371548649</v>
      </c>
      <c r="DS25" s="276">
        <v>3.593367367725484</v>
      </c>
      <c r="DT25" s="276">
        <v>3.6628911948070662</v>
      </c>
      <c r="DU25" s="276">
        <v>3.7311729046247919</v>
      </c>
      <c r="DV25" s="276">
        <v>3.7980881067419912</v>
      </c>
      <c r="DW25" s="276">
        <v>3.8635746216739091</v>
      </c>
      <c r="DX25" s="276">
        <v>3.9276279135300922</v>
      </c>
      <c r="DY25" s="276">
        <v>3.9902900211593471</v>
      </c>
      <c r="DZ25" s="276">
        <v>4.0516355266201201</v>
      </c>
      <c r="EA25" s="276">
        <v>4.1117580476833639</v>
      </c>
      <c r="EB25" s="276">
        <v>4.1707593471747604</v>
      </c>
      <c r="EC25" s="276">
        <v>4.2287416146915922</v>
      </c>
      <c r="ED25" s="276">
        <v>4.2858025057636384</v>
      </c>
      <c r="EE25" s="276">
        <v>4.3420321741543431</v>
      </c>
      <c r="EF25" s="276">
        <v>4.3975115653962087</v>
      </c>
      <c r="EG25" s="276">
        <v>4.4523114231686129</v>
      </c>
      <c r="EH25" s="276">
        <v>4.5064916663764549</v>
      </c>
      <c r="EI25" s="276">
        <v>4.5601009776002943</v>
      </c>
      <c r="EJ25" s="276">
        <v>4.6131765961894464</v>
      </c>
      <c r="EK25" s="276">
        <v>4.6657444307834117</v>
      </c>
      <c r="EL25" s="276">
        <v>4.7178196788217823</v>
      </c>
      <c r="EM25" s="276">
        <v>4.7694081190705564</v>
      </c>
      <c r="EN25" s="276">
        <v>4.820508070637529</v>
      </c>
      <c r="EO25" s="276">
        <v>4.8711126891753116</v>
      </c>
      <c r="EP25" s="276">
        <v>4.9212119495360236</v>
      </c>
      <c r="EQ25" s="276">
        <v>4.9707936240276194</v>
      </c>
      <c r="ER25" s="276">
        <v>5.0198429636330006</v>
      </c>
      <c r="ES25" s="276">
        <v>5.068341407614227</v>
      </c>
      <c r="ET25" s="276">
        <v>5.116265045139869</v>
      </c>
      <c r="EU25" s="276">
        <v>5.1635835120370608</v>
      </c>
      <c r="EV25" s="276">
        <v>5.2102596825030139</v>
      </c>
      <c r="EW25" s="276">
        <v>5.2562501878034151</v>
      </c>
      <c r="EX25" s="276">
        <v>5.3015066101537398</v>
      </c>
      <c r="EY25" s="276">
        <v>5.3459771559759099</v>
      </c>
      <c r="EZ25" s="276">
        <v>5.389608644088546</v>
      </c>
      <c r="FA25" s="276">
        <v>5.4323486941633359</v>
      </c>
      <c r="FB25" s="276">
        <v>5.4741480362350359</v>
      </c>
      <c r="FC25" s="276">
        <v>5.5149628665942201</v>
      </c>
      <c r="FD25" s="276">
        <v>5.5547571368259936</v>
      </c>
      <c r="FE25" s="276">
        <v>5.593504566869191</v>
      </c>
      <c r="FF25" s="276">
        <v>5.6311900122406682</v>
      </c>
      <c r="FG25" s="276">
        <v>5.6678096371182356</v>
      </c>
      <c r="FH25" s="276">
        <v>5.7033693562408221</v>
      </c>
      <c r="FI25" s="276">
        <v>5.7378816097998371</v>
      </c>
      <c r="FJ25" s="272">
        <v>5.7713618415625492</v>
      </c>
      <c r="FK25" s="272">
        <v>5.8038269709237227</v>
      </c>
      <c r="FL25" s="272">
        <v>5.8352970678730367</v>
      </c>
      <c r="FM25" s="272">
        <v>5.8657990285272037</v>
      </c>
      <c r="FN25" s="272">
        <v>5.8953699674805078</v>
      </c>
      <c r="FO25" s="272">
        <v>5.9240589642541206</v>
      </c>
      <c r="FP25" s="272">
        <v>5.9519271078847504</v>
      </c>
      <c r="FQ25" s="272">
        <v>5.9790463854501743</v>
      </c>
      <c r="FR25" s="272">
        <v>6.0054979714823986</v>
      </c>
      <c r="FS25" s="272">
        <v>6.0313702951353276</v>
      </c>
      <c r="FT25" s="272">
        <v>6.0567570966925022</v>
      </c>
      <c r="FU25" s="272">
        <v>6.0817555795809621</v>
      </c>
      <c r="FV25" s="272">
        <v>6.1064647083375538</v>
      </c>
      <c r="FW25" s="272">
        <v>6.1309836802037863</v>
      </c>
      <c r="FX25" s="272">
        <v>6.1554105953348461</v>
      </c>
      <c r="FY25" s="272">
        <v>6.1798413544340116</v>
      </c>
      <c r="FZ25" s="272">
        <v>6.204368789960534</v>
      </c>
      <c r="GA25" s="272">
        <v>6.2290818789468299</v>
      </c>
      <c r="GB25" s="272">
        <v>6.2540643128229343</v>
      </c>
      <c r="GC25" s="272">
        <v>6.2793906671715138</v>
      </c>
    </row>
    <row r="26" spans="2:185" ht="15" thickBot="1" x14ac:dyDescent="0.4">
      <c r="B26" s="298">
        <v>20</v>
      </c>
      <c r="C26" s="275">
        <v>2.037609471347317</v>
      </c>
      <c r="D26" s="275">
        <v>2.0800373923528128</v>
      </c>
      <c r="E26" s="275">
        <v>2.122659828191868</v>
      </c>
      <c r="F26" s="275">
        <v>2.1654895766083189</v>
      </c>
      <c r="G26" s="275">
        <v>2.208540764639618</v>
      </c>
      <c r="H26" s="275">
        <v>2.2518290211879868</v>
      </c>
      <c r="I26" s="275">
        <v>2.2953716688639449</v>
      </c>
      <c r="J26" s="275">
        <v>2.3391879325141498</v>
      </c>
      <c r="K26" s="275">
        <v>2.38329915750302</v>
      </c>
      <c r="L26" s="275">
        <v>2.4277290233192539</v>
      </c>
      <c r="M26" s="275">
        <v>2.472503725589406</v>
      </c>
      <c r="N26" s="275">
        <v>2.5176520795225219</v>
      </c>
      <c r="O26" s="275">
        <v>2.5632054669874722</v>
      </c>
      <c r="P26" s="275">
        <v>2.609197504923666</v>
      </c>
      <c r="Q26" s="275">
        <v>2.655663254629073</v>
      </c>
      <c r="R26" s="275">
        <v>2.702637728492653</v>
      </c>
      <c r="S26" s="275">
        <v>2.7501534104845682</v>
      </c>
      <c r="T26" s="275">
        <v>2.7982365456996301</v>
      </c>
      <c r="U26" s="275">
        <v>2.8469021535762851</v>
      </c>
      <c r="V26" s="275">
        <v>2.896148137838368</v>
      </c>
      <c r="W26" s="275">
        <v>2.945949438171052</v>
      </c>
      <c r="X26" s="275">
        <v>2.9962536194171872</v>
      </c>
      <c r="Y26" s="275">
        <v>3.0469792415148218</v>
      </c>
      <c r="Z26" s="275">
        <v>3.0980176505887469</v>
      </c>
      <c r="AA26" s="275">
        <v>3.1492378272049129</v>
      </c>
      <c r="AB26" s="275">
        <v>3.2004932326266928</v>
      </c>
      <c r="AC26" s="275">
        <v>3.251629532373975</v>
      </c>
      <c r="AD26" s="275">
        <v>3.302492453076483</v>
      </c>
      <c r="AE26" s="275">
        <v>3.3529354007628549</v>
      </c>
      <c r="AF26" s="275">
        <v>3.4028265315500641</v>
      </c>
      <c r="AG26" s="275">
        <v>3.4520547267159949</v>
      </c>
      <c r="AH26" s="275">
        <v>3.5005336603795771</v>
      </c>
      <c r="AI26" s="275">
        <v>3.5482032092277151</v>
      </c>
      <c r="AJ26" s="275">
        <v>3.595027977640306</v>
      </c>
      <c r="AK26" s="275">
        <v>3.640993462288908</v>
      </c>
      <c r="AL26" s="275">
        <v>3.686100923450947</v>
      </c>
      <c r="AM26" s="275">
        <v>3.7303621027233249</v>
      </c>
      <c r="AN26" s="275">
        <v>3.7737946073547062</v>
      </c>
      <c r="AO26" s="275">
        <v>3.816418336389809</v>
      </c>
      <c r="AP26" s="275">
        <v>3.8582529703331532</v>
      </c>
      <c r="AQ26" s="275">
        <v>3.899316357383753</v>
      </c>
      <c r="AR26" s="275">
        <v>3.9396235768934398</v>
      </c>
      <c r="AS26" s="275">
        <v>3.9791864861603741</v>
      </c>
      <c r="AT26" s="275">
        <v>4.0180136129621742</v>
      </c>
      <c r="AU26" s="275">
        <v>4.0561103164842311</v>
      </c>
      <c r="AV26" s="275">
        <v>4.0934791904534658</v>
      </c>
      <c r="AW26" s="275">
        <v>4.1301207161349538</v>
      </c>
      <c r="AX26" s="275">
        <v>4.1660341798173661</v>
      </c>
      <c r="AY26" s="275">
        <v>4.2012188382658389</v>
      </c>
      <c r="AZ26" s="275">
        <v>4.2356752421813866</v>
      </c>
      <c r="BA26" s="275">
        <v>4.2694065313587481</v>
      </c>
      <c r="BB26" s="275">
        <v>4.3024194484935547</v>
      </c>
      <c r="BC26" s="275">
        <v>4.3347248449228353</v>
      </c>
      <c r="BD26" s="275">
        <v>4.3663375902784143</v>
      </c>
      <c r="BE26" s="275">
        <v>4.3972759879928454</v>
      </c>
      <c r="BF26" s="275">
        <v>4.4275609367935127</v>
      </c>
      <c r="BG26" s="275">
        <v>4.4572151033396299</v>
      </c>
      <c r="BH26" s="275">
        <v>4.4862623015856764</v>
      </c>
      <c r="BI26" s="275">
        <v>4.51472717252115</v>
      </c>
      <c r="BJ26" s="275">
        <v>4.5426351741447588</v>
      </c>
      <c r="BK26" s="275">
        <v>4.5700128421934094</v>
      </c>
      <c r="BL26" s="275">
        <v>4.5968882587061524</v>
      </c>
      <c r="BM26" s="275">
        <v>4.6232916511421198</v>
      </c>
      <c r="BN26" s="275">
        <v>4.6492560243561938</v>
      </c>
      <c r="BO26" s="275">
        <v>4.6748176913560906</v>
      </c>
      <c r="BP26" s="275">
        <v>4.7000165143777028</v>
      </c>
      <c r="BQ26" s="275">
        <v>4.724895608034358</v>
      </c>
      <c r="BR26" s="275">
        <v>4.7495002307222176</v>
      </c>
      <c r="BS26" s="275">
        <v>4.7738756743934454</v>
      </c>
      <c r="BT26" s="275">
        <v>4.7980642422736084</v>
      </c>
      <c r="BU26" s="275">
        <v>4.8221018795077084</v>
      </c>
      <c r="BV26" s="275">
        <v>4.8460154774290869</v>
      </c>
      <c r="BW26" s="275">
        <v>4.8698219107540508</v>
      </c>
      <c r="BX26" s="275">
        <v>4.8935292692965264</v>
      </c>
      <c r="BY26" s="275">
        <v>4.917139830644869</v>
      </c>
      <c r="BZ26" s="275">
        <v>4.9406537228941074</v>
      </c>
      <c r="CA26" s="275">
        <v>4.9640722658630452</v>
      </c>
      <c r="CB26" s="275">
        <v>4.9874004360430426</v>
      </c>
      <c r="CC26" s="275">
        <v>5.010648377434511</v>
      </c>
      <c r="CD26" s="275">
        <v>5.0338321617857718</v>
      </c>
      <c r="CE26" s="275">
        <v>5.056974087920679</v>
      </c>
      <c r="CF26" s="275">
        <v>5.08010278667461</v>
      </c>
      <c r="CG26" s="275">
        <v>5.1032533401175817</v>
      </c>
      <c r="CH26" s="275">
        <v>5.1264675687290344</v>
      </c>
      <c r="CI26" s="275">
        <v>5.149794593705499</v>
      </c>
      <c r="CJ26" s="275">
        <v>5.1732917195210586</v>
      </c>
      <c r="CK26" s="275">
        <v>5.1970255278204256</v>
      </c>
      <c r="CL26" s="275">
        <v>5.2210726348912093</v>
      </c>
      <c r="CM26" s="275">
        <v>5.245518470267104</v>
      </c>
      <c r="CN26" s="275">
        <v>5.2704505286592376</v>
      </c>
      <c r="CO26" s="275">
        <v>5.2959420559694212</v>
      </c>
      <c r="CP26" s="275"/>
      <c r="CQ26" s="276">
        <v>1.5411027498807071</v>
      </c>
      <c r="CR26" s="276">
        <v>1.5993071324709101</v>
      </c>
      <c r="CS26" s="276">
        <v>1.657829510961697</v>
      </c>
      <c r="CT26" s="276">
        <v>1.7166895750272639</v>
      </c>
      <c r="CU26" s="276">
        <v>1.7759089290915311</v>
      </c>
      <c r="CV26" s="276">
        <v>1.835511308862698</v>
      </c>
      <c r="CW26" s="276">
        <v>1.8955228096365679</v>
      </c>
      <c r="CX26" s="276">
        <v>1.9559721159366761</v>
      </c>
      <c r="CY26" s="276">
        <v>2.0168907134048668</v>
      </c>
      <c r="CZ26" s="276">
        <v>2.0783130502180942</v>
      </c>
      <c r="DA26" s="276">
        <v>2.1402765944811319</v>
      </c>
      <c r="DB26" s="276">
        <v>2.2028217034907769</v>
      </c>
      <c r="DC26" s="276">
        <v>2.2659911784405939</v>
      </c>
      <c r="DD26" s="276">
        <v>2.3298293245897299</v>
      </c>
      <c r="DE26" s="276">
        <v>2.394380279549694</v>
      </c>
      <c r="DF26" s="276">
        <v>2.459685332056722</v>
      </c>
      <c r="DG26" s="276">
        <v>2.525778971502703</v>
      </c>
      <c r="DH26" s="276">
        <v>2.5926835438971438</v>
      </c>
      <c r="DI26" s="276">
        <v>2.6604026941837819</v>
      </c>
      <c r="DJ26" s="276">
        <v>2.7289142330118068</v>
      </c>
      <c r="DK26" s="276">
        <v>2.798163538987013</v>
      </c>
      <c r="DL26" s="276">
        <v>2.8680588555588029</v>
      </c>
      <c r="DM26" s="276">
        <v>2.9384696726546982</v>
      </c>
      <c r="DN26" s="276">
        <v>3.0092288148374671</v>
      </c>
      <c r="DO26" s="276">
        <v>3.0801381339459399</v>
      </c>
      <c r="DP26" s="276">
        <v>3.1509771483182911</v>
      </c>
      <c r="DQ26" s="276">
        <v>3.2215137815709638</v>
      </c>
      <c r="DR26" s="276">
        <v>3.2915164596443161</v>
      </c>
      <c r="DS26" s="276">
        <v>3.360766921518437</v>
      </c>
      <c r="DT26" s="276">
        <v>3.429072893069784</v>
      </c>
      <c r="DU26" s="276">
        <v>3.4962792631264099</v>
      </c>
      <c r="DV26" s="276">
        <v>3.5622759762536238</v>
      </c>
      <c r="DW26" s="276">
        <v>3.62700106631004</v>
      </c>
      <c r="DX26" s="276">
        <v>3.690438306328284</v>
      </c>
      <c r="DY26" s="276">
        <v>3.7526103957920758</v>
      </c>
      <c r="DZ26" s="276">
        <v>3.8135696453130712</v>
      </c>
      <c r="EA26" s="276">
        <v>3.8733882698036921</v>
      </c>
      <c r="EB26" s="276">
        <v>3.9321498147468361</v>
      </c>
      <c r="EC26" s="276">
        <v>3.9899424126236118</v>
      </c>
      <c r="ED26" s="276">
        <v>4.0468539035910887</v>
      </c>
      <c r="EE26" s="276">
        <v>4.1029684954614147</v>
      </c>
      <c r="EF26" s="276">
        <v>4.1583645329544217</v>
      </c>
      <c r="EG26" s="276">
        <v>4.2131129890004333</v>
      </c>
      <c r="EH26" s="276">
        <v>4.2672763960917672</v>
      </c>
      <c r="EI26" s="276">
        <v>4.3209080551987089</v>
      </c>
      <c r="EJ26" s="276">
        <v>4.3740514711878884</v>
      </c>
      <c r="EK26" s="276">
        <v>4.4267400531573822</v>
      </c>
      <c r="EL26" s="276">
        <v>4.4789971674366971</v>
      </c>
      <c r="EM26" s="276">
        <v>4.5308366149875976</v>
      </c>
      <c r="EN26" s="276">
        <v>4.5822635059404169</v>
      </c>
      <c r="EO26" s="276">
        <v>4.633275343989113</v>
      </c>
      <c r="EP26" s="276">
        <v>4.6838629980477267</v>
      </c>
      <c r="EQ26" s="276">
        <v>4.7340112438991788</v>
      </c>
      <c r="ER26" s="276">
        <v>4.7836987498058994</v>
      </c>
      <c r="ES26" s="276">
        <v>4.8328976587810111</v>
      </c>
      <c r="ET26" s="276">
        <v>4.8815731110300282</v>
      </c>
      <c r="EU26" s="276">
        <v>4.9296830540807939</v>
      </c>
      <c r="EV26" s="276">
        <v>4.9771785495542096</v>
      </c>
      <c r="EW26" s="276">
        <v>5.0240046185522811</v>
      </c>
      <c r="EX26" s="276">
        <v>5.0701015550944808</v>
      </c>
      <c r="EY26" s="276">
        <v>5.1154065966315896</v>
      </c>
      <c r="EZ26" s="276">
        <v>5.1598558488534412</v>
      </c>
      <c r="FA26" s="276">
        <v>5.2033863863098944</v>
      </c>
      <c r="FB26" s="276">
        <v>5.2459384656623449</v>
      </c>
      <c r="FC26" s="276">
        <v>5.2874577790699053</v>
      </c>
      <c r="FD26" s="276">
        <v>5.3278976327358274</v>
      </c>
      <c r="FE26" s="276">
        <v>5.3672208593958404</v>
      </c>
      <c r="FF26" s="276">
        <v>5.4054011818805154</v>
      </c>
      <c r="FG26" s="276">
        <v>5.4424236994684874</v>
      </c>
      <c r="FH26" s="276">
        <v>5.4782842917511783</v>
      </c>
      <c r="FI26" s="276">
        <v>5.5129881419634987</v>
      </c>
      <c r="FJ26" s="272">
        <v>5.5465481597501647</v>
      </c>
      <c r="FK26" s="272">
        <v>5.5789843326573259</v>
      </c>
      <c r="FL26" s="272">
        <v>5.6103245001058921</v>
      </c>
      <c r="FM26" s="272">
        <v>5.6406060609065847</v>
      </c>
      <c r="FN26" s="272">
        <v>5.6698775900794747</v>
      </c>
      <c r="FO26" s="272">
        <v>5.6981995904840073</v>
      </c>
      <c r="FP26" s="272">
        <v>5.7256441832677591</v>
      </c>
      <c r="FQ26" s="272">
        <v>5.752293948684799</v>
      </c>
      <c r="FR26" s="272">
        <v>5.7782402515259736</v>
      </c>
      <c r="FS26" s="272">
        <v>5.8035813383117176</v>
      </c>
      <c r="FT26" s="272">
        <v>5.8284203975542219</v>
      </c>
      <c r="FU26" s="272">
        <v>5.8528636898298974</v>
      </c>
      <c r="FV26" s="272">
        <v>5.8770187975282484</v>
      </c>
      <c r="FW26" s="272">
        <v>5.900993012484375</v>
      </c>
      <c r="FX26" s="272">
        <v>5.9248918633351906</v>
      </c>
      <c r="FY26" s="272">
        <v>5.9488177658409782</v>
      </c>
      <c r="FZ26" s="272">
        <v>5.9728687249434156</v>
      </c>
      <c r="GA26" s="272">
        <v>5.9971368714774211</v>
      </c>
      <c r="GB26" s="272">
        <v>6.0217063673753231</v>
      </c>
      <c r="GC26" s="272">
        <v>6.0466501951410194</v>
      </c>
    </row>
    <row r="27" spans="2:185" ht="15" thickBot="1" x14ac:dyDescent="0.4">
      <c r="B27" s="298">
        <v>21</v>
      </c>
      <c r="C27" s="275">
        <v>1.8136987986982129</v>
      </c>
      <c r="D27" s="275">
        <v>1.85588935220301</v>
      </c>
      <c r="E27" s="275">
        <v>1.8982640229484009</v>
      </c>
      <c r="F27" s="275">
        <v>1.940835029351057</v>
      </c>
      <c r="G27" s="275">
        <v>1.983615915152501</v>
      </c>
      <c r="H27" s="275">
        <v>2.0266217397709729</v>
      </c>
      <c r="I27" s="275">
        <v>2.069869297410039</v>
      </c>
      <c r="J27" s="275">
        <v>2.1133773665992508</v>
      </c>
      <c r="K27" s="275">
        <v>2.1571669892311149</v>
      </c>
      <c r="L27" s="275">
        <v>2.2012617728778578</v>
      </c>
      <c r="M27" s="275">
        <v>2.2456882002254499</v>
      </c>
      <c r="N27" s="275">
        <v>2.2904759116120732</v>
      </c>
      <c r="O27" s="275">
        <v>2.335657895961647</v>
      </c>
      <c r="P27" s="275">
        <v>2.3812704751268829</v>
      </c>
      <c r="Q27" s="275">
        <v>2.4273528897802978</v>
      </c>
      <c r="R27" s="275">
        <v>2.4739461901300732</v>
      </c>
      <c r="S27" s="275">
        <v>2.5210910212963249</v>
      </c>
      <c r="T27" s="275">
        <v>2.568823839069172</v>
      </c>
      <c r="U27" s="275">
        <v>2.6171712400908991</v>
      </c>
      <c r="V27" s="275">
        <v>2.6661426261984409</v>
      </c>
      <c r="W27" s="275">
        <v>2.7157223837178419</v>
      </c>
      <c r="X27" s="275">
        <v>2.7658637326346822</v>
      </c>
      <c r="Y27" s="275">
        <v>2.816486536033465</v>
      </c>
      <c r="Z27" s="275">
        <v>2.8674801351232029</v>
      </c>
      <c r="AA27" s="275">
        <v>2.9187103533293941</v>
      </c>
      <c r="AB27" s="275">
        <v>2.97002857496798</v>
      </c>
      <c r="AC27" s="275">
        <v>3.0212809002777008</v>
      </c>
      <c r="AD27" s="275">
        <v>3.0723162647422231</v>
      </c>
      <c r="AE27" s="275">
        <v>3.1229932160779361</v>
      </c>
      <c r="AF27" s="275">
        <v>3.173185362588808</v>
      </c>
      <c r="AG27" s="275">
        <v>3.2227854387030521</v>
      </c>
      <c r="AH27" s="275">
        <v>3.2717077703618731</v>
      </c>
      <c r="AI27" s="275">
        <v>3.3198889100555999</v>
      </c>
      <c r="AJ27" s="275">
        <v>3.367286425900105</v>
      </c>
      <c r="AK27" s="275">
        <v>3.4138761665061228</v>
      </c>
      <c r="AL27" s="275">
        <v>3.4596485936637298</v>
      </c>
      <c r="AM27" s="275">
        <v>3.504604847112438</v>
      </c>
      <c r="AN27" s="275">
        <v>3.5487530828872291</v>
      </c>
      <c r="AO27" s="275">
        <v>3.592105407081192</v>
      </c>
      <c r="AP27" s="275">
        <v>3.6346755160725381</v>
      </c>
      <c r="AQ27" s="275">
        <v>3.6764770104068729</v>
      </c>
      <c r="AR27" s="275">
        <v>3.717522280418545</v>
      </c>
      <c r="AS27" s="275">
        <v>3.7578218482295851</v>
      </c>
      <c r="AT27" s="275">
        <v>3.7973840686379292</v>
      </c>
      <c r="AU27" s="275">
        <v>3.8362151212202749</v>
      </c>
      <c r="AV27" s="275">
        <v>3.8743192546038872</v>
      </c>
      <c r="AW27" s="275">
        <v>3.9116992620572422</v>
      </c>
      <c r="AX27" s="275">
        <v>3.9483571679166878</v>
      </c>
      <c r="AY27" s="275">
        <v>3.9842950822004619</v>
      </c>
      <c r="AZ27" s="275">
        <v>4.0195161385948186</v>
      </c>
      <c r="BA27" s="275">
        <v>4.0540253842880034</v>
      </c>
      <c r="BB27" s="275">
        <v>4.0878304668263379</v>
      </c>
      <c r="BC27" s="275">
        <v>4.1209419900293023</v>
      </c>
      <c r="BD27" s="275">
        <v>4.1533734913789928</v>
      </c>
      <c r="BE27" s="275">
        <v>4.1851410967244416</v>
      </c>
      <c r="BF27" s="275">
        <v>4.216262987690083</v>
      </c>
      <c r="BG27" s="275">
        <v>4.2467588420883526</v>
      </c>
      <c r="BH27" s="275">
        <v>4.2766493806314534</v>
      </c>
      <c r="BI27" s="275">
        <v>4.3059561000198041</v>
      </c>
      <c r="BJ27" s="275">
        <v>4.3347012194275694</v>
      </c>
      <c r="BK27" s="275">
        <v>4.3629078278078346</v>
      </c>
      <c r="BL27" s="275">
        <v>4.3906001932277414</v>
      </c>
      <c r="BM27" s="275">
        <v>4.4178041754820683</v>
      </c>
      <c r="BN27" s="275">
        <v>4.4445476615095094</v>
      </c>
      <c r="BO27" s="275">
        <v>4.4708609149604399</v>
      </c>
      <c r="BP27" s="275">
        <v>4.4967766988290538</v>
      </c>
      <c r="BQ27" s="275">
        <v>4.5223300067054444</v>
      </c>
      <c r="BR27" s="275">
        <v>4.547557251889879</v>
      </c>
      <c r="BS27" s="275">
        <v>4.5724948525289593</v>
      </c>
      <c r="BT27" s="275">
        <v>4.597177339569968</v>
      </c>
      <c r="BU27" s="275">
        <v>4.6216353681076852</v>
      </c>
      <c r="BV27" s="275">
        <v>4.6458942062444546</v>
      </c>
      <c r="BW27" s="275">
        <v>4.6699732438874104</v>
      </c>
      <c r="BX27" s="275">
        <v>4.6938867485889064</v>
      </c>
      <c r="BY27" s="275">
        <v>4.7176456484949494</v>
      </c>
      <c r="BZ27" s="275">
        <v>4.7412598073906258</v>
      </c>
      <c r="CA27" s="275">
        <v>4.764740225601054</v>
      </c>
      <c r="CB27" s="275">
        <v>4.7881007946956897</v>
      </c>
      <c r="CC27" s="275">
        <v>4.8113594884339861</v>
      </c>
      <c r="CD27" s="275">
        <v>4.8345390615791386</v>
      </c>
      <c r="CE27" s="275">
        <v>4.8576674170254552</v>
      </c>
      <c r="CF27" s="275">
        <v>4.8807778135634354</v>
      </c>
      <c r="CG27" s="275">
        <v>4.9039090573872839</v>
      </c>
      <c r="CH27" s="275">
        <v>4.9271057727997434</v>
      </c>
      <c r="CI27" s="275">
        <v>4.9504187827976347</v>
      </c>
      <c r="CJ27" s="275">
        <v>4.9739055240743157</v>
      </c>
      <c r="CK27" s="275">
        <v>4.9976302164106032</v>
      </c>
      <c r="CL27" s="275">
        <v>5.0216631181768259</v>
      </c>
      <c r="CM27" s="275">
        <v>5.0460776091408208</v>
      </c>
      <c r="CN27" s="275">
        <v>5.070943456665276</v>
      </c>
      <c r="CO27" s="275">
        <v>5.0963157853676941</v>
      </c>
      <c r="CP27" s="275"/>
      <c r="CQ27" s="276">
        <v>1.31686330556843</v>
      </c>
      <c r="CR27" s="276">
        <v>1.375253359537266</v>
      </c>
      <c r="CS27" s="276">
        <v>1.4339703607808041</v>
      </c>
      <c r="CT27" s="276">
        <v>1.4930340914804721</v>
      </c>
      <c r="CU27" s="276">
        <v>1.5524660574209741</v>
      </c>
      <c r="CV27" s="276">
        <v>1.6122896169156891</v>
      </c>
      <c r="CW27" s="276">
        <v>1.672530088530058</v>
      </c>
      <c r="CX27" s="276">
        <v>1.7332148159876739</v>
      </c>
      <c r="CY27" s="276">
        <v>1.7943731571937671</v>
      </c>
      <c r="CZ27" s="276">
        <v>1.856036348240574</v>
      </c>
      <c r="DA27" s="276">
        <v>1.9182371717542599</v>
      </c>
      <c r="DB27" s="276">
        <v>1.9810093322863991</v>
      </c>
      <c r="DC27" s="276">
        <v>2.0443864127627189</v>
      </c>
      <c r="DD27" s="276">
        <v>2.1084002642514279</v>
      </c>
      <c r="DE27" s="276">
        <v>2.1730786854381008</v>
      </c>
      <c r="DF27" s="276">
        <v>2.2384423098216049</v>
      </c>
      <c r="DG27" s="276">
        <v>2.304500775715538</v>
      </c>
      <c r="DH27" s="276">
        <v>2.371248520835425</v>
      </c>
      <c r="DI27" s="276">
        <v>2.4386608469386508</v>
      </c>
      <c r="DJ27" s="276">
        <v>2.506691026862232</v>
      </c>
      <c r="DK27" s="276">
        <v>2.5752689182680668</v>
      </c>
      <c r="DL27" s="276">
        <v>2.6443008588661532</v>
      </c>
      <c r="DM27" s="276">
        <v>2.7136701674909718</v>
      </c>
      <c r="DN27" s="276">
        <v>2.7832379885307801</v>
      </c>
      <c r="DO27" s="276">
        <v>2.8528451424207919</v>
      </c>
      <c r="DP27" s="276">
        <v>2.9223160331939062</v>
      </c>
      <c r="DQ27" s="276">
        <v>2.9914651383124582</v>
      </c>
      <c r="DR27" s="276">
        <v>3.0601057476542</v>
      </c>
      <c r="DS27" s="276">
        <v>3.128060012281797</v>
      </c>
      <c r="DT27" s="276">
        <v>3.195169078155522</v>
      </c>
      <c r="DU27" s="276">
        <v>3.2613019699384531</v>
      </c>
      <c r="DV27" s="276">
        <v>3.3263619480570119</v>
      </c>
      <c r="DW27" s="276">
        <v>3.390289410912017</v>
      </c>
      <c r="DX27" s="276">
        <v>3.453061085124622</v>
      </c>
      <c r="DY27" s="276">
        <v>3.5146860406673168</v>
      </c>
      <c r="DZ27" s="276">
        <v>3.5751996563582109</v>
      </c>
      <c r="EA27" s="276">
        <v>3.6346568265784982</v>
      </c>
      <c r="EB27" s="276">
        <v>3.6931254693492179</v>
      </c>
      <c r="EC27" s="276">
        <v>3.7506809688695322</v>
      </c>
      <c r="ED27" s="276">
        <v>3.8074017709167922</v>
      </c>
      <c r="EE27" s="276">
        <v>3.8633660617719841</v>
      </c>
      <c r="EF27" s="276">
        <v>3.9186493177871782</v>
      </c>
      <c r="EG27" s="276">
        <v>3.9733224788332269</v>
      </c>
      <c r="EH27" s="276">
        <v>4.0274505304308139</v>
      </c>
      <c r="EI27" s="276">
        <v>4.0810913422616828</v>
      </c>
      <c r="EJ27" s="276">
        <v>4.1342946831464973</v>
      </c>
      <c r="EK27" s="276">
        <v>4.1871013992589878</v>
      </c>
      <c r="EL27" s="276">
        <v>4.2395427888613186</v>
      </c>
      <c r="EM27" s="276">
        <v>4.2916402185868963</v>
      </c>
      <c r="EN27" s="276">
        <v>4.3434049957223886</v>
      </c>
      <c r="EO27" s="276">
        <v>4.3948384501846798</v>
      </c>
      <c r="EP27" s="276">
        <v>4.4459321261250402</v>
      </c>
      <c r="EQ27" s="276">
        <v>4.4966679808914058</v>
      </c>
      <c r="ER27" s="276">
        <v>4.54701855350452</v>
      </c>
      <c r="ES27" s="276">
        <v>4.5969471599091349</v>
      </c>
      <c r="ET27" s="276">
        <v>4.6464082360802683</v>
      </c>
      <c r="EU27" s="276">
        <v>4.6953479462416894</v>
      </c>
      <c r="EV27" s="276">
        <v>4.7437051161684778</v>
      </c>
      <c r="EW27" s="276">
        <v>4.791412483880408</v>
      </c>
      <c r="EX27" s="276">
        <v>4.8383982169256328</v>
      </c>
      <c r="EY27" s="276">
        <v>4.8845876359669944</v>
      </c>
      <c r="EZ27" s="276">
        <v>4.9299050972377563</v>
      </c>
      <c r="FA27" s="276">
        <v>4.9742760034352251</v>
      </c>
      <c r="FB27" s="276">
        <v>5.0176289179537594</v>
      </c>
      <c r="FC27" s="276">
        <v>5.0598977409118318</v>
      </c>
      <c r="FD27" s="276">
        <v>5.1010238638159544</v>
      </c>
      <c r="FE27" s="276">
        <v>5.1409581591532634</v>
      </c>
      <c r="FF27" s="276">
        <v>5.1796626042246681</v>
      </c>
      <c r="FG27" s="276">
        <v>5.2171113303226688</v>
      </c>
      <c r="FH27" s="276">
        <v>5.2532909866935533</v>
      </c>
      <c r="FI27" s="276">
        <v>5.2882005333092552</v>
      </c>
      <c r="FJ27" s="272">
        <v>5.32185083075621</v>
      </c>
      <c r="FK27" s="272">
        <v>5.3542644695415049</v>
      </c>
      <c r="FL27" s="272">
        <v>5.3854760412311808</v>
      </c>
      <c r="FM27" s="272">
        <v>5.4155326516000777</v>
      </c>
      <c r="FN27" s="272">
        <v>5.4444942362514288</v>
      </c>
      <c r="FO27" s="272">
        <v>5.4724333134597272</v>
      </c>
      <c r="FP27" s="272">
        <v>5.4994340636425534</v>
      </c>
      <c r="FQ27" s="272">
        <v>5.5255908497430468</v>
      </c>
      <c r="FR27" s="272">
        <v>5.5510063910632788</v>
      </c>
      <c r="FS27" s="272">
        <v>5.5757897939318246</v>
      </c>
      <c r="FT27" s="272">
        <v>5.6000545829628177</v>
      </c>
      <c r="FU27" s="272">
        <v>5.6239168105498241</v>
      </c>
      <c r="FV27" s="272">
        <v>5.6474932705140004</v>
      </c>
      <c r="FW27" s="272">
        <v>5.6708998087579436</v>
      </c>
      <c r="FX27" s="272">
        <v>5.6942497038037008</v>
      </c>
      <c r="FY27" s="272">
        <v>5.7176520707734841</v>
      </c>
      <c r="FZ27" s="272">
        <v>5.7412102069438777</v>
      </c>
      <c r="GA27" s="272">
        <v>5.7650197395546439</v>
      </c>
      <c r="GB27" s="272">
        <v>5.7891664134808432</v>
      </c>
      <c r="GC27" s="272">
        <v>5.813723550150014</v>
      </c>
    </row>
    <row r="28" spans="2:185" ht="15" thickBot="1" x14ac:dyDescent="0.4">
      <c r="B28" s="298">
        <v>22</v>
      </c>
      <c r="C28" s="275">
        <v>1.5899543293628999</v>
      </c>
      <c r="D28" s="275">
        <v>1.6319120305849979</v>
      </c>
      <c r="E28" s="275">
        <v>1.6740433147766369</v>
      </c>
      <c r="F28" s="275">
        <v>1.7163597210689601</v>
      </c>
      <c r="G28" s="275">
        <v>1.7588740792249269</v>
      </c>
      <c r="H28" s="275">
        <v>1.8016007094956641</v>
      </c>
      <c r="I28" s="275">
        <v>1.8445556590057</v>
      </c>
      <c r="J28" s="275">
        <v>1.8877569807547221</v>
      </c>
      <c r="K28" s="275">
        <v>1.931225061045083</v>
      </c>
      <c r="L28" s="275">
        <v>1.974982999296933</v>
      </c>
      <c r="M28" s="275">
        <v>2.0190570390969071</v>
      </c>
      <c r="N28" s="275">
        <v>2.063477037710622</v>
      </c>
      <c r="O28" s="275">
        <v>2.108276937209868</v>
      </c>
      <c r="P28" s="275">
        <v>2.1534951533455851</v>
      </c>
      <c r="Q28" s="275">
        <v>2.199174711585532</v>
      </c>
      <c r="R28" s="275">
        <v>2.245362811635891</v>
      </c>
      <c r="S28" s="275">
        <v>2.2921092797570162</v>
      </c>
      <c r="T28" s="275">
        <v>2.3394631165423498</v>
      </c>
      <c r="U28" s="275">
        <v>2.3874662671058462</v>
      </c>
      <c r="V28" s="275">
        <v>2.436144272025401</v>
      </c>
      <c r="W28" s="275">
        <v>2.4854950506750182</v>
      </c>
      <c r="X28" s="275">
        <v>2.5354793057660019</v>
      </c>
      <c r="Y28" s="275">
        <v>2.586016946170111</v>
      </c>
      <c r="Z28" s="275">
        <v>2.6369916501922428</v>
      </c>
      <c r="AA28" s="275">
        <v>2.6882615874560418</v>
      </c>
      <c r="AB28" s="275">
        <v>2.73967202083141</v>
      </c>
      <c r="AC28" s="275">
        <v>2.7910663698108622</v>
      </c>
      <c r="AD28" s="275">
        <v>2.8422944745900218</v>
      </c>
      <c r="AE28" s="275">
        <v>2.8932182868278411</v>
      </c>
      <c r="AF28" s="275">
        <v>2.943715631358955</v>
      </c>
      <c r="AG28" s="275">
        <v>2.9936825204464501</v>
      </c>
      <c r="AH28" s="275">
        <v>3.043034239735293</v>
      </c>
      <c r="AI28" s="275">
        <v>3.0917052823721982</v>
      </c>
      <c r="AJ28" s="275">
        <v>3.1396482128391572</v>
      </c>
      <c r="AK28" s="275">
        <v>3.1868316370419261</v>
      </c>
      <c r="AL28" s="275">
        <v>3.2332375625911149</v>
      </c>
      <c r="AM28" s="275">
        <v>3.278858491064323</v>
      </c>
      <c r="AN28" s="275">
        <v>3.3236945659174948</v>
      </c>
      <c r="AO28" s="275">
        <v>3.367751018988336</v>
      </c>
      <c r="AP28" s="275">
        <v>3.4110360524515091</v>
      </c>
      <c r="AQ28" s="275">
        <v>3.453559197962583</v>
      </c>
      <c r="AR28" s="275">
        <v>3.4953301302551698</v>
      </c>
      <c r="AS28" s="275">
        <v>3.5363578808535152</v>
      </c>
      <c r="AT28" s="275">
        <v>3.5766503908440201</v>
      </c>
      <c r="AU28" s="275">
        <v>3.6162143488832692</v>
      </c>
      <c r="AV28" s="275">
        <v>3.6550552718575342</v>
      </c>
      <c r="AW28" s="275">
        <v>3.6931777930399901</v>
      </c>
      <c r="AX28" s="275">
        <v>3.7305861208234892</v>
      </c>
      <c r="AY28" s="275">
        <v>3.7672846180682211</v>
      </c>
      <c r="AZ28" s="275">
        <v>3.8032784308865928</v>
      </c>
      <c r="BA28" s="275">
        <v>3.838574075818042</v>
      </c>
      <c r="BB28" s="275">
        <v>3.8731798896357601</v>
      </c>
      <c r="BC28" s="275">
        <v>3.90710626744736</v>
      </c>
      <c r="BD28" s="275">
        <v>3.9403656616510601</v>
      </c>
      <c r="BE28" s="275">
        <v>3.97297237160651</v>
      </c>
      <c r="BF28" s="275">
        <v>4.0049421998144608</v>
      </c>
      <c r="BG28" s="275">
        <v>4.0362920696717239</v>
      </c>
      <c r="BH28" s="275">
        <v>4.0670396913696916</v>
      </c>
      <c r="BI28" s="275">
        <v>4.0972033364915807</v>
      </c>
      <c r="BJ28" s="275">
        <v>4.1268017511699107</v>
      </c>
      <c r="BK28" s="275">
        <v>4.1558542106700331</v>
      </c>
      <c r="BL28" s="275">
        <v>4.1843806970395727</v>
      </c>
      <c r="BM28" s="275">
        <v>4.2124021637420102</v>
      </c>
      <c r="BN28" s="275">
        <v>4.239940833533403</v>
      </c>
      <c r="BO28" s="275">
        <v>4.2670204565900338</v>
      </c>
      <c r="BP28" s="275">
        <v>4.2936664378088052</v>
      </c>
      <c r="BQ28" s="275">
        <v>4.319905734558831</v>
      </c>
      <c r="BR28" s="275">
        <v>4.3457664447432567</v>
      </c>
      <c r="BS28" s="275">
        <v>4.3712770664824916</v>
      </c>
      <c r="BT28" s="275">
        <v>4.3964655184173624</v>
      </c>
      <c r="BU28" s="275">
        <v>4.4213581355895961</v>
      </c>
      <c r="BV28" s="275">
        <v>4.4459789369685518</v>
      </c>
      <c r="BW28" s="275">
        <v>4.4703494299030382</v>
      </c>
      <c r="BX28" s="275">
        <v>4.4944890604152032</v>
      </c>
      <c r="BY28" s="275">
        <v>4.5184162062504249</v>
      </c>
      <c r="BZ28" s="275">
        <v>4.5421494533193414</v>
      </c>
      <c r="CA28" s="275">
        <v>4.5657088654998814</v>
      </c>
      <c r="CB28" s="275">
        <v>4.5891170389239901</v>
      </c>
      <c r="CC28" s="275">
        <v>4.6123998575713401</v>
      </c>
      <c r="CD28" s="275">
        <v>4.6355869736643527</v>
      </c>
      <c r="CE28" s="275">
        <v>4.6587120951807934</v>
      </c>
      <c r="CF28" s="275">
        <v>4.6818131754797241</v>
      </c>
      <c r="CG28" s="275">
        <v>4.704932580050194</v>
      </c>
      <c r="CH28" s="275">
        <v>4.7281172625472534</v>
      </c>
      <c r="CI28" s="275">
        <v>4.7514189151424606</v>
      </c>
      <c r="CJ28" s="275">
        <v>4.7748939525087462</v>
      </c>
      <c r="CK28" s="275">
        <v>4.7986030234971633</v>
      </c>
      <c r="CL28" s="275">
        <v>4.8226095204667176</v>
      </c>
      <c r="CM28" s="275">
        <v>4.8469763750480759</v>
      </c>
      <c r="CN28" s="275">
        <v>4.8717606135888829</v>
      </c>
      <c r="CO28" s="275">
        <v>4.8970061736347734</v>
      </c>
      <c r="CP28" s="275"/>
      <c r="CQ28" s="276">
        <v>1.0926862869656131</v>
      </c>
      <c r="CR28" s="276">
        <v>1.1512558448771051</v>
      </c>
      <c r="CS28" s="276">
        <v>1.2101598644553551</v>
      </c>
      <c r="CT28" s="276">
        <v>1.2694179622081381</v>
      </c>
      <c r="CU28" s="276">
        <v>1.329051248899431</v>
      </c>
      <c r="CV28" s="276">
        <v>1.389082370644235</v>
      </c>
      <c r="CW28" s="276">
        <v>1.4495354999916541</v>
      </c>
      <c r="CX28" s="276">
        <v>1.510436247164556</v>
      </c>
      <c r="CY28" s="276">
        <v>1.57181144876714</v>
      </c>
      <c r="CZ28" s="276">
        <v>1.6336887743932249</v>
      </c>
      <c r="DA28" s="276">
        <v>1.6960960707717749</v>
      </c>
      <c r="DB28" s="276">
        <v>1.759060340254599</v>
      </c>
      <c r="DC28" s="276">
        <v>1.8226062313247551</v>
      </c>
      <c r="DD28" s="276">
        <v>1.8867539165036029</v>
      </c>
      <c r="DE28" s="276">
        <v>1.951516273012317</v>
      </c>
      <c r="DF28" s="276">
        <v>2.0168954057440711</v>
      </c>
      <c r="DG28" s="276">
        <v>2.082878813217623</v>
      </c>
      <c r="DH28" s="276">
        <v>2.1494359185752892</v>
      </c>
      <c r="DI28" s="276">
        <v>2.2165161492627319</v>
      </c>
      <c r="DJ28" s="276">
        <v>2.2840498146181969</v>
      </c>
      <c r="DK28" s="276">
        <v>2.3519520144682158</v>
      </c>
      <c r="DL28" s="276">
        <v>2.4201276819888111</v>
      </c>
      <c r="DM28" s="276">
        <v>2.4884744632446121</v>
      </c>
      <c r="DN28" s="276">
        <v>2.5568817856396251</v>
      </c>
      <c r="DO28" s="276">
        <v>2.6252280422099692</v>
      </c>
      <c r="DP28" s="276">
        <v>2.6933794285314869</v>
      </c>
      <c r="DQ28" s="276">
        <v>2.761192477990202</v>
      </c>
      <c r="DR28" s="276">
        <v>2.828520059111888</v>
      </c>
      <c r="DS28" s="276">
        <v>2.8952193714196159</v>
      </c>
      <c r="DT28" s="276">
        <v>2.9611603085197382</v>
      </c>
      <c r="DU28" s="276">
        <v>3.0262328380571191</v>
      </c>
      <c r="DV28" s="276">
        <v>3.0903524300291321</v>
      </c>
      <c r="DW28" s="276">
        <v>3.153462979299845</v>
      </c>
      <c r="DX28" s="276">
        <v>3.2155371126215502</v>
      </c>
      <c r="DY28" s="276">
        <v>3.2765741968425659</v>
      </c>
      <c r="DZ28" s="276">
        <v>3.3365966840434309</v>
      </c>
      <c r="EA28" s="276">
        <v>3.395645565876511</v>
      </c>
      <c r="EB28" s="276">
        <v>3.4537756512174309</v>
      </c>
      <c r="EC28" s="276">
        <v>3.51105118651865</v>
      </c>
      <c r="ED28" s="276">
        <v>3.5675420981795769</v>
      </c>
      <c r="EE28" s="276">
        <v>3.6233209269492459</v>
      </c>
      <c r="EF28" s="276">
        <v>3.678460382666902</v>
      </c>
      <c r="EG28" s="276">
        <v>3.7330313756253508</v>
      </c>
      <c r="EH28" s="276">
        <v>3.787101363169934</v>
      </c>
      <c r="EI28" s="276">
        <v>3.8407328686744351</v>
      </c>
      <c r="EJ28" s="276">
        <v>3.8939820704969521</v>
      </c>
      <c r="EK28" s="276">
        <v>3.9468974107664989</v>
      </c>
      <c r="EL28" s="276">
        <v>3.9995182291646159</v>
      </c>
      <c r="EM28" s="276">
        <v>4.051873475658315</v>
      </c>
      <c r="EN28" s="276">
        <v>4.1039805884893132</v>
      </c>
      <c r="EO28" s="276">
        <v>4.1558446330996963</v>
      </c>
      <c r="EP28" s="276">
        <v>4.2074577848920338</v>
      </c>
      <c r="EQ28" s="276">
        <v>4.2587992114862594</v>
      </c>
      <c r="ER28" s="276">
        <v>4.30983537723698</v>
      </c>
      <c r="ES28" s="276">
        <v>4.3605207587780592</v>
      </c>
      <c r="ET28" s="276">
        <v>4.4107989269426957</v>
      </c>
      <c r="EU28" s="276">
        <v>4.4606039218517033</v>
      </c>
      <c r="EV28" s="276">
        <v>4.5098618324665134</v>
      </c>
      <c r="EW28" s="276">
        <v>4.5584924962018896</v>
      </c>
      <c r="EX28" s="276">
        <v>4.6064112577179026</v>
      </c>
      <c r="EY28" s="276">
        <v>4.6535307604779392</v>
      </c>
      <c r="EZ28" s="276">
        <v>4.6997627783241347</v>
      </c>
      <c r="FA28" s="276">
        <v>4.745020116496125</v>
      </c>
      <c r="FB28" s="276">
        <v>4.7892186147233708</v>
      </c>
      <c r="FC28" s="276">
        <v>4.8322792653514766</v>
      </c>
      <c r="FD28" s="276">
        <v>4.8741304172501501</v>
      </c>
      <c r="FE28" s="276">
        <v>4.9147099785582231</v>
      </c>
      <c r="FF28" s="276">
        <v>4.9539674756770218</v>
      </c>
      <c r="FG28" s="276">
        <v>4.9918658009202028</v>
      </c>
      <c r="FH28" s="276">
        <v>5.028382515914374</v>
      </c>
      <c r="FI28" s="276">
        <v>5.0635106755657722</v>
      </c>
      <c r="FJ28" s="272">
        <v>5.0972592505729466</v>
      </c>
      <c r="FK28" s="272">
        <v>5.1296532727581008</v>
      </c>
      <c r="FL28" s="272">
        <v>5.1607337631267223</v>
      </c>
      <c r="FM28" s="272">
        <v>5.1905573828459746</v>
      </c>
      <c r="FN28" s="272">
        <v>5.2191956830574471</v>
      </c>
      <c r="FO28" s="272">
        <v>5.2467338759173421</v>
      </c>
      <c r="FP28" s="272">
        <v>5.2732691627129133</v>
      </c>
      <c r="FQ28" s="272">
        <v>5.2989087530161898</v>
      </c>
      <c r="FR28" s="272">
        <v>5.3237677439547451</v>
      </c>
      <c r="FS28" s="272">
        <v>5.3479670039760956</v>
      </c>
      <c r="FT28" s="272">
        <v>5.3716311496065314</v>
      </c>
      <c r="FU28" s="272">
        <v>5.3948866444715211</v>
      </c>
      <c r="FV28" s="272">
        <v>5.4178600034322244</v>
      </c>
      <c r="FW28" s="272">
        <v>5.440676056101899</v>
      </c>
      <c r="FX28" s="272">
        <v>5.4634562109771574</v>
      </c>
      <c r="FY28" s="272">
        <v>5.4863166582450376</v>
      </c>
      <c r="FZ28" s="272">
        <v>5.5093664519946994</v>
      </c>
      <c r="GA28" s="272">
        <v>5.5327054297588507</v>
      </c>
      <c r="GB28" s="272">
        <v>5.5564219958946586</v>
      </c>
      <c r="GC28" s="272">
        <v>5.5805909685715056</v>
      </c>
    </row>
    <row r="29" spans="2:185" ht="15" thickBot="1" x14ac:dyDescent="0.4">
      <c r="B29" s="298">
        <v>23</v>
      </c>
      <c r="C29" s="275">
        <v>1.3664109050800139</v>
      </c>
      <c r="D29" s="275">
        <v>1.4081430586522941</v>
      </c>
      <c r="E29" s="275">
        <v>1.4500384380542031</v>
      </c>
      <c r="F29" s="275">
        <v>1.492107846110964</v>
      </c>
      <c r="G29" s="275">
        <v>1.534363316231558</v>
      </c>
      <c r="H29" s="275">
        <v>1.576818313138812</v>
      </c>
      <c r="I29" s="275">
        <v>1.619487975207905</v>
      </c>
      <c r="J29" s="275">
        <v>1.662389408287563</v>
      </c>
      <c r="K29" s="275">
        <v>1.7055420430611159</v>
      </c>
      <c r="L29" s="275">
        <v>1.748968070137612</v>
      </c>
      <c r="M29" s="275">
        <v>1.7926929682724959</v>
      </c>
      <c r="N29" s="275">
        <v>1.836746139219068</v>
      </c>
      <c r="O29" s="275">
        <v>1.8811616526046431</v>
      </c>
      <c r="P29" s="275">
        <v>1.9259790745618901</v>
      </c>
      <c r="Q29" s="275">
        <v>1.9712442807689179</v>
      </c>
      <c r="R29" s="275">
        <v>2.0170099922556362</v>
      </c>
      <c r="S29" s="275">
        <v>2.0633354480206001</v>
      </c>
      <c r="T29" s="275">
        <v>2.1102840788810662</v>
      </c>
      <c r="U29" s="275">
        <v>2.1579173995164438</v>
      </c>
      <c r="V29" s="275">
        <v>2.2062833384774798</v>
      </c>
      <c r="W29" s="275">
        <v>2.2553994622437119</v>
      </c>
      <c r="X29" s="275">
        <v>2.3052366297170068</v>
      </c>
      <c r="Y29" s="275">
        <v>2.355712311121041</v>
      </c>
      <c r="Z29" s="275">
        <v>2.4066984843481301</v>
      </c>
      <c r="AA29" s="275">
        <v>2.4580392786781031</v>
      </c>
      <c r="AB29" s="275">
        <v>2.5095691895243419</v>
      </c>
      <c r="AC29" s="275">
        <v>2.5611263353311569</v>
      </c>
      <c r="AD29" s="275">
        <v>2.6125602389778839</v>
      </c>
      <c r="AE29" s="275">
        <v>2.6637357820931018</v>
      </c>
      <c r="AF29" s="275">
        <v>2.7145349428013139</v>
      </c>
      <c r="AG29" s="275">
        <v>2.7648572967276128</v>
      </c>
      <c r="AH29" s="275">
        <v>2.8146197798362471</v>
      </c>
      <c r="AI29" s="275">
        <v>2.8637559571441091</v>
      </c>
      <c r="AJ29" s="275">
        <v>2.9122149029239668</v>
      </c>
      <c r="AK29" s="275">
        <v>2.959959719752379</v>
      </c>
      <c r="AL29" s="275">
        <v>3.0069657192056871</v>
      </c>
      <c r="AM29" s="275">
        <v>3.0532183492414791</v>
      </c>
      <c r="AN29" s="275">
        <v>3.098711023797255</v>
      </c>
      <c r="AO29" s="275">
        <v>3.143443033729854</v>
      </c>
      <c r="AP29" s="275">
        <v>3.1874176869038111</v>
      </c>
      <c r="AQ29" s="275">
        <v>3.2306407657505249</v>
      </c>
      <c r="AR29" s="275">
        <v>3.273119332492775</v>
      </c>
      <c r="AS29" s="275">
        <v>3.3148608711208798</v>
      </c>
      <c r="AT29" s="275">
        <v>3.3558727332448042</v>
      </c>
      <c r="AU29" s="275">
        <v>3.396161847087253</v>
      </c>
      <c r="AV29" s="275">
        <v>3.4357346482338378</v>
      </c>
      <c r="AW29" s="275">
        <v>3.4745971913698441</v>
      </c>
      <c r="AX29" s="275">
        <v>3.512755400274536</v>
      </c>
      <c r="AY29" s="275">
        <v>3.5502154076719852</v>
      </c>
      <c r="AZ29" s="275">
        <v>3.5869839290302341</v>
      </c>
      <c r="BA29" s="275">
        <v>3.62306860960578</v>
      </c>
      <c r="BB29" s="275">
        <v>3.6584782874727519</v>
      </c>
      <c r="BC29" s="275">
        <v>3.6932231304741761</v>
      </c>
      <c r="BD29" s="275">
        <v>3.7273146306919278</v>
      </c>
      <c r="BE29" s="275">
        <v>3.7607654696384478</v>
      </c>
      <c r="BF29" s="275">
        <v>3.7935892921080718</v>
      </c>
      <c r="BG29" s="275">
        <v>3.825800439857082</v>
      </c>
      <c r="BH29" s="275">
        <v>3.8574136964843482</v>
      </c>
      <c r="BI29" s="275">
        <v>3.8884440852520559</v>
      </c>
      <c r="BJ29" s="275">
        <v>3.9189067472840668</v>
      </c>
      <c r="BK29" s="275">
        <v>3.9488169129032031</v>
      </c>
      <c r="BL29" s="275">
        <v>3.9781899658446762</v>
      </c>
      <c r="BM29" s="275">
        <v>4.0070415886380628</v>
      </c>
      <c r="BN29" s="275">
        <v>4.0353879665112524</v>
      </c>
      <c r="BO29" s="275">
        <v>4.063246016085758</v>
      </c>
      <c r="BP29" s="275">
        <v>4.0906335950849959</v>
      </c>
      <c r="BQ29" s="275">
        <v>4.1175696442839103</v>
      </c>
      <c r="BR29" s="275">
        <v>4.144074219565673</v>
      </c>
      <c r="BS29" s="275">
        <v>4.1701683964914409</v>
      </c>
      <c r="BT29" s="275">
        <v>4.1958740723344574</v>
      </c>
      <c r="BU29" s="275">
        <v>4.221213738962498</v>
      </c>
      <c r="BV29" s="275">
        <v>4.2462103304542751</v>
      </c>
      <c r="BW29" s="275">
        <v>4.2708872388988572</v>
      </c>
      <c r="BX29" s="275">
        <v>4.295268537284131</v>
      </c>
      <c r="BY29" s="275">
        <v>4.3193793746356368</v>
      </c>
      <c r="BZ29" s="275">
        <v>4.3432464539317186</v>
      </c>
      <c r="CA29" s="275">
        <v>4.3668984926309831</v>
      </c>
      <c r="CB29" s="275">
        <v>4.3903665955737496</v>
      </c>
      <c r="CC29" s="275">
        <v>4.4136845172447439</v>
      </c>
      <c r="CD29" s="275">
        <v>4.4368888305318714</v>
      </c>
      <c r="CE29" s="275">
        <v>4.4600190390748518</v>
      </c>
      <c r="CF29" s="275">
        <v>4.4831176684483518</v>
      </c>
      <c r="CG29" s="275">
        <v>4.5062303511505348</v>
      </c>
      <c r="CH29" s="275">
        <v>4.5294058837204254</v>
      </c>
      <c r="CI29" s="275">
        <v>4.5526961791652587</v>
      </c>
      <c r="CJ29" s="275">
        <v>4.5761559598917394</v>
      </c>
      <c r="CK29" s="275">
        <v>4.5998419383125739</v>
      </c>
      <c r="CL29" s="275">
        <v>4.6238111459880278</v>
      </c>
      <c r="CM29" s="275">
        <v>4.6481180903661743</v>
      </c>
      <c r="CN29" s="275">
        <v>4.6728106988740841</v>
      </c>
      <c r="CO29" s="275">
        <v>4.69792565510821</v>
      </c>
      <c r="CP29" s="275"/>
      <c r="CQ29" s="276">
        <v>0.86853006715821601</v>
      </c>
      <c r="CR29" s="276">
        <v>0.92726930380889472</v>
      </c>
      <c r="CS29" s="276">
        <v>0.98634874315061649</v>
      </c>
      <c r="CT29" s="276">
        <v>1.045787565423713</v>
      </c>
      <c r="CU29" s="276">
        <v>1.105606187754592</v>
      </c>
      <c r="CV29" s="276">
        <v>1.1658262230109311</v>
      </c>
      <c r="CW29" s="276">
        <v>1.2264703661864469</v>
      </c>
      <c r="CX29" s="276">
        <v>1.287562173738757</v>
      </c>
      <c r="CY29" s="276">
        <v>1.349125688310205</v>
      </c>
      <c r="CZ29" s="276">
        <v>1.411184844824273</v>
      </c>
      <c r="DA29" s="276">
        <v>1.473762574433559</v>
      </c>
      <c r="DB29" s="276">
        <v>1.5368795021906529</v>
      </c>
      <c r="DC29" s="276">
        <v>1.6005521180413951</v>
      </c>
      <c r="DD29" s="276">
        <v>1.66479030103032</v>
      </c>
      <c r="DE29" s="276">
        <v>1.7295941186473061</v>
      </c>
      <c r="DF29" s="276">
        <v>1.794949955523448</v>
      </c>
      <c r="DG29" s="276">
        <v>1.860826332697078</v>
      </c>
      <c r="DH29" s="276">
        <v>1.9271703731645129</v>
      </c>
      <c r="DI29" s="276">
        <v>1.9939067663392871</v>
      </c>
      <c r="DJ29" s="276">
        <v>2.0609417433479078</v>
      </c>
      <c r="DK29" s="276">
        <v>2.1281732654736878</v>
      </c>
      <c r="DL29" s="276">
        <v>2.195503716428123</v>
      </c>
      <c r="DM29" s="276">
        <v>2.2628465524591022</v>
      </c>
      <c r="DN29" s="276">
        <v>2.3301219821109118</v>
      </c>
      <c r="DO29" s="276">
        <v>2.3972467810086719</v>
      </c>
      <c r="DP29" s="276">
        <v>2.4641269210040142</v>
      </c>
      <c r="DQ29" s="276">
        <v>2.530656767409309</v>
      </c>
      <c r="DR29" s="276">
        <v>2.5967235576078989</v>
      </c>
      <c r="DS29" s="276">
        <v>2.6622144199736111</v>
      </c>
      <c r="DT29" s="276">
        <v>2.7270237392602512</v>
      </c>
      <c r="DU29" s="276">
        <v>2.7910595471116988</v>
      </c>
      <c r="DV29" s="276">
        <v>2.854248289793587</v>
      </c>
      <c r="DW29" s="276">
        <v>2.916537763001668</v>
      </c>
      <c r="DX29" s="276">
        <v>2.977898249307998</v>
      </c>
      <c r="DY29" s="276">
        <v>3.0383220276185678</v>
      </c>
      <c r="DZ29" s="276">
        <v>3.09782153872843</v>
      </c>
      <c r="EA29" s="276">
        <v>3.1564266075661829</v>
      </c>
      <c r="EB29" s="276">
        <v>3.214181184218682</v>
      </c>
      <c r="EC29" s="276">
        <v>3.271140026191544</v>
      </c>
      <c r="ED29" s="276">
        <v>3.3273656212130289</v>
      </c>
      <c r="EE29" s="276">
        <v>3.3829254981998642</v>
      </c>
      <c r="EF29" s="276">
        <v>3.4378899410702579</v>
      </c>
      <c r="EG29" s="276">
        <v>3.4923300273881011</v>
      </c>
      <c r="EH29" s="276">
        <v>3.5463158627966962</v>
      </c>
      <c r="EI29" s="276">
        <v>3.5999148665073588</v>
      </c>
      <c r="EJ29" s="276">
        <v>3.6531899772712091</v>
      </c>
      <c r="EK29" s="276">
        <v>3.706197691536071</v>
      </c>
      <c r="EL29" s="276">
        <v>3.758985915662707</v>
      </c>
      <c r="EM29" s="276">
        <v>3.8115917076146331</v>
      </c>
      <c r="EN29" s="276">
        <v>3.8640390847579731</v>
      </c>
      <c r="EO29" s="276">
        <v>3.916337153771615</v>
      </c>
      <c r="EP29" s="276">
        <v>3.9684788402085078</v>
      </c>
      <c r="EQ29" s="276">
        <v>4.0204404351126959</v>
      </c>
      <c r="ER29" s="276">
        <v>4.0721820422610246</v>
      </c>
      <c r="ES29" s="276">
        <v>4.1236488458505551</v>
      </c>
      <c r="ET29" s="276">
        <v>4.1747729843848296</v>
      </c>
      <c r="EU29" s="276">
        <v>4.2254757558063893</v>
      </c>
      <c r="EV29" s="276">
        <v>4.2756698993367079</v>
      </c>
      <c r="EW29" s="276">
        <v>4.3252617768201373</v>
      </c>
      <c r="EX29" s="276">
        <v>4.3741533741986522</v>
      </c>
      <c r="EY29" s="276">
        <v>4.4222441320186689</v>
      </c>
      <c r="EZ29" s="276">
        <v>4.4694326765495793</v>
      </c>
      <c r="FA29" s="276">
        <v>4.5156185558887971</v>
      </c>
      <c r="FB29" s="276">
        <v>4.5607040897630169</v>
      </c>
      <c r="FC29" s="276">
        <v>4.6045964199770024</v>
      </c>
      <c r="FD29" s="276">
        <v>4.6472098026046673</v>
      </c>
      <c r="FE29" s="276">
        <v>4.6884681167938718</v>
      </c>
      <c r="FF29" s="276">
        <v>4.7283074878948064</v>
      </c>
      <c r="FG29" s="276">
        <v>4.7666788521460752</v>
      </c>
      <c r="FH29" s="276">
        <v>4.8035502487317396</v>
      </c>
      <c r="FI29" s="276">
        <v>4.8389086285279896</v>
      </c>
      <c r="FJ29" s="272">
        <v>4.8727610143586828</v>
      </c>
      <c r="FK29" s="272">
        <v>4.9051349139613727</v>
      </c>
      <c r="FL29" s="272">
        <v>4.9360779531292973</v>
      </c>
      <c r="FM29" s="272">
        <v>4.9656567590614742</v>
      </c>
      <c r="FN29" s="272">
        <v>4.9939551902080304</v>
      </c>
      <c r="FO29" s="272">
        <v>5.0210720753085294</v>
      </c>
      <c r="FP29" s="272">
        <v>5.0471186699854016</v>
      </c>
      <c r="FQ29" s="272">
        <v>5.0722160432164207</v>
      </c>
      <c r="FR29" s="272">
        <v>5.0964925655541116</v>
      </c>
      <c r="FS29" s="272">
        <v>5.120081602199499</v>
      </c>
      <c r="FT29" s="272">
        <v>5.1431194395116862</v>
      </c>
      <c r="FU29" s="272">
        <v>5.1657434107415607</v>
      </c>
      <c r="FV29" s="272">
        <v>5.1880901443393892</v>
      </c>
      <c r="FW29" s="272">
        <v>5.2102938378557653</v>
      </c>
      <c r="FX29" s="272">
        <v>5.2324844608765018</v>
      </c>
      <c r="FY29" s="272">
        <v>5.2547858103082987</v>
      </c>
      <c r="FZ29" s="272">
        <v>5.2773133819864793</v>
      </c>
      <c r="GA29" s="272">
        <v>5.3001720901293297</v>
      </c>
      <c r="GB29" s="272">
        <v>5.3234539694602212</v>
      </c>
      <c r="GC29" s="272">
        <v>5.3472361282272782</v>
      </c>
    </row>
    <row r="30" spans="2:185" ht="15" thickBot="1" x14ac:dyDescent="0.4">
      <c r="B30" s="298">
        <v>24</v>
      </c>
      <c r="C30" s="275">
        <v>1.143101961011036</v>
      </c>
      <c r="D30" s="275">
        <v>1.1846185940331559</v>
      </c>
      <c r="E30" s="275">
        <v>1.226288598196289</v>
      </c>
      <c r="F30" s="275">
        <v>1.268122033821518</v>
      </c>
      <c r="G30" s="275">
        <v>1.310130115220898</v>
      </c>
      <c r="H30" s="275">
        <v>1.352325404693463</v>
      </c>
      <c r="I30" s="275">
        <v>1.3947220500235651</v>
      </c>
      <c r="J30" s="275">
        <v>1.43733607782971</v>
      </c>
      <c r="K30" s="275">
        <v>1.4801857592964061</v>
      </c>
      <c r="L30" s="275">
        <v>1.5232920704799191</v>
      </c>
      <c r="M30" s="275">
        <v>1.5666792767876041</v>
      </c>
      <c r="N30" s="275">
        <v>1.610375680175925</v>
      </c>
      <c r="O30" s="275">
        <v>1.6544145761779709</v>
      </c>
      <c r="P30" s="275">
        <v>1.6988354691378309</v>
      </c>
      <c r="Q30" s="275">
        <v>1.743685567550457</v>
      </c>
      <c r="R30" s="275">
        <v>1.789021472662309</v>
      </c>
      <c r="S30" s="275">
        <v>1.8349106511621569</v>
      </c>
      <c r="T30" s="275">
        <v>1.8814314831093939</v>
      </c>
      <c r="U30" s="275">
        <v>1.9286690894270151</v>
      </c>
      <c r="V30" s="275">
        <v>1.976702267488943</v>
      </c>
      <c r="W30" s="275">
        <v>2.025578275698908</v>
      </c>
      <c r="X30" s="275">
        <v>2.0752828204525642</v>
      </c>
      <c r="Y30" s="275">
        <v>2.1257261310487658</v>
      </c>
      <c r="Z30" s="275">
        <v>2.176758245724538</v>
      </c>
      <c r="AA30" s="275">
        <v>2.228200428416514</v>
      </c>
      <c r="AB30" s="275">
        <v>2.2798718463086489</v>
      </c>
      <c r="AC30" s="275">
        <v>2.331604117601441</v>
      </c>
      <c r="AD30" s="275">
        <v>2.3832468819754729</v>
      </c>
      <c r="AE30" s="275">
        <v>2.4346688996983432</v>
      </c>
      <c r="AF30" s="275">
        <v>2.485757312229472</v>
      </c>
      <c r="AG30" s="275">
        <v>2.5364162226829929</v>
      </c>
      <c r="AH30" s="275">
        <v>2.586565144822031</v>
      </c>
      <c r="AI30" s="275">
        <v>2.636137655705141</v>
      </c>
      <c r="AJ30" s="275">
        <v>2.6850803599868311</v>
      </c>
      <c r="AK30" s="275">
        <v>2.733351997834002</v>
      </c>
      <c r="AL30" s="275">
        <v>2.780922412455336</v>
      </c>
      <c r="AM30" s="275">
        <v>2.827771212889127</v>
      </c>
      <c r="AN30" s="275">
        <v>2.8738861701241132</v>
      </c>
      <c r="AO30" s="275">
        <v>2.9192615089716938</v>
      </c>
      <c r="AP30" s="275">
        <v>2.9638962719511581</v>
      </c>
      <c r="AQ30" s="275">
        <v>3.007792882467681</v>
      </c>
      <c r="AR30" s="275">
        <v>3.050955972843413</v>
      </c>
      <c r="AS30" s="275">
        <v>3.0933914935124411</v>
      </c>
      <c r="AT30" s="275">
        <v>3.135106088439501</v>
      </c>
      <c r="AU30" s="275">
        <v>3.1761067051190239</v>
      </c>
      <c r="AV30" s="275">
        <v>3.2164003998103352</v>
      </c>
      <c r="AW30" s="275">
        <v>3.2559942954316639</v>
      </c>
      <c r="AX30" s="275">
        <v>3.294895648263275</v>
      </c>
      <c r="AY30" s="275">
        <v>3.33311197978075</v>
      </c>
      <c r="AZ30" s="275">
        <v>3.37065123228607</v>
      </c>
      <c r="BA30" s="275">
        <v>3.4075219123104761</v>
      </c>
      <c r="BB30" s="275">
        <v>3.443733193819063</v>
      </c>
      <c r="BC30" s="275">
        <v>3.4792949627747771</v>
      </c>
      <c r="BD30" s="275">
        <v>3.5142177942634811</v>
      </c>
      <c r="BE30" s="275">
        <v>3.5485128626305431</v>
      </c>
      <c r="BF30" s="275">
        <v>3.5821917939549111</v>
      </c>
      <c r="BG30" s="275">
        <v>3.6152664781676629</v>
      </c>
      <c r="BH30" s="275">
        <v>3.64774886385268</v>
      </c>
      <c r="BI30" s="275">
        <v>3.6796507610231162</v>
      </c>
      <c r="BJ30" s="275">
        <v>3.7109836759265158</v>
      </c>
      <c r="BK30" s="275">
        <v>3.7417586984320579</v>
      </c>
      <c r="BL30" s="275">
        <v>3.771986458446273</v>
      </c>
      <c r="BM30" s="275">
        <v>3.8016771642141718</v>
      </c>
      <c r="BN30" s="275">
        <v>3.830840732417764</v>
      </c>
      <c r="BO30" s="275">
        <v>3.8594870168386302</v>
      </c>
      <c r="BP30" s="275">
        <v>3.8876261375390699</v>
      </c>
      <c r="BQ30" s="275">
        <v>3.9152689045167959</v>
      </c>
      <c r="BR30" s="275">
        <v>3.9424273178124611</v>
      </c>
      <c r="BS30" s="275">
        <v>3.9691151109599652</v>
      </c>
      <c r="BT30" s="275">
        <v>3.995348289653748</v>
      </c>
      <c r="BU30" s="275">
        <v>4.0211456078160603</v>
      </c>
      <c r="BV30" s="275">
        <v>4.0465289244446332</v>
      </c>
      <c r="BW30" s="275">
        <v>4.0715233996844704</v>
      </c>
      <c r="BX30" s="275">
        <v>4.0961575154172083</v>
      </c>
      <c r="BY30" s="275">
        <v>4.1204629370850254</v>
      </c>
      <c r="BZ30" s="275">
        <v>4.1444742600565707</v>
      </c>
      <c r="CA30" s="275">
        <v>4.1682286983102594</v>
      </c>
      <c r="CB30" s="275">
        <v>4.1917657733019738</v>
      </c>
      <c r="CC30" s="275">
        <v>4.2151270492623167</v>
      </c>
      <c r="CD30" s="275">
        <v>4.23835594286665</v>
      </c>
      <c r="CE30" s="275">
        <v>4.2614976146298167</v>
      </c>
      <c r="CF30" s="275">
        <v>4.2845989283532413</v>
      </c>
      <c r="CG30" s="275">
        <v>4.3077084424506964</v>
      </c>
      <c r="CH30" s="275">
        <v>4.3308763698841153</v>
      </c>
      <c r="CI30" s="275">
        <v>4.3541544084578563</v>
      </c>
      <c r="CJ30" s="275">
        <v>4.3775953005622839</v>
      </c>
      <c r="CK30" s="275">
        <v>4.4012519416640972</v>
      </c>
      <c r="CL30" s="275">
        <v>4.4251758504210699</v>
      </c>
      <c r="CM30" s="275">
        <v>4.4494148953217509</v>
      </c>
      <c r="CN30" s="275">
        <v>4.474010400501732</v>
      </c>
      <c r="CO30" s="275">
        <v>4.4989941142608743</v>
      </c>
      <c r="CP30" s="275"/>
      <c r="CQ30" s="276">
        <v>0.64435473538222843</v>
      </c>
      <c r="CR30" s="276">
        <v>0.70325055988778173</v>
      </c>
      <c r="CS30" s="276">
        <v>0.76249029282812997</v>
      </c>
      <c r="CT30" s="276">
        <v>0.8220924054256834</v>
      </c>
      <c r="CU30" s="276">
        <v>0.88207632944905046</v>
      </c>
      <c r="CV30" s="276">
        <v>0.94246234316009192</v>
      </c>
      <c r="CW30" s="276">
        <v>1.0032713695551569</v>
      </c>
      <c r="CX30" s="276">
        <v>1.064524650998393</v>
      </c>
      <c r="CY30" s="276">
        <v>1.126243252328639</v>
      </c>
      <c r="CZ30" s="276">
        <v>1.188447329628068</v>
      </c>
      <c r="DA30" s="276">
        <v>1.2511550842291019</v>
      </c>
      <c r="DB30" s="276">
        <v>1.3143813022540951</v>
      </c>
      <c r="DC30" s="276">
        <v>1.3781353618920551</v>
      </c>
      <c r="DD30" s="276">
        <v>1.442418580417949</v>
      </c>
      <c r="DE30" s="276">
        <v>1.507220786217115</v>
      </c>
      <c r="DF30" s="276">
        <v>1.5725160758440311</v>
      </c>
      <c r="DG30" s="276">
        <v>1.6382579492715861</v>
      </c>
      <c r="DH30" s="276">
        <v>1.7043746441151919</v>
      </c>
      <c r="DI30" s="276">
        <v>1.7707669605948591</v>
      </c>
      <c r="DJ30" s="276">
        <v>1.8373133502644301</v>
      </c>
      <c r="DK30" s="276">
        <v>1.903887726549071</v>
      </c>
      <c r="DL30" s="276">
        <v>1.9703861414776851</v>
      </c>
      <c r="DM30" s="276">
        <v>2.036741475620901</v>
      </c>
      <c r="DN30" s="276">
        <v>2.102911293745227</v>
      </c>
      <c r="DO30" s="276">
        <v>2.1688538169641012</v>
      </c>
      <c r="DP30" s="276">
        <v>2.2345129243958102</v>
      </c>
      <c r="DQ30" s="276">
        <v>2.2998160144047231</v>
      </c>
      <c r="DR30" s="276">
        <v>2.3646791240970568</v>
      </c>
      <c r="DS30" s="276">
        <v>2.429014275411824</v>
      </c>
      <c r="DT30" s="276">
        <v>2.4927364548434841</v>
      </c>
      <c r="DU30" s="276">
        <v>2.5557692121308362</v>
      </c>
      <c r="DV30" s="276">
        <v>2.6180487298057868</v>
      </c>
      <c r="DW30" s="276">
        <v>2.67952662507762</v>
      </c>
      <c r="DX30" s="276">
        <v>2.7401717316638319</v>
      </c>
      <c r="DY30" s="276">
        <v>2.7999708717580298</v>
      </c>
      <c r="DZ30" s="276">
        <v>2.858928530312133</v>
      </c>
      <c r="EA30" s="276">
        <v>2.9170655036868678</v>
      </c>
      <c r="EB30" s="276">
        <v>2.9744168162852258</v>
      </c>
      <c r="EC30" s="276">
        <v>3.031029290237921</v>
      </c>
      <c r="ED30" s="276">
        <v>3.086959096335038</v>
      </c>
      <c r="EE30" s="276">
        <v>3.142269484872442</v>
      </c>
      <c r="EF30" s="276">
        <v>3.1970287606652632</v>
      </c>
      <c r="EG30" s="276">
        <v>3.2513084583006</v>
      </c>
      <c r="EH30" s="276">
        <v>3.3051815981527222</v>
      </c>
      <c r="EI30" s="276">
        <v>3.358720859283153</v>
      </c>
      <c r="EJ30" s="276">
        <v>3.4119964936142111</v>
      </c>
      <c r="EK30" s="276">
        <v>3.4650738355376718</v>
      </c>
      <c r="EL30" s="276">
        <v>3.5180103459778822</v>
      </c>
      <c r="EM30" s="276">
        <v>3.5708522771179401</v>
      </c>
      <c r="EN30" s="276">
        <v>3.6236312360783538</v>
      </c>
      <c r="EO30" s="276">
        <v>3.6763611055324299</v>
      </c>
      <c r="EP30" s="276">
        <v>3.7290358579048428</v>
      </c>
      <c r="EQ30" s="276">
        <v>3.781628703049392</v>
      </c>
      <c r="ER30" s="276">
        <v>3.834092738858303</v>
      </c>
      <c r="ES30" s="276">
        <v>3.8863629306056322</v>
      </c>
      <c r="ET30" s="276">
        <v>3.9383589745258059</v>
      </c>
      <c r="EU30" s="276">
        <v>3.989988504746667</v>
      </c>
      <c r="EV30" s="276">
        <v>4.0411501821369473</v>
      </c>
      <c r="EW30" s="276">
        <v>4.0917363848145332</v>
      </c>
      <c r="EX30" s="276">
        <v>4.1416354148023453</v>
      </c>
      <c r="EY30" s="276">
        <v>4.1907332869671059</v>
      </c>
      <c r="EZ30" s="276">
        <v>4.2389152583013807</v>
      </c>
      <c r="FA30" s="276">
        <v>4.2860672960021304</v>
      </c>
      <c r="FB30" s="276">
        <v>4.3320776861973913</v>
      </c>
      <c r="FC30" s="276">
        <v>4.3768389611590388</v>
      </c>
      <c r="FD30" s="276">
        <v>4.4202502729293149</v>
      </c>
      <c r="FE30" s="276">
        <v>4.4622202617607654</v>
      </c>
      <c r="FF30" s="276">
        <v>4.5026703564336632</v>
      </c>
      <c r="FG30" s="276">
        <v>4.5415383084496863</v>
      </c>
      <c r="FH30" s="276">
        <v>4.5787816285302032</v>
      </c>
      <c r="FI30" s="276">
        <v>4.6143805031274496</v>
      </c>
      <c r="FJ30" s="272">
        <v>4.6483397646758569</v>
      </c>
      <c r="FK30" s="272">
        <v>4.6806895953978964</v>
      </c>
      <c r="FL30" s="272">
        <v>4.7114848440219426</v>
      </c>
      <c r="FM30" s="272">
        <v>4.7408030710374511</v>
      </c>
      <c r="FN30" s="272">
        <v>4.7687416375132088</v>
      </c>
      <c r="FO30" s="272">
        <v>4.7954142583819612</v>
      </c>
      <c r="FP30" s="272">
        <v>4.820947437007959</v>
      </c>
      <c r="FQ30" s="272">
        <v>4.8454771074390077</v>
      </c>
      <c r="FR30" s="272">
        <v>4.8691456783803737</v>
      </c>
      <c r="FS30" s="272">
        <v>4.8920995406813947</v>
      </c>
      <c r="FT30" s="272">
        <v>4.9144869941181257</v>
      </c>
      <c r="FU30" s="272">
        <v>4.9364564784301539</v>
      </c>
      <c r="FV30" s="272">
        <v>4.9581549560114606</v>
      </c>
      <c r="FW30" s="272">
        <v>4.9797262842877323</v>
      </c>
      <c r="FX30" s="272">
        <v>5.00130943180549</v>
      </c>
      <c r="FY30" s="272">
        <v>5.0230364348773806</v>
      </c>
      <c r="FZ30" s="272">
        <v>5.0450300656932869</v>
      </c>
      <c r="GA30" s="272">
        <v>5.0674012904983314</v>
      </c>
      <c r="GB30" s="272">
        <v>5.0902467288774016</v>
      </c>
      <c r="GC30" s="272">
        <v>5.1136464505877646</v>
      </c>
    </row>
    <row r="31" spans="2:185" ht="15" thickBot="1" x14ac:dyDescent="0.4">
      <c r="B31" s="298">
        <v>25</v>
      </c>
      <c r="C31" s="275">
        <v>0.9200590185540668</v>
      </c>
      <c r="D31" s="275">
        <v>0.96137273129484979</v>
      </c>
      <c r="E31" s="275">
        <v>1.002830783222757</v>
      </c>
      <c r="F31" s="275">
        <v>1.044442541041539</v>
      </c>
      <c r="G31" s="275">
        <v>1.0862184439307909</v>
      </c>
      <c r="H31" s="275">
        <v>1.1281701857184441</v>
      </c>
      <c r="I31" s="275">
        <v>1.1703109395466671</v>
      </c>
      <c r="J31" s="275">
        <v>1.212655638231942</v>
      </c>
      <c r="K31" s="275">
        <v>1.2552213287878411</v>
      </c>
      <c r="L31" s="275">
        <v>1.2980276273660381</v>
      </c>
      <c r="M31" s="275">
        <v>1.3410973124753389</v>
      </c>
      <c r="N31" s="275">
        <v>1.3844571116302149</v>
      </c>
      <c r="O31" s="275">
        <v>1.4281387619265491</v>
      </c>
      <c r="P31" s="275">
        <v>1.4721804602417401</v>
      </c>
      <c r="Q31" s="275">
        <v>1.516628860195975</v>
      </c>
      <c r="R31" s="275">
        <v>1.5615417935672049</v>
      </c>
      <c r="S31" s="275">
        <v>1.6069917810293759</v>
      </c>
      <c r="T31" s="275">
        <v>1.6530697639218339</v>
      </c>
      <c r="U31" s="275">
        <v>1.6998862468092131</v>
      </c>
      <c r="V31" s="275">
        <v>1.747561419997864</v>
      </c>
      <c r="W31" s="275">
        <v>1.796189906061517</v>
      </c>
      <c r="X31" s="275">
        <v>1.8457819206522119</v>
      </c>
      <c r="Y31" s="275">
        <v>1.896230460530568</v>
      </c>
      <c r="Z31" s="275">
        <v>1.9473455593240661</v>
      </c>
      <c r="AA31" s="275">
        <v>1.9989145926293159</v>
      </c>
      <c r="AB31" s="275">
        <v>2.0507390141285242</v>
      </c>
      <c r="AC31" s="275">
        <v>2.1026456696965159</v>
      </c>
      <c r="AD31" s="275">
        <v>2.154486897376763</v>
      </c>
      <c r="AE31" s="275">
        <v>2.2061376081858022</v>
      </c>
      <c r="AF31" s="275">
        <v>2.2574919143738899</v>
      </c>
      <c r="AG31" s="275">
        <v>2.3084598379249561</v>
      </c>
      <c r="AH31" s="275">
        <v>2.3589644405263348</v>
      </c>
      <c r="AI31" s="275">
        <v>2.4089399079321829</v>
      </c>
      <c r="AJ31" s="275">
        <v>2.4583308099487389</v>
      </c>
      <c r="AK31" s="275">
        <v>2.507092054197817</v>
      </c>
      <c r="AL31" s="275">
        <v>2.55518875574462</v>
      </c>
      <c r="AM31" s="275">
        <v>2.602595576482118</v>
      </c>
      <c r="AN31" s="275">
        <v>2.649295549903099</v>
      </c>
      <c r="AO31" s="275">
        <v>2.6952786301579241</v>
      </c>
      <c r="AP31" s="275">
        <v>2.7405402082444859</v>
      </c>
      <c r="AQ31" s="275">
        <v>2.7850797591391951</v>
      </c>
      <c r="AR31" s="275">
        <v>2.828899703753323</v>
      </c>
      <c r="AS31" s="275">
        <v>2.8720045126717908</v>
      </c>
      <c r="AT31" s="275">
        <v>2.914400043604374</v>
      </c>
      <c r="AU31" s="275">
        <v>2.9560930845249889</v>
      </c>
      <c r="AV31" s="275">
        <v>2.9970910636463719</v>
      </c>
      <c r="AW31" s="275">
        <v>3.0374018821934419</v>
      </c>
      <c r="AX31" s="275">
        <v>3.0770338254338729</v>
      </c>
      <c r="AY31" s="275">
        <v>3.1159955123619971</v>
      </c>
      <c r="AZ31" s="275">
        <v>3.154295855476656</v>
      </c>
      <c r="BA31" s="275">
        <v>3.1919440173085438</v>
      </c>
      <c r="BB31" s="275">
        <v>3.2289493639657452</v>
      </c>
      <c r="BC31" s="275">
        <v>3.2653214209532262</v>
      </c>
      <c r="BD31" s="275">
        <v>3.30106983048179</v>
      </c>
      <c r="BE31" s="275">
        <v>3.3362042981767051</v>
      </c>
      <c r="BF31" s="275">
        <v>3.37073451048491</v>
      </c>
      <c r="BG31" s="275">
        <v>3.404670008011442</v>
      </c>
      <c r="BH31" s="275">
        <v>3.4380200122914362</v>
      </c>
      <c r="BI31" s="275">
        <v>3.4707932174759519</v>
      </c>
      <c r="BJ31" s="275">
        <v>3.502997568941197</v>
      </c>
      <c r="BK31" s="275">
        <v>3.53464005697955</v>
      </c>
      <c r="BL31" s="275">
        <v>3.5657265575996488</v>
      </c>
      <c r="BM31" s="275">
        <v>3.5962617567077579</v>
      </c>
      <c r="BN31" s="275">
        <v>3.6262491998064461</v>
      </c>
      <c r="BO31" s="275">
        <v>3.6556915155039409</v>
      </c>
      <c r="BP31" s="275">
        <v>3.6845908630506612</v>
      </c>
      <c r="BQ31" s="275">
        <v>3.71294964414784</v>
      </c>
      <c r="BR31" s="275">
        <v>3.7407714884537051</v>
      </c>
      <c r="BS31" s="275">
        <v>3.768062465275146</v>
      </c>
      <c r="BT31" s="275">
        <v>3.7948323971371209</v>
      </c>
      <c r="BU31" s="275">
        <v>3.821096078221851</v>
      </c>
      <c r="BV31" s="275">
        <v>3.846874169562414</v>
      </c>
      <c r="BW31" s="275">
        <v>3.8721935847000251</v>
      </c>
      <c r="BX31" s="275">
        <v>3.897087293549645</v>
      </c>
      <c r="BY31" s="275">
        <v>3.9215936165663599</v>
      </c>
      <c r="BZ31" s="275">
        <v>3.9457551949474232</v>
      </c>
      <c r="CA31" s="275">
        <v>3.9696178635733022</v>
      </c>
      <c r="CB31" s="275">
        <v>3.99322962081476</v>
      </c>
      <c r="CC31" s="275">
        <v>4.0166398142973554</v>
      </c>
      <c r="CD31" s="275">
        <v>4.0398985813311894</v>
      </c>
      <c r="CE31" s="275">
        <v>4.0630565203862608</v>
      </c>
      <c r="CF31" s="275">
        <v>4.0861645312711063</v>
      </c>
      <c r="CG31" s="275">
        <v>4.109273740527323</v>
      </c>
      <c r="CH31" s="275">
        <v>4.132435415625296</v>
      </c>
      <c r="CI31" s="275">
        <v>4.1557007601063001</v>
      </c>
      <c r="CJ31" s="275">
        <v>4.1791204715288668</v>
      </c>
      <c r="CK31" s="275">
        <v>4.2027439439001313</v>
      </c>
      <c r="CL31" s="275">
        <v>4.2266180258777108</v>
      </c>
      <c r="CM31" s="275">
        <v>4.2507853309973509</v>
      </c>
      <c r="CN31" s="275">
        <v>4.2752822494603224</v>
      </c>
      <c r="CO31" s="275">
        <v>4.3001370010748854</v>
      </c>
      <c r="CP31" s="275"/>
      <c r="CQ31" s="276">
        <v>0.42012274552031847</v>
      </c>
      <c r="CR31" s="276">
        <v>0.47915925926292768</v>
      </c>
      <c r="CS31" s="276">
        <v>0.53854116672003016</v>
      </c>
      <c r="CT31" s="276">
        <v>0.59828596332407091</v>
      </c>
      <c r="CU31" s="276">
        <v>0.65841181665696435</v>
      </c>
      <c r="CV31" s="276">
        <v>0.71893739024952996</v>
      </c>
      <c r="CW31" s="276">
        <v>0.7798815712435605</v>
      </c>
      <c r="CX31" s="276">
        <v>0.84126306753271951</v>
      </c>
      <c r="CY31" s="276">
        <v>0.90309982982653914</v>
      </c>
      <c r="CZ31" s="276">
        <v>0.96540824171203532</v>
      </c>
      <c r="DA31" s="276">
        <v>1.028202006099167</v>
      </c>
      <c r="DB31" s="276">
        <v>1.0914906393785411</v>
      </c>
      <c r="DC31" s="276">
        <v>1.1552774650581159</v>
      </c>
      <c r="DD31" s="276">
        <v>1.2195569761352869</v>
      </c>
      <c r="DE31" s="276">
        <v>1.284311409663152</v>
      </c>
      <c r="DF31" s="276">
        <v>1.349506352996837</v>
      </c>
      <c r="DG31" s="276">
        <v>1.4150852190761769</v>
      </c>
      <c r="DH31" s="276">
        <v>1.4809626933285931</v>
      </c>
      <c r="DI31" s="276">
        <v>1.547018615118757</v>
      </c>
      <c r="DJ31" s="276">
        <v>1.613098701348616</v>
      </c>
      <c r="DK31" s="276">
        <v>1.679038328655071</v>
      </c>
      <c r="DL31" s="276">
        <v>1.744717677256461</v>
      </c>
      <c r="DM31" s="276">
        <v>1.810098067809998</v>
      </c>
      <c r="DN31" s="276">
        <v>1.8751882626008489</v>
      </c>
      <c r="DO31" s="276">
        <v>1.9399920191013651</v>
      </c>
      <c r="DP31" s="276">
        <v>2.0044870840028448</v>
      </c>
      <c r="DQ31" s="276">
        <v>2.068627261280938</v>
      </c>
      <c r="DR31" s="276">
        <v>2.1323511495739051</v>
      </c>
      <c r="DS31" s="276">
        <v>2.195590814003487</v>
      </c>
      <c r="DT31" s="276">
        <v>2.2582785496234958</v>
      </c>
      <c r="DU31" s="276">
        <v>2.3203514726197692</v>
      </c>
      <c r="DV31" s="276">
        <v>2.381754493896254</v>
      </c>
      <c r="DW31" s="276">
        <v>2.442442684809933</v>
      </c>
      <c r="DX31" s="276">
        <v>2.5023836563142572</v>
      </c>
      <c r="DY31" s="276">
        <v>2.561559639889599</v>
      </c>
      <c r="DZ31" s="276">
        <v>2.619968572272207</v>
      </c>
      <c r="EA31" s="276">
        <v>2.6776239047875912</v>
      </c>
      <c r="EB31" s="276">
        <v>2.7345533952750261</v>
      </c>
      <c r="EC31" s="276">
        <v>2.7907973442805338</v>
      </c>
      <c r="ED31" s="276">
        <v>2.846406669119502</v>
      </c>
      <c r="EE31" s="276">
        <v>2.9014410517089351</v>
      </c>
      <c r="EF31" s="276">
        <v>2.9559672454191368</v>
      </c>
      <c r="EG31" s="276">
        <v>3.0100575058678869</v>
      </c>
      <c r="EH31" s="276">
        <v>3.0637880170672038</v>
      </c>
      <c r="EI31" s="276">
        <v>3.1172371127880911</v>
      </c>
      <c r="EJ31" s="276">
        <v>3.1704830485292179</v>
      </c>
      <c r="EK31" s="276">
        <v>3.2236010828302919</v>
      </c>
      <c r="EL31" s="276">
        <v>3.2766597135877711</v>
      </c>
      <c r="EM31" s="276">
        <v>3.329716120890553</v>
      </c>
      <c r="EN31" s="276">
        <v>3.3828111906101652</v>
      </c>
      <c r="EO31" s="276">
        <v>3.4359648463172419</v>
      </c>
      <c r="EP31" s="276">
        <v>3.4891726226108699</v>
      </c>
      <c r="EQ31" s="276">
        <v>3.5424042868656458</v>
      </c>
      <c r="ER31" s="276">
        <v>3.5956048273534642</v>
      </c>
      <c r="ES31" s="276">
        <v>3.6486974771025009</v>
      </c>
      <c r="ET31" s="276">
        <v>3.7015879542739669</v>
      </c>
      <c r="EU31" s="276">
        <v>3.7541689749501712</v>
      </c>
      <c r="EV31" s="276">
        <v>3.8063243022247728</v>
      </c>
      <c r="EW31" s="276">
        <v>3.85793195351261</v>
      </c>
      <c r="EX31" s="276">
        <v>3.9088665189433831</v>
      </c>
      <c r="EY31" s="276">
        <v>3.9590007630781212</v>
      </c>
      <c r="EZ31" s="276">
        <v>4.0082067898766001</v>
      </c>
      <c r="FA31" s="276">
        <v>4.0563570839079386</v>
      </c>
      <c r="FB31" s="276">
        <v>4.1033257353261261</v>
      </c>
      <c r="FC31" s="276">
        <v>4.1489901304187891</v>
      </c>
      <c r="FD31" s="276">
        <v>4.1932333418044454</v>
      </c>
      <c r="FE31" s="276">
        <v>4.2359473656885109</v>
      </c>
      <c r="FF31" s="276">
        <v>4.2770372064242279</v>
      </c>
      <c r="FG31" s="276">
        <v>4.3164255923587982</v>
      </c>
      <c r="FH31" s="276">
        <v>4.3540578486219301</v>
      </c>
      <c r="FI31" s="276">
        <v>4.3899062293978712</v>
      </c>
      <c r="FJ31" s="272">
        <v>4.4239729355253541</v>
      </c>
      <c r="FK31" s="272">
        <v>4.4562911995437018</v>
      </c>
      <c r="FL31" s="272">
        <v>4.4869241990499118</v>
      </c>
      <c r="FM31" s="272">
        <v>4.5159620302793799</v>
      </c>
      <c r="FN31" s="272">
        <v>4.543517352252084</v>
      </c>
      <c r="FO31" s="272">
        <v>4.5697204675493923</v>
      </c>
      <c r="FP31" s="272">
        <v>4.5947145285090683</v>
      </c>
      <c r="FQ31" s="272">
        <v>4.6186513342914424</v>
      </c>
      <c r="FR31" s="272">
        <v>4.6416879267870792</v>
      </c>
      <c r="FS31" s="272">
        <v>4.6639839801113236</v>
      </c>
      <c r="FT31" s="272">
        <v>4.685699838217257</v>
      </c>
      <c r="FU31" s="272">
        <v>4.7069949815784966</v>
      </c>
      <c r="FV31" s="272">
        <v>4.728026677585361</v>
      </c>
      <c r="FW31" s="272">
        <v>4.7489485739891384</v>
      </c>
      <c r="FX31" s="272">
        <v>4.7699090246194791</v>
      </c>
      <c r="FY31" s="272">
        <v>4.791048996934502</v>
      </c>
      <c r="FZ31" s="272">
        <v>4.8124995129408674</v>
      </c>
      <c r="GA31" s="272">
        <v>4.8343787245447691</v>
      </c>
      <c r="GB31" s="272">
        <v>4.8567889057763196</v>
      </c>
      <c r="GC31" s="272">
        <v>4.879813807211228</v>
      </c>
    </row>
    <row r="32" spans="2:185" ht="15" thickBot="1" x14ac:dyDescent="0.4">
      <c r="B32" s="298">
        <v>26</v>
      </c>
      <c r="C32" s="275">
        <v>0.69731120052108875</v>
      </c>
      <c r="D32" s="275">
        <v>0.73843693374384467</v>
      </c>
      <c r="E32" s="275">
        <v>0.77969909360176992</v>
      </c>
      <c r="F32" s="275">
        <v>0.82110645652292213</v>
      </c>
      <c r="G32" s="275">
        <v>0.86266879805275976</v>
      </c>
      <c r="H32" s="275">
        <v>0.90439706183196</v>
      </c>
      <c r="I32" s="275">
        <v>0.94630356827256901</v>
      </c>
      <c r="J32" s="275">
        <v>0.98840227562872507</v>
      </c>
      <c r="K32" s="275">
        <v>1.030709111513713</v>
      </c>
      <c r="L32" s="275">
        <v>1.073242401090343</v>
      </c>
      <c r="M32" s="275">
        <v>1.116023430916145</v>
      </c>
      <c r="N32" s="275">
        <v>1.1590772077820799</v>
      </c>
      <c r="O32" s="275">
        <v>1.202433505134503</v>
      </c>
      <c r="P32" s="275">
        <v>1.2461283451616521</v>
      </c>
      <c r="Q32" s="275">
        <v>1.2902061585312521</v>
      </c>
      <c r="R32" s="275">
        <v>1.334723020831335</v>
      </c>
      <c r="S32" s="275">
        <v>1.3797516022135681</v>
      </c>
      <c r="T32" s="275">
        <v>1.4253886582596551</v>
      </c>
      <c r="U32" s="275">
        <v>1.4717649726213391</v>
      </c>
      <c r="V32" s="275">
        <v>1.5190502104000241</v>
      </c>
      <c r="W32" s="275">
        <v>1.5674179609346139</v>
      </c>
      <c r="X32" s="275">
        <v>1.6169263197184951</v>
      </c>
      <c r="Y32" s="275">
        <v>1.6674272119241491</v>
      </c>
      <c r="Z32" s="275">
        <v>1.718658542062278</v>
      </c>
      <c r="AA32" s="275">
        <v>1.770365104695246</v>
      </c>
      <c r="AB32" s="275">
        <v>1.822335049632426</v>
      </c>
      <c r="AC32" s="275">
        <v>1.8743964915230531</v>
      </c>
      <c r="AD32" s="275">
        <v>1.926408817706126</v>
      </c>
      <c r="AE32" s="275">
        <v>1.978255900755487</v>
      </c>
      <c r="AF32" s="275">
        <v>2.0298408270713861</v>
      </c>
      <c r="AG32" s="275">
        <v>2.0810810454693729</v>
      </c>
      <c r="AH32" s="275">
        <v>2.131903984277697</v>
      </c>
      <c r="AI32" s="275">
        <v>2.182244456167266</v>
      </c>
      <c r="AJ32" s="275">
        <v>2.2320446424587268</v>
      </c>
      <c r="AK32" s="275">
        <v>2.2812554884107761</v>
      </c>
      <c r="AL32" s="275">
        <v>2.3298377127300798</v>
      </c>
      <c r="AM32" s="275">
        <v>2.3777617025958042</v>
      </c>
      <c r="AN32" s="275">
        <v>2.425006541063004</v>
      </c>
      <c r="AO32" s="275">
        <v>2.4715586391311311</v>
      </c>
      <c r="AP32" s="275">
        <v>2.5174103120622799</v>
      </c>
      <c r="AQ32" s="275">
        <v>2.562558479745463</v>
      </c>
      <c r="AR32" s="275">
        <v>2.6070035676278058</v>
      </c>
      <c r="AS32" s="275">
        <v>2.6507486277542078</v>
      </c>
      <c r="AT32" s="275">
        <v>2.6937986685085749</v>
      </c>
      <c r="AU32" s="275">
        <v>2.736160163818385</v>
      </c>
      <c r="AV32" s="275">
        <v>2.7778407014185298</v>
      </c>
      <c r="AW32" s="275">
        <v>2.818848723120492</v>
      </c>
      <c r="AX32" s="275">
        <v>2.8591933090608581</v>
      </c>
      <c r="AY32" s="275">
        <v>2.8988839660866792</v>
      </c>
      <c r="AZ32" s="275">
        <v>2.93793040071361</v>
      </c>
      <c r="BA32" s="275">
        <v>2.9763422864968341</v>
      </c>
      <c r="BB32" s="275">
        <v>3.014129061093151</v>
      </c>
      <c r="BC32" s="275">
        <v>3.0512997914720699</v>
      </c>
      <c r="BD32" s="275">
        <v>3.0878631192477601</v>
      </c>
      <c r="BE32" s="275">
        <v>3.123827257457839</v>
      </c>
      <c r="BF32" s="275">
        <v>3.159199983225581</v>
      </c>
      <c r="BG32" s="275">
        <v>3.1939885732733431</v>
      </c>
      <c r="BH32" s="275">
        <v>3.2281996541542251</v>
      </c>
      <c r="BI32" s="275">
        <v>3.2618389686627971</v>
      </c>
      <c r="BJ32" s="275">
        <v>3.294911082062248</v>
      </c>
      <c r="BK32" s="275">
        <v>3.3274190649819571</v>
      </c>
      <c r="BL32" s="275">
        <v>3.3593641989220879</v>
      </c>
      <c r="BM32" s="275">
        <v>3.3907457609015612</v>
      </c>
      <c r="BN32" s="275">
        <v>3.4215609590275422</v>
      </c>
      <c r="BO32" s="275">
        <v>3.451805109425186</v>
      </c>
      <c r="BP32" s="275">
        <v>3.4814721598206879</v>
      </c>
      <c r="BQ32" s="275">
        <v>3.5105556614950229</v>
      </c>
      <c r="BR32" s="275">
        <v>3.5390502486077011</v>
      </c>
      <c r="BS32" s="275">
        <v>3.5669535836685391</v>
      </c>
      <c r="BT32" s="275">
        <v>3.5942685724805892</v>
      </c>
      <c r="BU32" s="275">
        <v>3.6210054848939039</v>
      </c>
      <c r="BV32" s="275">
        <v>3.647183524783439</v>
      </c>
      <c r="BW32" s="275">
        <v>3.6728314581598029</v>
      </c>
      <c r="BX32" s="275">
        <v>3.697987143666932</v>
      </c>
      <c r="BY32" s="275">
        <v>3.722696118946812</v>
      </c>
      <c r="BZ32" s="275">
        <v>3.7470096312151511</v>
      </c>
      <c r="CA32" s="275">
        <v>3.7709825648732891</v>
      </c>
      <c r="CB32" s="275">
        <v>3.7946716244061038</v>
      </c>
      <c r="CC32" s="275">
        <v>3.818133961396676</v>
      </c>
      <c r="CD32" s="275">
        <v>3.8414262756240669</v>
      </c>
      <c r="CE32" s="275">
        <v>3.8646043154229051</v>
      </c>
      <c r="CF32" s="275">
        <v>3.887722653961561</v>
      </c>
      <c r="CG32" s="275">
        <v>3.9108346077062932</v>
      </c>
      <c r="CH32" s="275">
        <v>3.9339921712775441</v>
      </c>
      <c r="CI32" s="275">
        <v>3.957245856705828</v>
      </c>
      <c r="CJ32" s="275">
        <v>3.9806443415737318</v>
      </c>
      <c r="CK32" s="275">
        <v>4.0042338545612379</v>
      </c>
      <c r="CL32" s="275">
        <v>4.0280572683797651</v>
      </c>
      <c r="CM32" s="275">
        <v>4.0521529378242347</v>
      </c>
      <c r="CN32" s="275">
        <v>4.0765534123199059</v>
      </c>
      <c r="CO32" s="275">
        <v>4.1012842438146704</v>
      </c>
      <c r="CP32" s="275"/>
      <c r="CQ32" s="276">
        <v>0.19579945458829709</v>
      </c>
      <c r="CR32" s="276">
        <v>0.25495845588153832</v>
      </c>
      <c r="CS32" s="276">
        <v>0.31446200790213941</v>
      </c>
      <c r="CT32" s="276">
        <v>0.37432637660159362</v>
      </c>
      <c r="CU32" s="276">
        <v>0.43456820438660698</v>
      </c>
      <c r="CV32" s="276">
        <v>0.49520428199198491</v>
      </c>
      <c r="CW32" s="276">
        <v>0.556251221167676</v>
      </c>
      <c r="CX32" s="276">
        <v>0.61772499716900975</v>
      </c>
      <c r="CY32" s="276">
        <v>0.67964032216429282</v>
      </c>
      <c r="CZ32" s="276">
        <v>0.74200980140396244</v>
      </c>
      <c r="DA32" s="276">
        <v>0.80484281314017392</v>
      </c>
      <c r="DB32" s="276">
        <v>0.86814404027007108</v>
      </c>
      <c r="DC32" s="276">
        <v>0.93191156475964232</v>
      </c>
      <c r="DD32" s="276">
        <v>0.99613441034716765</v>
      </c>
      <c r="DE32" s="276">
        <v>1.060789373010443</v>
      </c>
      <c r="DF32" s="276">
        <v>1.125836884805459</v>
      </c>
      <c r="DG32" s="276">
        <v>1.191215457477339</v>
      </c>
      <c r="DH32" s="276">
        <v>1.2568338634421199</v>
      </c>
      <c r="DI32" s="276">
        <v>1.322559817668266</v>
      </c>
      <c r="DJ32" s="276">
        <v>1.3882067422558231</v>
      </c>
      <c r="DK32" s="276">
        <v>1.4535454306331861</v>
      </c>
      <c r="DL32" s="276">
        <v>1.518414421999376</v>
      </c>
      <c r="DM32" s="276">
        <v>1.582828504325607</v>
      </c>
      <c r="DN32" s="276">
        <v>1.64687284574265</v>
      </c>
      <c r="DO32" s="276">
        <v>1.710595295825369</v>
      </c>
      <c r="DP32" s="276">
        <v>1.773997448529687</v>
      </c>
      <c r="DQ32" s="276">
        <v>1.83705059362764</v>
      </c>
      <c r="DR32" s="276">
        <v>1.899709541063016</v>
      </c>
      <c r="DS32" s="276">
        <v>1.961922318311103</v>
      </c>
      <c r="DT32" s="276">
        <v>2.0236363353760272</v>
      </c>
      <c r="DU32" s="276">
        <v>2.084801393145491</v>
      </c>
      <c r="DV32" s="276">
        <v>2.1453706853755228</v>
      </c>
      <c r="DW32" s="276">
        <v>2.2053021701426729</v>
      </c>
      <c r="DX32" s="276">
        <v>2.2645618098284142</v>
      </c>
      <c r="DY32" s="276">
        <v>2.3231274839280061</v>
      </c>
      <c r="DZ32" s="276">
        <v>2.3809915711636518</v>
      </c>
      <c r="EA32" s="276">
        <v>2.4381616062082672</v>
      </c>
      <c r="EB32" s="276">
        <v>2.4946595672590282</v>
      </c>
      <c r="EC32" s="276">
        <v>2.5505205139335598</v>
      </c>
      <c r="ED32" s="276">
        <v>2.6057910571206642</v>
      </c>
      <c r="EE32" s="276">
        <v>2.660527903149799</v>
      </c>
      <c r="EF32" s="276">
        <v>2.714796548163473</v>
      </c>
      <c r="EG32" s="276">
        <v>2.768670078811053</v>
      </c>
      <c r="EH32" s="276">
        <v>2.822227933373521</v>
      </c>
      <c r="EI32" s="276">
        <v>2.8755543787905342</v>
      </c>
      <c r="EJ32" s="276">
        <v>2.928736367698118</v>
      </c>
      <c r="EK32" s="276">
        <v>2.9818603860245219</v>
      </c>
      <c r="EL32" s="276">
        <v>3.035007952320143</v>
      </c>
      <c r="EM32" s="276">
        <v>3.0882496777596602</v>
      </c>
      <c r="EN32" s="276">
        <v>3.141638300436723</v>
      </c>
      <c r="EO32" s="276">
        <v>3.1952017770629881</v>
      </c>
      <c r="EP32" s="276">
        <v>3.2489380173465472</v>
      </c>
      <c r="EQ32" s="276">
        <v>3.302812739716356</v>
      </c>
      <c r="ER32" s="276">
        <v>3.3567610534819021</v>
      </c>
      <c r="ES32" s="276">
        <v>3.410692142131774</v>
      </c>
      <c r="ET32" s="276">
        <v>3.4644955495132739</v>
      </c>
      <c r="EU32" s="276">
        <v>3.518047465657431</v>
      </c>
      <c r="EV32" s="276">
        <v>3.5712159146834339</v>
      </c>
      <c r="EW32" s="276">
        <v>3.6238644235258191</v>
      </c>
      <c r="EX32" s="276">
        <v>3.675854267178051</v>
      </c>
      <c r="EY32" s="276">
        <v>3.7270456545194111</v>
      </c>
      <c r="EZ32" s="276">
        <v>3.7772983018091719</v>
      </c>
      <c r="FA32" s="276">
        <v>3.8264718347042632</v>
      </c>
      <c r="FB32" s="276">
        <v>3.8744264316219672</v>
      </c>
      <c r="FC32" s="276">
        <v>3.9210240977340001</v>
      </c>
      <c r="FD32" s="276">
        <v>3.9661309306009231</v>
      </c>
      <c r="FE32" s="276">
        <v>4.0096206681712747</v>
      </c>
      <c r="FF32" s="276">
        <v>4.0513796432634228</v>
      </c>
      <c r="FG32" s="276">
        <v>4.0913129601476204</v>
      </c>
      <c r="FH32" s="276">
        <v>4.129351269852565</v>
      </c>
      <c r="FI32" s="276">
        <v>4.1654570718545276</v>
      </c>
      <c r="FJ32" s="272">
        <v>4.1996292381443938</v>
      </c>
      <c r="FK32" s="272">
        <v>4.2319046601684418</v>
      </c>
      <c r="FL32" s="272">
        <v>4.2623565829335428</v>
      </c>
      <c r="FM32" s="272">
        <v>4.2910900530966138</v>
      </c>
      <c r="FN32" s="272">
        <v>4.318235571134946</v>
      </c>
      <c r="FO32" s="272">
        <v>4.3439422412225657</v>
      </c>
      <c r="FP32" s="272">
        <v>4.3683714795190234</v>
      </c>
      <c r="FQ32" s="272">
        <v>4.3916918914407423</v>
      </c>
      <c r="FR32" s="272">
        <v>4.4140754891467102</v>
      </c>
      <c r="FS32" s="272">
        <v>4.4356951138265064</v>
      </c>
      <c r="FT32" s="272">
        <v>4.456722767211045</v>
      </c>
      <c r="FU32" s="272">
        <v>4.4773285012103754</v>
      </c>
      <c r="FV32" s="272">
        <v>4.497679514488226</v>
      </c>
      <c r="FW32" s="272">
        <v>4.5179391278942864</v>
      </c>
      <c r="FX32" s="272">
        <v>4.538265348255405</v>
      </c>
      <c r="FY32" s="272">
        <v>4.5588087947852234</v>
      </c>
      <c r="FZ32" s="272">
        <v>4.5797098808633354</v>
      </c>
      <c r="GA32" s="272">
        <v>4.6010953398158954</v>
      </c>
      <c r="GB32" s="272">
        <v>4.6230744485162703</v>
      </c>
      <c r="GC32" s="272">
        <v>4.6457355673483676</v>
      </c>
    </row>
    <row r="33" spans="2:185" ht="15" thickBot="1" x14ac:dyDescent="0.4">
      <c r="B33" s="298">
        <v>27</v>
      </c>
      <c r="C33" s="275">
        <v>0.47488479033095032</v>
      </c>
      <c r="D33" s="275">
        <v>0.51583951401186257</v>
      </c>
      <c r="E33" s="275">
        <v>0.55692412537447877</v>
      </c>
      <c r="F33" s="275">
        <v>0.5981469621151887</v>
      </c>
      <c r="G33" s="275">
        <v>0.63951730842895893</v>
      </c>
      <c r="H33" s="275">
        <v>0.68104555359671837</v>
      </c>
      <c r="I33" s="275">
        <v>0.72274338736714716</v>
      </c>
      <c r="J33" s="275">
        <v>0.76462404374788751</v>
      </c>
      <c r="K33" s="275">
        <v>0.80670260965851215</v>
      </c>
      <c r="L33" s="275">
        <v>0.84899642227099559</v>
      </c>
      <c r="M33" s="275">
        <v>0.89152559039958446</v>
      </c>
      <c r="N33" s="275">
        <v>0.9343136939111103</v>
      </c>
      <c r="O33" s="275">
        <v>0.97738874626561101</v>
      </c>
      <c r="P33" s="275">
        <v>1.020784559783833</v>
      </c>
      <c r="Q33" s="275">
        <v>1.064542753931272</v>
      </c>
      <c r="R33" s="275">
        <v>1.108715845625426</v>
      </c>
      <c r="S33" s="275">
        <v>1.15337228330912</v>
      </c>
      <c r="T33" s="275">
        <v>1.198605253283948</v>
      </c>
      <c r="U33" s="275">
        <v>1.244549312013296</v>
      </c>
      <c r="V33" s="275">
        <v>1.291411604866306</v>
      </c>
      <c r="W33" s="275">
        <v>1.3394911345765761</v>
      </c>
      <c r="X33" s="275">
        <v>1.3889614428059029</v>
      </c>
      <c r="Y33" s="275">
        <v>1.439565291344709</v>
      </c>
      <c r="Z33" s="275">
        <v>1.490921431414943</v>
      </c>
      <c r="AA33" s="275">
        <v>1.5427434002747511</v>
      </c>
      <c r="AB33" s="275">
        <v>1.594821773962676</v>
      </c>
      <c r="AC33" s="275">
        <v>1.6469944914065451</v>
      </c>
      <c r="AD33" s="275">
        <v>1.6991316650069199</v>
      </c>
      <c r="AE33" s="275">
        <v>1.751127741163319</v>
      </c>
      <c r="AF33" s="275">
        <v>1.80289608932349</v>
      </c>
      <c r="AG33" s="275">
        <v>1.854363042063597</v>
      </c>
      <c r="AH33" s="275">
        <v>1.905461050708865</v>
      </c>
      <c r="AI33" s="275">
        <v>1.956124658732922</v>
      </c>
      <c r="AJ33" s="275">
        <v>2.0062921755603762</v>
      </c>
      <c r="AK33" s="275">
        <v>2.055909801899094</v>
      </c>
      <c r="AL33" s="275">
        <v>2.1049339944782091</v>
      </c>
      <c r="AM33" s="275">
        <v>2.153331505334442</v>
      </c>
      <c r="AN33" s="275">
        <v>2.201078226209225</v>
      </c>
      <c r="AO33" s="275">
        <v>2.2481577006431248</v>
      </c>
      <c r="AP33" s="275">
        <v>2.2945596837294722</v>
      </c>
      <c r="AQ33" s="275">
        <v>2.3402788808934161</v>
      </c>
      <c r="AR33" s="275">
        <v>2.3853138997073331</v>
      </c>
      <c r="AS33" s="275">
        <v>2.4296664114477369</v>
      </c>
      <c r="AT33" s="275">
        <v>2.4733405017515202</v>
      </c>
      <c r="AU33" s="275">
        <v>2.5163421781561519</v>
      </c>
      <c r="AV33" s="275">
        <v>2.558678991983387</v>
      </c>
      <c r="AW33" s="275">
        <v>2.6003597226554369</v>
      </c>
      <c r="AX33" s="275">
        <v>2.6413940676031591</v>
      </c>
      <c r="AY33" s="275">
        <v>2.681792288375545</v>
      </c>
      <c r="AZ33" s="275">
        <v>2.721564793238286</v>
      </c>
      <c r="BA33" s="275">
        <v>2.760721689618876</v>
      </c>
      <c r="BB33" s="275">
        <v>2.799272393436802</v>
      </c>
      <c r="BC33" s="275">
        <v>2.8372253923556321</v>
      </c>
      <c r="BD33" s="275">
        <v>2.8745882004593</v>
      </c>
      <c r="BE33" s="275">
        <v>2.9113674470707109</v>
      </c>
      <c r="BF33" s="275">
        <v>2.9475689825788511</v>
      </c>
      <c r="BG33" s="275">
        <v>2.983197893700813</v>
      </c>
      <c r="BH33" s="275">
        <v>3.0182583741638171</v>
      </c>
      <c r="BI33" s="275">
        <v>3.0527534508186269</v>
      </c>
      <c r="BJ33" s="275">
        <v>3.0866845981193172</v>
      </c>
      <c r="BK33" s="275">
        <v>3.1200512886666951</v>
      </c>
      <c r="BL33" s="275">
        <v>3.1528505363582791</v>
      </c>
      <c r="BM33" s="275">
        <v>3.185076502358287</v>
      </c>
      <c r="BN33" s="275">
        <v>3.216720258547543</v>
      </c>
      <c r="BO33" s="275">
        <v>3.2477698385729168</v>
      </c>
      <c r="BP33" s="275">
        <v>3.2782107451099378</v>
      </c>
      <c r="BQ33" s="275">
        <v>3.3080271025008079</v>
      </c>
      <c r="BR33" s="275">
        <v>3.3372036090566439</v>
      </c>
      <c r="BS33" s="275">
        <v>3.3657283066600918</v>
      </c>
      <c r="BT33" s="275">
        <v>3.3935959238395701</v>
      </c>
      <c r="BU33" s="275">
        <v>3.420811217945507</v>
      </c>
      <c r="BV33" s="275">
        <v>3.4473915089756471</v>
      </c>
      <c r="BW33" s="275">
        <v>3.4733676670426452</v>
      </c>
      <c r="BX33" s="275">
        <v>3.498783250404355</v>
      </c>
      <c r="BY33" s="275">
        <v>3.523692093003469</v>
      </c>
      <c r="BZ33" s="275">
        <v>3.548155074867072</v>
      </c>
      <c r="CA33" s="275">
        <v>3.5722368770879012</v>
      </c>
      <c r="CB33" s="275">
        <v>3.5960032883512221</v>
      </c>
      <c r="CC33" s="275">
        <v>3.619519297110342</v>
      </c>
      <c r="CD33" s="275">
        <v>3.6428479390847581</v>
      </c>
      <c r="CE33" s="275">
        <v>3.6660497296304002</v>
      </c>
      <c r="CF33" s="275">
        <v>3.6891824720985462</v>
      </c>
      <c r="CG33" s="275">
        <v>3.7123012511346078</v>
      </c>
      <c r="CH33" s="275">
        <v>3.735458458219282</v>
      </c>
      <c r="CI33" s="275">
        <v>3.7587037373414258</v>
      </c>
      <c r="CJ33" s="275">
        <v>3.7820837768797682</v>
      </c>
      <c r="CK33" s="275">
        <v>3.805641912245882</v>
      </c>
      <c r="CL33" s="275">
        <v>3.8294175467123082</v>
      </c>
      <c r="CM33" s="275">
        <v>3.8534454454516709</v>
      </c>
      <c r="CN33" s="275">
        <v>3.8777550031736858</v>
      </c>
      <c r="CO33" s="275">
        <v>3.9023696153598659</v>
      </c>
      <c r="CP33" s="275"/>
      <c r="CQ33" s="276">
        <v>-2.8646455857260968E-2</v>
      </c>
      <c r="CR33" s="276">
        <v>3.061506080631074E-2</v>
      </c>
      <c r="CS33" s="276">
        <v>9.0217925791149983E-2</v>
      </c>
      <c r="CT33" s="276">
        <v>0.1501769419946295</v>
      </c>
      <c r="CU33" s="276">
        <v>0.2105069891723779</v>
      </c>
      <c r="CV33" s="276">
        <v>0.27122275238027749</v>
      </c>
      <c r="CW33" s="276">
        <v>0.33233835165271369</v>
      </c>
      <c r="CX33" s="276">
        <v>0.39386684596690602</v>
      </c>
      <c r="CY33" s="276">
        <v>0.45581957886991431</v>
      </c>
      <c r="CZ33" s="276">
        <v>0.51820532680009501</v>
      </c>
      <c r="DA33" s="276">
        <v>0.58102920401822056</v>
      </c>
      <c r="DB33" s="276">
        <v>0.64429126963120753</v>
      </c>
      <c r="DC33" s="276">
        <v>0.70798477067645527</v>
      </c>
      <c r="DD33" s="276">
        <v>0.77209393578755003</v>
      </c>
      <c r="DE33" s="276">
        <v>0.83659119416391858</v>
      </c>
      <c r="DF33" s="276">
        <v>0.90143360277104678</v>
      </c>
      <c r="DG33" s="276">
        <v>0.96655803605011359</v>
      </c>
      <c r="DH33" s="276">
        <v>1.0318740744950201</v>
      </c>
      <c r="DI33" s="276">
        <v>1.097251655182498</v>
      </c>
      <c r="DJ33" s="276">
        <v>1.1624942732864421</v>
      </c>
      <c r="DK33" s="276">
        <v>1.227284582164023</v>
      </c>
      <c r="DL33" s="276">
        <v>1.291339164111484</v>
      </c>
      <c r="DM33" s="276">
        <v>1.354805758945443</v>
      </c>
      <c r="DN33" s="276">
        <v>1.417868585683804</v>
      </c>
      <c r="DO33" s="276">
        <v>1.4805961607840481</v>
      </c>
      <c r="DP33" s="276">
        <v>1.5429983490747641</v>
      </c>
      <c r="DQ33" s="276">
        <v>1.6050558564703401</v>
      </c>
      <c r="DR33" s="276">
        <v>1.6667351883948569</v>
      </c>
      <c r="DS33" s="276">
        <v>1.727997867330328</v>
      </c>
      <c r="DT33" s="276">
        <v>1.7888058035576599</v>
      </c>
      <c r="DU33" s="276">
        <v>1.849122294304145</v>
      </c>
      <c r="DV33" s="276">
        <v>1.908909375658435</v>
      </c>
      <c r="DW33" s="276">
        <v>1.9681269463150131</v>
      </c>
      <c r="DX33" s="276">
        <v>2.0267379824805052</v>
      </c>
      <c r="DY33" s="276">
        <v>2.0847157681552111</v>
      </c>
      <c r="DZ33" s="276">
        <v>2.142048038364663</v>
      </c>
      <c r="EA33" s="276">
        <v>2.1987378459341458</v>
      </c>
      <c r="EB33" s="276">
        <v>2.254802821970423</v>
      </c>
      <c r="EC33" s="276">
        <v>2.3102739469247431</v>
      </c>
      <c r="ED33" s="276">
        <v>2.3651943131691922</v>
      </c>
      <c r="EE33" s="276">
        <v>2.419618053675638</v>
      </c>
      <c r="EF33" s="276">
        <v>2.4736094722327771</v>
      </c>
      <c r="EG33" s="276">
        <v>2.5272423186732529</v>
      </c>
      <c r="EH33" s="276">
        <v>2.5805990561294792</v>
      </c>
      <c r="EI33" s="276">
        <v>2.6337698439425492</v>
      </c>
      <c r="EJ33" s="276">
        <v>2.6868508048565962</v>
      </c>
      <c r="EK33" s="276">
        <v>2.739940986105978</v>
      </c>
      <c r="EL33" s="276">
        <v>2.793137354678354</v>
      </c>
      <c r="EM33" s="276">
        <v>2.846527375601323</v>
      </c>
      <c r="EN33" s="276">
        <v>2.9001794348841998</v>
      </c>
      <c r="EO33" s="276">
        <v>2.9541326013943441</v>
      </c>
      <c r="EP33" s="276">
        <v>3.0083884207620768</v>
      </c>
      <c r="EQ33" s="276">
        <v>3.0629075406736961</v>
      </c>
      <c r="ER33" s="276">
        <v>3.117612375935451</v>
      </c>
      <c r="ES33" s="276">
        <v>3.172394577895898</v>
      </c>
      <c r="ET33" s="276">
        <v>3.2271244823481671</v>
      </c>
      <c r="EU33" s="276">
        <v>3.281659817789389</v>
      </c>
      <c r="EV33" s="276">
        <v>3.335852158227838</v>
      </c>
      <c r="EW33" s="276">
        <v>3.3895508446558522</v>
      </c>
      <c r="EX33" s="276">
        <v>3.4426048259173898</v>
      </c>
      <c r="EY33" s="276">
        <v>3.4948631026470811</v>
      </c>
      <c r="EZ33" s="276">
        <v>3.5461744288639512</v>
      </c>
      <c r="FA33" s="276">
        <v>3.5963868287987211</v>
      </c>
      <c r="FB33" s="276">
        <v>3.6453474197669369</v>
      </c>
      <c r="FC33" s="276">
        <v>3.6929030208486031</v>
      </c>
      <c r="FD33" s="276">
        <v>3.7389020502235848</v>
      </c>
      <c r="FE33" s="276">
        <v>3.7831982094477321</v>
      </c>
      <c r="FF33" s="276">
        <v>3.8256563179984751</v>
      </c>
      <c r="FG33" s="276">
        <v>3.8661602744641441</v>
      </c>
      <c r="FH33" s="276">
        <v>3.9046224239715079</v>
      </c>
      <c r="FI33" s="276">
        <v>3.9409927518359371</v>
      </c>
      <c r="FJ33" s="272">
        <v>3.9752657327728769</v>
      </c>
      <c r="FK33" s="272">
        <v>4.0074828713778112</v>
      </c>
      <c r="FL33" s="272">
        <v>4.0377301306567146</v>
      </c>
      <c r="FM33" s="272">
        <v>4.0661310420051304</v>
      </c>
      <c r="FN33" s="272">
        <v>4.0928374504021576</v>
      </c>
      <c r="FO33" s="272">
        <v>4.1180200535562648</v>
      </c>
      <c r="FP33" s="272">
        <v>4.1418603010725494</v>
      </c>
      <c r="FQ33" s="272">
        <v>4.1645443576671326</v>
      </c>
      <c r="FR33" s="272">
        <v>4.1862591353672496</v>
      </c>
      <c r="FS33" s="272">
        <v>4.207190011724756</v>
      </c>
      <c r="FT33" s="272">
        <v>4.2275197190379874</v>
      </c>
      <c r="FU33" s="272">
        <v>4.2474278966254921</v>
      </c>
      <c r="FV33" s="272">
        <v>4.2670908498461948</v>
      </c>
      <c r="FW33" s="272">
        <v>4.286681106119806</v>
      </c>
      <c r="FX33" s="272">
        <v>4.3063663905893756</v>
      </c>
      <c r="FY33" s="272">
        <v>4.326307686979141</v>
      </c>
      <c r="FZ33" s="272">
        <v>4.3466561556345864</v>
      </c>
      <c r="GA33" s="272">
        <v>4.3675489156089684</v>
      </c>
      <c r="GB33" s="272">
        <v>4.3891040911713111</v>
      </c>
      <c r="GC33" s="272">
        <v>4.4114159949947336</v>
      </c>
    </row>
    <row r="34" spans="2:185" ht="15" thickBot="1" x14ac:dyDescent="0.4">
      <c r="B34" s="298">
        <v>28</v>
      </c>
      <c r="C34" s="275">
        <v>0.25280285629872701</v>
      </c>
      <c r="D34" s="275">
        <v>0.29360519065940588</v>
      </c>
      <c r="E34" s="275">
        <v>0.33453244208100757</v>
      </c>
      <c r="F34" s="275">
        <v>0.37559269751725882</v>
      </c>
      <c r="G34" s="275">
        <v>0.41679496843922959</v>
      </c>
      <c r="H34" s="275">
        <v>0.45814934543434299</v>
      </c>
      <c r="I34" s="275">
        <v>0.49966718825787337</v>
      </c>
      <c r="J34" s="275">
        <v>0.54136136225104003</v>
      </c>
      <c r="K34" s="275">
        <v>0.58324653640137303</v>
      </c>
      <c r="L34" s="275">
        <v>0.62533956485178299</v>
      </c>
      <c r="M34" s="275">
        <v>0.66765998368610502</v>
      </c>
      <c r="N34" s="275">
        <v>0.71023067065383749</v>
      </c>
      <c r="O34" s="275">
        <v>0.75307874143943287</v>
      </c>
      <c r="P34" s="275">
        <v>0.79623680055979129</v>
      </c>
      <c r="Q34" s="275">
        <v>0.83974474578413938</v>
      </c>
      <c r="R34" s="275">
        <v>0.88365248319830725</v>
      </c>
      <c r="S34" s="275">
        <v>0.92802425185934667</v>
      </c>
      <c r="T34" s="275">
        <v>0.97294610118443092</v>
      </c>
      <c r="U34" s="275">
        <v>1.01854059643984</v>
      </c>
      <c r="V34" s="275">
        <v>1.065003231336815</v>
      </c>
      <c r="W34" s="275">
        <v>1.1127396956343261</v>
      </c>
      <c r="X34" s="275">
        <v>1.162246944965319</v>
      </c>
      <c r="Y34" s="275">
        <v>1.2129501083196439</v>
      </c>
      <c r="Z34" s="275">
        <v>1.264366958729074</v>
      </c>
      <c r="AA34" s="275">
        <v>1.3162282566503269</v>
      </c>
      <c r="AB34" s="275">
        <v>1.3683419687764291</v>
      </c>
      <c r="AC34" s="275">
        <v>1.4205584559990021</v>
      </c>
      <c r="AD34" s="275">
        <v>1.4727574993403441</v>
      </c>
      <c r="AE34" s="275">
        <v>1.524842513537461</v>
      </c>
      <c r="AF34" s="275">
        <v>1.576736851600548</v>
      </c>
      <c r="AG34" s="275">
        <v>1.628377507907939</v>
      </c>
      <c r="AH34" s="275">
        <v>1.6797030635320791</v>
      </c>
      <c r="AI34" s="275">
        <v>1.7306453259505039</v>
      </c>
      <c r="AJ34" s="275">
        <v>1.7811355683751879</v>
      </c>
      <c r="AK34" s="275">
        <v>1.8311141598215579</v>
      </c>
      <c r="AL34" s="275">
        <v>1.8805337167798231</v>
      </c>
      <c r="AM34" s="275">
        <v>1.929358200701444</v>
      </c>
      <c r="AN34" s="275">
        <v>1.977561094308625</v>
      </c>
      <c r="AO34" s="275">
        <v>2.0251236728752509</v>
      </c>
      <c r="AP34" s="275">
        <v>2.0720335440761568</v>
      </c>
      <c r="AQ34" s="275">
        <v>2.118283446719869</v>
      </c>
      <c r="AR34" s="275">
        <v>2.1638702768656328</v>
      </c>
      <c r="AS34" s="275">
        <v>2.2087943126958889</v>
      </c>
      <c r="AT34" s="275">
        <v>2.2530586103606911</v>
      </c>
      <c r="AU34" s="275">
        <v>2.2966685384261831</v>
      </c>
      <c r="AV34" s="275">
        <v>2.339631408599915</v>
      </c>
      <c r="AW34" s="275">
        <v>2.3819561458436369</v>
      </c>
      <c r="AX34" s="275">
        <v>2.4236529258075241</v>
      </c>
      <c r="AY34" s="275">
        <v>2.4647327043358551</v>
      </c>
      <c r="AZ34" s="275">
        <v>2.5052065969925859</v>
      </c>
      <c r="BA34" s="275">
        <v>2.5450851573243241</v>
      </c>
      <c r="BB34" s="275">
        <v>2.5843777232530121</v>
      </c>
      <c r="BC34" s="275">
        <v>2.6230920468232619</v>
      </c>
      <c r="BD34" s="275">
        <v>2.6612343026620588</v>
      </c>
      <c r="BE34" s="275">
        <v>2.6988093577438952</v>
      </c>
      <c r="BF34" s="275">
        <v>2.7358210648533108</v>
      </c>
      <c r="BG34" s="275">
        <v>2.77227238749603</v>
      </c>
      <c r="BH34" s="275">
        <v>2.8081652845088079</v>
      </c>
      <c r="BI34" s="275">
        <v>2.8435003742895311</v>
      </c>
      <c r="BJ34" s="275">
        <v>2.8782764350316952</v>
      </c>
      <c r="BK34" s="275">
        <v>2.9124898017882641</v>
      </c>
      <c r="BL34" s="275">
        <v>2.946133720929589</v>
      </c>
      <c r="BM34" s="275">
        <v>2.979197734123411</v>
      </c>
      <c r="BN34" s="275">
        <v>3.011667195693303</v>
      </c>
      <c r="BO34" s="275">
        <v>3.0435230825656001</v>
      </c>
      <c r="BP34" s="275">
        <v>3.074742331050424</v>
      </c>
      <c r="BQ34" s="275">
        <v>3.1052990078505909</v>
      </c>
      <c r="BR34" s="275">
        <v>3.1351666386722812</v>
      </c>
      <c r="BS34" s="275">
        <v>3.1643218800509918</v>
      </c>
      <c r="BT34" s="275">
        <v>3.1927493293557969</v>
      </c>
      <c r="BU34" s="275">
        <v>3.2204466465701249</v>
      </c>
      <c r="BV34" s="275">
        <v>3.2474286010969009</v>
      </c>
      <c r="BW34" s="275">
        <v>3.2737286503937191</v>
      </c>
      <c r="BX34" s="275">
        <v>3.2993974531171362</v>
      </c>
      <c r="BY34" s="275">
        <v>3.324498908457207</v>
      </c>
      <c r="BZ34" s="275">
        <v>3.3491051086920578</v>
      </c>
      <c r="CA34" s="275">
        <v>3.3732915844927129</v>
      </c>
      <c r="CB34" s="275">
        <v>3.3971336605638411</v>
      </c>
      <c r="CC34" s="275">
        <v>3.420704115745147</v>
      </c>
      <c r="CD34" s="275">
        <v>3.444071948582494</v>
      </c>
      <c r="CE34" s="275">
        <v>3.467301909123885</v>
      </c>
      <c r="CF34" s="275">
        <v>3.4904544718735702</v>
      </c>
      <c r="CG34" s="275">
        <v>3.5135859982173221</v>
      </c>
      <c r="CH34" s="275">
        <v>3.536748916159834</v>
      </c>
      <c r="CI34" s="275">
        <v>3.5599918125171461</v>
      </c>
      <c r="CJ34" s="275">
        <v>3.5833593873778988</v>
      </c>
      <c r="CK34" s="275">
        <v>3.6068922676551658</v>
      </c>
      <c r="CL34" s="275">
        <v>3.630626718290979</v>
      </c>
      <c r="CM34" s="275">
        <v>3.6545943213608898</v>
      </c>
      <c r="CN34" s="275">
        <v>3.6788217035157822</v>
      </c>
      <c r="CO34" s="275">
        <v>3.7033303723454511</v>
      </c>
      <c r="CP34" s="275"/>
      <c r="CQ34" s="276">
        <v>-0.25324267868101469</v>
      </c>
      <c r="CR34" s="276">
        <v>-0.1938998474296883</v>
      </c>
      <c r="CS34" s="276">
        <v>-0.13422118659316509</v>
      </c>
      <c r="CT34" s="276">
        <v>-7.4193562329744736E-2</v>
      </c>
      <c r="CU34" s="276">
        <v>-1.380406422145254E-2</v>
      </c>
      <c r="CV34" s="276">
        <v>4.6959686289040889E-2</v>
      </c>
      <c r="CW34" s="276">
        <v>0.1081091307875503</v>
      </c>
      <c r="CX34" s="276">
        <v>0.1696542489002093</v>
      </c>
      <c r="CY34" s="276">
        <v>0.23160288616676539</v>
      </c>
      <c r="CZ34" s="276">
        <v>0.29395990315351211</v>
      </c>
      <c r="DA34" s="276">
        <v>0.35672610938939719</v>
      </c>
      <c r="DB34" s="276">
        <v>0.419896939893456</v>
      </c>
      <c r="DC34" s="276">
        <v>0.48346082350956537</v>
      </c>
      <c r="DD34" s="276">
        <v>0.54739717664792487</v>
      </c>
      <c r="DE34" s="276">
        <v>0.61167392300119516</v>
      </c>
      <c r="DF34" s="276">
        <v>0.67624436442828184</v>
      </c>
      <c r="DG34" s="276">
        <v>0.74104304666744181</v>
      </c>
      <c r="DH34" s="276">
        <v>0.80597979156107868</v>
      </c>
      <c r="DI34" s="276">
        <v>0.87092965741008399</v>
      </c>
      <c r="DJ34" s="276">
        <v>0.93571108570387818</v>
      </c>
      <c r="DK34" s="276">
        <v>1.000000000000002</v>
      </c>
      <c r="DL34" s="276">
        <v>1.063246699868045</v>
      </c>
      <c r="DM34" s="276">
        <v>1.1258753967993169</v>
      </c>
      <c r="DN34" s="276">
        <v>1.188087079130979</v>
      </c>
      <c r="DO34" s="276">
        <v>1.2499450561211669</v>
      </c>
      <c r="DP34" s="276">
        <v>1.3114633738968671</v>
      </c>
      <c r="DQ34" s="276">
        <v>1.3726313049732859</v>
      </c>
      <c r="DR34" s="276">
        <v>1.433426179949802</v>
      </c>
      <c r="DS34" s="276">
        <v>1.4938221821795541</v>
      </c>
      <c r="DT34" s="276">
        <v>1.553796324150357</v>
      </c>
      <c r="DU34" s="276">
        <v>1.613328569824102</v>
      </c>
      <c r="DV34" s="276">
        <v>1.6723922286859889</v>
      </c>
      <c r="DW34" s="276">
        <v>1.7309469285666941</v>
      </c>
      <c r="DX34" s="276">
        <v>1.7889497588803109</v>
      </c>
      <c r="DY34" s="276">
        <v>1.8463691939666369</v>
      </c>
      <c r="DZ34" s="276">
        <v>1.903189751503831</v>
      </c>
      <c r="EA34" s="276">
        <v>1.95941169690463</v>
      </c>
      <c r="EB34" s="276">
        <v>2.0150497341289251</v>
      </c>
      <c r="EC34" s="276">
        <v>2.0701317751695592</v>
      </c>
      <c r="ED34" s="276">
        <v>2.1246979758411739</v>
      </c>
      <c r="EE34" s="276">
        <v>2.1788000586892839</v>
      </c>
      <c r="EF34" s="276">
        <v>2.232500911011126</v>
      </c>
      <c r="EG34" s="276">
        <v>2.2858744078042852</v>
      </c>
      <c r="EH34" s="276">
        <v>2.339005332801273</v>
      </c>
      <c r="EI34" s="276">
        <v>2.391989133301883</v>
      </c>
      <c r="EJ34" s="276">
        <v>2.4449310210359561</v>
      </c>
      <c r="EK34" s="276">
        <v>2.497943614495147</v>
      </c>
      <c r="EL34" s="276">
        <v>2.551141986802377</v>
      </c>
      <c r="EM34" s="276">
        <v>2.6046349271504678</v>
      </c>
      <c r="EN34" s="276">
        <v>2.6585120168672298</v>
      </c>
      <c r="EO34" s="276">
        <v>2.7128282623181579</v>
      </c>
      <c r="EP34" s="276">
        <v>2.7675908505110471</v>
      </c>
      <c r="EQ34" s="276">
        <v>2.822753596211649</v>
      </c>
      <c r="ER34" s="276">
        <v>2.878221668162726</v>
      </c>
      <c r="ES34" s="276">
        <v>2.9338639740699781</v>
      </c>
      <c r="ET34" s="276">
        <v>2.989527602941914</v>
      </c>
      <c r="EU34" s="276">
        <v>3.045049727046</v>
      </c>
      <c r="EV34" s="276">
        <v>3.1002651917307529</v>
      </c>
      <c r="EW34" s="276">
        <v>3.1550101682788889</v>
      </c>
      <c r="EX34" s="276">
        <v>3.2091230502030368</v>
      </c>
      <c r="EY34" s="276">
        <v>3.262443740837139</v>
      </c>
      <c r="EZ34" s="276">
        <v>3.3148121906350569</v>
      </c>
      <c r="FA34" s="276">
        <v>3.3660667960550401</v>
      </c>
      <c r="FB34" s="276">
        <v>3.416043158451219</v>
      </c>
      <c r="FC34" s="276">
        <v>3.464573721496695</v>
      </c>
      <c r="FD34" s="276">
        <v>3.511488924328563</v>
      </c>
      <c r="FE34" s="276">
        <v>3.5566206489846448</v>
      </c>
      <c r="FF34" s="276">
        <v>3.599808750399661</v>
      </c>
      <c r="FG34" s="276">
        <v>3.640911081308785</v>
      </c>
      <c r="FH34" s="276">
        <v>3.6798164066743611</v>
      </c>
      <c r="FI34" s="276">
        <v>3.7164580010133981</v>
      </c>
      <c r="FJ34" s="272">
        <v>3.750824289735839</v>
      </c>
      <c r="FK34" s="272">
        <v>3.7829629012212829</v>
      </c>
      <c r="FL34" s="272">
        <v>3.8129765766656289</v>
      </c>
      <c r="FM34" s="272">
        <v>3.8410124807665431</v>
      </c>
      <c r="FN34" s="272">
        <v>3.867248535790464</v>
      </c>
      <c r="FO34" s="272">
        <v>3.8918804054730352</v>
      </c>
      <c r="FP34" s="272">
        <v>3.9151113202687382</v>
      </c>
      <c r="FQ34" s="272">
        <v>3.93714533053855</v>
      </c>
      <c r="FR34" s="272">
        <v>3.958183551914094</v>
      </c>
      <c r="FS34" s="272">
        <v>3.9784225861716642</v>
      </c>
      <c r="FT34" s="272">
        <v>3.9980543070390691</v>
      </c>
      <c r="FU34" s="272">
        <v>4.0172663439089069</v>
      </c>
      <c r="FV34" s="272">
        <v>4.036242732859586</v>
      </c>
      <c r="FW34" s="272">
        <v>4.0551642771936818</v>
      </c>
      <c r="FX34" s="272">
        <v>4.0742081659459286</v>
      </c>
      <c r="FY34" s="272">
        <v>4.0935463754477341</v>
      </c>
      <c r="FZ34" s="272">
        <v>4.1133424110604597</v>
      </c>
      <c r="GA34" s="272">
        <v>4.1337461717676707</v>
      </c>
      <c r="GB34" s="272">
        <v>4.1548872770443914</v>
      </c>
      <c r="GC34" s="272">
        <v>4.176868052678155</v>
      </c>
    </row>
    <row r="35" spans="2:185" ht="15" thickBot="1" x14ac:dyDescent="0.4">
      <c r="B35" s="298">
        <v>29</v>
      </c>
      <c r="C35" s="275">
        <v>3.1084959499696321E-2</v>
      </c>
      <c r="D35" s="275">
        <v>7.1754744985382882E-2</v>
      </c>
      <c r="E35" s="275">
        <v>0.11254616756008209</v>
      </c>
      <c r="F35" s="275">
        <v>0.15346727171041319</v>
      </c>
      <c r="G35" s="275">
        <v>0.19452704041074029</v>
      </c>
      <c r="H35" s="275">
        <v>0.23573555414540229</v>
      </c>
      <c r="I35" s="275">
        <v>0.27710418662245601</v>
      </c>
      <c r="J35" s="275">
        <v>0.31864584842284882</v>
      </c>
      <c r="K35" s="275">
        <v>0.36037529425233111</v>
      </c>
      <c r="L35" s="275">
        <v>0.40230951604870252</v>
      </c>
      <c r="M35" s="275">
        <v>0.44446825424972469</v>
      </c>
      <c r="N35" s="275">
        <v>0.48687467534716411</v>
      </c>
      <c r="O35" s="275">
        <v>0.52955628970214697</v>
      </c>
      <c r="P35" s="275">
        <v>0.57254622786622311</v>
      </c>
      <c r="Q35" s="275">
        <v>0.61588507409676063</v>
      </c>
      <c r="R35" s="275">
        <v>0.65962361342760933</v>
      </c>
      <c r="S35" s="275">
        <v>0.70382718972431391</v>
      </c>
      <c r="T35" s="275">
        <v>0.7485832154230222</v>
      </c>
      <c r="U35" s="275">
        <v>0.79401590485244078</v>
      </c>
      <c r="V35" s="275">
        <v>0.8403227056979875</v>
      </c>
      <c r="W35" s="275">
        <v>0.88791157130331022</v>
      </c>
      <c r="X35" s="275">
        <v>0.93728201551148771</v>
      </c>
      <c r="Y35" s="275">
        <v>0.98786198039384299</v>
      </c>
      <c r="Z35" s="275">
        <v>1.0391722390101119</v>
      </c>
      <c r="AA35" s="275">
        <v>1.0909466435769359</v>
      </c>
      <c r="AB35" s="275">
        <v>1.1429962338282189</v>
      </c>
      <c r="AC35" s="275">
        <v>1.1951743441081439</v>
      </c>
      <c r="AD35" s="275">
        <v>1.247363727829794</v>
      </c>
      <c r="AE35" s="275">
        <v>1.2994715270361361</v>
      </c>
      <c r="AF35" s="275">
        <v>1.351428119096743</v>
      </c>
      <c r="AG35" s="275">
        <v>1.4031841117413291</v>
      </c>
      <c r="AH35" s="275">
        <v>1.454688251281659</v>
      </c>
      <c r="AI35" s="275">
        <v>1.50586348531903</v>
      </c>
      <c r="AJ35" s="275">
        <v>1.556628776771211</v>
      </c>
      <c r="AK35" s="275">
        <v>1.606918768028863</v>
      </c>
      <c r="AL35" s="275">
        <v>1.6566836364402391</v>
      </c>
      <c r="AM35" s="275">
        <v>1.7058856440165071</v>
      </c>
      <c r="AN35" s="275">
        <v>1.7544965510406401</v>
      </c>
      <c r="AO35" s="275">
        <v>1.80249578186055</v>
      </c>
      <c r="AP35" s="275">
        <v>1.8498690397555231</v>
      </c>
      <c r="AQ35" s="275">
        <v>1.8966072131430409</v>
      </c>
      <c r="AR35" s="275">
        <v>1.942705498900557</v>
      </c>
      <c r="AS35" s="275">
        <v>1.9881627044889321</v>
      </c>
      <c r="AT35" s="275">
        <v>2.0329807028191231</v>
      </c>
      <c r="AU35" s="275">
        <v>2.077164013378662</v>
      </c>
      <c r="AV35" s="275">
        <v>2.1207194730632919</v>
      </c>
      <c r="AW35" s="275">
        <v>2.1636559392636898</v>
      </c>
      <c r="AX35" s="275">
        <v>2.2059839351501909</v>
      </c>
      <c r="AY35" s="275">
        <v>2.2477151137005862</v>
      </c>
      <c r="AZ35" s="275">
        <v>2.2888614273101768</v>
      </c>
      <c r="BA35" s="275">
        <v>2.3294340245519352</v>
      </c>
      <c r="BB35" s="275">
        <v>2.369442169096712</v>
      </c>
      <c r="BC35" s="275">
        <v>2.4088926566800248</v>
      </c>
      <c r="BD35" s="275">
        <v>2.4477899711682918</v>
      </c>
      <c r="BE35" s="275">
        <v>2.486136915228359</v>
      </c>
      <c r="BF35" s="275">
        <v>2.523935215831401</v>
      </c>
      <c r="BG35" s="275">
        <v>2.5611857849730111</v>
      </c>
      <c r="BH35" s="275">
        <v>2.5978885887708758</v>
      </c>
      <c r="BI35" s="275">
        <v>2.6340422128817651</v>
      </c>
      <c r="BJ35" s="275">
        <v>2.6696432243760269</v>
      </c>
      <c r="BK35" s="275">
        <v>2.7046854024949529</v>
      </c>
      <c r="BL35" s="275">
        <v>2.739158890781304</v>
      </c>
      <c r="BM35" s="275">
        <v>2.7730493269496348</v>
      </c>
      <c r="BN35" s="275">
        <v>2.806337041195357</v>
      </c>
      <c r="BO35" s="275">
        <v>2.8389964864148109</v>
      </c>
      <c r="BP35" s="275">
        <v>2.8709961832477719</v>
      </c>
      <c r="BQ35" s="275">
        <v>2.9022996227736741</v>
      </c>
      <c r="BR35" s="275">
        <v>2.9328677134151242</v>
      </c>
      <c r="BS35" s="275">
        <v>2.962663324877667</v>
      </c>
      <c r="BT35" s="275">
        <v>2.991657998577379</v>
      </c>
      <c r="BU35" s="275">
        <v>3.0198397860030619</v>
      </c>
      <c r="BV35" s="275">
        <v>3.047219851406191</v>
      </c>
      <c r="BW35" s="275">
        <v>3.0738351075773749</v>
      </c>
      <c r="BX35" s="275">
        <v>3.099745638917883</v>
      </c>
      <c r="BY35" s="275">
        <v>3.1250281508844608</v>
      </c>
      <c r="BZ35" s="275">
        <v>3.1497681698415199</v>
      </c>
      <c r="CA35" s="275">
        <v>3.17405334873694</v>
      </c>
      <c r="CB35" s="275">
        <v>3.1979689075137512</v>
      </c>
      <c r="CC35" s="275">
        <v>3.2215951273219332</v>
      </c>
      <c r="CD35" s="275">
        <v>3.2450063321669909</v>
      </c>
      <c r="CE35" s="275">
        <v>3.2682707560526252</v>
      </c>
      <c r="CF35" s="275">
        <v>3.291450836527126</v>
      </c>
      <c r="CG35" s="275">
        <v>3.314603637010292</v>
      </c>
      <c r="CH35" s="275">
        <v>3.3377812261036901</v>
      </c>
      <c r="CI35" s="275">
        <v>3.361030929843047</v>
      </c>
      <c r="CJ35" s="275">
        <v>3.3843954357994162</v>
      </c>
      <c r="CK35" s="275">
        <v>3.407912778674699</v>
      </c>
      <c r="CL35" s="275">
        <v>3.4316162799537291</v>
      </c>
      <c r="CM35" s="275">
        <v>3.455534540141866</v>
      </c>
      <c r="CN35" s="275">
        <v>3.4796915681546028</v>
      </c>
      <c r="CO35" s="275">
        <v>3.504107059341131</v>
      </c>
      <c r="CP35" s="275"/>
      <c r="CQ35" s="276">
        <v>-0.47801310000548702</v>
      </c>
      <c r="CR35" s="276">
        <v>-0.41861085060140169</v>
      </c>
      <c r="CS35" s="276">
        <v>-0.3588804939915311</v>
      </c>
      <c r="CT35" s="276">
        <v>-0.29881073611409698</v>
      </c>
      <c r="CU35" s="276">
        <v>-0.238390803149749</v>
      </c>
      <c r="CV35" s="276">
        <v>-0.1776107816075452</v>
      </c>
      <c r="CW35" s="276">
        <v>-0.11646205251186161</v>
      </c>
      <c r="CX35" s="276">
        <v>-5.4937839996409783E-2</v>
      </c>
      <c r="CY35" s="276">
        <v>6.9661021785478753E-3</v>
      </c>
      <c r="CZ35" s="276">
        <v>6.9250639069842856E-2</v>
      </c>
      <c r="DA35" s="276">
        <v>0.13191220644342591</v>
      </c>
      <c r="DB35" s="276">
        <v>0.19494152832499559</v>
      </c>
      <c r="DC35" s="276">
        <v>0.25832205167790279</v>
      </c>
      <c r="DD35" s="276">
        <v>0.3220280285515591</v>
      </c>
      <c r="DE35" s="276">
        <v>0.38602213094087762</v>
      </c>
      <c r="DF35" s="276">
        <v>0.45025238190548161</v>
      </c>
      <c r="DG35" s="276">
        <v>0.51464794309586126</v>
      </c>
      <c r="DH35" s="276">
        <v>0.57911266229342684</v>
      </c>
      <c r="DI35" s="276">
        <v>0.64351339145726727</v>
      </c>
      <c r="DJ35" s="276">
        <v>0.70765379485377289</v>
      </c>
      <c r="DK35" s="276">
        <v>0.7712204164627654</v>
      </c>
      <c r="DL35" s="276">
        <v>0.83393770357870012</v>
      </c>
      <c r="DM35" s="276">
        <v>0.89596521597641066</v>
      </c>
      <c r="DN35" s="276">
        <v>0.95750262902343963</v>
      </c>
      <c r="DO35" s="276">
        <v>1.0186369500720851</v>
      </c>
      <c r="DP35" s="276">
        <v>1.079398757972643</v>
      </c>
      <c r="DQ35" s="276">
        <v>1.139790843567998</v>
      </c>
      <c r="DR35" s="276">
        <v>1.1998026509651449</v>
      </c>
      <c r="DS35" s="276">
        <v>1.2594201850751621</v>
      </c>
      <c r="DT35" s="276">
        <v>1.3186348860431969</v>
      </c>
      <c r="DU35" s="276">
        <v>1.3774488500090489</v>
      </c>
      <c r="DV35" s="276">
        <v>1.4358538413081721</v>
      </c>
      <c r="DW35" s="276">
        <v>1.493802543490218</v>
      </c>
      <c r="DX35" s="276">
        <v>1.5512413476540661</v>
      </c>
      <c r="DY35" s="276">
        <v>1.6081356003865881</v>
      </c>
      <c r="DZ35" s="276">
        <v>1.664469166431324</v>
      </c>
      <c r="EA35" s="276">
        <v>1.72024139834115</v>
      </c>
      <c r="EB35" s="276">
        <v>1.7754653043055579</v>
      </c>
      <c r="EC35" s="276">
        <v>1.830166476174903</v>
      </c>
      <c r="ED35" s="276">
        <v>1.884382464707151</v>
      </c>
      <c r="EE35" s="276">
        <v>1.938162501672765</v>
      </c>
      <c r="EF35" s="276">
        <v>1.9915675524312619</v>
      </c>
      <c r="EG35" s="276">
        <v>2.0446706925555982</v>
      </c>
      <c r="EH35" s="276">
        <v>2.0975577553356421</v>
      </c>
      <c r="EI35" s="276">
        <v>2.15032807290173</v>
      </c>
      <c r="EJ35" s="276">
        <v>2.2030948748029919</v>
      </c>
      <c r="EK35" s="276">
        <v>2.2559844260991682</v>
      </c>
      <c r="EL35" s="276">
        <v>2.3091322324426922</v>
      </c>
      <c r="EM35" s="276">
        <v>2.3626738584056</v>
      </c>
      <c r="EN35" s="276">
        <v>2.4167281527432509</v>
      </c>
      <c r="EO35" s="276">
        <v>2.471373876959194</v>
      </c>
      <c r="EP35" s="276">
        <v>2.5266272318384551</v>
      </c>
      <c r="EQ35" s="276">
        <v>2.5824320409014239</v>
      </c>
      <c r="ER35" s="276">
        <v>2.6386686571518929</v>
      </c>
      <c r="ES35" s="276">
        <v>2.6951754898638902</v>
      </c>
      <c r="ET35" s="276">
        <v>2.7517713551485188</v>
      </c>
      <c r="EU35" s="276">
        <v>2.808271117814916</v>
      </c>
      <c r="EV35" s="276">
        <v>2.864493590534086</v>
      </c>
      <c r="EW35" s="276">
        <v>2.9202638613897212</v>
      </c>
      <c r="EX35" s="276">
        <v>2.975412475671805</v>
      </c>
      <c r="EY35" s="276">
        <v>3.0297731335895</v>
      </c>
      <c r="EZ35" s="276">
        <v>3.083179845949275</v>
      </c>
      <c r="FA35" s="276">
        <v>3.1354640744737181</v>
      </c>
      <c r="FB35" s="276">
        <v>3.1864522431998119</v>
      </c>
      <c r="FC35" s="276">
        <v>3.235964081502221</v>
      </c>
      <c r="FD35" s="276">
        <v>3.2838125120459569</v>
      </c>
      <c r="FE35" s="276">
        <v>3.3298061812840012</v>
      </c>
      <c r="FF35" s="276">
        <v>3.3737560853273738</v>
      </c>
      <c r="FG35" s="276">
        <v>3.4154876492203159</v>
      </c>
      <c r="FH35" s="276">
        <v>3.4548583706773561</v>
      </c>
      <c r="FI35" s="276">
        <v>3.4917782901940262</v>
      </c>
      <c r="FJ35" s="272">
        <v>3.5262271485475689</v>
      </c>
      <c r="FK35" s="272">
        <v>3.5582611645901689</v>
      </c>
      <c r="FL35" s="272">
        <v>3.58800621589819</v>
      </c>
      <c r="FM35" s="272">
        <v>3.6156406305586128</v>
      </c>
      <c r="FN35" s="272">
        <v>3.641374647197039</v>
      </c>
      <c r="FO35" s="272">
        <v>3.6654326704563118</v>
      </c>
      <c r="FP35" s="272">
        <v>3.688041045291329</v>
      </c>
      <c r="FQ35" s="272">
        <v>3.7094212198286391</v>
      </c>
      <c r="FR35" s="272">
        <v>3.7297869130853072</v>
      </c>
      <c r="FS35" s="272">
        <v>3.7493438000636772</v>
      </c>
      <c r="FT35" s="272">
        <v>3.768290570390743</v>
      </c>
      <c r="FU35" s="272">
        <v>3.7868205885295558</v>
      </c>
      <c r="FV35" s="272">
        <v>3.8051236299476039</v>
      </c>
      <c r="FW35" s="272">
        <v>3.8233872617022429</v>
      </c>
      <c r="FX35" s="272">
        <v>3.841797391221073</v>
      </c>
      <c r="FY35" s="272">
        <v>3.860537359527084</v>
      </c>
      <c r="FZ35" s="272">
        <v>3.8797848015433791</v>
      </c>
      <c r="GA35" s="272">
        <v>3.8997055671433731</v>
      </c>
      <c r="GB35" s="272">
        <v>3.9204446678896741</v>
      </c>
      <c r="GC35" s="272">
        <v>3.9421157255882719</v>
      </c>
    </row>
    <row r="36" spans="2:185" ht="15" thickBot="1" x14ac:dyDescent="0.4">
      <c r="B36" s="298">
        <v>30</v>
      </c>
      <c r="C36" s="275">
        <v>-0.19025304087214981</v>
      </c>
      <c r="D36" s="275">
        <v>-0.1496952036132807</v>
      </c>
      <c r="E36" s="275">
        <v>-0.1090172758303159</v>
      </c>
      <c r="F36" s="275">
        <v>-6.8211045517952165E-2</v>
      </c>
      <c r="G36" s="275">
        <v>-2.726731261865541E-2</v>
      </c>
      <c r="H36" s="275">
        <v>1.382428263545081E-2</v>
      </c>
      <c r="I36" s="275">
        <v>5.5075471829896173E-2</v>
      </c>
      <c r="J36" s="275">
        <v>9.6499623519378172E-2</v>
      </c>
      <c r="K36" s="275">
        <v>0.13811207904745179</v>
      </c>
      <c r="L36" s="275">
        <v>0.17993058420585331</v>
      </c>
      <c r="M36" s="275">
        <v>0.2219758535534774</v>
      </c>
      <c r="N36" s="275">
        <v>0.26427232280695517</v>
      </c>
      <c r="O36" s="275">
        <v>0.30684917561180097</v>
      </c>
      <c r="P36" s="275">
        <v>0.34974178490588881</v>
      </c>
      <c r="Q36" s="275">
        <v>0.39299380872670858</v>
      </c>
      <c r="R36" s="275">
        <v>0.43666037740094721</v>
      </c>
      <c r="S36" s="275">
        <v>0.48081322954232369</v>
      </c>
      <c r="T36" s="275">
        <v>0.52554961824332624</v>
      </c>
      <c r="U36" s="275">
        <v>0.57100903097010003</v>
      </c>
      <c r="V36" s="275">
        <v>0.6174044704688223</v>
      </c>
      <c r="W36" s="275">
        <v>0.66504174456367882</v>
      </c>
      <c r="X36" s="275">
        <v>0.71410211209466834</v>
      </c>
      <c r="Y36" s="275">
        <v>0.76433685707515375</v>
      </c>
      <c r="Z36" s="275">
        <v>0.8153738707527759</v>
      </c>
      <c r="AA36" s="275">
        <v>0.86693618506640446</v>
      </c>
      <c r="AB36" s="275">
        <v>0.91882392038456306</v>
      </c>
      <c r="AC36" s="275">
        <v>0.9708843702078257</v>
      </c>
      <c r="AD36" s="275">
        <v>1.02299694240259</v>
      </c>
      <c r="AE36" s="275">
        <v>1.07506668247798</v>
      </c>
      <c r="AF36" s="275">
        <v>1.1270239823814669</v>
      </c>
      <c r="AG36" s="275">
        <v>1.1788336543442151</v>
      </c>
      <c r="AH36" s="275">
        <v>1.230470057718031</v>
      </c>
      <c r="AI36" s="275">
        <v>1.281829735939249</v>
      </c>
      <c r="AJ36" s="275">
        <v>1.3328164205480511</v>
      </c>
      <c r="AK36" s="275">
        <v>1.3833631768149039</v>
      </c>
      <c r="AL36" s="275">
        <v>1.433419722266418</v>
      </c>
      <c r="AM36" s="275">
        <v>1.4829473292369511</v>
      </c>
      <c r="AN36" s="275">
        <v>1.531916285880502</v>
      </c>
      <c r="AO36" s="275">
        <v>1.58030425586864</v>
      </c>
      <c r="AP36" s="275">
        <v>1.628095058767278</v>
      </c>
      <c r="AQ36" s="275">
        <v>1.675277703299809</v>
      </c>
      <c r="AR36" s="275">
        <v>1.721845606196222</v>
      </c>
      <c r="AS36" s="275">
        <v>1.7677959660602529</v>
      </c>
      <c r="AT36" s="275">
        <v>1.8131292747145049</v>
      </c>
      <c r="AU36" s="275">
        <v>1.857848950164015</v>
      </c>
      <c r="AV36" s="275">
        <v>1.9019610675743419</v>
      </c>
      <c r="AW36" s="275">
        <v>1.945474142096308</v>
      </c>
      <c r="AX36" s="275">
        <v>1.9883988672173161</v>
      </c>
      <c r="AY36" s="275">
        <v>2.030747623621258</v>
      </c>
      <c r="AZ36" s="275">
        <v>2.0725334878868402</v>
      </c>
      <c r="BA36" s="275">
        <v>2.1137685872427419</v>
      </c>
      <c r="BB36" s="275">
        <v>2.1544622310465802</v>
      </c>
      <c r="BC36" s="275">
        <v>2.1946199105970998</v>
      </c>
      <c r="BD36" s="275">
        <v>2.2342438219986822</v>
      </c>
      <c r="BE36" s="275">
        <v>2.2733342334505182</v>
      </c>
      <c r="BF36" s="275">
        <v>2.3118905808546049</v>
      </c>
      <c r="BG36" s="275">
        <v>2.349911835482831</v>
      </c>
      <c r="BH36" s="275">
        <v>2.3873962704782659</v>
      </c>
      <c r="BI36" s="275">
        <v>2.4243408685027048</v>
      </c>
      <c r="BJ36" s="275">
        <v>2.460740526631823</v>
      </c>
      <c r="BK36" s="275">
        <v>2.4965871275460221</v>
      </c>
      <c r="BL36" s="275">
        <v>2.5318685024975078</v>
      </c>
      <c r="BM36" s="275">
        <v>2.5665673057919278</v>
      </c>
      <c r="BN36" s="275">
        <v>2.600659849844086</v>
      </c>
      <c r="BO36" s="275">
        <v>2.634115026561072</v>
      </c>
      <c r="BP36" s="275">
        <v>2.6668935934729778</v>
      </c>
      <c r="BQ36" s="275">
        <v>2.6989483674693862</v>
      </c>
      <c r="BR36" s="275">
        <v>2.730226241718805</v>
      </c>
      <c r="BS36" s="275">
        <v>2.7606732453006591</v>
      </c>
      <c r="BT36" s="275">
        <v>2.790243544978062</v>
      </c>
      <c r="BU36" s="275">
        <v>2.8189115238128548</v>
      </c>
      <c r="BV36" s="275">
        <v>2.8466829938478448</v>
      </c>
      <c r="BW36" s="275">
        <v>2.8735998846362771</v>
      </c>
      <c r="BX36" s="275">
        <v>2.8997355824752402</v>
      </c>
      <c r="BY36" s="275">
        <v>2.9251837381530241</v>
      </c>
      <c r="BZ36" s="275">
        <v>2.9500461936580722</v>
      </c>
      <c r="CA36" s="275">
        <v>2.9744239619838662</v>
      </c>
      <c r="CB36" s="275">
        <v>2.9984121154199319</v>
      </c>
      <c r="CC36" s="275">
        <v>3.0220976714008612</v>
      </c>
      <c r="CD36" s="275">
        <v>3.0455592431347762</v>
      </c>
      <c r="CE36" s="275">
        <v>3.0688675246129691</v>
      </c>
      <c r="CF36" s="275">
        <v>3.0920860515649942</v>
      </c>
      <c r="CG36" s="275">
        <v>3.1152719455978168</v>
      </c>
      <c r="CH36" s="275">
        <v>3.1384765067913341</v>
      </c>
      <c r="CI36" s="275">
        <v>3.161745610068297</v>
      </c>
      <c r="CJ36" s="275">
        <v>3.1851199181148409</v>
      </c>
      <c r="CK36" s="275">
        <v>3.2086349718231202</v>
      </c>
      <c r="CL36" s="275">
        <v>3.2323212684268401</v>
      </c>
      <c r="CM36" s="275">
        <v>3.256204477633946</v>
      </c>
      <c r="CN36" s="275">
        <v>3.2803059330138611</v>
      </c>
      <c r="CO36" s="275">
        <v>3.3046434023497779</v>
      </c>
      <c r="CP36" s="275"/>
      <c r="CQ36" s="276">
        <v>-0.70297773351953063</v>
      </c>
      <c r="CR36" s="276">
        <v>-0.64353815148085713</v>
      </c>
      <c r="CS36" s="276">
        <v>-0.58378021333550612</v>
      </c>
      <c r="CT36" s="276">
        <v>-0.52369459302942056</v>
      </c>
      <c r="CU36" s="276">
        <v>-0.46327277240813869</v>
      </c>
      <c r="CV36" s="276">
        <v>-0.40250740796073309</v>
      </c>
      <c r="CW36" s="276">
        <v>-0.34139278895080549</v>
      </c>
      <c r="CX36" s="276">
        <v>-0.27992540514210212</v>
      </c>
      <c r="CY36" s="276">
        <v>-0.21810464524461309</v>
      </c>
      <c r="CZ36" s="276">
        <v>-0.1559336508299469</v>
      </c>
      <c r="DA36" s="276">
        <v>-9.3420355526332419E-2</v>
      </c>
      <c r="DB36" s="276">
        <v>-3.0578747399926592E-2</v>
      </c>
      <c r="DC36" s="276">
        <v>3.2569593079656588E-2</v>
      </c>
      <c r="DD36" s="276">
        <v>9.5993599249599729E-2</v>
      </c>
      <c r="DE36" s="276">
        <v>0.159650332809743</v>
      </c>
      <c r="DF36" s="276">
        <v>0.22348185782221419</v>
      </c>
      <c r="DG36" s="276">
        <v>0.28741089619561988</v>
      </c>
      <c r="DH36" s="276">
        <v>0.3513343589539546</v>
      </c>
      <c r="DI36" s="276">
        <v>0.41511341076064889</v>
      </c>
      <c r="DJ36" s="276">
        <v>0.47856150589851643</v>
      </c>
      <c r="DK36" s="276">
        <v>0.54145704789801519</v>
      </c>
      <c r="DL36" s="276">
        <v>0.6036543239649661</v>
      </c>
      <c r="DM36" s="276">
        <v>0.66519200960497882</v>
      </c>
      <c r="DN36" s="276">
        <v>0.72618668615625248</v>
      </c>
      <c r="DO36" s="276">
        <v>0.78672394392701017</v>
      </c>
      <c r="DP36" s="276">
        <v>0.8468478013048033</v>
      </c>
      <c r="DQ36" s="276">
        <v>0.90657484667737753</v>
      </c>
      <c r="DR36" s="276">
        <v>0.9659066022780638</v>
      </c>
      <c r="DS36" s="276">
        <v>1.024839123207312</v>
      </c>
      <c r="DT36" s="276">
        <v>1.0833728702520411</v>
      </c>
      <c r="DU36" s="276">
        <v>1.1415318164418311</v>
      </c>
      <c r="DV36" s="276">
        <v>1.1993481787088831</v>
      </c>
      <c r="DW36" s="276">
        <v>1.256746037696864</v>
      </c>
      <c r="DX36" s="276">
        <v>1.3136617613205801</v>
      </c>
      <c r="DY36" s="276">
        <v>1.3700635680307189</v>
      </c>
      <c r="DZ36" s="276">
        <v>1.4259373048081549</v>
      </c>
      <c r="EA36" s="276">
        <v>1.481282603753145</v>
      </c>
      <c r="EB36" s="276">
        <v>1.536111436166292</v>
      </c>
      <c r="EC36" s="276">
        <v>1.590447441481702</v>
      </c>
      <c r="ED36" s="276">
        <v>1.64432565620545</v>
      </c>
      <c r="EE36" s="276">
        <v>1.697792573073382</v>
      </c>
      <c r="EF36" s="276">
        <v>1.750906558941048</v>
      </c>
      <c r="EG36" s="276">
        <v>1.8037386927503829</v>
      </c>
      <c r="EH36" s="276">
        <v>1.8563740792452399</v>
      </c>
      <c r="EI36" s="276">
        <v>1.908913629330004</v>
      </c>
      <c r="EJ36" s="276">
        <v>1.961476095490138</v>
      </c>
      <c r="EK36" s="276">
        <v>2.014199626900838</v>
      </c>
      <c r="EL36" s="276">
        <v>2.067240932359562</v>
      </c>
      <c r="EM36" s="276">
        <v>2.1207680346214719</v>
      </c>
      <c r="EN36" s="276">
        <v>2.174940555108086</v>
      </c>
      <c r="EO36" s="276">
        <v>2.229874252731372</v>
      </c>
      <c r="EP36" s="276">
        <v>2.2856004950319719</v>
      </c>
      <c r="EQ36" s="276">
        <v>2.3420471116911972</v>
      </c>
      <c r="ER36" s="276">
        <v>2.3990565821490328</v>
      </c>
      <c r="ES36" s="276">
        <v>2.4564255665688939</v>
      </c>
      <c r="ET36" s="276">
        <v>2.513939290017789</v>
      </c>
      <c r="EU36" s="276">
        <v>2.5713900596574959</v>
      </c>
      <c r="EV36" s="276">
        <v>2.6285831467678751</v>
      </c>
      <c r="EW36" s="276">
        <v>2.68533604810766</v>
      </c>
      <c r="EX36" s="276">
        <v>2.7414750964952721</v>
      </c>
      <c r="EY36" s="276">
        <v>2.7968312915181568</v>
      </c>
      <c r="EZ36" s="276">
        <v>2.8512360630812239</v>
      </c>
      <c r="FA36" s="276">
        <v>2.9045172018539969</v>
      </c>
      <c r="FB36" s="276">
        <v>2.9564950874335492</v>
      </c>
      <c r="FC36" s="276">
        <v>3.0069794828155358</v>
      </c>
      <c r="FD36" s="276">
        <v>3.055767541434069</v>
      </c>
      <c r="FE36" s="276">
        <v>3.102644352813738</v>
      </c>
      <c r="FF36" s="276">
        <v>3.1473883152748412</v>
      </c>
      <c r="FG36" s="276">
        <v>3.1897844106230009</v>
      </c>
      <c r="FH36" s="276">
        <v>3.2296476366600362</v>
      </c>
      <c r="FI36" s="276">
        <v>3.2668543165300501</v>
      </c>
      <c r="FJ36" s="272">
        <v>3.3013710899653979</v>
      </c>
      <c r="FK36" s="272">
        <v>3.333266989504251</v>
      </c>
      <c r="FL36" s="272">
        <v>3.3627013207004111</v>
      </c>
      <c r="FM36" s="272">
        <v>3.3898946195172859</v>
      </c>
      <c r="FN36" s="272">
        <v>3.4150972753362652</v>
      </c>
      <c r="FO36" s="272">
        <v>3.438566004465426</v>
      </c>
      <c r="FP36" s="272">
        <v>3.460550442396217</v>
      </c>
      <c r="FQ36" s="272">
        <v>3.481287581859529</v>
      </c>
      <c r="FR36" s="272">
        <v>3.501000957644596</v>
      </c>
      <c r="FS36" s="272">
        <v>3.5199022544907979</v>
      </c>
      <c r="FT36" s="272">
        <v>3.538193959158578</v>
      </c>
      <c r="FU36" s="272">
        <v>3.5560723306070088</v>
      </c>
      <c r="FV36" s="272">
        <v>3.5737303019409121</v>
      </c>
      <c r="FW36" s="272">
        <v>3.5913600239700778</v>
      </c>
      <c r="FX36" s="272">
        <v>3.6091546520366058</v>
      </c>
      <c r="FY36" s="272">
        <v>3.627308665620784</v>
      </c>
      <c r="FZ36" s="272">
        <v>3.646015525345248</v>
      </c>
      <c r="GA36" s="272">
        <v>3.6654610679960462</v>
      </c>
      <c r="GB36" s="272">
        <v>3.685811477918647</v>
      </c>
      <c r="GC36" s="272">
        <v>3.7071970708506128</v>
      </c>
    </row>
    <row r="37" spans="2:185" ht="15" thickBot="1" x14ac:dyDescent="0.4">
      <c r="B37" s="298">
        <v>31</v>
      </c>
      <c r="C37" s="275">
        <v>-0.41119907683869161</v>
      </c>
      <c r="D37" s="275">
        <v>-0.37073229349512571</v>
      </c>
      <c r="E37" s="275">
        <v>-0.33014526991764181</v>
      </c>
      <c r="F37" s="275">
        <v>-0.28942943338398691</v>
      </c>
      <c r="G37" s="275">
        <v>-0.24857514394183811</v>
      </c>
      <c r="H37" s="275">
        <v>-0.20757150429401591</v>
      </c>
      <c r="I37" s="275">
        <v>-0.16640612410160691</v>
      </c>
      <c r="J37" s="275">
        <v>-0.12506482440787209</v>
      </c>
      <c r="K37" s="275">
        <v>-8.3531262194654968E-2</v>
      </c>
      <c r="L37" s="275">
        <v>-4.1786446584160718E-2</v>
      </c>
      <c r="M37" s="275">
        <v>1.9189480113605359E-4</v>
      </c>
      <c r="N37" s="275">
        <v>4.2430161224853137E-2</v>
      </c>
      <c r="O37" s="275">
        <v>8.496003084369412E-2</v>
      </c>
      <c r="P37" s="275">
        <v>0.1278200688757215</v>
      </c>
      <c r="Q37" s="275">
        <v>0.17105803377501039</v>
      </c>
      <c r="R37" s="275">
        <v>0.21473427773500531</v>
      </c>
      <c r="S37" s="275">
        <v>0.25892687160246081</v>
      </c>
      <c r="T37" s="275">
        <v>0.3037392711140387</v>
      </c>
      <c r="U37" s="275">
        <v>0.34931041861269763</v>
      </c>
      <c r="V37" s="275">
        <v>0.39581971772568741</v>
      </c>
      <c r="W37" s="275">
        <v>0.44345213444699078</v>
      </c>
      <c r="X37" s="275">
        <v>0.49227874819290363</v>
      </c>
      <c r="Y37" s="275">
        <v>0.54216593285785131</v>
      </c>
      <c r="Z37" s="275">
        <v>0.59286724086844889</v>
      </c>
      <c r="AA37" s="275">
        <v>0.64414393651552404</v>
      </c>
      <c r="AB37" s="275">
        <v>0.69580102842590785</v>
      </c>
      <c r="AC37" s="275">
        <v>0.74768353777082208</v>
      </c>
      <c r="AD37" s="275">
        <v>0.79966788950645606</v>
      </c>
      <c r="AE37" s="275">
        <v>0.85165637213714229</v>
      </c>
      <c r="AF37" s="275">
        <v>0.90357611879339272</v>
      </c>
      <c r="AG37" s="275">
        <v>0.95539129344947249</v>
      </c>
      <c r="AH37" s="275">
        <v>1.0071056617153209</v>
      </c>
      <c r="AI37" s="275">
        <v>1.0585841846266399</v>
      </c>
      <c r="AJ37" s="275">
        <v>1.1097288060418919</v>
      </c>
      <c r="AK37" s="275">
        <v>1.160472882033774</v>
      </c>
      <c r="AL37" s="275">
        <v>1.2107651330813469</v>
      </c>
      <c r="AM37" s="275">
        <v>1.260565258135802</v>
      </c>
      <c r="AN37" s="275">
        <v>1.309841678884017</v>
      </c>
      <c r="AO37" s="275">
        <v>1.3585700493204611</v>
      </c>
      <c r="AP37" s="275">
        <v>1.4067321381368001</v>
      </c>
      <c r="AQ37" s="275">
        <v>1.4543149392509651</v>
      </c>
      <c r="AR37" s="275">
        <v>1.50130995028976</v>
      </c>
      <c r="AS37" s="275">
        <v>1.5477125924131589</v>
      </c>
      <c r="AT37" s="275">
        <v>1.593521759368971</v>
      </c>
      <c r="AU37" s="275">
        <v>1.6387394898250489</v>
      </c>
      <c r="AV37" s="275">
        <v>1.683370757194897</v>
      </c>
      <c r="AW37" s="275">
        <v>1.7274233595244639</v>
      </c>
      <c r="AX37" s="275">
        <v>1.770907845395874</v>
      </c>
      <c r="AY37" s="275">
        <v>1.813837271723298</v>
      </c>
      <c r="AZ37" s="275">
        <v>1.856226287441473</v>
      </c>
      <c r="BA37" s="275">
        <v>1.8980888156619209</v>
      </c>
      <c r="BB37" s="275">
        <v>1.9394345946631779</v>
      </c>
      <c r="BC37" s="275">
        <v>1.9802671825985381</v>
      </c>
      <c r="BD37" s="275">
        <v>2.020585438812434</v>
      </c>
      <c r="BE37" s="275">
        <v>2.0603864454221692</v>
      </c>
      <c r="BF37" s="275">
        <v>2.0996672401099099</v>
      </c>
      <c r="BG37" s="275">
        <v>2.1384250741442079</v>
      </c>
      <c r="BH37" s="275">
        <v>2.1766568952745979</v>
      </c>
      <c r="BI37" s="275">
        <v>2.2143585308543128</v>
      </c>
      <c r="BJ37" s="275">
        <v>2.2515237412419471</v>
      </c>
      <c r="BK37" s="275">
        <v>2.2881431698888801</v>
      </c>
      <c r="BL37" s="275">
        <v>2.3242031674613348</v>
      </c>
      <c r="BM37" s="275">
        <v>2.3596844577198191</v>
      </c>
      <c r="BN37" s="275">
        <v>2.394560628007135</v>
      </c>
      <c r="BO37" s="275">
        <v>2.428796481508634</v>
      </c>
      <c r="BP37" s="275">
        <v>2.462346429165474</v>
      </c>
      <c r="BQ37" s="275">
        <v>2.4951534229604682</v>
      </c>
      <c r="BR37" s="275">
        <v>2.5271495818330458</v>
      </c>
      <c r="BS37" s="275">
        <v>2.5582606648624249</v>
      </c>
      <c r="BT37" s="275">
        <v>2.5884172018711258</v>
      </c>
      <c r="BU37" s="275">
        <v>2.617573094208332</v>
      </c>
      <c r="BV37" s="275">
        <v>2.6457256930069351</v>
      </c>
      <c r="BW37" s="275">
        <v>2.6729248716027949</v>
      </c>
      <c r="BX37" s="275">
        <v>2.69926395229519</v>
      </c>
      <c r="BY37" s="275">
        <v>2.72485961973854</v>
      </c>
      <c r="BZ37" s="275">
        <v>2.7498332963793959</v>
      </c>
      <c r="CA37" s="275">
        <v>2.774299964024233</v>
      </c>
      <c r="CB37" s="275">
        <v>2.7983636091037312</v>
      </c>
      <c r="CC37" s="275">
        <v>2.8221164704753772</v>
      </c>
      <c r="CD37" s="275">
        <v>2.845639922614672</v>
      </c>
      <c r="CE37" s="275">
        <v>2.8690058289392391</v>
      </c>
      <c r="CF37" s="275">
        <v>2.8922778484152998</v>
      </c>
      <c r="CG37" s="275">
        <v>2.915512502289717</v>
      </c>
      <c r="CH37" s="275">
        <v>2.9387599506048629</v>
      </c>
      <c r="CI37" s="275">
        <v>2.9620644895499599</v>
      </c>
      <c r="CJ37" s="275">
        <v>2.985464814360725</v>
      </c>
      <c r="CK37" s="275">
        <v>3.008994128294284</v>
      </c>
      <c r="CL37" s="275">
        <v>3.0326802360898379</v>
      </c>
      <c r="CM37" s="275">
        <v>3.0565458447234568</v>
      </c>
      <c r="CN37" s="275">
        <v>3.0806093492712021</v>
      </c>
      <c r="CO37" s="275">
        <v>3.1048862244637321</v>
      </c>
      <c r="CP37" s="275"/>
      <c r="CQ37" s="276">
        <v>-0.92815276191311824</v>
      </c>
      <c r="CR37" s="276">
        <v>-0.86869765745656924</v>
      </c>
      <c r="CS37" s="276">
        <v>-0.80893574975346549</v>
      </c>
      <c r="CT37" s="276">
        <v>-0.74885976080665184</v>
      </c>
      <c r="CU37" s="276">
        <v>-0.68846349183250943</v>
      </c>
      <c r="CV37" s="276">
        <v>-0.62774221085680182</v>
      </c>
      <c r="CW37" s="276">
        <v>-0.56669312845860986</v>
      </c>
      <c r="CX37" s="276">
        <v>-0.50531597808573103</v>
      </c>
      <c r="CY37" s="276">
        <v>-0.44361372007946992</v>
      </c>
      <c r="CZ37" s="276">
        <v>-0.38159339212005688</v>
      </c>
      <c r="DA37" s="276">
        <v>-0.3192671339901807</v>
      </c>
      <c r="DB37" s="276">
        <v>-0.25665342276673991</v>
      </c>
      <c r="DC37" s="276">
        <v>-0.1937785682621849</v>
      </c>
      <c r="DD37" s="276">
        <v>-0.13067854166032339</v>
      </c>
      <c r="DE37" s="276">
        <v>-6.7401247567748818E-2</v>
      </c>
      <c r="DF37" s="276">
        <v>-4.0094005395286099E-3</v>
      </c>
      <c r="DG37" s="276">
        <v>5.9415805517078341E-2</v>
      </c>
      <c r="DH37" s="276">
        <v>0.1227702493669609</v>
      </c>
      <c r="DI37" s="276">
        <v>0.18592295828190769</v>
      </c>
      <c r="DJ37" s="276">
        <v>0.24871888780355181</v>
      </c>
      <c r="DK37" s="276">
        <v>0.31100435311209651</v>
      </c>
      <c r="DL37" s="276">
        <v>0.37268315004439589</v>
      </c>
      <c r="DM37" s="276">
        <v>0.43375299120608801</v>
      </c>
      <c r="DN37" s="276">
        <v>0.49427093273539052</v>
      </c>
      <c r="DO37" s="276">
        <v>0.55429912858245256</v>
      </c>
      <c r="DP37" s="276">
        <v>0.61388131026290038</v>
      </c>
      <c r="DQ37" s="276">
        <v>0.67304200982597973</v>
      </c>
      <c r="DR37" s="276">
        <v>0.73179272330228162</v>
      </c>
      <c r="DS37" s="276">
        <v>0.79013925624268433</v>
      </c>
      <c r="DT37" s="276">
        <v>0.84809051535937785</v>
      </c>
      <c r="DU37" s="276">
        <v>0.90567859757330726</v>
      </c>
      <c r="DV37" s="276">
        <v>0.96295344006797734</v>
      </c>
      <c r="DW37" s="276">
        <v>1.019833067912788</v>
      </c>
      <c r="DX37" s="276">
        <v>1.0762573193395459</v>
      </c>
      <c r="DY37" s="276">
        <v>1.1321973849268769</v>
      </c>
      <c r="DZ37" s="276">
        <v>1.1876403694617239</v>
      </c>
      <c r="EA37" s="276">
        <v>1.242585874526736</v>
      </c>
      <c r="EB37" s="276">
        <v>1.2970448056036259</v>
      </c>
      <c r="EC37" s="276">
        <v>1.3510389080829781</v>
      </c>
      <c r="ED37" s="276">
        <v>1.4046006873107879</v>
      </c>
      <c r="EE37" s="276">
        <v>1.4577736559949861</v>
      </c>
      <c r="EF37" s="276">
        <v>1.5106129598133611</v>
      </c>
      <c r="EG37" s="276">
        <v>1.5631864918392331</v>
      </c>
      <c r="EH37" s="276">
        <v>1.6155766540834211</v>
      </c>
      <c r="EI37" s="276">
        <v>1.6678829604148731</v>
      </c>
      <c r="EJ37" s="276">
        <v>1.720225650262482</v>
      </c>
      <c r="EK37" s="276">
        <v>1.7727502091275551</v>
      </c>
      <c r="EL37" s="276">
        <v>1.8256315923990201</v>
      </c>
      <c r="EM37" s="276">
        <v>1.8790736112220441</v>
      </c>
      <c r="EN37" s="276">
        <v>1.9332917222714641</v>
      </c>
      <c r="EO37" s="276">
        <v>1.988462159945412</v>
      </c>
      <c r="EP37" s="276">
        <v>2.0446439641119092</v>
      </c>
      <c r="EQ37" s="276">
        <v>2.1017365209946841</v>
      </c>
      <c r="ER37" s="276">
        <v>2.159521045106922</v>
      </c>
      <c r="ES37" s="276">
        <v>2.2177375353446052</v>
      </c>
      <c r="ET37" s="276">
        <v>2.27613454712312</v>
      </c>
      <c r="EU37" s="276">
        <v>2.3344851837445639</v>
      </c>
      <c r="EV37" s="276">
        <v>2.3925863199766662</v>
      </c>
      <c r="EW37" s="276">
        <v>2.4502527609700411</v>
      </c>
      <c r="EX37" s="276">
        <v>2.5073108147802872</v>
      </c>
      <c r="EY37" s="276">
        <v>2.563592410717527</v>
      </c>
      <c r="EZ37" s="276">
        <v>2.6189297909606428</v>
      </c>
      <c r="FA37" s="276">
        <v>2.6731505365115091</v>
      </c>
      <c r="FB37" s="276">
        <v>2.7260727061928161</v>
      </c>
      <c r="FC37" s="276">
        <v>2.777500036626154</v>
      </c>
      <c r="FD37" s="276">
        <v>2.8272175454395572</v>
      </c>
      <c r="FE37" s="276">
        <v>2.874988738076504</v>
      </c>
      <c r="FF37" s="276">
        <v>2.9205573080410869</v>
      </c>
      <c r="FG37" s="276">
        <v>2.963658816479291</v>
      </c>
      <c r="FH37" s="276">
        <v>3.004049535203861</v>
      </c>
      <c r="FI37" s="276">
        <v>3.0415545031132671</v>
      </c>
      <c r="FJ37" s="272">
        <v>3.0761193300749929</v>
      </c>
      <c r="FK37" s="272">
        <v>3.1078335795279668</v>
      </c>
      <c r="FL37" s="272">
        <v>3.136907339217744</v>
      </c>
      <c r="FM37" s="272">
        <v>3.163619364495982</v>
      </c>
      <c r="FN37" s="272">
        <v>3.1882689562959601</v>
      </c>
      <c r="FO37" s="272">
        <v>3.2111470320133222</v>
      </c>
      <c r="FP37" s="272">
        <v>3.232524329719888</v>
      </c>
      <c r="FQ37" s="272">
        <v>3.2526495486757012</v>
      </c>
      <c r="FR37" s="272">
        <v>3.2717519216010058</v>
      </c>
      <c r="FS37" s="272">
        <v>3.29004530017089</v>
      </c>
      <c r="FT37" s="272">
        <v>3.3077325065476488</v>
      </c>
      <c r="FU37" s="272">
        <v>3.3250095288663948</v>
      </c>
      <c r="FV37" s="272">
        <v>3.3420694728946132</v>
      </c>
      <c r="FW37" s="272">
        <v>3.3591062462377299</v>
      </c>
      <c r="FX37" s="272">
        <v>3.376317805681595</v>
      </c>
      <c r="FY37" s="272">
        <v>3.3939083673671191</v>
      </c>
      <c r="FZ37" s="272">
        <v>3.412088092884658</v>
      </c>
      <c r="GA37" s="272">
        <v>3.431067392409306</v>
      </c>
      <c r="GB37" s="272">
        <v>3.4510420859613409</v>
      </c>
      <c r="GC37" s="272">
        <v>3.472168372474508</v>
      </c>
    </row>
    <row r="38" spans="2:185" ht="15" thickBot="1" x14ac:dyDescent="0.4">
      <c r="B38" s="298">
        <v>32</v>
      </c>
      <c r="C38" s="275">
        <v>-0.63174485481286047</v>
      </c>
      <c r="D38" s="275">
        <v>-0.59134838696762959</v>
      </c>
      <c r="E38" s="275">
        <v>-0.5508299434808116</v>
      </c>
      <c r="F38" s="275">
        <v>-0.51018043044055761</v>
      </c>
      <c r="G38" s="275">
        <v>-0.46938958833653222</v>
      </c>
      <c r="H38" s="275">
        <v>-0.42844578160237412</v>
      </c>
      <c r="I38" s="275">
        <v>-0.38733573785905823</v>
      </c>
      <c r="J38" s="275">
        <v>-0.34604422149320879</v>
      </c>
      <c r="K38" s="275">
        <v>-0.30455362043956857</v>
      </c>
      <c r="L38" s="275">
        <v>-0.26284341673493489</v>
      </c>
      <c r="M38" s="275">
        <v>-0.2208894993498684</v>
      </c>
      <c r="N38" s="275">
        <v>-0.17866326025055701</v>
      </c>
      <c r="O38" s="275">
        <v>-0.13613038943728981</v>
      </c>
      <c r="P38" s="275">
        <v>-9.3249250344663956E-2</v>
      </c>
      <c r="Q38" s="275">
        <v>-4.9968677446689348E-2</v>
      </c>
      <c r="R38" s="275">
        <v>-6.2250206848567888E-3</v>
      </c>
      <c r="S38" s="275">
        <v>3.8061620815847817E-2</v>
      </c>
      <c r="T38" s="275">
        <v>8.2991393434470664E-2</v>
      </c>
      <c r="U38" s="275">
        <v>0.12868608009055321</v>
      </c>
      <c r="V38" s="275">
        <v>0.17527942727089979</v>
      </c>
      <c r="W38" s="275">
        <v>0.22288201682056549</v>
      </c>
      <c r="X38" s="275">
        <v>0.27152243608715287</v>
      </c>
      <c r="Y38" s="275">
        <v>0.32111432838696818</v>
      </c>
      <c r="Z38" s="275">
        <v>0.37149034966326178</v>
      </c>
      <c r="AA38" s="275">
        <v>0.42246203064501342</v>
      </c>
      <c r="AB38" s="275">
        <v>0.47385600222794311</v>
      </c>
      <c r="AC38" s="275">
        <v>0.52552491131088253</v>
      </c>
      <c r="AD38" s="275">
        <v>0.57734760693900611</v>
      </c>
      <c r="AE38" s="275">
        <v>0.62922754643790613</v>
      </c>
      <c r="AF38" s="275">
        <v>0.68109353408003359</v>
      </c>
      <c r="AG38" s="275">
        <v>0.73290307603646798</v>
      </c>
      <c r="AH38" s="275">
        <v>0.78461457675549073</v>
      </c>
      <c r="AI38" s="275">
        <v>0.83613589866137328</v>
      </c>
      <c r="AJ38" s="275">
        <v>0.8873731410366229</v>
      </c>
      <c r="AK38" s="275">
        <v>0.93825551465946722</v>
      </c>
      <c r="AL38" s="275">
        <v>0.98872853986444464</v>
      </c>
      <c r="AM38" s="275">
        <v>1.03874923546905</v>
      </c>
      <c r="AN38" s="275">
        <v>1.088283564736124</v>
      </c>
      <c r="AO38" s="275">
        <v>1.1373048374738359</v>
      </c>
      <c r="AP38" s="275">
        <v>1.185792566778872</v>
      </c>
      <c r="AQ38" s="275">
        <v>1.2337315855187789</v>
      </c>
      <c r="AR38" s="275">
        <v>1.2811113401925469</v>
      </c>
      <c r="AS38" s="275">
        <v>1.3279253258829169</v>
      </c>
      <c r="AT38" s="275">
        <v>1.3741706476776121</v>
      </c>
      <c r="AU38" s="275">
        <v>1.4198477068536159</v>
      </c>
      <c r="AV38" s="275">
        <v>1.464960021185076</v>
      </c>
      <c r="AW38" s="275">
        <v>1.5095141997706361</v>
      </c>
      <c r="AX38" s="275">
        <v>1.5535200916609719</v>
      </c>
      <c r="AY38" s="275">
        <v>1.596991038143684</v>
      </c>
      <c r="AZ38" s="275">
        <v>1.639943671969361</v>
      </c>
      <c r="BA38" s="275">
        <v>1.68239532643551</v>
      </c>
      <c r="BB38" s="275">
        <v>1.7243572476536231</v>
      </c>
      <c r="BC38" s="275">
        <v>1.765829715565354</v>
      </c>
      <c r="BD38" s="275">
        <v>1.8068063836629309</v>
      </c>
      <c r="BE38" s="275">
        <v>1.847280505269135</v>
      </c>
      <c r="BF38" s="275">
        <v>1.8872469178407381</v>
      </c>
      <c r="BG38" s="275">
        <v>1.926701567364975</v>
      </c>
      <c r="BH38" s="275">
        <v>1.9656404826715419</v>
      </c>
      <c r="BI38" s="275">
        <v>2.0040587251438131</v>
      </c>
      <c r="BJ38" s="275">
        <v>2.041949346975469</v>
      </c>
      <c r="BK38" s="275">
        <v>2.079302293440906</v>
      </c>
      <c r="BL38" s="275">
        <v>2.1161031719362051</v>
      </c>
      <c r="BM38" s="275">
        <v>2.1523318061246708</v>
      </c>
      <c r="BN38" s="275">
        <v>2.1879604869496609</v>
      </c>
      <c r="BO38" s="275">
        <v>2.2229518353036242</v>
      </c>
      <c r="BP38" s="275">
        <v>2.257256246702334</v>
      </c>
      <c r="BQ38" s="275">
        <v>2.290809121728453</v>
      </c>
      <c r="BR38" s="275">
        <v>2.32352882121699</v>
      </c>
      <c r="BS38" s="275">
        <v>2.3553181529085858</v>
      </c>
      <c r="BT38" s="275">
        <v>2.3860754582880221</v>
      </c>
      <c r="BU38" s="275">
        <v>2.415722209299251</v>
      </c>
      <c r="BV38" s="275">
        <v>2.4442412031893261</v>
      </c>
      <c r="BW38" s="275">
        <v>2.4716961746399901</v>
      </c>
      <c r="BX38" s="275">
        <v>2.4982121569927611</v>
      </c>
      <c r="BY38" s="275">
        <v>2.5239372533816229</v>
      </c>
      <c r="BZ38" s="275">
        <v>2.5490149909508659</v>
      </c>
      <c r="CA38" s="275">
        <v>2.5735731616832411</v>
      </c>
      <c r="CB38" s="275">
        <v>2.5977222311087829</v>
      </c>
      <c r="CC38" s="275">
        <v>2.621557236094227</v>
      </c>
      <c r="CD38" s="275">
        <v>2.6451603536697559</v>
      </c>
      <c r="CE38" s="275">
        <v>2.668603189218643</v>
      </c>
      <c r="CF38" s="275">
        <v>2.6919485660571412</v>
      </c>
      <c r="CG38" s="275">
        <v>2.7152518302201192</v>
      </c>
      <c r="CH38" s="275">
        <v>2.7385617381097291</v>
      </c>
      <c r="CI38" s="275">
        <v>2.7619209963111571</v>
      </c>
      <c r="CJ38" s="275">
        <v>2.7853665177097491</v>
      </c>
      <c r="CK38" s="275">
        <v>2.8089294681530319</v>
      </c>
      <c r="CL38" s="275">
        <v>2.83263523089752</v>
      </c>
      <c r="CM38" s="275">
        <v>2.856503560307611</v>
      </c>
      <c r="CN38" s="275">
        <v>2.880549450132837</v>
      </c>
      <c r="CO38" s="275">
        <v>2.9047853039409439</v>
      </c>
      <c r="CP38" s="275"/>
      <c r="CQ38" s="276">
        <v>-1.153550673385678</v>
      </c>
      <c r="CR38" s="276">
        <v>-1.094101172419726</v>
      </c>
      <c r="CS38" s="276">
        <v>-1.0343579564948</v>
      </c>
      <c r="CT38" s="276">
        <v>-0.97431582440182041</v>
      </c>
      <c r="CU38" s="276">
        <v>-0.91397090115158974</v>
      </c>
      <c r="CV38" s="276">
        <v>-0.85332103918246283</v>
      </c>
      <c r="CW38" s="276">
        <v>-0.79236630321688661</v>
      </c>
      <c r="CX38" s="276">
        <v>-0.73110955312229109</v>
      </c>
      <c r="CY38" s="276">
        <v>-0.66955714130056609</v>
      </c>
      <c r="CZ38" s="276">
        <v>-0.60771974387570094</v>
      </c>
      <c r="DA38" s="276">
        <v>-0.54561334860590005</v>
      </c>
      <c r="DB38" s="276">
        <v>-0.48326042738399971</v>
      </c>
      <c r="DC38" s="276">
        <v>-0.42069132737439119</v>
      </c>
      <c r="DD38" s="276">
        <v>-0.35794592027297151</v>
      </c>
      <c r="DE38" s="276">
        <v>-0.29507554501200861</v>
      </c>
      <c r="DF38" s="276">
        <v>-0.23214523537563719</v>
      </c>
      <c r="DG38" s="276">
        <v>-0.16923605056405841</v>
      </c>
      <c r="DH38" s="276">
        <v>-0.1064467894708753</v>
      </c>
      <c r="DI38" s="276">
        <v>-4.3893011026366169E-2</v>
      </c>
      <c r="DJ38" s="276">
        <v>1.8301085989084479E-2</v>
      </c>
      <c r="DK38" s="276">
        <v>8.0022977788494265E-2</v>
      </c>
      <c r="DL38" s="276">
        <v>0.14120005918051429</v>
      </c>
      <c r="DM38" s="276">
        <v>0.2018146386990454</v>
      </c>
      <c r="DN38" s="276">
        <v>0.26189068482886407</v>
      </c>
      <c r="DO38" s="276">
        <v>0.32146734321111492</v>
      </c>
      <c r="DP38" s="276">
        <v>0.38058043703138422</v>
      </c>
      <c r="DQ38" s="276">
        <v>0.43925629521702447</v>
      </c>
      <c r="DR38" s="276">
        <v>0.49751304435625882</v>
      </c>
      <c r="DS38" s="276">
        <v>0.55536538951527037</v>
      </c>
      <c r="DT38" s="276">
        <v>0.61283177429184565</v>
      </c>
      <c r="DU38" s="276">
        <v>0.66994085908316414</v>
      </c>
      <c r="DV38" s="276">
        <v>0.72670792132877571</v>
      </c>
      <c r="DW38" s="276">
        <v>0.78309650509660678</v>
      </c>
      <c r="DX38" s="276">
        <v>0.83906048562787117</v>
      </c>
      <c r="DY38" s="276">
        <v>0.89457148802590503</v>
      </c>
      <c r="DZ38" s="276">
        <v>0.94961638936895953</v>
      </c>
      <c r="EA38" s="276">
        <v>1.004194179969619</v>
      </c>
      <c r="EB38" s="276">
        <v>1.058314586217038</v>
      </c>
      <c r="EC38" s="276">
        <v>1.1119975505843149</v>
      </c>
      <c r="ED38" s="276">
        <v>1.165273168212827</v>
      </c>
      <c r="EE38" s="276">
        <v>1.2181819756163419</v>
      </c>
      <c r="EF38" s="276">
        <v>1.2707756236379051</v>
      </c>
      <c r="EG38" s="276">
        <v>1.3231180542470911</v>
      </c>
      <c r="EH38" s="276">
        <v>1.3752873916905071</v>
      </c>
      <c r="EI38" s="276">
        <v>1.427378887455272</v>
      </c>
      <c r="EJ38" s="276">
        <v>1.479509453712661</v>
      </c>
      <c r="EK38" s="276">
        <v>1.5318245638501911</v>
      </c>
      <c r="EL38" s="276">
        <v>1.584508271863023</v>
      </c>
      <c r="EM38" s="276">
        <v>1.6377949677053849</v>
      </c>
      <c r="EN38" s="276">
        <v>1.6919698469907241</v>
      </c>
      <c r="EO38" s="276">
        <v>1.7473120459493321</v>
      </c>
      <c r="EP38" s="276">
        <v>1.8039375017234851</v>
      </c>
      <c r="EQ38" s="276">
        <v>1.8616878715231859</v>
      </c>
      <c r="ER38" s="276">
        <v>1.920240642185163</v>
      </c>
      <c r="ES38" s="276">
        <v>1.9792652616892641</v>
      </c>
      <c r="ET38" s="276">
        <v>2.0384789203960971</v>
      </c>
      <c r="EU38" s="276">
        <v>2.097644879380105</v>
      </c>
      <c r="EV38" s="276">
        <v>2.1565593460827541</v>
      </c>
      <c r="EW38" s="276">
        <v>2.2150398604272041</v>
      </c>
      <c r="EX38" s="276">
        <v>2.27291650171962</v>
      </c>
      <c r="EY38" s="276">
        <v>2.3300250717099389</v>
      </c>
      <c r="EZ38" s="276">
        <v>2.3862013540543141</v>
      </c>
      <c r="FA38" s="276">
        <v>2.441275757574636</v>
      </c>
      <c r="FB38" s="276">
        <v>2.4950678068255159</v>
      </c>
      <c r="FC38" s="276">
        <v>2.5473800606237038</v>
      </c>
      <c r="FD38" s="276">
        <v>2.5979912476279838</v>
      </c>
      <c r="FE38" s="276">
        <v>2.6466490479390008</v>
      </c>
      <c r="FF38" s="276">
        <v>2.6930648667114401</v>
      </c>
      <c r="FG38" s="276">
        <v>2.736917771523633</v>
      </c>
      <c r="FH38" s="276">
        <v>2.7778831781240481</v>
      </c>
      <c r="FI38" s="276">
        <v>2.8157040455225588</v>
      </c>
      <c r="FJ38" s="272">
        <v>2.8502893300679708</v>
      </c>
      <c r="FK38" s="272">
        <v>2.8817645295349421</v>
      </c>
      <c r="FL38" s="272">
        <v>2.910421085843355</v>
      </c>
      <c r="FM38" s="272">
        <v>2.9366178730929668</v>
      </c>
      <c r="FN38" s="272">
        <v>2.9607099349755508</v>
      </c>
      <c r="FO38" s="272">
        <v>2.9830197165086729</v>
      </c>
      <c r="FP38" s="272">
        <v>3.003833022781889</v>
      </c>
      <c r="FQ38" s="272">
        <v>3.0234041120761699</v>
      </c>
      <c r="FR38" s="272">
        <v>3.041962740476182</v>
      </c>
      <c r="FS38" s="272">
        <v>3.059720794824893</v>
      </c>
      <c r="FT38" s="272">
        <v>3.0768780557707589</v>
      </c>
      <c r="FU38" s="272">
        <v>3.0936272472367241</v>
      </c>
      <c r="FV38" s="272">
        <v>3.110158682629065</v>
      </c>
      <c r="FW38" s="272">
        <v>3.1266648155328092</v>
      </c>
      <c r="FX38" s="272">
        <v>3.1433448946183149</v>
      </c>
      <c r="FY38" s="272">
        <v>3.1604095716555531</v>
      </c>
      <c r="FZ38" s="272">
        <v>3.178084284707682</v>
      </c>
      <c r="GA38" s="272">
        <v>3.1966076772150291</v>
      </c>
      <c r="GB38" s="272">
        <v>3.2162168595149381</v>
      </c>
      <c r="GC38" s="272">
        <v>3.2371101619650768</v>
      </c>
    </row>
    <row r="39" spans="2:185" ht="15" thickBot="1" x14ac:dyDescent="0.4">
      <c r="B39" s="298">
        <v>33</v>
      </c>
      <c r="C39" s="275">
        <v>-0.85188573870995976</v>
      </c>
      <c r="D39" s="275">
        <v>-0.81153941528719875</v>
      </c>
      <c r="E39" s="275">
        <v>-0.77106796696238267</v>
      </c>
      <c r="F39" s="275">
        <v>-0.7304616623261927</v>
      </c>
      <c r="G39" s="275">
        <v>-0.6897094996971479</v>
      </c>
      <c r="H39" s="275">
        <v>-0.64879897887109828</v>
      </c>
      <c r="I39" s="275">
        <v>-0.60771582005746316</v>
      </c>
      <c r="J39" s="275">
        <v>-0.5664436150179385</v>
      </c>
      <c r="K39" s="275">
        <v>-0.52496339056853281</v>
      </c>
      <c r="L39" s="275">
        <v>-0.48325305819941689</v>
      </c>
      <c r="M39" s="275">
        <v>-0.44128671540279613</v>
      </c>
      <c r="N39" s="275">
        <v>-0.39903375473164021</v>
      </c>
      <c r="O39" s="275">
        <v>-0.35645772780433188</v>
      </c>
      <c r="P39" s="275">
        <v>-0.31351491072260818</v>
      </c>
      <c r="Q39" s="275">
        <v>-0.27015254565353852</v>
      </c>
      <c r="R39" s="275">
        <v>-0.22630684577490481</v>
      </c>
      <c r="S39" s="275">
        <v>-0.18190117926699551</v>
      </c>
      <c r="T39" s="275">
        <v>-0.13684565652406691</v>
      </c>
      <c r="U39" s="275">
        <v>-9.1040942497914543E-2</v>
      </c>
      <c r="V39" s="275">
        <v>-4.4391003293521671E-2</v>
      </c>
      <c r="W39" s="275">
        <v>3.171907092785216E-3</v>
      </c>
      <c r="X39" s="275">
        <v>5.1657323174597217E-2</v>
      </c>
      <c r="Y39" s="275">
        <v>0.1010025491756375</v>
      </c>
      <c r="Z39" s="275">
        <v>0.1510876436183185</v>
      </c>
      <c r="AA39" s="275">
        <v>0.2017663388796736</v>
      </c>
      <c r="AB39" s="275">
        <v>0.25289209751395819</v>
      </c>
      <c r="AC39" s="275">
        <v>0.30433207677614221</v>
      </c>
      <c r="AD39" s="275">
        <v>0.35597243272218848</v>
      </c>
      <c r="AE39" s="275">
        <v>0.40771979676622411</v>
      </c>
      <c r="AF39" s="275">
        <v>0.45950121540581701</v>
      </c>
      <c r="AG39" s="275">
        <v>0.51125946126270827</v>
      </c>
      <c r="AH39" s="275">
        <v>0.56293543088406561</v>
      </c>
      <c r="AI39" s="275">
        <v>0.61445280551466197</v>
      </c>
      <c r="AJ39" s="275">
        <v>0.66573100973067978</v>
      </c>
      <c r="AK39" s="275">
        <v>0.71670036234994183</v>
      </c>
      <c r="AL39" s="275">
        <v>0.76730428587115573</v>
      </c>
      <c r="AM39" s="275">
        <v>0.81749723867450397</v>
      </c>
      <c r="AN39" s="275">
        <v>0.86724265946556567</v>
      </c>
      <c r="AO39" s="275">
        <v>0.91651143668603507</v>
      </c>
      <c r="AP39" s="275">
        <v>0.96528076706823718</v>
      </c>
      <c r="AQ39" s="275">
        <v>1.0135332709796121</v>
      </c>
      <c r="AR39" s="275">
        <v>1.0612562877424261</v>
      </c>
      <c r="AS39" s="275">
        <v>1.1084413109589091</v>
      </c>
      <c r="AT39" s="275">
        <v>1.155083545680464</v>
      </c>
      <c r="AU39" s="275">
        <v>1.201181584624978</v>
      </c>
      <c r="AV39" s="275">
        <v>1.246737217183328</v>
      </c>
      <c r="AW39" s="275">
        <v>1.291755412331222</v>
      </c>
      <c r="AX39" s="275">
        <v>1.336244572109903</v>
      </c>
      <c r="AY39" s="275">
        <v>1.3802172571963149</v>
      </c>
      <c r="AZ39" s="275">
        <v>1.423691563001765</v>
      </c>
      <c r="BA39" s="275">
        <v>1.4666909074996739</v>
      </c>
      <c r="BB39" s="275">
        <v>1.5092312955318781</v>
      </c>
      <c r="BC39" s="275">
        <v>1.5513061918449229</v>
      </c>
      <c r="BD39" s="275">
        <v>1.592901091656969</v>
      </c>
      <c r="BE39" s="275">
        <v>1.634005679588338</v>
      </c>
      <c r="BF39" s="275">
        <v>1.674613423587066</v>
      </c>
      <c r="BG39" s="275">
        <v>1.7147195163697111</v>
      </c>
      <c r="BH39" s="275">
        <v>1.754319377714322</v>
      </c>
      <c r="BI39" s="275">
        <v>1.793407509368979</v>
      </c>
      <c r="BJ39" s="275">
        <v>1.8319764644635359</v>
      </c>
      <c r="BK39" s="275">
        <v>1.8700157874296039</v>
      </c>
      <c r="BL39" s="275">
        <v>1.907510818758331</v>
      </c>
      <c r="BM39" s="275">
        <v>1.9444412583670061</v>
      </c>
      <c r="BN39" s="275">
        <v>1.9807793526081161</v>
      </c>
      <c r="BO39" s="275">
        <v>2.0164875140906271</v>
      </c>
      <c r="BP39" s="275">
        <v>2.051515105160163</v>
      </c>
      <c r="BQ39" s="275">
        <v>2.0857940686495979</v>
      </c>
      <c r="BR39" s="275">
        <v>2.1192333598702588</v>
      </c>
      <c r="BS39" s="275">
        <v>2.1517139011994728</v>
      </c>
      <c r="BT39" s="275">
        <v>2.183092494154689</v>
      </c>
      <c r="BU39" s="275">
        <v>2.213236574551988</v>
      </c>
      <c r="BV39" s="275">
        <v>2.2421008196621659</v>
      </c>
      <c r="BW39" s="275">
        <v>2.2697762244625759</v>
      </c>
      <c r="BX39" s="275">
        <v>2.2964409756131201</v>
      </c>
      <c r="BY39" s="275">
        <v>2.3222837875440621</v>
      </c>
      <c r="BZ39" s="275">
        <v>2.3474690763739599</v>
      </c>
      <c r="CA39" s="275">
        <v>2.3721329551691102</v>
      </c>
      <c r="CB39" s="275">
        <v>2.396388156800366</v>
      </c>
      <c r="CC39" s="275">
        <v>2.420329440622937</v>
      </c>
      <c r="CD39" s="275">
        <v>2.444037751831857</v>
      </c>
      <c r="CE39" s="275">
        <v>2.467583168600386</v>
      </c>
      <c r="CF39" s="275">
        <v>2.4910269409406292</v>
      </c>
      <c r="CG39" s="275">
        <v>2.5144228756367411</v>
      </c>
      <c r="CH39" s="275">
        <v>2.5378182391639021</v>
      </c>
      <c r="CI39" s="275">
        <v>2.5612542869387411</v>
      </c>
      <c r="CJ39" s="275">
        <v>2.58476648410881</v>
      </c>
      <c r="CK39" s="275">
        <v>2.6083844579744579</v>
      </c>
      <c r="CL39" s="275">
        <v>2.6321317315324748</v>
      </c>
      <c r="CM39" s="275">
        <v>2.6560254195769071</v>
      </c>
      <c r="CN39" s="275">
        <v>2.680076590473468</v>
      </c>
      <c r="CO39" s="275">
        <v>2.7042930462887038</v>
      </c>
      <c r="CP39" s="275"/>
      <c r="CQ39" s="276">
        <v>-1.379180478070424</v>
      </c>
      <c r="CR39" s="276">
        <v>-1.3197566782519921</v>
      </c>
      <c r="CS39" s="276">
        <v>-1.2600534957309919</v>
      </c>
      <c r="CT39" s="276">
        <v>-1.200067783549337</v>
      </c>
      <c r="CU39" s="276">
        <v>-1.139797935995408</v>
      </c>
      <c r="CV39" s="276">
        <v>-1.0792442947521199</v>
      </c>
      <c r="CW39" s="276">
        <v>-1.018409632285139</v>
      </c>
      <c r="CX39" s="276">
        <v>-0.95729972407948205</v>
      </c>
      <c r="CY39" s="276">
        <v>-0.89592402244347769</v>
      </c>
      <c r="CZ39" s="276">
        <v>-0.83429644559275262</v>
      </c>
      <c r="DA39" s="276">
        <v>-0.77243629626029309</v>
      </c>
      <c r="DB39" s="276">
        <v>-0.71036932317051038</v>
      </c>
      <c r="DC39" s="276">
        <v>-0.6481289337367051</v>
      </c>
      <c r="DD39" s="276">
        <v>-0.58575755064539292</v>
      </c>
      <c r="DE39" s="276">
        <v>-0.52330806264871077</v>
      </c>
      <c r="DF39" s="276">
        <v>-0.46084521531403899</v>
      </c>
      <c r="DG39" s="276">
        <v>-0.39844655042654109</v>
      </c>
      <c r="DH39" s="276">
        <v>-0.33620202996262322</v>
      </c>
      <c r="DI39" s="276">
        <v>-0.27421075191950228</v>
      </c>
      <c r="DJ39" s="276">
        <v>-0.21257269071851809</v>
      </c>
      <c r="DK39" s="276">
        <v>-0.1513748488025688</v>
      </c>
      <c r="DL39" s="276">
        <v>-9.0676153623776554E-2</v>
      </c>
      <c r="DM39" s="276">
        <v>-3.0500153052002588E-2</v>
      </c>
      <c r="DN39" s="276">
        <v>2.9159317346807889E-2</v>
      </c>
      <c r="DO39" s="276">
        <v>8.8324691650339307E-2</v>
      </c>
      <c r="DP39" s="276">
        <v>0.14702254382218441</v>
      </c>
      <c r="DQ39" s="276">
        <v>0.20527716672306481</v>
      </c>
      <c r="DR39" s="276">
        <v>0.26310933907918832</v>
      </c>
      <c r="DS39" s="276">
        <v>0.32053823117296881</v>
      </c>
      <c r="DT39" s="276">
        <v>0.37758405141547557</v>
      </c>
      <c r="DU39" s="276">
        <v>0.43426631797101128</v>
      </c>
      <c r="DV39" s="276">
        <v>0.49059101831501201</v>
      </c>
      <c r="DW39" s="276">
        <v>0.54654056757454939</v>
      </c>
      <c r="DX39" s="276">
        <v>0.60208711219195798</v>
      </c>
      <c r="DY39" s="276">
        <v>0.65720860200476805</v>
      </c>
      <c r="DZ39" s="276">
        <v>0.71189360159031789</v>
      </c>
      <c r="EA39" s="276">
        <v>0.7661412296587029</v>
      </c>
      <c r="EB39" s="276">
        <v>0.81996052564137445</v>
      </c>
      <c r="EC39" s="276">
        <v>0.87337010120086189</v>
      </c>
      <c r="ED39" s="276">
        <v>0.92639811951317919</v>
      </c>
      <c r="EE39" s="276">
        <v>0.97908258487383604</v>
      </c>
      <c r="EF39" s="276">
        <v>1.0314719809519171</v>
      </c>
      <c r="EG39" s="276">
        <v>1.0836263668552679</v>
      </c>
      <c r="EH39" s="276">
        <v>1.1356191339568531</v>
      </c>
      <c r="EI39" s="276">
        <v>1.187539781667144</v>
      </c>
      <c r="EJ39" s="276">
        <v>1.2394983663363199</v>
      </c>
      <c r="EK39" s="276">
        <v>1.291632889683852</v>
      </c>
      <c r="EL39" s="276">
        <v>1.3441222062992511</v>
      </c>
      <c r="EM39" s="276">
        <v>1.397209533303637</v>
      </c>
      <c r="EN39" s="276">
        <v>1.451241090193502</v>
      </c>
      <c r="EO39" s="276">
        <v>1.506666563308749</v>
      </c>
      <c r="EP39" s="276">
        <v>1.56374003217431</v>
      </c>
      <c r="EQ39" s="276">
        <v>1.622163993425433</v>
      </c>
      <c r="ER39" s="276">
        <v>1.6814443866962281</v>
      </c>
      <c r="ES39" s="276">
        <v>1.7411886847067051</v>
      </c>
      <c r="ET39" s="276">
        <v>1.8011043766647741</v>
      </c>
      <c r="EU39" s="276">
        <v>1.860959168691662</v>
      </c>
      <c r="EV39" s="276">
        <v>1.920556161170925</v>
      </c>
      <c r="EW39" s="276">
        <v>1.9797194187590681</v>
      </c>
      <c r="EX39" s="276">
        <v>2.0382847770595132</v>
      </c>
      <c r="EY39" s="276">
        <v>2.0960932071611471</v>
      </c>
      <c r="EZ39" s="276">
        <v>2.1529853303383608</v>
      </c>
      <c r="FA39" s="276">
        <v>2.2087962198205839</v>
      </c>
      <c r="FB39" s="276">
        <v>2.2633498143619022</v>
      </c>
      <c r="FC39" s="276">
        <v>2.3164522566745069</v>
      </c>
      <c r="FD39" s="276">
        <v>2.367883338260711</v>
      </c>
      <c r="FE39" s="276">
        <v>2.4173851495924348</v>
      </c>
      <c r="FF39" s="276">
        <v>2.4646477538977329</v>
      </c>
      <c r="FG39" s="276">
        <v>2.5092962695399361</v>
      </c>
      <c r="FH39" s="276">
        <v>2.550901047814504</v>
      </c>
      <c r="FI39" s="276">
        <v>2.5890672852688001</v>
      </c>
      <c r="FJ39" s="272">
        <v>2.623632405663515</v>
      </c>
      <c r="FK39" s="272">
        <v>2.6547925041745719</v>
      </c>
      <c r="FL39" s="272">
        <v>2.6829758384534168</v>
      </c>
      <c r="FM39" s="272">
        <v>2.7086453781410098</v>
      </c>
      <c r="FN39" s="272">
        <v>2.7322091164150422</v>
      </c>
      <c r="FO39" s="272">
        <v>2.7540098045534842</v>
      </c>
      <c r="FP39" s="272">
        <v>2.7743377663691891</v>
      </c>
      <c r="FQ39" s="272">
        <v>2.7934451013736221</v>
      </c>
      <c r="FR39" s="272">
        <v>2.8115568867660659</v>
      </c>
      <c r="FS39" s="272">
        <v>2.8288795536559981</v>
      </c>
      <c r="FT39" s="272">
        <v>2.8456073287444181</v>
      </c>
      <c r="FU39" s="272">
        <v>2.861927541210846</v>
      </c>
      <c r="FV39" s="272">
        <v>2.878025439673249</v>
      </c>
      <c r="FW39" s="272">
        <v>2.8940890887491211</v>
      </c>
      <c r="FX39" s="272">
        <v>2.9103149208140939</v>
      </c>
      <c r="FY39" s="272">
        <v>2.926914518934741</v>
      </c>
      <c r="FZ39" s="272">
        <v>2.944122798499972</v>
      </c>
      <c r="GA39" s="272">
        <v>2.9622053235870491</v>
      </c>
      <c r="GB39" s="272">
        <v>2.981453340048307</v>
      </c>
      <c r="GC39" s="272">
        <v>3.0021367897190441</v>
      </c>
    </row>
    <row r="40" spans="2:185" ht="15" thickBot="1" x14ac:dyDescent="0.4">
      <c r="B40" s="298">
        <v>34</v>
      </c>
      <c r="C40" s="275">
        <v>-1.071620545167481</v>
      </c>
      <c r="D40" s="275">
        <v>-1.031305118974515</v>
      </c>
      <c r="E40" s="275">
        <v>-0.99086022179163991</v>
      </c>
      <c r="F40" s="275">
        <v>-0.95027541847516395</v>
      </c>
      <c r="G40" s="275">
        <v>-0.90953890573103247</v>
      </c>
      <c r="H40" s="275">
        <v>-0.86863727249305855</v>
      </c>
      <c r="I40" s="275">
        <v>-0.8275552083822989</v>
      </c>
      <c r="J40" s="275">
        <v>-0.78627514740365501</v>
      </c>
      <c r="K40" s="275">
        <v>-0.74477683101378134</v>
      </c>
      <c r="L40" s="275">
        <v>-0.70303677155690336</v>
      </c>
      <c r="M40" s="275">
        <v>-0.66102759472499673</v>
      </c>
      <c r="N40" s="275">
        <v>-0.61871724045386556</v>
      </c>
      <c r="O40" s="275">
        <v>-0.57606801086424453</v>
      </c>
      <c r="P40" s="275">
        <v>-0.53303548328559514</v>
      </c>
      <c r="Q40" s="275">
        <v>-0.489567380616652</v>
      </c>
      <c r="R40" s="275">
        <v>-0.44560265703995111</v>
      </c>
      <c r="S40" s="275">
        <v>-0.40107138827517058</v>
      </c>
      <c r="T40" s="275">
        <v>-0.3558966161801817</v>
      </c>
      <c r="U40" s="275">
        <v>-0.30999995991405588</v>
      </c>
      <c r="V40" s="275">
        <v>-0.26331282003175382</v>
      </c>
      <c r="W40" s="275">
        <v>-0.2157927806446357</v>
      </c>
      <c r="X40" s="275">
        <v>-0.16743974244854359</v>
      </c>
      <c r="Y40" s="275">
        <v>-0.11830261791603169</v>
      </c>
      <c r="Z40" s="275">
        <v>-6.8471722361323969E-2</v>
      </c>
      <c r="AA40" s="275">
        <v>-1.806170437387215E-2</v>
      </c>
      <c r="AB40" s="275">
        <v>3.2805840638046327E-2</v>
      </c>
      <c r="AC40" s="275">
        <v>8.4014626633892434E-2</v>
      </c>
      <c r="AD40" s="275">
        <v>0.13546037656825261</v>
      </c>
      <c r="AE40" s="275">
        <v>0.18705352528713109</v>
      </c>
      <c r="AF40" s="275">
        <v>0.23871872941774999</v>
      </c>
      <c r="AG40" s="275">
        <v>0.29039015235186161</v>
      </c>
      <c r="AH40" s="275">
        <v>0.3420025656551669</v>
      </c>
      <c r="AI40" s="275">
        <v>0.39348555966381432</v>
      </c>
      <c r="AJ40" s="275">
        <v>0.44476750116715752</v>
      </c>
      <c r="AK40" s="275">
        <v>0.4957827176223491</v>
      </c>
      <c r="AL40" s="275">
        <v>0.54647486876786855</v>
      </c>
      <c r="AM40" s="275">
        <v>0.59679703980512533</v>
      </c>
      <c r="AN40" s="275">
        <v>0.64671072329812673</v>
      </c>
      <c r="AO40" s="275">
        <v>0.69618468596571714</v>
      </c>
      <c r="AP40" s="275">
        <v>0.74519397776326846</v>
      </c>
      <c r="AQ40" s="275">
        <v>0.79371910892256092</v>
      </c>
      <c r="AR40" s="275">
        <v>0.841745372839937</v>
      </c>
      <c r="AS40" s="275">
        <v>0.88926229236418475</v>
      </c>
      <c r="AT40" s="275">
        <v>0.93626317581642204</v>
      </c>
      <c r="AU40" s="275">
        <v>0.98274477937354054</v>
      </c>
      <c r="AV40" s="275">
        <v>1.028707085912864</v>
      </c>
      <c r="AW40" s="275">
        <v>1.0741532347632301</v>
      </c>
      <c r="AX40" s="275">
        <v>1.119089694565923</v>
      </c>
      <c r="AY40" s="275">
        <v>1.1635269444208649</v>
      </c>
      <c r="AZ40" s="275">
        <v>1.2074816140625819</v>
      </c>
      <c r="BA40" s="275">
        <v>1.2509837515614319</v>
      </c>
      <c r="BB40" s="275">
        <v>1.294064682595041</v>
      </c>
      <c r="BC40" s="275">
        <v>1.336700194400408</v>
      </c>
      <c r="BD40" s="275">
        <v>1.378866782899691</v>
      </c>
      <c r="BE40" s="275">
        <v>1.4205532061749671</v>
      </c>
      <c r="BF40" s="275">
        <v>1.461752592195906</v>
      </c>
      <c r="BG40" s="275">
        <v>1.5024596163480981</v>
      </c>
      <c r="BH40" s="275">
        <v>1.5426690574051229</v>
      </c>
      <c r="BI40" s="275">
        <v>1.5823747543507281</v>
      </c>
      <c r="BJ40" s="275">
        <v>1.621568665599131</v>
      </c>
      <c r="BK40" s="275">
        <v>1.6602398946391199</v>
      </c>
      <c r="BL40" s="275">
        <v>1.6983735863698179</v>
      </c>
      <c r="BM40" s="275">
        <v>1.735949592735504</v>
      </c>
      <c r="BN40" s="275">
        <v>1.77294076685709</v>
      </c>
      <c r="BO40" s="275">
        <v>1.8093106592980579</v>
      </c>
      <c r="BP40" s="275">
        <v>1.845010220958313</v>
      </c>
      <c r="BQ40" s="275">
        <v>1.879972786416102</v>
      </c>
      <c r="BR40" s="275">
        <v>1.914106008157421</v>
      </c>
      <c r="BS40" s="275">
        <v>1.947278799933907</v>
      </c>
      <c r="BT40" s="275">
        <v>1.979305171030866</v>
      </c>
      <c r="BU40" s="275">
        <v>2.009961546372157</v>
      </c>
      <c r="BV40" s="275">
        <v>2.0391388786993061</v>
      </c>
      <c r="BW40" s="275">
        <v>2.066990870947746</v>
      </c>
      <c r="BX40" s="275">
        <v>2.0937856833939561</v>
      </c>
      <c r="BY40" s="275">
        <v>2.1197537445437948</v>
      </c>
      <c r="BZ40" s="275">
        <v>2.1450703410575969</v>
      </c>
      <c r="CA40" s="275">
        <v>2.1698716736485579</v>
      </c>
      <c r="CB40" s="275">
        <v>2.1942677768487511</v>
      </c>
      <c r="CC40" s="275">
        <v>2.218350413225826</v>
      </c>
      <c r="CD40" s="275">
        <v>2.2421978755961982</v>
      </c>
      <c r="CE40" s="275">
        <v>2.2658780177976219</v>
      </c>
      <c r="CF40" s="275">
        <v>2.2894502299803041</v>
      </c>
      <c r="CG40" s="275">
        <v>2.3129667414857211</v>
      </c>
      <c r="CH40" s="275">
        <v>2.336473460788377</v>
      </c>
      <c r="CI40" s="275">
        <v>2.360010467011004</v>
      </c>
      <c r="CJ40" s="275">
        <v>2.383612207711217</v>
      </c>
      <c r="CK40" s="275">
        <v>2.407307406851082</v>
      </c>
      <c r="CL40" s="275">
        <v>2.4311186261113171</v>
      </c>
      <c r="CM40" s="275">
        <v>2.455061367039316</v>
      </c>
      <c r="CN40" s="275">
        <v>2.4791428960072759</v>
      </c>
      <c r="CO40" s="275">
        <v>2.503363690364373</v>
      </c>
      <c r="CP40" s="275"/>
      <c r="CQ40" s="276">
        <v>-1.605047987068102</v>
      </c>
      <c r="CR40" s="276">
        <v>-1.545668684507929</v>
      </c>
      <c r="CS40" s="276">
        <v>-1.486025273544072</v>
      </c>
      <c r="CT40" s="276">
        <v>-1.426116591013332</v>
      </c>
      <c r="CU40" s="276">
        <v>-1.365943191769357</v>
      </c>
      <c r="CV40" s="276">
        <v>-1.3055077502299011</v>
      </c>
      <c r="CW40" s="276">
        <v>-1.244815530597057</v>
      </c>
      <c r="CX40" s="276">
        <v>-1.1838749338921051</v>
      </c>
      <c r="CY40" s="276">
        <v>-1.1226981296204981</v>
      </c>
      <c r="CZ40" s="276">
        <v>-1.0613017785912811</v>
      </c>
      <c r="DA40" s="276">
        <v>-0.99970785021254649</v>
      </c>
      <c r="DB40" s="276">
        <v>-0.93794453052931281</v>
      </c>
      <c r="DC40" s="276">
        <v>-0.87604720242666101</v>
      </c>
      <c r="DD40" s="276">
        <v>-0.81405944905973371</v>
      </c>
      <c r="DE40" s="276">
        <v>-0.7520339714603681</v>
      </c>
      <c r="DF40" s="276">
        <v>-0.69003319838834987</v>
      </c>
      <c r="DG40" s="276">
        <v>-0.62812917400803769</v>
      </c>
      <c r="DH40" s="276">
        <v>-0.5664020390789517</v>
      </c>
      <c r="DI40" s="276">
        <v>-0.50493620240342185</v>
      </c>
      <c r="DJ40" s="276">
        <v>-0.4438135343064698</v>
      </c>
      <c r="DK40" s="276">
        <v>-0.38310419855997602</v>
      </c>
      <c r="DL40" s="276">
        <v>-0.32285797705951952</v>
      </c>
      <c r="DM40" s="276">
        <v>-0.26310018909039018</v>
      </c>
      <c r="DN40" s="276">
        <v>-0.2038342489558769</v>
      </c>
      <c r="DO40" s="276">
        <v>-0.14504880529376951</v>
      </c>
      <c r="DP40" s="276">
        <v>-8.6725347928408733E-2</v>
      </c>
      <c r="DQ40" s="276">
        <v>-2.884342847256963E-2</v>
      </c>
      <c r="DR40" s="276">
        <v>2.8617051916715899E-2</v>
      </c>
      <c r="DS40" s="276">
        <v>8.567549043485774E-2</v>
      </c>
      <c r="DT40" s="276">
        <v>0.14235023664611909</v>
      </c>
      <c r="DU40" s="276">
        <v>0.1986556922177076</v>
      </c>
      <c r="DV40" s="276">
        <v>0.25459642941002147</v>
      </c>
      <c r="DW40" s="276">
        <v>0.31016437063447888</v>
      </c>
      <c r="DX40" s="276">
        <v>0.36534430390924427</v>
      </c>
      <c r="DY40" s="276">
        <v>0.42012232520249609</v>
      </c>
      <c r="DZ40" s="276">
        <v>0.4744909494321527</v>
      </c>
      <c r="EA40" s="276">
        <v>0.52845092522515058</v>
      </c>
      <c r="EB40" s="276">
        <v>0.58201166210329536</v>
      </c>
      <c r="EC40" s="276">
        <v>0.63519133699538921</v>
      </c>
      <c r="ED40" s="276">
        <v>0.68801705881992836</v>
      </c>
      <c r="EE40" s="276">
        <v>0.74052522396904363</v>
      </c>
      <c r="EF40" s="276">
        <v>0.79276214773250508</v>
      </c>
      <c r="EG40" s="276">
        <v>0.84478508082792692</v>
      </c>
      <c r="EH40" s="276">
        <v>0.8966637858223776</v>
      </c>
      <c r="EI40" s="276">
        <v>0.94848297211458377</v>
      </c>
      <c r="EJ40" s="276">
        <v>1.000346134297569</v>
      </c>
      <c r="EK40" s="276">
        <v>1.0523818803333771</v>
      </c>
      <c r="EL40" s="276">
        <v>1.1047551978733701</v>
      </c>
      <c r="EM40" s="276">
        <v>1.1576902357506089</v>
      </c>
      <c r="EN40" s="276">
        <v>1.2115275733159541</v>
      </c>
      <c r="EO40" s="276">
        <v>1.266903963093275</v>
      </c>
      <c r="EP40" s="276">
        <v>1.3244677773074329</v>
      </c>
      <c r="EQ40" s="276">
        <v>1.383525895780346</v>
      </c>
      <c r="ER40" s="276">
        <v>1.4433958940985341</v>
      </c>
      <c r="ES40" s="276">
        <v>1.503689643799631</v>
      </c>
      <c r="ET40" s="276">
        <v>1.564132556162114</v>
      </c>
      <c r="EU40" s="276">
        <v>1.624505204692523</v>
      </c>
      <c r="EV40" s="276">
        <v>1.6846193005288119</v>
      </c>
      <c r="EW40" s="276">
        <v>1.744304998065588</v>
      </c>
      <c r="EX40" s="276">
        <v>1.803402888059497</v>
      </c>
      <c r="EY40" s="276">
        <v>1.861758138545637</v>
      </c>
      <c r="EZ40" s="276">
        <v>1.919215563082566</v>
      </c>
      <c r="FA40" s="276">
        <v>1.975614864304337</v>
      </c>
      <c r="FB40" s="276">
        <v>2.030785417725101</v>
      </c>
      <c r="FC40" s="276">
        <v>2.08453984886048</v>
      </c>
      <c r="FD40" s="276">
        <v>2.136665278893271</v>
      </c>
      <c r="FE40" s="276">
        <v>2.186910295133166</v>
      </c>
      <c r="FF40" s="276">
        <v>2.2349641681859089</v>
      </c>
      <c r="FG40" s="276">
        <v>2.280423273967346</v>
      </c>
      <c r="FH40" s="276">
        <v>2.322749536044741</v>
      </c>
      <c r="FI40" s="276">
        <v>2.361315117224732</v>
      </c>
      <c r="FJ40" s="272">
        <v>2.395794263969766</v>
      </c>
      <c r="FK40" s="272">
        <v>2.4265451162480351</v>
      </c>
      <c r="FL40" s="272">
        <v>2.4542278161042641</v>
      </c>
      <c r="FM40" s="272">
        <v>2.4794125780420702</v>
      </c>
      <c r="FN40" s="272">
        <v>2.5025349050016179</v>
      </c>
      <c r="FO40" s="272">
        <v>2.52393704277346</v>
      </c>
      <c r="FP40" s="272">
        <v>2.543901440436616</v>
      </c>
      <c r="FQ40" s="272">
        <v>2.5626713980283289</v>
      </c>
      <c r="FR40" s="272">
        <v>2.5804639403591789</v>
      </c>
      <c r="FS40" s="272">
        <v>2.597478392769434</v>
      </c>
      <c r="FT40" s="272">
        <v>2.6139026014515032</v>
      </c>
      <c r="FU40" s="272">
        <v>2.6299179239055972</v>
      </c>
      <c r="FV40" s="272">
        <v>2.645703739998134</v>
      </c>
      <c r="FW40" s="272">
        <v>2.661442124069695</v>
      </c>
      <c r="FX40" s="272">
        <v>2.677323424769964</v>
      </c>
      <c r="FY40" s="272">
        <v>2.69355387871602</v>
      </c>
      <c r="FZ40" s="272">
        <v>2.710367163249487</v>
      </c>
      <c r="GA40" s="272">
        <v>2.72804260045895</v>
      </c>
      <c r="GB40" s="272">
        <v>2.746927504041377</v>
      </c>
      <c r="GC40" s="272">
        <v>2.7674139103169901</v>
      </c>
    </row>
    <row r="41" spans="2:185" ht="15" thickBot="1" x14ac:dyDescent="0.4">
      <c r="B41" s="298">
        <v>35</v>
      </c>
      <c r="C41" s="275">
        <v>-1.2909512675676551</v>
      </c>
      <c r="D41" s="275">
        <v>-1.250648705710121</v>
      </c>
      <c r="E41" s="275">
        <v>-1.2102113743437219</v>
      </c>
      <c r="F41" s="275">
        <v>-1.169628118770089</v>
      </c>
      <c r="G41" s="275">
        <v>-1.12888633639495</v>
      </c>
      <c r="H41" s="275">
        <v>-1.0879717346974991</v>
      </c>
      <c r="I41" s="275">
        <v>-1.046868041919103</v>
      </c>
      <c r="J41" s="275">
        <v>-1.005556661264037</v>
      </c>
      <c r="K41" s="275">
        <v>-0.96401625870851904</v>
      </c>
      <c r="L41" s="275">
        <v>-0.92222227511524624</v>
      </c>
      <c r="M41" s="275">
        <v>-0.88014635692750653</v>
      </c>
      <c r="N41" s="275">
        <v>-0.83775570954312961</v>
      </c>
      <c r="O41" s="275">
        <v>-0.79501239968725779</v>
      </c>
      <c r="P41" s="275">
        <v>-0.75187267862009133</v>
      </c>
      <c r="Q41" s="275">
        <v>-0.70828648441367181</v>
      </c>
      <c r="R41" s="275">
        <v>-0.66419743186275659</v>
      </c>
      <c r="S41" s="275">
        <v>-0.61954382722443579</v>
      </c>
      <c r="T41" s="275">
        <v>-0.57426150951195654</v>
      </c>
      <c r="U41" s="275">
        <v>-0.52828942078073893</v>
      </c>
      <c r="V41" s="275">
        <v>-0.48157830174991451</v>
      </c>
      <c r="W41" s="275">
        <v>-0.43410134095586272</v>
      </c>
      <c r="X41" s="275">
        <v>-0.3858633851803055</v>
      </c>
      <c r="Y41" s="275">
        <v>-0.33690441177774089</v>
      </c>
      <c r="Z41" s="275">
        <v>-0.28729522249498102</v>
      </c>
      <c r="AA41" s="275">
        <v>-0.23712739522473611</v>
      </c>
      <c r="AB41" s="275">
        <v>-0.18650179903261771</v>
      </c>
      <c r="AC41" s="275">
        <v>-0.13551910371776099</v>
      </c>
      <c r="AD41" s="275">
        <v>-8.4273585615040059E-2</v>
      </c>
      <c r="AE41" s="275">
        <v>-3.2850169794930828E-2</v>
      </c>
      <c r="AF41" s="275">
        <v>1.8675546461106581E-2</v>
      </c>
      <c r="AG41" s="275">
        <v>7.0234472594052022E-2</v>
      </c>
      <c r="AH41" s="275">
        <v>0.1217597186703276</v>
      </c>
      <c r="AI41" s="275">
        <v>0.1731840609099127</v>
      </c>
      <c r="AJ41" s="275">
        <v>0.22444132217671611</v>
      </c>
      <c r="AK41" s="275">
        <v>0.2754697602655396</v>
      </c>
      <c r="AL41" s="275">
        <v>0.32621454825765911</v>
      </c>
      <c r="AM41" s="275">
        <v>0.37662858161579532</v>
      </c>
      <c r="AN41" s="275">
        <v>0.42667223013422539</v>
      </c>
      <c r="AO41" s="275">
        <v>0.47631267843515429</v>
      </c>
      <c r="AP41" s="275">
        <v>0.52552318725198122</v>
      </c>
      <c r="AQ41" s="275">
        <v>0.57428240202194303</v>
      </c>
      <c r="AR41" s="275">
        <v>0.62257374614660055</v>
      </c>
      <c r="AS41" s="275">
        <v>0.67038490564111086</v>
      </c>
      <c r="AT41" s="275">
        <v>0.71770740489554186</v>
      </c>
      <c r="AU41" s="275">
        <v>0.76453627597514906</v>
      </c>
      <c r="AV41" s="275">
        <v>0.81086983328146101</v>
      </c>
      <c r="AW41" s="275">
        <v>0.85670958597296298</v>
      </c>
      <c r="AX41" s="275">
        <v>0.90206037025209973</v>
      </c>
      <c r="AY41" s="275">
        <v>0.94693092930858258</v>
      </c>
      <c r="AZ41" s="275">
        <v>0.99133575491439263</v>
      </c>
      <c r="BA41" s="275">
        <v>1.035303721385203</v>
      </c>
      <c r="BB41" s="275">
        <v>1.078876780990387</v>
      </c>
      <c r="BC41" s="275">
        <v>1.1220174343450871</v>
      </c>
      <c r="BD41" s="275">
        <v>1.1647006799470849</v>
      </c>
      <c r="BE41" s="275">
        <v>1.206914722237538</v>
      </c>
      <c r="BF41" s="275">
        <v>1.248651707647692</v>
      </c>
      <c r="BG41" s="275">
        <v>1.289905201355007</v>
      </c>
      <c r="BH41" s="275">
        <v>1.330668853780731</v>
      </c>
      <c r="BI41" s="275">
        <v>1.370935419234961</v>
      </c>
      <c r="BJ41" s="275">
        <v>1.410695869948015</v>
      </c>
      <c r="BK41" s="275">
        <v>1.449938485706205</v>
      </c>
      <c r="BL41" s="275">
        <v>1.488647834649631</v>
      </c>
      <c r="BM41" s="275">
        <v>1.526803557035517</v>
      </c>
      <c r="BN41" s="275">
        <v>1.5643788305753339</v>
      </c>
      <c r="BO41" s="275">
        <v>1.6013383206922871</v>
      </c>
      <c r="BP41" s="275">
        <v>1.6376352598694881</v>
      </c>
      <c r="BQ41" s="275">
        <v>1.673206942702572</v>
      </c>
      <c r="BR41" s="275">
        <v>1.707967024550439</v>
      </c>
      <c r="BS41" s="275">
        <v>1.741790387321724</v>
      </c>
      <c r="BT41" s="275">
        <v>1.7744776662823449</v>
      </c>
      <c r="BU41" s="275">
        <v>1.805681096392123</v>
      </c>
      <c r="BV41" s="275">
        <v>1.8351173944234631</v>
      </c>
      <c r="BW41" s="275">
        <v>1.86311333818172</v>
      </c>
      <c r="BX41" s="275">
        <v>1.8900600981936431</v>
      </c>
      <c r="BY41" s="275">
        <v>1.916200260599956</v>
      </c>
      <c r="BZ41" s="275">
        <v>1.941701873963583</v>
      </c>
      <c r="CA41" s="275">
        <v>1.9666937976337151</v>
      </c>
      <c r="CB41" s="275">
        <v>1.991280686852591</v>
      </c>
      <c r="CC41" s="275">
        <v>2.0155505141535839</v>
      </c>
      <c r="CD41" s="275">
        <v>2.039578856594868</v>
      </c>
      <c r="CE41" s="275">
        <v>2.0634315534792682</v>
      </c>
      <c r="CF41" s="275">
        <v>2.0871664395326799</v>
      </c>
      <c r="CG41" s="275">
        <v>2.1108344990462</v>
      </c>
      <c r="CH41" s="275">
        <v>2.1344806232828422</v>
      </c>
      <c r="CI41" s="275">
        <v>2.158144069459401</v>
      </c>
      <c r="CJ41" s="275">
        <v>2.181858666943973</v>
      </c>
      <c r="CK41" s="275">
        <v>2.2056527668035231</v>
      </c>
      <c r="CL41" s="275">
        <v>2.2295488485012962</v>
      </c>
      <c r="CM41" s="275">
        <v>2.2535624847610021</v>
      </c>
      <c r="CN41" s="275">
        <v>2.2776996810533818</v>
      </c>
      <c r="CO41" s="275">
        <v>2.3019511756962299</v>
      </c>
      <c r="CP41" s="275"/>
      <c r="CQ41" s="276">
        <v>-1.8311561358282209</v>
      </c>
      <c r="CR41" s="276">
        <v>-1.771838623779501</v>
      </c>
      <c r="CS41" s="276">
        <v>-1.7122729210956</v>
      </c>
      <c r="CT41" s="276">
        <v>-1.652459736253528</v>
      </c>
      <c r="CU41" s="276">
        <v>-1.5924016302132731</v>
      </c>
      <c r="CV41" s="276">
        <v>-1.532103403837356</v>
      </c>
      <c r="CW41" s="276">
        <v>-1.4715725435064151</v>
      </c>
      <c r="CX41" s="276">
        <v>-1.4108197291650679</v>
      </c>
      <c r="CY41" s="276">
        <v>-1.349859407202403</v>
      </c>
      <c r="CZ41" s="276">
        <v>-1.288710427074186</v>
      </c>
      <c r="DA41" s="276">
        <v>-1.227396734170485</v>
      </c>
      <c r="DB41" s="276">
        <v>-1.165948099942379</v>
      </c>
      <c r="DC41" s="276">
        <v>-1.104400850014811</v>
      </c>
      <c r="DD41" s="276">
        <v>-1.0427985160272411</v>
      </c>
      <c r="DE41" s="276">
        <v>-0.98119227912357232</v>
      </c>
      <c r="DF41" s="276">
        <v>-0.91964098474118039</v>
      </c>
      <c r="DG41" s="276">
        <v>-0.8582103931267282</v>
      </c>
      <c r="DH41" s="276">
        <v>-0.79697122827483113</v>
      </c>
      <c r="DI41" s="276">
        <v>-0.73599561612847264</v>
      </c>
      <c r="DJ41" s="276">
        <v>-0.67535185777574025</v>
      </c>
      <c r="DK41" s="276">
        <v>-0.61509829125807336</v>
      </c>
      <c r="DL41" s="276">
        <v>-0.55527795974122451</v>
      </c>
      <c r="DM41" s="276">
        <v>-0.49591607093507578</v>
      </c>
      <c r="DN41" s="276">
        <v>-0.43702115310808309</v>
      </c>
      <c r="DO41" s="276">
        <v>-0.37858900988188271</v>
      </c>
      <c r="DP41" s="276">
        <v>-0.32060750863310572</v>
      </c>
      <c r="DQ41" s="276">
        <v>-0.26306054204337659</v>
      </c>
      <c r="DR41" s="276">
        <v>-0.20593056148593811</v>
      </c>
      <c r="DS41" s="276">
        <v>-0.14920008473501181</v>
      </c>
      <c r="DT41" s="276">
        <v>-9.2853186674882029E-2</v>
      </c>
      <c r="DU41" s="276">
        <v>-3.6877880382565523E-2</v>
      </c>
      <c r="DV41" s="276">
        <v>1.8731119041457901E-2</v>
      </c>
      <c r="DW41" s="276">
        <v>7.3971656867172927E-2</v>
      </c>
      <c r="DX41" s="276">
        <v>0.12883698971287769</v>
      </c>
      <c r="DY41" s="276">
        <v>0.18332047831728021</v>
      </c>
      <c r="DZ41" s="276">
        <v>0.2374194761600639</v>
      </c>
      <c r="EA41" s="276">
        <v>0.2911375760253852</v>
      </c>
      <c r="EB41" s="276">
        <v>0.34448570419754537</v>
      </c>
      <c r="EC41" s="276">
        <v>0.39748269247199319</v>
      </c>
      <c r="ED41" s="276">
        <v>0.45015571787159431</v>
      </c>
      <c r="EE41" s="276">
        <v>0.50254081808007012</v>
      </c>
      <c r="EF41" s="276">
        <v>0.55468361663992161</v>
      </c>
      <c r="EG41" s="276">
        <v>0.60664038881617621</v>
      </c>
      <c r="EH41" s="276">
        <v>0.65847964633838441</v>
      </c>
      <c r="EI41" s="276">
        <v>0.71028452729349789</v>
      </c>
      <c r="EJ41" s="276">
        <v>0.7621564987212599</v>
      </c>
      <c r="EK41" s="276">
        <v>0.81422136100742382</v>
      </c>
      <c r="EL41" s="276">
        <v>0.86663972419349111</v>
      </c>
      <c r="EM41" s="276">
        <v>0.91962760647420705</v>
      </c>
      <c r="EN41" s="276">
        <v>0.97350682554736867</v>
      </c>
      <c r="EO41" s="276">
        <v>1.0289176901814889</v>
      </c>
      <c r="EP41" s="276">
        <v>1.0867939194530041</v>
      </c>
      <c r="EQ41" s="276">
        <v>1.14615531950228</v>
      </c>
      <c r="ER41" s="276">
        <v>1.206314204909761</v>
      </c>
      <c r="ES41" s="276">
        <v>1.2668995517762871</v>
      </c>
      <c r="ET41" s="276">
        <v>1.3276433255143161</v>
      </c>
      <c r="EU41" s="276">
        <v>1.388329025850316</v>
      </c>
      <c r="EV41" s="276">
        <v>1.448769906586286</v>
      </c>
      <c r="EW41" s="276">
        <v>1.508797156159905</v>
      </c>
      <c r="EX41" s="276">
        <v>1.5682523322242099</v>
      </c>
      <c r="EY41" s="276">
        <v>1.626981802161271</v>
      </c>
      <c r="EZ41" s="276">
        <v>1.684832086891225</v>
      </c>
      <c r="FA41" s="276">
        <v>1.741645426146746</v>
      </c>
      <c r="FB41" s="276">
        <v>1.79725499689803</v>
      </c>
      <c r="FC41" s="276">
        <v>1.851479123435481</v>
      </c>
      <c r="FD41" s="276">
        <v>1.904113462219658</v>
      </c>
      <c r="FE41" s="276">
        <v>1.9549192551031971</v>
      </c>
      <c r="FF41" s="276">
        <v>2.0036034490703871</v>
      </c>
      <c r="FG41" s="276">
        <v>2.0497797342648401</v>
      </c>
      <c r="FH41" s="276">
        <v>2.0928772324480489</v>
      </c>
      <c r="FI41" s="276">
        <v>2.1319495768366949</v>
      </c>
      <c r="FJ41" s="272">
        <v>2.1662232663494581</v>
      </c>
      <c r="FK41" s="272">
        <v>2.196502891488084</v>
      </c>
      <c r="FL41" s="272">
        <v>2.2237658059272398</v>
      </c>
      <c r="FM41" s="272">
        <v>2.2486136656233531</v>
      </c>
      <c r="FN41" s="272">
        <v>2.2714632340209508</v>
      </c>
      <c r="FO41" s="272">
        <v>2.2926375659572269</v>
      </c>
      <c r="FP41" s="272">
        <v>2.3124048246657418</v>
      </c>
      <c r="FQ41" s="272">
        <v>2.3309979946532331</v>
      </c>
      <c r="FR41" s="272">
        <v>2.348626432949644</v>
      </c>
      <c r="FS41" s="272">
        <v>2.3654834538892171</v>
      </c>
      <c r="FT41" s="272">
        <v>2.3817518456723099</v>
      </c>
      <c r="FU41" s="272">
        <v>2.3976083253010709</v>
      </c>
      <c r="FV41" s="272">
        <v>2.4132275800171308</v>
      </c>
      <c r="FW41" s="272">
        <v>2.4287864463260802</v>
      </c>
      <c r="FX41" s="272">
        <v>2.444468888281409</v>
      </c>
      <c r="FY41" s="272">
        <v>2.460472863456507</v>
      </c>
      <c r="FZ41" s="272">
        <v>2.4770213524088129</v>
      </c>
      <c r="GA41" s="272">
        <v>2.4943833762132002</v>
      </c>
      <c r="GB41" s="272">
        <v>2.5129226090800461</v>
      </c>
      <c r="GC41" s="272">
        <v>2.533198578347724</v>
      </c>
    </row>
    <row r="42" spans="2:185" ht="15" thickBot="1" x14ac:dyDescent="0.4">
      <c r="B42" s="298">
        <v>36</v>
      </c>
      <c r="C42" s="275">
        <v>-1.5098827481372969</v>
      </c>
      <c r="D42" s="275">
        <v>-1.46957645103441</v>
      </c>
      <c r="E42" s="275">
        <v>-1.4291293878308351</v>
      </c>
      <c r="F42" s="275">
        <v>-1.3885297144825011</v>
      </c>
      <c r="G42" s="275">
        <v>-1.347764085671437</v>
      </c>
      <c r="H42" s="275">
        <v>-1.306817420228251</v>
      </c>
      <c r="I42" s="275">
        <v>-1.2656726271624661</v>
      </c>
      <c r="J42" s="275">
        <v>-1.224310287575411</v>
      </c>
      <c r="K42" s="275">
        <v>-1.182708289300638</v>
      </c>
      <c r="L42" s="275">
        <v>-1.1408414149795909</v>
      </c>
      <c r="M42" s="275">
        <v>-1.0986808923268589</v>
      </c>
      <c r="N42" s="275">
        <v>-1.056193930725652</v>
      </c>
      <c r="O42" s="275">
        <v>-1.013343295980107</v>
      </c>
      <c r="P42" s="275">
        <v>-0.97008702204540853</v>
      </c>
      <c r="Q42" s="275">
        <v>-0.9263784326802087</v>
      </c>
      <c r="R42" s="275">
        <v>-0.88216675029401825</v>
      </c>
      <c r="S42" s="275">
        <v>-0.83739868725704669</v>
      </c>
      <c r="T42" s="275">
        <v>-0.79202148250721915</v>
      </c>
      <c r="U42" s="275">
        <v>-0.74598772360012311</v>
      </c>
      <c r="V42" s="275">
        <v>-0.69926179611001116</v>
      </c>
      <c r="W42" s="275">
        <v>-0.65182688310723291</v>
      </c>
      <c r="X42" s="275">
        <v>-0.60369049525367569</v>
      </c>
      <c r="Y42" s="275">
        <v>-0.5548863847429768</v>
      </c>
      <c r="Z42" s="275">
        <v>-0.50547190415012455</v>
      </c>
      <c r="AA42" s="275">
        <v>-0.4555217659399915</v>
      </c>
      <c r="AB42" s="275">
        <v>-0.40512038107318599</v>
      </c>
      <c r="AC42" s="275">
        <v>-0.35435486508457581</v>
      </c>
      <c r="AD42" s="275">
        <v>-0.30330992903230708</v>
      </c>
      <c r="AE42" s="275">
        <v>-0.25206505313806371</v>
      </c>
      <c r="AF42" s="275">
        <v>-0.20069388446946321</v>
      </c>
      <c r="AG42" s="275">
        <v>-0.14926542845491261</v>
      </c>
      <c r="AH42" s="275">
        <v>-9.784596756918118E-2</v>
      </c>
      <c r="AI42" s="275">
        <v>-4.6500155620936567E-2</v>
      </c>
      <c r="AJ42" s="275">
        <v>4.7095925647564476E-3</v>
      </c>
      <c r="AK42" s="275">
        <v>5.5724812838070292E-2</v>
      </c>
      <c r="AL42" s="275">
        <v>0.1064925874662999</v>
      </c>
      <c r="AM42" s="275">
        <v>0.1569663826935814</v>
      </c>
      <c r="AN42" s="275">
        <v>0.20710617434883319</v>
      </c>
      <c r="AO42" s="275">
        <v>0.2568781483633602</v>
      </c>
      <c r="AP42" s="275">
        <v>0.30625421724265811</v>
      </c>
      <c r="AQ42" s="275">
        <v>0.3552114922106413</v>
      </c>
      <c r="AR42" s="275">
        <v>0.40373177904577862</v>
      </c>
      <c r="AS42" s="275">
        <v>0.45180112835607789</v>
      </c>
      <c r="AT42" s="275">
        <v>0.49940945581110879</v>
      </c>
      <c r="AU42" s="275">
        <v>0.54655024569960586</v>
      </c>
      <c r="AV42" s="275">
        <v>0.59322035968349818</v>
      </c>
      <c r="AW42" s="275">
        <v>0.63941999731303945</v>
      </c>
      <c r="AX42" s="275">
        <v>0.68515291734060835</v>
      </c>
      <c r="AY42" s="275">
        <v>0.73042719368372877</v>
      </c>
      <c r="AZ42" s="275">
        <v>0.7752571448281409</v>
      </c>
      <c r="BA42" s="275">
        <v>0.81966567019984327</v>
      </c>
      <c r="BB42" s="275">
        <v>0.86366936241807846</v>
      </c>
      <c r="BC42" s="275">
        <v>0.90725313052997869</v>
      </c>
      <c r="BD42" s="275">
        <v>0.9503949846443116</v>
      </c>
      <c r="BE42" s="275">
        <v>0.99308031651520068</v>
      </c>
      <c r="BF42" s="275">
        <v>1.0352989254576039</v>
      </c>
      <c r="BG42" s="275">
        <v>1.077042404108129</v>
      </c>
      <c r="BH42" s="275">
        <v>1.118302632106339</v>
      </c>
      <c r="BI42" s="275">
        <v>1.159070717573885</v>
      </c>
      <c r="BJ42" s="275">
        <v>1.1993360865569771</v>
      </c>
      <c r="BK42" s="275">
        <v>1.2390855780178101</v>
      </c>
      <c r="BL42" s="275">
        <v>1.2783024525282061</v>
      </c>
      <c r="BM42" s="275">
        <v>1.316965227926838</v>
      </c>
      <c r="BN42" s="275">
        <v>1.355046230445351</v>
      </c>
      <c r="BO42" s="275">
        <v>1.392509688405658</v>
      </c>
      <c r="BP42" s="275">
        <v>1.4293090666661701</v>
      </c>
      <c r="BQ42" s="275">
        <v>1.465383058793321</v>
      </c>
      <c r="BR42" s="275">
        <v>1.500648971002065</v>
      </c>
      <c r="BS42" s="275">
        <v>1.5349902615117521</v>
      </c>
      <c r="BT42" s="275">
        <v>1.5682274045459099</v>
      </c>
      <c r="BU42" s="275">
        <v>1.6</v>
      </c>
      <c r="BV42" s="275">
        <v>1.629651986314347</v>
      </c>
      <c r="BW42" s="275">
        <v>1.657881628606622</v>
      </c>
      <c r="BX42" s="275">
        <v>1.685091424649769</v>
      </c>
      <c r="BY42" s="275">
        <v>1.7115027807306331</v>
      </c>
      <c r="BZ42" s="275">
        <v>1.737273779914692</v>
      </c>
      <c r="CA42" s="275">
        <v>1.7625281796775361</v>
      </c>
      <c r="CB42" s="275">
        <v>1.7873677122506719</v>
      </c>
      <c r="CC42" s="275">
        <v>1.8118785126375181</v>
      </c>
      <c r="CD42" s="275">
        <v>1.836134904537545</v>
      </c>
      <c r="CE42" s="275">
        <v>1.8602018034814269</v>
      </c>
      <c r="CF42" s="275">
        <v>1.8841363124965449</v>
      </c>
      <c r="CG42" s="275">
        <v>1.907988802277808</v>
      </c>
      <c r="CH42" s="275">
        <v>1.9318036344623599</v>
      </c>
      <c r="CI42" s="275">
        <v>1.955619615813297</v>
      </c>
      <c r="CJ42" s="275">
        <v>1.979470225993234</v>
      </c>
      <c r="CK42" s="275">
        <v>2.0033836202105091</v>
      </c>
      <c r="CL42" s="275">
        <v>2.027382343340618</v>
      </c>
      <c r="CM42" s="275">
        <v>2.051482530780588</v>
      </c>
      <c r="CN42" s="275">
        <v>2.0756917710975831</v>
      </c>
      <c r="CO42" s="275">
        <v>2.1</v>
      </c>
      <c r="CP42" s="275"/>
      <c r="CQ42" s="276">
        <v>-2.0575053339129901</v>
      </c>
      <c r="CR42" s="276">
        <v>-1.998265270844972</v>
      </c>
      <c r="CS42" s="276">
        <v>-1.938793295081424</v>
      </c>
      <c r="CT42" s="276">
        <v>-1.8790918411540991</v>
      </c>
      <c r="CU42" s="276">
        <v>-1.8191652868152111</v>
      </c>
      <c r="CV42" s="276">
        <v>-1.7590203177363071</v>
      </c>
      <c r="CW42" s="276">
        <v>-1.698666338664228</v>
      </c>
      <c r="CX42" s="276">
        <v>-1.6381159313614779</v>
      </c>
      <c r="CY42" s="276">
        <v>-1.577385356571581</v>
      </c>
      <c r="CZ42" s="276">
        <v>-1.5164950921296529</v>
      </c>
      <c r="DA42" s="276">
        <v>-1.4554703909949229</v>
      </c>
      <c r="DB42" s="276">
        <v>-1.3943418296070611</v>
      </c>
      <c r="DC42" s="276">
        <v>-1.333145796010796</v>
      </c>
      <c r="DD42" s="276">
        <v>-1.27192483559734</v>
      </c>
      <c r="DE42" s="276">
        <v>-1.210727727836852</v>
      </c>
      <c r="DF42" s="276">
        <v>-1.14960911240258</v>
      </c>
      <c r="DG42" s="276">
        <v>-1.088628432619466</v>
      </c>
      <c r="DH42" s="276">
        <v>-1.0278479575172821</v>
      </c>
      <c r="DI42" s="276">
        <v>-0.96732974993585907</v>
      </c>
      <c r="DJ42" s="276">
        <v>-0.90713173771332078</v>
      </c>
      <c r="DK42" s="276">
        <v>-0.84730350043447666</v>
      </c>
      <c r="DL42" s="276">
        <v>-0.78788279265109429</v>
      </c>
      <c r="DM42" s="276">
        <v>-0.72889382804211289</v>
      </c>
      <c r="DN42" s="276">
        <v>-0.67034776918519112</v>
      </c>
      <c r="DO42" s="276">
        <v>-0.61224500609770027</v>
      </c>
      <c r="DP42" s="276">
        <v>-0.55457824250431376</v>
      </c>
      <c r="DQ42" s="276">
        <v>-0.49733544994358109</v>
      </c>
      <c r="DR42" s="276">
        <v>-0.44050222575545162</v>
      </c>
      <c r="DS42" s="276">
        <v>-0.38406363100847951</v>
      </c>
      <c r="DT42" s="276">
        <v>-0.32800588634697547</v>
      </c>
      <c r="DU42" s="276">
        <v>-0.27231814641302782</v>
      </c>
      <c r="DV42" s="276">
        <v>-0.2169939272544128</v>
      </c>
      <c r="DW42" s="276">
        <v>-0.16203121701939829</v>
      </c>
      <c r="DX42" s="276">
        <v>-0.1074307714231848</v>
      </c>
      <c r="DY42" s="276">
        <v>-5.3193280268857723E-2</v>
      </c>
      <c r="DZ42" s="276">
        <v>6.834149689414204E-4</v>
      </c>
      <c r="EA42" s="276">
        <v>5.4206388925163378E-2</v>
      </c>
      <c r="EB42" s="276">
        <v>0.1073889780940438</v>
      </c>
      <c r="EC42" s="276">
        <v>0.16025167425830489</v>
      </c>
      <c r="ED42" s="276">
        <v>0.21282283663216009</v>
      </c>
      <c r="EE42" s="276">
        <v>0.26513942620227171</v>
      </c>
      <c r="EF42" s="276">
        <v>0.317247923217304</v>
      </c>
      <c r="EG42" s="276">
        <v>0.36920559173895429</v>
      </c>
      <c r="EH42" s="276">
        <v>0.42108231033485799</v>
      </c>
      <c r="EI42" s="276">
        <v>0.47296331983533779</v>
      </c>
      <c r="EJ42" s="276">
        <v>0.52495351980138993</v>
      </c>
      <c r="EK42" s="276">
        <v>0.57718456875615809</v>
      </c>
      <c r="EL42" s="276">
        <v>0.62982755215528607</v>
      </c>
      <c r="EM42" s="276">
        <v>0.68311793162840173</v>
      </c>
      <c r="EN42" s="276">
        <v>0.73740822259186123</v>
      </c>
      <c r="EO42" s="276">
        <v>0.79323022933144038</v>
      </c>
      <c r="EP42" s="276">
        <v>0.85094520580260191</v>
      </c>
      <c r="EQ42" s="276">
        <v>0.91014323396681496</v>
      </c>
      <c r="ER42" s="276">
        <v>0.97024295463442911</v>
      </c>
      <c r="ES42" s="276">
        <v>1.0308404922657251</v>
      </c>
      <c r="ET42" s="276">
        <v>1.0916462571066849</v>
      </c>
      <c r="EU42" s="276">
        <v>1.152431228932254</v>
      </c>
      <c r="EV42" s="276">
        <v>1.213000861198207</v>
      </c>
      <c r="EW42" s="276">
        <v>1.2731811189287501</v>
      </c>
      <c r="EX42" s="276">
        <v>1.3328098853382231</v>
      </c>
      <c r="EY42" s="276">
        <v>1.3917309027027189</v>
      </c>
      <c r="EZ42" s="276">
        <v>1.449788890925368</v>
      </c>
      <c r="FA42" s="276">
        <v>1.506825058843752</v>
      </c>
      <c r="FB42" s="276">
        <v>1.562672414260672</v>
      </c>
      <c r="FC42" s="276">
        <v>1.6171502468238941</v>
      </c>
      <c r="FD42" s="276">
        <v>1.6700568930127999</v>
      </c>
      <c r="FE42" s="276">
        <v>1.721159206269854</v>
      </c>
      <c r="FF42" s="276">
        <v>1.770175419291085</v>
      </c>
      <c r="FG42" s="276">
        <v>1.816743025468929</v>
      </c>
      <c r="FH42" s="276">
        <v>1.860343757232817</v>
      </c>
      <c r="FI42" s="276">
        <v>1.9000000000000019</v>
      </c>
      <c r="FJ42" s="272">
        <v>1.9339792127859261</v>
      </c>
      <c r="FK42" s="272">
        <v>1.9640436089252551</v>
      </c>
      <c r="FL42" s="272">
        <v>1.9912003502181701</v>
      </c>
      <c r="FM42" s="272">
        <v>2.0159969962563489</v>
      </c>
      <c r="FN42" s="272">
        <v>2.0388249503108842</v>
      </c>
      <c r="FO42" s="272">
        <v>2.0599943250478039</v>
      </c>
      <c r="FP42" s="272">
        <v>2.079765882761019</v>
      </c>
      <c r="FQ42" s="272">
        <v>2.0983679642624238</v>
      </c>
      <c r="FR42" s="272">
        <v>2.1160067688080249</v>
      </c>
      <c r="FS42" s="272">
        <v>2.1328732831830588</v>
      </c>
      <c r="FT42" s="272">
        <v>2.1491484146962332</v>
      </c>
      <c r="FU42" s="272">
        <v>2.1650071833700562</v>
      </c>
      <c r="FV42" s="272">
        <v>2.1806225387617451</v>
      </c>
      <c r="FW42" s="272">
        <v>2.1961692852031049</v>
      </c>
      <c r="FX42" s="272">
        <v>2.211828684372422</v>
      </c>
      <c r="FY42" s="272">
        <v>2.2277946345568078</v>
      </c>
      <c r="FZ42" s="272">
        <v>2.2442832235435008</v>
      </c>
      <c r="GA42" s="272">
        <v>2.261550113023846</v>
      </c>
      <c r="GB42" s="272">
        <v>2.2799305329323349</v>
      </c>
      <c r="GC42" s="272">
        <v>2.299999999999998</v>
      </c>
    </row>
    <row r="43" spans="2:185" ht="15" thickBot="1" x14ac:dyDescent="0.4">
      <c r="B43" s="298">
        <v>37</v>
      </c>
      <c r="C43" s="275">
        <v>-1.7284223179899829</v>
      </c>
      <c r="D43" s="275">
        <v>-1.688097267253162</v>
      </c>
      <c r="E43" s="275">
        <v>-1.6476250047674199</v>
      </c>
      <c r="F43" s="275">
        <v>-1.6069930656258249</v>
      </c>
      <c r="G43" s="275">
        <v>-1.566187461206108</v>
      </c>
      <c r="H43" s="275">
        <v>-1.5251924612899741</v>
      </c>
      <c r="I43" s="275">
        <v>-1.4839903468805029</v>
      </c>
      <c r="J43" s="275">
        <v>-1.442561133558415</v>
      </c>
      <c r="K43" s="275">
        <v>-1.4008822685573079</v>
      </c>
      <c r="L43" s="275">
        <v>-1.3589283107845409</v>
      </c>
      <c r="M43" s="275">
        <v>-1.316670613402851</v>
      </c>
      <c r="N43" s="275">
        <v>-1.274077045647553</v>
      </c>
      <c r="O43" s="275">
        <v>-1.231111817229062</v>
      </c>
      <c r="P43" s="275">
        <v>-1.187735507782737</v>
      </c>
      <c r="Q43" s="275">
        <v>-1.143905455782011</v>
      </c>
      <c r="R43" s="275">
        <v>-1.099576718925807</v>
      </c>
      <c r="S43" s="275">
        <v>-1.0547038575068119</v>
      </c>
      <c r="T43" s="275">
        <v>-1.0092437637924321</v>
      </c>
      <c r="U43" s="275">
        <v>-0.96315959116283512</v>
      </c>
      <c r="V43" s="275">
        <v>-0.91642547247894457</v>
      </c>
      <c r="W43" s="275">
        <v>-0.86903121521151172</v>
      </c>
      <c r="X43" s="275">
        <v>-0.82098576977427296</v>
      </c>
      <c r="Y43" s="275">
        <v>-0.7723183375820345</v>
      </c>
      <c r="Z43" s="275">
        <v>-0.72307665596452109</v>
      </c>
      <c r="AA43" s="275">
        <v>-0.67332295420372323</v>
      </c>
      <c r="AB43" s="275">
        <v>-0.62312875828723724</v>
      </c>
      <c r="AC43" s="275">
        <v>-0.57256981847589861</v>
      </c>
      <c r="AD43" s="275">
        <v>-0.52172207917483548</v>
      </c>
      <c r="AE43" s="275">
        <v>-0.47065913245270952</v>
      </c>
      <c r="AF43" s="275">
        <v>-0.41945118371722789</v>
      </c>
      <c r="AG43" s="275">
        <v>-0.36816519146281951</v>
      </c>
      <c r="AH43" s="275">
        <v>-0.3168655003456558</v>
      </c>
      <c r="AI43" s="275">
        <v>-0.2656141699393107</v>
      </c>
      <c r="AJ43" s="275">
        <v>-0.2144705573531594</v>
      </c>
      <c r="AK43" s="275">
        <v>-0.16349033429889279</v>
      </c>
      <c r="AL43" s="275">
        <v>-0.11272445661476679</v>
      </c>
      <c r="AM43" s="275">
        <v>-6.221847469033278E-2</v>
      </c>
      <c r="AN43" s="275">
        <v>-1.2012276339449309E-2</v>
      </c>
      <c r="AO43" s="275">
        <v>3.7859832937355321E-2</v>
      </c>
      <c r="AP43" s="275">
        <v>8.7368849476730556E-2</v>
      </c>
      <c r="AQ43" s="275">
        <v>0.1364907002564936</v>
      </c>
      <c r="AR43" s="275">
        <v>0.18520585146953261</v>
      </c>
      <c r="AS43" s="275">
        <v>0.23349893878748701</v>
      </c>
      <c r="AT43" s="275">
        <v>0.28135844575859692</v>
      </c>
      <c r="AU43" s="275">
        <v>0.3287764521834779</v>
      </c>
      <c r="AV43" s="275">
        <v>0.37574847931670891</v>
      </c>
      <c r="AW43" s="275">
        <v>0.42227347409016391</v>
      </c>
      <c r="AX43" s="275">
        <v>0.46835399719718368</v>
      </c>
      <c r="AY43" s="275">
        <v>0.51399665807547612</v>
      </c>
      <c r="AZ43" s="275">
        <v>0.55921242212382583</v>
      </c>
      <c r="BA43" s="275">
        <v>0.60401438413687247</v>
      </c>
      <c r="BB43" s="275">
        <v>0.648408834352599</v>
      </c>
      <c r="BC43" s="275">
        <v>0.69238777192223833</v>
      </c>
      <c r="BD43" s="275">
        <v>0.73593578544259286</v>
      </c>
      <c r="BE43" s="275">
        <v>0.77903836675563343</v>
      </c>
      <c r="BF43" s="275">
        <v>0.82168348855234907</v>
      </c>
      <c r="BG43" s="275">
        <v>0.86386060364759987</v>
      </c>
      <c r="BH43" s="275">
        <v>0.90555945432936202</v>
      </c>
      <c r="BI43" s="275">
        <v>0.9467690458091097</v>
      </c>
      <c r="BJ43" s="275">
        <v>0.98747671528902414</v>
      </c>
      <c r="BK43" s="275">
        <v>1.027667198677745</v>
      </c>
      <c r="BL43" s="275">
        <v>1.067321607117903</v>
      </c>
      <c r="BM43" s="275">
        <v>1.106416219807562</v>
      </c>
      <c r="BN43" s="275">
        <v>1.1449209675696661</v>
      </c>
      <c r="BO43" s="275">
        <v>1.1827974073598839</v>
      </c>
      <c r="BP43" s="275">
        <v>1.2199958292459521</v>
      </c>
      <c r="BQ43" s="275">
        <v>1.2564507800244411</v>
      </c>
      <c r="BR43" s="275">
        <v>1.292073388958221</v>
      </c>
      <c r="BS43" s="275">
        <v>1.3267362567903891</v>
      </c>
      <c r="BT43" s="275">
        <v>1.3602379996654581</v>
      </c>
      <c r="BU43" s="275">
        <v>1.392229104506792</v>
      </c>
      <c r="BV43" s="275">
        <v>1.4224248106386781</v>
      </c>
      <c r="BW43" s="275">
        <v>1.451150678190954</v>
      </c>
      <c r="BX43" s="275">
        <v>1.4787968986935991</v>
      </c>
      <c r="BY43" s="275">
        <v>1.505605287525603</v>
      </c>
      <c r="BZ43" s="275">
        <v>1.531743292719743</v>
      </c>
      <c r="CA43" s="275">
        <v>1.557339300304734</v>
      </c>
      <c r="CB43" s="275">
        <v>1.582497574482655</v>
      </c>
      <c r="CC43" s="275">
        <v>1.607305735643761</v>
      </c>
      <c r="CD43" s="275">
        <v>1.6318390093074691</v>
      </c>
      <c r="CE43" s="275">
        <v>1.656162854016874</v>
      </c>
      <c r="CF43" s="275">
        <v>1.6803346761101261</v>
      </c>
      <c r="CG43" s="275">
        <v>1.704404979142242</v>
      </c>
      <c r="CH43" s="275">
        <v>1.72841813159256</v>
      </c>
      <c r="CI43" s="275">
        <v>1.752412851332098</v>
      </c>
      <c r="CJ43" s="275">
        <v>1.7764224512932629</v>
      </c>
      <c r="CK43" s="275">
        <v>1.80047483981679</v>
      </c>
      <c r="CL43" s="275">
        <v>1.8245921854069489</v>
      </c>
      <c r="CM43" s="275">
        <v>1.84878994168967</v>
      </c>
      <c r="CN43" s="275">
        <v>1.8730742431374301</v>
      </c>
      <c r="CO43" s="275">
        <v>1.8974362516693219</v>
      </c>
      <c r="CP43" s="275"/>
      <c r="CQ43" s="276">
        <v>-2.2840938246048439</v>
      </c>
      <c r="CR43" s="276">
        <v>-2.2249451658315098</v>
      </c>
      <c r="CS43" s="276">
        <v>-2.1655809737518541</v>
      </c>
      <c r="CT43" s="276">
        <v>-2.1060052392473021</v>
      </c>
      <c r="CU43" s="276">
        <v>-2.0462239445704582</v>
      </c>
      <c r="CV43" s="276">
        <v>-1.986245398388804</v>
      </c>
      <c r="CW43" s="276">
        <v>-1.926080605129828</v>
      </c>
      <c r="CX43" s="276">
        <v>-1.86574366547635</v>
      </c>
      <c r="CY43" s="276">
        <v>-1.8052522009649581</v>
      </c>
      <c r="CZ43" s="276">
        <v>-1.7446277897054341</v>
      </c>
      <c r="DA43" s="276">
        <v>-1.683896391362506</v>
      </c>
      <c r="DB43" s="276">
        <v>-1.6230887265740539</v>
      </c>
      <c r="DC43" s="276">
        <v>-1.562240557720445</v>
      </c>
      <c r="DD43" s="276">
        <v>-1.501392793777848</v>
      </c>
      <c r="DE43" s="276">
        <v>-1.440591313315613</v>
      </c>
      <c r="DF43" s="276">
        <v>-1.3798863728333319</v>
      </c>
      <c r="DG43" s="276">
        <v>-1.3193314576729489</v>
      </c>
      <c r="DH43" s="276">
        <v>-1.2589814661490759</v>
      </c>
      <c r="DI43" s="276">
        <v>-1.1988902265018471</v>
      </c>
      <c r="DJ43" s="276">
        <v>-1.13910754535633</v>
      </c>
      <c r="DK43" s="276">
        <v>-1.079676232675862</v>
      </c>
      <c r="DL43" s="276">
        <v>-1.02062971897696</v>
      </c>
      <c r="DM43" s="276">
        <v>-0.96199082680038772</v>
      </c>
      <c r="DN43" s="276">
        <v>-0.90377193683870372</v>
      </c>
      <c r="DO43" s="276">
        <v>-0.8459763488523574</v>
      </c>
      <c r="DP43" s="276">
        <v>-0.78860032822656378</v>
      </c>
      <c r="DQ43" s="276">
        <v>-0.73163529990865894</v>
      </c>
      <c r="DR43" s="276">
        <v>-0.67506985367453998</v>
      </c>
      <c r="DS43" s="276">
        <v>-0.61889148502141456</v>
      </c>
      <c r="DT43" s="276">
        <v>-0.56308813622649756</v>
      </c>
      <c r="DU43" s="276">
        <v>-0.50764951801638192</v>
      </c>
      <c r="DV43" s="276">
        <v>-0.45256794247769638</v>
      </c>
      <c r="DW43" s="276">
        <v>-0.39783826166085662</v>
      </c>
      <c r="DX43" s="276">
        <v>-0.34345675384127272</v>
      </c>
      <c r="DY43" s="276">
        <v>-0.28941927787660088</v>
      </c>
      <c r="DZ43" s="276">
        <v>-0.23571926530978299</v>
      </c>
      <c r="EA43" s="276">
        <v>-0.18234597323188051</v>
      </c>
      <c r="EB43" s="276">
        <v>-0.12928312097062589</v>
      </c>
      <c r="EC43" s="276">
        <v>-7.6507825597408458E-2</v>
      </c>
      <c r="ED43" s="276">
        <v>-2.3989676599811029E-2</v>
      </c>
      <c r="EE43" s="276">
        <v>2.8310215730640381E-2</v>
      </c>
      <c r="EF43" s="276">
        <v>8.0440360865889099E-2</v>
      </c>
      <c r="EG43" s="276">
        <v>0.13246040092835601</v>
      </c>
      <c r="EH43" s="276">
        <v>0.18444324316072269</v>
      </c>
      <c r="EI43" s="276">
        <v>0.23647819266169781</v>
      </c>
      <c r="EJ43" s="276">
        <v>0.28867571689371069</v>
      </c>
      <c r="EK43" s="276">
        <v>0.34117491080538148</v>
      </c>
      <c r="EL43" s="276">
        <v>0.39415531133504228</v>
      </c>
      <c r="EM43" s="276">
        <v>0.4478542099515837</v>
      </c>
      <c r="EN43" s="276">
        <v>0.50258063137484232</v>
      </c>
      <c r="EO43" s="276">
        <v>0.55866855700415086</v>
      </c>
      <c r="EP43" s="276">
        <v>0.61626968947508731</v>
      </c>
      <c r="EQ43" s="276">
        <v>0.67518099755474437</v>
      </c>
      <c r="ER43" s="276">
        <v>0.73501627741351527</v>
      </c>
      <c r="ES43" s="276">
        <v>0.79541247129844195</v>
      </c>
      <c r="ET43" s="276">
        <v>0.85607548012840751</v>
      </c>
      <c r="EU43" s="276">
        <v>0.91676514641368778</v>
      </c>
      <c r="EV43" s="276">
        <v>0.97727679676345913</v>
      </c>
      <c r="EW43" s="276">
        <v>1.03742813547677</v>
      </c>
      <c r="EX43" s="276">
        <v>1.097050287172022</v>
      </c>
      <c r="EY43" s="276">
        <v>1.155981265330112</v>
      </c>
      <c r="EZ43" s="276">
        <v>1.2140606890735279</v>
      </c>
      <c r="FA43" s="276">
        <v>1.2711249492945409</v>
      </c>
      <c r="FB43" s="276">
        <v>1.3270021721025429</v>
      </c>
      <c r="FC43" s="276">
        <v>1.3815062650137659</v>
      </c>
      <c r="FD43" s="276">
        <v>1.434428995960279</v>
      </c>
      <c r="FE43" s="276">
        <v>1.4855281778600069</v>
      </c>
      <c r="FF43" s="276">
        <v>1.534507743314478</v>
      </c>
      <c r="FG43" s="276">
        <v>1.58097875204084</v>
      </c>
      <c r="FH43" s="276">
        <v>1.624368056790142</v>
      </c>
      <c r="FI43" s="276">
        <v>1.6637273641653541</v>
      </c>
      <c r="FJ43" s="272">
        <v>1.698281570195407</v>
      </c>
      <c r="FK43" s="272">
        <v>1.7288339658074521</v>
      </c>
      <c r="FL43" s="272">
        <v>1.756360885122719</v>
      </c>
      <c r="FM43" s="272">
        <v>1.781463218043994</v>
      </c>
      <c r="FN43" s="272">
        <v>1.80455718604452</v>
      </c>
      <c r="FO43" s="272">
        <v>1.825965494606228</v>
      </c>
      <c r="FP43" s="272">
        <v>1.8459561178959609</v>
      </c>
      <c r="FQ43" s="272">
        <v>1.864761979802438</v>
      </c>
      <c r="FR43" s="272">
        <v>1.8825924751790699</v>
      </c>
      <c r="FS43" s="272">
        <v>1.8996410276564899</v>
      </c>
      <c r="FT43" s="272">
        <v>1.916090583241542</v>
      </c>
      <c r="FU43" s="272">
        <v>1.9321180469612089</v>
      </c>
      <c r="FV43" s="272">
        <v>1.947898311010386</v>
      </c>
      <c r="FW43" s="272">
        <v>1.963608425475825</v>
      </c>
      <c r="FX43" s="272">
        <v>1.9794325729624389</v>
      </c>
      <c r="FY43" s="272">
        <v>1.995568934898037</v>
      </c>
      <c r="FZ43" s="272">
        <v>2.0122407244082732</v>
      </c>
      <c r="GA43" s="272">
        <v>2.0297172092387759</v>
      </c>
      <c r="GB43" s="272">
        <v>2.04836233054818</v>
      </c>
      <c r="GC43" s="272">
        <v>2.0687359086966999</v>
      </c>
    </row>
    <row r="44" spans="2:185" ht="15" thickBot="1" x14ac:dyDescent="0.4">
      <c r="B44" s="298">
        <v>38</v>
      </c>
      <c r="C44" s="275">
        <v>-1.9465794238233529</v>
      </c>
      <c r="D44" s="275">
        <v>-1.906222263797327</v>
      </c>
      <c r="E44" s="275">
        <v>-1.8657112288857629</v>
      </c>
      <c r="F44" s="275">
        <v>-1.8250333304920849</v>
      </c>
      <c r="G44" s="275">
        <v>-1.7841740658347061</v>
      </c>
      <c r="H44" s="275">
        <v>-1.7431172242803741</v>
      </c>
      <c r="I44" s="275">
        <v>-1.701844675414226</v>
      </c>
      <c r="J44" s="275">
        <v>-1.660336142699341</v>
      </c>
      <c r="K44" s="275">
        <v>-1.6185689709768669</v>
      </c>
      <c r="L44" s="275">
        <v>-1.5765179030559111</v>
      </c>
      <c r="M44" s="275">
        <v>-1.534154891370848</v>
      </c>
      <c r="N44" s="275">
        <v>-1.4914489864367839</v>
      </c>
      <c r="O44" s="275">
        <v>-1.4483663656716821</v>
      </c>
      <c r="P44" s="275">
        <v>-1.404870593901975</v>
      </c>
      <c r="Q44" s="275">
        <v>-1.360923237123626</v>
      </c>
      <c r="R44" s="275">
        <v>-1.3164849740195721</v>
      </c>
      <c r="S44" s="275">
        <v>-1.2715173455597011</v>
      </c>
      <c r="T44" s="275">
        <v>-1.2259852217261651</v>
      </c>
      <c r="U44" s="275">
        <v>-1.1798599159672549</v>
      </c>
      <c r="V44" s="275">
        <v>-1.1331226398271099</v>
      </c>
      <c r="W44" s="275">
        <v>-1.0857677246385939</v>
      </c>
      <c r="X44" s="275">
        <v>-1.0378048814611991</v>
      </c>
      <c r="Y44" s="275">
        <v>-0.98925987150965433</v>
      </c>
      <c r="Z44" s="275">
        <v>-0.94017334709643308</v>
      </c>
      <c r="AA44" s="275">
        <v>-0.89059814036847618</v>
      </c>
      <c r="AB44" s="275">
        <v>-0.8405956725454562</v>
      </c>
      <c r="AC44" s="275">
        <v>-0.79023227042381361</v>
      </c>
      <c r="AD44" s="275">
        <v>-0.73957603167547736</v>
      </c>
      <c r="AE44" s="275">
        <v>-0.68869460453484344</v>
      </c>
      <c r="AF44" s="275">
        <v>-0.63765395054723584</v>
      </c>
      <c r="AG44" s="275">
        <v>-0.58651788998945165</v>
      </c>
      <c r="AH44" s="275">
        <v>-0.53534803323318014</v>
      </c>
      <c r="AI44" s="275">
        <v>-0.48420366649641527</v>
      </c>
      <c r="AJ44" s="275">
        <v>-0.43314134052161529</v>
      </c>
      <c r="AK44" s="275">
        <v>-0.38221419724133637</v>
      </c>
      <c r="AL44" s="275">
        <v>-0.33147125450352061</v>
      </c>
      <c r="AM44" s="275">
        <v>-0.2809568603172683</v>
      </c>
      <c r="AN44" s="275">
        <v>-0.23071040909352011</v>
      </c>
      <c r="AO44" s="275">
        <v>-0.18076630291854651</v>
      </c>
      <c r="AP44" s="275">
        <v>-0.13115408978558341</v>
      </c>
      <c r="AQ44" s="275">
        <v>-8.1898705688850271E-2</v>
      </c>
      <c r="AR44" s="275">
        <v>-3.302076208053073E-2</v>
      </c>
      <c r="AS44" s="275">
        <v>1.5463162929605369E-2</v>
      </c>
      <c r="AT44" s="275">
        <v>6.3540258891579438E-2</v>
      </c>
      <c r="AU44" s="275">
        <v>0.1112012652176939</v>
      </c>
      <c r="AV44" s="275">
        <v>0.15844032010905321</v>
      </c>
      <c r="AW44" s="275">
        <v>0.2052548877511198</v>
      </c>
      <c r="AX44" s="275">
        <v>0.25164573993544442</v>
      </c>
      <c r="AY44" s="275">
        <v>0.29761682822536001</v>
      </c>
      <c r="AZ44" s="275">
        <v>0.34317447788943323</v>
      </c>
      <c r="BA44" s="275">
        <v>0.38832477038634389</v>
      </c>
      <c r="BB44" s="275">
        <v>0.43306896574240922</v>
      </c>
      <c r="BC44" s="275">
        <v>0.47740066842167922</v>
      </c>
      <c r="BD44" s="275">
        <v>0.52130804042775036</v>
      </c>
      <c r="BE44" s="275">
        <v>0.56477774418579596</v>
      </c>
      <c r="BF44" s="275">
        <v>0.60779689733377662</v>
      </c>
      <c r="BG44" s="275">
        <v>0.65035317259040504</v>
      </c>
      <c r="BH44" s="275">
        <v>0.69243415831324695</v>
      </c>
      <c r="BI44" s="275">
        <v>0.73402652749505926</v>
      </c>
      <c r="BJ44" s="275">
        <v>0.77511515257705987</v>
      </c>
      <c r="BK44" s="275">
        <v>0.81568215459612237</v>
      </c>
      <c r="BL44" s="275">
        <v>0.85570582527169403</v>
      </c>
      <c r="BM44" s="275">
        <v>0.89515932866008807</v>
      </c>
      <c r="BN44" s="275">
        <v>0.93400904176113109</v>
      </c>
      <c r="BO44" s="275">
        <v>0.97221230540314352</v>
      </c>
      <c r="BP44" s="275">
        <v>1.0097141865752419</v>
      </c>
      <c r="BQ44" s="275">
        <v>1.046442522092242</v>
      </c>
      <c r="BR44" s="275">
        <v>1.0822999096589769</v>
      </c>
      <c r="BS44" s="275">
        <v>1.11715069997593</v>
      </c>
      <c r="BT44" s="275">
        <v>1.1508048671620661</v>
      </c>
      <c r="BU44" s="275">
        <v>1.1830353484240239</v>
      </c>
      <c r="BV44" s="275">
        <v>1.213730156174643</v>
      </c>
      <c r="BW44" s="275">
        <v>1.243040579072745</v>
      </c>
      <c r="BX44" s="275">
        <v>1.2712328466006151</v>
      </c>
      <c r="BY44" s="275">
        <v>1.298535878028263</v>
      </c>
      <c r="BZ44" s="275">
        <v>1.3251237947240231</v>
      </c>
      <c r="CA44" s="275">
        <v>1.351131887961817</v>
      </c>
      <c r="CB44" s="275">
        <v>1.3766694465017799</v>
      </c>
      <c r="CC44" s="275">
        <v>1.40182756160559</v>
      </c>
      <c r="CD44" s="275">
        <v>1.426683850292092</v>
      </c>
      <c r="CE44" s="275">
        <v>1.4513054243184971</v>
      </c>
      <c r="CF44" s="275">
        <v>1.4757508269184421</v>
      </c>
      <c r="CG44" s="275">
        <v>1.5000713250807149</v>
      </c>
      <c r="CH44" s="275">
        <v>1.524311769693609</v>
      </c>
      <c r="CI44" s="275">
        <v>1.548511138559322</v>
      </c>
      <c r="CJ44" s="275">
        <v>1.5727028146942761</v>
      </c>
      <c r="CK44" s="275">
        <v>1.596914598517799</v>
      </c>
      <c r="CL44" s="275">
        <v>1.6211683888080579</v>
      </c>
      <c r="CM44" s="275">
        <v>1.6454794091409981</v>
      </c>
      <c r="CN44" s="275">
        <v>1.6698551495072791</v>
      </c>
      <c r="CO44" s="275">
        <v>1.6942969091317639</v>
      </c>
      <c r="CP44" s="275"/>
      <c r="CQ44" s="276">
        <v>-2.5109180401061368</v>
      </c>
      <c r="CR44" s="276">
        <v>-2.4518730248414542</v>
      </c>
      <c r="CS44" s="276">
        <v>-2.3926287293391999</v>
      </c>
      <c r="CT44" s="276">
        <v>-2.3331905163866828</v>
      </c>
      <c r="CU44" s="276">
        <v>-2.2735657490040251</v>
      </c>
      <c r="CV44" s="276">
        <v>-2.2137640909673948</v>
      </c>
      <c r="CW44" s="276">
        <v>-2.1537978298941201</v>
      </c>
      <c r="CX44" s="276">
        <v>-2.0936822169886908</v>
      </c>
      <c r="CY44" s="276">
        <v>-2.033435813339707</v>
      </c>
      <c r="CZ44" s="276">
        <v>-1.9730808266816431</v>
      </c>
      <c r="DA44" s="276">
        <v>-1.9126434142564079</v>
      </c>
      <c r="DB44" s="276">
        <v>-1.8521539163390921</v>
      </c>
      <c r="DC44" s="276">
        <v>-1.7916469709948371</v>
      </c>
      <c r="DD44" s="276">
        <v>-1.731161444553228</v>
      </c>
      <c r="DE44" s="276">
        <v>-1.670740097033919</v>
      </c>
      <c r="DF44" s="276">
        <v>-1.610428893771074</v>
      </c>
      <c r="DG44" s="276">
        <v>-1.5502758848539779</v>
      </c>
      <c r="DH44" s="276">
        <v>-1.490329617303731</v>
      </c>
      <c r="DI44" s="276">
        <v>-1.4306371327137699</v>
      </c>
      <c r="DJ44" s="276">
        <v>-1.3712417305550759</v>
      </c>
      <c r="DK44" s="276">
        <v>-1.3121808086600939</v>
      </c>
      <c r="DL44" s="276">
        <v>-1.2534841618356141</v>
      </c>
      <c r="DM44" s="276">
        <v>-1.1951730647229211</v>
      </c>
      <c r="DN44" s="276">
        <v>-1.137260280326355</v>
      </c>
      <c r="DO44" s="276">
        <v>-1.0797508969677829</v>
      </c>
      <c r="DP44" s="276">
        <v>-1.022643718539513</v>
      </c>
      <c r="DQ44" s="276">
        <v>-0.96593288897833374</v>
      </c>
      <c r="DR44" s="276">
        <v>-0.90960950792478157</v>
      </c>
      <c r="DS44" s="276">
        <v>-0.85366311047742738</v>
      </c>
      <c r="DT44" s="276">
        <v>-0.79808294993835871</v>
      </c>
      <c r="DU44" s="276">
        <v>-0.74285899459572591</v>
      </c>
      <c r="DV44" s="276">
        <v>-0.68798247056147821</v>
      </c>
      <c r="DW44" s="276">
        <v>-0.63344576977675404</v>
      </c>
      <c r="DX44" s="276">
        <v>-0.579241678418141</v>
      </c>
      <c r="DY44" s="276">
        <v>-0.525362096036457</v>
      </c>
      <c r="DZ44" s="276">
        <v>-0.47179654271801591</v>
      </c>
      <c r="EA44" s="276">
        <v>-0.4185307119657381</v>
      </c>
      <c r="EB44" s="276">
        <v>-0.36554518962237881</v>
      </c>
      <c r="EC44" s="276">
        <v>-0.31281432888468219</v>
      </c>
      <c r="ED44" s="276">
        <v>-0.26030519414732167</v>
      </c>
      <c r="EE44" s="276">
        <v>-0.2079764516694334</v>
      </c>
      <c r="EF44" s="276">
        <v>-0.15577706550927731</v>
      </c>
      <c r="EG44" s="276">
        <v>-0.1036446308859641</v>
      </c>
      <c r="EH44" s="276">
        <v>-5.1503131215608552E-2</v>
      </c>
      <c r="EI44" s="276">
        <v>7.4016306174797745E-4</v>
      </c>
      <c r="EJ44" s="276">
        <v>5.3198999184855288E-2</v>
      </c>
      <c r="EK44" s="276">
        <v>0.1060139121703267</v>
      </c>
      <c r="EL44" s="276">
        <v>0.15935893137640761</v>
      </c>
      <c r="EM44" s="276">
        <v>0.21344537900950741</v>
      </c>
      <c r="EN44" s="276">
        <v>0.26850925165239958</v>
      </c>
      <c r="EO44" s="276">
        <v>0.32475518729326941</v>
      </c>
      <c r="EP44" s="276">
        <v>0.38225358530879588</v>
      </c>
      <c r="EQ44" s="276">
        <v>0.44087961603568571</v>
      </c>
      <c r="ER44" s="276">
        <v>0.50037330153964132</v>
      </c>
      <c r="ES44" s="276">
        <v>0.56044146238753789</v>
      </c>
      <c r="ET44" s="276">
        <v>0.6208127686272501</v>
      </c>
      <c r="EU44" s="276">
        <v>0.68124929891981656</v>
      </c>
      <c r="EV44" s="276">
        <v>0.74154157078432481</v>
      </c>
      <c r="EW44" s="276">
        <v>0.80150050664364725</v>
      </c>
      <c r="EX44" s="276">
        <v>0.86095012047670172</v>
      </c>
      <c r="EY44" s="276">
        <v>0.91972136930455262</v>
      </c>
      <c r="EZ44" s="276">
        <v>0.97764678176767938</v>
      </c>
      <c r="FA44" s="276">
        <v>1.0345553227141231</v>
      </c>
      <c r="FB44" s="276">
        <v>1.0902668930750139</v>
      </c>
      <c r="FC44" s="276">
        <v>1.144585706438271</v>
      </c>
      <c r="FD44" s="276">
        <v>1.1972913976252699</v>
      </c>
      <c r="FE44" s="276">
        <v>1.2481259012757779</v>
      </c>
      <c r="FF44" s="276">
        <v>1.296772607611576</v>
      </c>
      <c r="FG44" s="276">
        <v>1.3428227419638901</v>
      </c>
      <c r="FH44" s="276">
        <v>1.385733774563672</v>
      </c>
      <c r="FI44" s="276">
        <v>1.4248740826202799</v>
      </c>
      <c r="FJ44" s="272">
        <v>1.459914763196124</v>
      </c>
      <c r="FK44" s="272">
        <v>1.4912114060949619</v>
      </c>
      <c r="FL44" s="272">
        <v>1.5194221582610761</v>
      </c>
      <c r="FM44" s="272">
        <v>1.545115742464745</v>
      </c>
      <c r="FN44" s="272">
        <v>1.5687266150157031</v>
      </c>
      <c r="FO44" s="272">
        <v>1.590596357292005</v>
      </c>
      <c r="FP44" s="272">
        <v>1.61100707126253</v>
      </c>
      <c r="FQ44" s="272">
        <v>1.6302019630841711</v>
      </c>
      <c r="FR44" s="272">
        <v>1.6483981565114869</v>
      </c>
      <c r="FS44" s="272">
        <v>1.6657952144188271</v>
      </c>
      <c r="FT44" s="272">
        <v>1.682581313050818</v>
      </c>
      <c r="FU44" s="272">
        <v>1.6989381959283549</v>
      </c>
      <c r="FV44" s="272">
        <v>1.715045658552264</v>
      </c>
      <c r="FW44" s="272">
        <v>1.731086204325428</v>
      </c>
      <c r="FX44" s="272">
        <v>1.7472506176668421</v>
      </c>
      <c r="FY44" s="272">
        <v>1.763745579084173</v>
      </c>
      <c r="FZ44" s="272">
        <v>1.7808052256140761</v>
      </c>
      <c r="GA44" s="272">
        <v>1.7987093665335929</v>
      </c>
      <c r="GB44" s="272">
        <v>1.817805843451902</v>
      </c>
      <c r="GC44" s="272">
        <v>1.8384872736761411</v>
      </c>
    </row>
    <row r="45" spans="2:185" ht="15" thickBot="1" x14ac:dyDescent="0.4">
      <c r="B45" s="298">
        <v>39</v>
      </c>
      <c r="C45" s="275">
        <v>-2.1643652575364531</v>
      </c>
      <c r="D45" s="275">
        <v>-2.123964318521844</v>
      </c>
      <c r="E45" s="275">
        <v>-2.0834028296569258</v>
      </c>
      <c r="F45" s="275">
        <v>-2.0426673945192961</v>
      </c>
      <c r="G45" s="275">
        <v>-2.0017431421215179</v>
      </c>
      <c r="H45" s="275">
        <v>-1.9606135626562069</v>
      </c>
      <c r="I45" s="275">
        <v>-1.9192603358045719</v>
      </c>
      <c r="J45" s="275">
        <v>-1.8776631585261829</v>
      </c>
      <c r="K45" s="275">
        <v>-1.8357995839984731</v>
      </c>
      <c r="L45" s="275">
        <v>-1.7936448902752731</v>
      </c>
      <c r="M45" s="275">
        <v>-1.751172006876424</v>
      </c>
      <c r="N45" s="275">
        <v>-1.70835154030973</v>
      </c>
      <c r="O45" s="275">
        <v>-1.665151955221903</v>
      </c>
      <c r="P45" s="275">
        <v>-1.621539984760014</v>
      </c>
      <c r="Q45" s="275">
        <v>-1.577481357347694</v>
      </c>
      <c r="R45" s="275">
        <v>-1.5329419288648769</v>
      </c>
      <c r="S45" s="275">
        <v>-1.4878892860076609</v>
      </c>
      <c r="T45" s="275">
        <v>-1.4422948233446991</v>
      </c>
      <c r="U45" s="275">
        <v>-1.3961361848424829</v>
      </c>
      <c r="V45" s="275">
        <v>-1.3493998129077041</v>
      </c>
      <c r="W45" s="275">
        <v>-1.302083210010329</v>
      </c>
      <c r="X45" s="275">
        <v>-1.2541964621992729</v>
      </c>
      <c r="Y45" s="275">
        <v>-1.2057626623637741</v>
      </c>
      <c r="Z45" s="275">
        <v>-1.1568171038869599</v>
      </c>
      <c r="AA45" s="275">
        <v>-1.107405410269986</v>
      </c>
      <c r="AB45" s="275">
        <v>-1.0575810020603369</v>
      </c>
      <c r="AC45" s="275">
        <v>-1.0074023940817951</v>
      </c>
      <c r="AD45" s="275">
        <v>-0.95693075695909913</v>
      </c>
      <c r="AE45" s="275">
        <v>-0.90622801898342009</v>
      </c>
      <c r="AF45" s="275">
        <v>-0.85535559062508815</v>
      </c>
      <c r="AG45" s="275">
        <v>-0.80437361467152291</v>
      </c>
      <c r="AH45" s="275">
        <v>-0.75334052435712129</v>
      </c>
      <c r="AI45" s="275">
        <v>-0.70231267123990893</v>
      </c>
      <c r="AJ45" s="275">
        <v>-0.65134387168089158</v>
      </c>
      <c r="AK45" s="275">
        <v>-0.60048485961146214</v>
      </c>
      <c r="AL45" s="275">
        <v>-0.549782735599606</v>
      </c>
      <c r="AM45" s="275">
        <v>-0.49928052077953111</v>
      </c>
      <c r="AN45" s="275">
        <v>-0.44901688006405238</v>
      </c>
      <c r="AO45" s="275">
        <v>-0.39902602173867702</v>
      </c>
      <c r="AP45" s="275">
        <v>-0.34933774233177262</v>
      </c>
      <c r="AQ45" s="275">
        <v>-0.29997757179074053</v>
      </c>
      <c r="AR45" s="275">
        <v>-0.25096697594942741</v>
      </c>
      <c r="AS45" s="275">
        <v>-0.20232358161826169</v>
      </c>
      <c r="AT45" s="275">
        <v>-0.15406139893802159</v>
      </c>
      <c r="AU45" s="275">
        <v>-0.1061910247243037</v>
      </c>
      <c r="AV45" s="275">
        <v>-5.871982227900515E-2</v>
      </c>
      <c r="AW45" s="275">
        <v>-1.1652096486279479E-2</v>
      </c>
      <c r="AX45" s="275">
        <v>3.5010662416012167E-2</v>
      </c>
      <c r="AY45" s="275">
        <v>8.1269278287638677E-2</v>
      </c>
      <c r="AZ45" s="275">
        <v>0.1271257848485316</v>
      </c>
      <c r="BA45" s="275">
        <v>0.17258141473461711</v>
      </c>
      <c r="BB45" s="275">
        <v>0.21763413336976409</v>
      </c>
      <c r="BC45" s="275">
        <v>0.26227726691980963</v>
      </c>
      <c r="BD45" s="275">
        <v>0.30650023907922302</v>
      </c>
      <c r="BE45" s="275">
        <v>0.35029038852919409</v>
      </c>
      <c r="BF45" s="275">
        <v>0.39363430378442049</v>
      </c>
      <c r="BG45" s="275">
        <v>0.43651820857192652</v>
      </c>
      <c r="BH45" s="275">
        <v>0.47892768316372503</v>
      </c>
      <c r="BI45" s="275">
        <v>0.52084704735331411</v>
      </c>
      <c r="BJ45" s="275">
        <v>0.56225856626155279</v>
      </c>
      <c r="BK45" s="275">
        <v>0.60314151650716108</v>
      </c>
      <c r="BL45" s="275">
        <v>0.64347108156630883</v>
      </c>
      <c r="BM45" s="275">
        <v>0.68321699927301227</v>
      </c>
      <c r="BN45" s="275">
        <v>0.72234183682838682</v>
      </c>
      <c r="BO45" s="275">
        <v>0.76079870458315979</v>
      </c>
      <c r="BP45" s="275">
        <v>0.79852813747601081</v>
      </c>
      <c r="BQ45" s="275">
        <v>0.83545382342445473</v>
      </c>
      <c r="BR45" s="275">
        <v>0.87147712682084377</v>
      </c>
      <c r="BS45" s="275">
        <v>0.90647212180968018</v>
      </c>
      <c r="BT45" s="275">
        <v>0.94028956337770409</v>
      </c>
      <c r="BU45" s="275">
        <v>0.97279167558940094</v>
      </c>
      <c r="BV45" s="275">
        <v>1.0039287610186001</v>
      </c>
      <c r="BW45" s="275">
        <v>1.0337882457486809</v>
      </c>
      <c r="BX45" s="275">
        <v>1.062545488519649</v>
      </c>
      <c r="BY45" s="275">
        <v>1.0903870212836859</v>
      </c>
      <c r="BZ45" s="275">
        <v>1.117475602602098</v>
      </c>
      <c r="CA45" s="275">
        <v>1.1439460755587969</v>
      </c>
      <c r="CB45" s="275">
        <v>1.1699101464332711</v>
      </c>
      <c r="CC45" s="275">
        <v>1.1954616514095431</v>
      </c>
      <c r="CD45" s="275">
        <v>1.220680591488023</v>
      </c>
      <c r="CE45" s="275">
        <v>1.245635981502043</v>
      </c>
      <c r="CF45" s="275">
        <v>1.2703878267014239</v>
      </c>
      <c r="CG45" s="275">
        <v>1.2949884887635319</v>
      </c>
      <c r="CH45" s="275">
        <v>1.3194836178813401</v>
      </c>
      <c r="CI45" s="275">
        <v>1.343912760457884</v>
      </c>
      <c r="CJ45" s="275">
        <v>1.3683097045191459</v>
      </c>
      <c r="CK45" s="275">
        <v>1.392702595048281</v>
      </c>
      <c r="CL45" s="275">
        <v>1.4171138559774339</v>
      </c>
      <c r="CM45" s="275">
        <v>1.4415600832898221</v>
      </c>
      <c r="CN45" s="275">
        <v>1.4660525926359529</v>
      </c>
      <c r="CO45" s="275">
        <v>1.490600354031703</v>
      </c>
      <c r="CP45" s="275"/>
      <c r="CQ45" s="276">
        <v>-2.7379729408883979</v>
      </c>
      <c r="CR45" s="276">
        <v>-2.6790421252976948</v>
      </c>
      <c r="CS45" s="276">
        <v>-2.6199279629118029</v>
      </c>
      <c r="CT45" s="276">
        <v>-2.5606369979013381</v>
      </c>
      <c r="CU45" s="276">
        <v>-2.501177749085548</v>
      </c>
      <c r="CV45" s="276">
        <v>-2.441560973224405</v>
      </c>
      <c r="CW45" s="276">
        <v>-2.3817999402205561</v>
      </c>
      <c r="CX45" s="276">
        <v>-2.321910712439057</v>
      </c>
      <c r="CY45" s="276">
        <v>-2.2619124162614481</v>
      </c>
      <c r="CZ45" s="276">
        <v>-2.2018274885493541</v>
      </c>
      <c r="DA45" s="276">
        <v>-2.1416818737007248</v>
      </c>
      <c r="DB45" s="276">
        <v>-2.0815051384479939</v>
      </c>
      <c r="DC45" s="276">
        <v>-2.021330461974268</v>
      </c>
      <c r="DD45" s="276">
        <v>-1.9611944497627201</v>
      </c>
      <c r="DE45" s="276">
        <v>-1.901136713839723</v>
      </c>
      <c r="DF45" s="276">
        <v>-1.8411991647555359</v>
      </c>
      <c r="DG45" s="276">
        <v>-1.781424978622753</v>
      </c>
      <c r="DH45" s="276">
        <v>-1.7218572425371861</v>
      </c>
      <c r="DI45" s="276">
        <v>-1.662537345788496</v>
      </c>
      <c r="DJ45" s="276">
        <v>-1.6035032633575781</v>
      </c>
      <c r="DK45" s="276">
        <v>-1.544787948005141</v>
      </c>
      <c r="DL45" s="276">
        <v>-1.4864180735042529</v>
      </c>
      <c r="DM45" s="276">
        <v>-1.428413327940351</v>
      </c>
      <c r="DN45" s="276">
        <v>-1.370786345979661</v>
      </c>
      <c r="DO45" s="276">
        <v>-1.313543232309544</v>
      </c>
      <c r="DP45" s="276">
        <v>-1.2566845205806101</v>
      </c>
      <c r="DQ45" s="276">
        <v>-1.2002063699730541</v>
      </c>
      <c r="DR45" s="276">
        <v>-1.144101822050744</v>
      </c>
      <c r="DS45" s="276">
        <v>-1.0883619880409019</v>
      </c>
      <c r="DT45" s="276">
        <v>-1.0329770692189331</v>
      </c>
      <c r="DU45" s="276">
        <v>-0.97793711236749647</v>
      </c>
      <c r="DV45" s="276">
        <v>-0.92323238947981912</v>
      </c>
      <c r="DW45" s="276">
        <v>-0.86885331216284589</v>
      </c>
      <c r="DX45" s="276">
        <v>-0.81478987161917349</v>
      </c>
      <c r="DY45" s="276">
        <v>-0.76103070214199553</v>
      </c>
      <c r="DZ45" s="276">
        <v>-0.70756193365298437</v>
      </c>
      <c r="EA45" s="276">
        <v>-0.6543659904575434</v>
      </c>
      <c r="EB45" s="276">
        <v>-0.6014204285991176</v>
      </c>
      <c r="EC45" s="276">
        <v>-0.54869682719894497</v>
      </c>
      <c r="ED45" s="276">
        <v>-0.49615968971771851</v>
      </c>
      <c r="EE45" s="276">
        <v>-0.44376527449526781</v>
      </c>
      <c r="EF45" s="276">
        <v>-0.39146025249727501</v>
      </c>
      <c r="EG45" s="276">
        <v>-0.33918007647915133</v>
      </c>
      <c r="EH45" s="276">
        <v>-0.28684694210663458</v>
      </c>
      <c r="EI45" s="276">
        <v>-0.2343672527731977</v>
      </c>
      <c r="EJ45" s="276">
        <v>-0.1816286443593369</v>
      </c>
      <c r="EK45" s="276">
        <v>-0.12849708986845881</v>
      </c>
      <c r="EL45" s="276">
        <v>-7.4815845342095524E-2</v>
      </c>
      <c r="EM45" s="276">
        <v>-2.0410699413836671E-2</v>
      </c>
      <c r="EN45" s="276">
        <v>3.4890241657179459E-2</v>
      </c>
      <c r="EO45" s="276">
        <v>9.1215073158087176E-2</v>
      </c>
      <c r="EP45" s="276">
        <v>0.14859582306146191</v>
      </c>
      <c r="EQ45" s="276">
        <v>0.2069425800014737</v>
      </c>
      <c r="ER45" s="276">
        <v>0.26606843203248071</v>
      </c>
      <c r="ES45" s="276">
        <v>0.32574077749976998</v>
      </c>
      <c r="ET45" s="276">
        <v>0.38572179664284262</v>
      </c>
      <c r="EU45" s="276">
        <v>0.4457871457846454</v>
      </c>
      <c r="EV45" s="276">
        <v>0.50572999739401636</v>
      </c>
      <c r="EW45" s="276">
        <v>0.5653586102102941</v>
      </c>
      <c r="EX45" s="276">
        <v>0.62449182749068877</v>
      </c>
      <c r="EY45" s="276">
        <v>0.68295417443086182</v>
      </c>
      <c r="EZ45" s="276">
        <v>0.74057094330719542</v>
      </c>
      <c r="FA45" s="276">
        <v>0.79716312618051388</v>
      </c>
      <c r="FB45" s="276">
        <v>0.85254180789126943</v>
      </c>
      <c r="FC45" s="276">
        <v>0.90650144470701255</v>
      </c>
      <c r="FD45" s="276">
        <v>0.95881125102104248</v>
      </c>
      <c r="FE45" s="276">
        <v>1.0092038047236009</v>
      </c>
      <c r="FF45" s="276">
        <v>1.0573606893172951</v>
      </c>
      <c r="FG45" s="276">
        <v>1.102899552971361</v>
      </c>
      <c r="FH45" s="276">
        <v>1.1453842651289119</v>
      </c>
      <c r="FI45" s="276">
        <v>1.18441450369146</v>
      </c>
      <c r="FJ45" s="272">
        <v>1.2198231028300781</v>
      </c>
      <c r="FK45" s="272">
        <v>1.2518024505207479</v>
      </c>
      <c r="FL45" s="272">
        <v>1.280777918801963</v>
      </c>
      <c r="FM45" s="272">
        <v>1.307210338684234</v>
      </c>
      <c r="FN45" s="272">
        <v>1.331506225407654</v>
      </c>
      <c r="FO45" s="272">
        <v>1.354007418551598</v>
      </c>
      <c r="FP45" s="272">
        <v>1.375003798261129</v>
      </c>
      <c r="FQ45" s="272">
        <v>1.3947473911903721</v>
      </c>
      <c r="FR45" s="272">
        <v>1.4134634808218041</v>
      </c>
      <c r="FS45" s="272">
        <v>1.43135890154569</v>
      </c>
      <c r="FT45" s="272">
        <v>1.4486284108419429</v>
      </c>
      <c r="FU45" s="272">
        <v>1.465459941414001</v>
      </c>
      <c r="FV45" s="272">
        <v>1.4820393791717661</v>
      </c>
      <c r="FW45" s="272">
        <v>1.4985554365479661</v>
      </c>
      <c r="FX45" s="272">
        <v>1.515205195662527</v>
      </c>
      <c r="FY45" s="272">
        <v>1.5322008952611099</v>
      </c>
      <c r="FZ45" s="272">
        <v>1.549778126052799</v>
      </c>
      <c r="GA45" s="272">
        <v>1.568203166932155</v>
      </c>
      <c r="GB45" s="272">
        <v>1.5877680401658729</v>
      </c>
      <c r="GC45" s="272">
        <v>1.6087435460762169</v>
      </c>
    </row>
    <row r="46" spans="2:185" ht="15" thickBot="1" x14ac:dyDescent="0.4">
      <c r="B46" s="298">
        <v>40</v>
      </c>
      <c r="C46" s="275">
        <v>-2.3817924018135339</v>
      </c>
      <c r="D46" s="275">
        <v>-2.3413376748403141</v>
      </c>
      <c r="E46" s="275">
        <v>-2.3007158860716261</v>
      </c>
      <c r="F46" s="275">
        <v>-2.2599133564907832</v>
      </c>
      <c r="G46" s="275">
        <v>-2.2189149982808591</v>
      </c>
      <c r="H46" s="275">
        <v>-2.1777041827399821</v>
      </c>
      <c r="I46" s="275">
        <v>-2.1362626104906419</v>
      </c>
      <c r="J46" s="275">
        <v>-2.0945701928822378</v>
      </c>
      <c r="K46" s="275">
        <v>-2.0526049580262291</v>
      </c>
      <c r="L46" s="275">
        <v>-2.0103430009987688</v>
      </c>
      <c r="M46" s="275">
        <v>-1.967758505547627</v>
      </c>
      <c r="N46" s="275">
        <v>-1.924823873953849</v>
      </c>
      <c r="O46" s="275">
        <v>-1.8815100116099821</v>
      </c>
      <c r="P46" s="275">
        <v>-1.837786821219797</v>
      </c>
      <c r="Q46" s="275">
        <v>-1.793623964291075</v>
      </c>
      <c r="R46" s="275">
        <v>-1.748991938642851</v>
      </c>
      <c r="S46" s="275">
        <v>-1.703863492461182</v>
      </c>
      <c r="T46" s="275">
        <v>-1.6582153419009911</v>
      </c>
      <c r="U46" s="275">
        <v>-1.6120300809898169</v>
      </c>
      <c r="V46" s="275">
        <v>-1.5652980834415779</v>
      </c>
      <c r="W46" s="275">
        <v>-1.5180191255104041</v>
      </c>
      <c r="X46" s="275">
        <v>-1.4702034449022341</v>
      </c>
      <c r="Y46" s="275">
        <v>-1.4218720192394669</v>
      </c>
      <c r="Z46" s="275">
        <v>-1.37305599193308</v>
      </c>
      <c r="AA46" s="275">
        <v>-1.3237953487963829</v>
      </c>
      <c r="AB46" s="275">
        <v>-1.274137093002107</v>
      </c>
      <c r="AC46" s="275">
        <v>-1.2241332322052021</v>
      </c>
      <c r="AD46" s="275">
        <v>-1.1738388691481969</v>
      </c>
      <c r="AE46" s="275">
        <v>-1.1233105974714781</v>
      </c>
      <c r="AF46" s="275">
        <v>-1.0726052838938509</v>
      </c>
      <c r="AG46" s="275">
        <v>-1.021779202950027</v>
      </c>
      <c r="AH46" s="275">
        <v>-0.97088741282763691</v>
      </c>
      <c r="AI46" s="275">
        <v>-0.91998324193002345</v>
      </c>
      <c r="AJ46" s="275">
        <v>-0.86911779483113316</v>
      </c>
      <c r="AK46" s="275">
        <v>-0.81833945453630064</v>
      </c>
      <c r="AL46" s="275">
        <v>-0.76769341444680272</v>
      </c>
      <c r="AM46" s="275">
        <v>-0.71722129292469694</v>
      </c>
      <c r="AN46" s="275">
        <v>-0.66696086907513641</v>
      </c>
      <c r="AO46" s="275">
        <v>-0.61694595020155918</v>
      </c>
      <c r="AP46" s="275">
        <v>-0.56720635720893997</v>
      </c>
      <c r="AQ46" s="275">
        <v>-0.51776800131700862</v>
      </c>
      <c r="AR46" s="275">
        <v>-0.46865302278460391</v>
      </c>
      <c r="AS46" s="275">
        <v>-0.41987996609267042</v>
      </c>
      <c r="AT46" s="275">
        <v>-0.37146397321222202</v>
      </c>
      <c r="AU46" s="275">
        <v>-0.32341698656685902</v>
      </c>
      <c r="AV46" s="275">
        <v>-0.27574796832223852</v>
      </c>
      <c r="AW46" s="275">
        <v>-0.22846316799025931</v>
      </c>
      <c r="AX46" s="275">
        <v>-0.1815665123301492</v>
      </c>
      <c r="AY46" s="275">
        <v>-0.13506024552498819</v>
      </c>
      <c r="AZ46" s="275">
        <v>-8.8945964747624881E-2</v>
      </c>
      <c r="BA46" s="275">
        <v>-4.3226054893018492E-2</v>
      </c>
      <c r="BB46" s="275">
        <v>2.0948463246382629E-3</v>
      </c>
      <c r="BC46" s="275">
        <v>4.7009023814733229E-2</v>
      </c>
      <c r="BD46" s="275">
        <v>9.1505863752477115E-2</v>
      </c>
      <c r="BE46" s="275">
        <v>0.13557265987370781</v>
      </c>
      <c r="BF46" s="275">
        <v>0.17919536305695641</v>
      </c>
      <c r="BG46" s="275">
        <v>0.22235889070370429</v>
      </c>
      <c r="BH46" s="275">
        <v>0.26504698295512902</v>
      </c>
      <c r="BI46" s="275">
        <v>0.30724173096539731</v>
      </c>
      <c r="BJ46" s="275">
        <v>0.34892288065119181</v>
      </c>
      <c r="BK46" s="275">
        <v>0.39006695464904101</v>
      </c>
      <c r="BL46" s="275">
        <v>0.43064618402373678</v>
      </c>
      <c r="BM46" s="275">
        <v>0.47062720441323758</v>
      </c>
      <c r="BN46" s="275">
        <v>0.50996944543731659</v>
      </c>
      <c r="BO46" s="275">
        <v>0.54862313439750154</v>
      </c>
      <c r="BP46" s="275">
        <v>0.58652688446832124</v>
      </c>
      <c r="BQ46" s="275">
        <v>0.62360506685751671</v>
      </c>
      <c r="BR46" s="275">
        <v>0.659765898792401</v>
      </c>
      <c r="BS46" s="275">
        <v>0.69490304516137102</v>
      </c>
      <c r="BT46" s="275">
        <v>0.72890679295070482</v>
      </c>
      <c r="BU46" s="275">
        <v>0.76169169914269064</v>
      </c>
      <c r="BV46" s="275">
        <v>0.79323479313955347</v>
      </c>
      <c r="BW46" s="275">
        <v>0.82359514868985284</v>
      </c>
      <c r="BX46" s="275">
        <v>0.85289415680438674</v>
      </c>
      <c r="BY46" s="275">
        <v>0.88127716441335602</v>
      </c>
      <c r="BZ46" s="275">
        <v>0.90888566000333471</v>
      </c>
      <c r="CA46" s="275">
        <v>0.93584592133137912</v>
      </c>
      <c r="CB46" s="275">
        <v>0.9622672206143944</v>
      </c>
      <c r="CC46" s="275">
        <v>0.98824352395598269</v>
      </c>
      <c r="CD46" s="275">
        <v>1.013855882834761</v>
      </c>
      <c r="CE46" s="275">
        <v>1.0391745811064521</v>
      </c>
      <c r="CF46" s="275">
        <v>1.064260832978797</v>
      </c>
      <c r="CG46" s="275">
        <v>1.0891680565836339</v>
      </c>
      <c r="CH46" s="275">
        <v>1.113942797998599</v>
      </c>
      <c r="CI46" s="275">
        <v>1.138625377502209</v>
      </c>
      <c r="CJ46" s="275">
        <v>1.163250318808043</v>
      </c>
      <c r="CK46" s="275">
        <v>1.1878466252856901</v>
      </c>
      <c r="CL46" s="275">
        <v>1.212438012905094</v>
      </c>
      <c r="CM46" s="275">
        <v>1.23704334720614</v>
      </c>
      <c r="CN46" s="275">
        <v>1.2616777807964621</v>
      </c>
      <c r="CO46" s="275">
        <v>1.286355148930945</v>
      </c>
      <c r="CP46" s="275"/>
      <c r="CQ46" s="276">
        <v>-2.96525233073449</v>
      </c>
      <c r="CR46" s="276">
        <v>-2.9064446571652942</v>
      </c>
      <c r="CS46" s="276">
        <v>-2.847469092771413</v>
      </c>
      <c r="CT46" s="276">
        <v>-2.7883331739119508</v>
      </c>
      <c r="CU46" s="276">
        <v>-2.729046357292785</v>
      </c>
      <c r="CV46" s="276">
        <v>-2.6696202452966058</v>
      </c>
      <c r="CW46" s="276">
        <v>-2.6100688140962731</v>
      </c>
      <c r="CX46" s="276">
        <v>-2.5504086357087612</v>
      </c>
      <c r="CY46" s="276">
        <v>-2.4906590814759859</v>
      </c>
      <c r="CZ46" s="276">
        <v>-2.430842489885777</v>
      </c>
      <c r="DA46" s="276">
        <v>-2.370984276212984</v>
      </c>
      <c r="DB46" s="276">
        <v>-2.3111129554729049</v>
      </c>
      <c r="DC46" s="276">
        <v>-2.2512600444063189</v>
      </c>
      <c r="DD46" s="276">
        <v>-2.1914598041524549</v>
      </c>
      <c r="DE46" s="276">
        <v>-2.1317487853613009</v>
      </c>
      <c r="DF46" s="276">
        <v>-2.0721651451329839</v>
      </c>
      <c r="DG46" s="276">
        <v>-2.0127477240467408</v>
      </c>
      <c r="DH46" s="276">
        <v>-1.953534904044258</v>
      </c>
      <c r="DI46" s="276">
        <v>-1.8945633124991821</v>
      </c>
      <c r="DJ46" s="276">
        <v>-1.835866486247052</v>
      </c>
      <c r="DK46" s="276">
        <v>-1.777473646459095</v>
      </c>
      <c r="DL46" s="276">
        <v>-1.7194087432265339</v>
      </c>
      <c r="DM46" s="276">
        <v>-1.661689896423292</v>
      </c>
      <c r="DN46" s="276">
        <v>-1.604329291354387</v>
      </c>
      <c r="DO46" s="276">
        <v>-1.5473335052313391</v>
      </c>
      <c r="DP46" s="276">
        <v>-1.490704171741412</v>
      </c>
      <c r="DQ46" s="276">
        <v>-1.434438855247115</v>
      </c>
      <c r="DR46" s="276">
        <v>-1.378532004274535</v>
      </c>
      <c r="DS46" s="276">
        <v>-1.3229758707558721</v>
      </c>
      <c r="DT46" s="276">
        <v>-1.2677612983618449</v>
      </c>
      <c r="DU46" s="276">
        <v>-1.2128782921665959</v>
      </c>
      <c r="DV46" s="276">
        <v>-1.1583162914166301</v>
      </c>
      <c r="DW46" s="276">
        <v>-1.104064094184444</v>
      </c>
      <c r="DX46" s="276">
        <v>-1.0501094335590291</v>
      </c>
      <c r="DY46" s="276">
        <v>-0.99643826380281852</v>
      </c>
      <c r="DZ46" s="276">
        <v>-0.94303385338725698</v>
      </c>
      <c r="EA46" s="276">
        <v>-0.88987578278046475</v>
      </c>
      <c r="EB46" s="276">
        <v>-0.83693891377904917</v>
      </c>
      <c r="EC46" s="276">
        <v>-0.78419235333300585</v>
      </c>
      <c r="ED46" s="276">
        <v>-0.73159839568852447</v>
      </c>
      <c r="EE46" s="276">
        <v>-0.67911140069400566</v>
      </c>
      <c r="EF46" s="276">
        <v>-0.62667655547293977</v>
      </c>
      <c r="EG46" s="276">
        <v>-0.57422847467023208</v>
      </c>
      <c r="EH46" s="276">
        <v>-0.52168963429813819</v>
      </c>
      <c r="EI46" s="276">
        <v>-0.46896874074117839</v>
      </c>
      <c r="EJ46" s="276">
        <v>-0.41595938430875318</v>
      </c>
      <c r="EK46" s="276">
        <v>-0.3625398469313818</v>
      </c>
      <c r="EL46" s="276">
        <v>-0.30857587417542781</v>
      </c>
      <c r="EM46" s="276">
        <v>-0.2539294667424738</v>
      </c>
      <c r="EN46" s="276">
        <v>-0.1984771221328327</v>
      </c>
      <c r="EO46" s="276">
        <v>-0.14213754964898709</v>
      </c>
      <c r="EP46" s="276">
        <v>-8.4899947070702295E-2</v>
      </c>
      <c r="EQ46" s="276">
        <v>-2.6836680302289851E-2</v>
      </c>
      <c r="ER46" s="276">
        <v>3.190843913793058E-2</v>
      </c>
      <c r="ES46" s="276">
        <v>9.1147448304258097E-2</v>
      </c>
      <c r="ET46" s="276">
        <v>0.15067491285930459</v>
      </c>
      <c r="EU46" s="276">
        <v>0.21028505036720499</v>
      </c>
      <c r="EV46" s="276">
        <v>0.26977928276118812</v>
      </c>
      <c r="EW46" s="276">
        <v>0.32896760167614009</v>
      </c>
      <c r="EX46" s="276">
        <v>0.38766674044898652</v>
      </c>
      <c r="EY46" s="276">
        <v>0.44569688095417748</v>
      </c>
      <c r="EZ46" s="276">
        <v>0.50287765433614828</v>
      </c>
      <c r="FA46" s="276">
        <v>0.55902363813898914</v>
      </c>
      <c r="FB46" s="276">
        <v>0.61393926762334738</v>
      </c>
      <c r="FC46" s="276">
        <v>0.66741296700420227</v>
      </c>
      <c r="FD46" s="276">
        <v>0.71921039949500243</v>
      </c>
      <c r="FE46" s="276">
        <v>0.76906731717060295</v>
      </c>
      <c r="FF46" s="276">
        <v>0.81668437948056527</v>
      </c>
      <c r="FG46" s="276">
        <v>0.86173112010395114</v>
      </c>
      <c r="FH46" s="276">
        <v>0.90387464727192024</v>
      </c>
      <c r="FI46" s="276">
        <v>0.94285083576261697</v>
      </c>
      <c r="FJ46" s="272">
        <v>0.97856275672413384</v>
      </c>
      <c r="FK46" s="272">
        <v>1.011131173778036</v>
      </c>
      <c r="FL46" s="272">
        <v>1.0408438733657419</v>
      </c>
      <c r="FM46" s="272">
        <v>1.068057057701753</v>
      </c>
      <c r="FN46" s="272">
        <v>1.0931239683504359</v>
      </c>
      <c r="FO46" s="272">
        <v>1.1163659911263231</v>
      </c>
      <c r="FP46" s="272">
        <v>1.1380684818427249</v>
      </c>
      <c r="FQ46" s="272">
        <v>1.158485727382889</v>
      </c>
      <c r="FR46" s="272">
        <v>1.177847865883946</v>
      </c>
      <c r="FS46" s="272">
        <v>1.1963674085675819</v>
      </c>
      <c r="FT46" s="272">
        <v>1.2142449093302561</v>
      </c>
      <c r="FU46" s="272">
        <v>1.2316739413125091</v>
      </c>
      <c r="FV46" s="272">
        <v>1.2488456921562721</v>
      </c>
      <c r="FW46" s="272">
        <v>1.265953485623357</v>
      </c>
      <c r="FX46" s="272">
        <v>1.2831974278173019</v>
      </c>
      <c r="FY46" s="272">
        <v>1.300789024084402</v>
      </c>
      <c r="FZ46" s="272">
        <v>1.3189545846288051</v>
      </c>
      <c r="GA46" s="272">
        <v>1.337933674530724</v>
      </c>
      <c r="GB46" s="272">
        <v>1.3579644090992911</v>
      </c>
      <c r="GC46" s="272">
        <v>1.379246238090357</v>
      </c>
    </row>
    <row r="47" spans="2:185" ht="15" thickBot="1" x14ac:dyDescent="0.4">
      <c r="B47" s="298">
        <v>41</v>
      </c>
      <c r="C47" s="275">
        <v>-2.5988745012323289</v>
      </c>
      <c r="D47" s="275">
        <v>-2.558357574881009</v>
      </c>
      <c r="E47" s="275">
        <v>-2.5176673800255389</v>
      </c>
      <c r="F47" s="275">
        <v>-2.4767900817122741</v>
      </c>
      <c r="G47" s="275">
        <v>-2.435710522970608</v>
      </c>
      <c r="H47" s="275">
        <v>-2.3944121254461019</v>
      </c>
      <c r="I47" s="275">
        <v>-2.3528768004181488</v>
      </c>
      <c r="J47" s="275">
        <v>-2.3110848800609429</v>
      </c>
      <c r="K47" s="275">
        <v>-2.2690150827719839</v>
      </c>
      <c r="L47" s="275">
        <v>-2.22664453132308</v>
      </c>
      <c r="M47" s="275">
        <v>-2.1839488483441372</v>
      </c>
      <c r="N47" s="275">
        <v>-2.140902359721967</v>
      </c>
      <c r="O47" s="275">
        <v>-2.097478441765467</v>
      </c>
      <c r="P47" s="275">
        <v>-2.053650050458999</v>
      </c>
      <c r="Q47" s="275">
        <v>-2.0093904677654821</v>
      </c>
      <c r="R47" s="275">
        <v>-1.964674286893793</v>
      </c>
      <c r="S47" s="275">
        <v>-1.9194786320059061</v>
      </c>
      <c r="T47" s="275">
        <v>-1.873784566491389</v>
      </c>
      <c r="U47" s="275">
        <v>-1.8275785912484701</v>
      </c>
      <c r="V47" s="275">
        <v>-1.78085408146805</v>
      </c>
      <c r="W47" s="275">
        <v>-1.7336124753394271</v>
      </c>
      <c r="X47" s="275">
        <v>-1.685864030407531</v>
      </c>
      <c r="Y47" s="275">
        <v>-1.6376280138992909</v>
      </c>
      <c r="Z47" s="275">
        <v>-1.5889322853622689</v>
      </c>
      <c r="AA47" s="275">
        <v>-1.5398123380451869</v>
      </c>
      <c r="AB47" s="275">
        <v>-1.490309955896135</v>
      </c>
      <c r="AC47" s="275">
        <v>-1.4404716893007159</v>
      </c>
      <c r="AD47" s="275">
        <v>-1.390347345975451</v>
      </c>
      <c r="AE47" s="275">
        <v>-1.339988643197652</v>
      </c>
      <c r="AF47" s="275">
        <v>-1.2894480943510049</v>
      </c>
      <c r="AG47" s="275">
        <v>-1.2387781302220131</v>
      </c>
      <c r="AH47" s="275">
        <v>-1.1880304042339871</v>
      </c>
      <c r="AI47" s="275">
        <v>-1.1372552131380489</v>
      </c>
      <c r="AJ47" s="275">
        <v>-1.086500979576791</v>
      </c>
      <c r="AK47" s="275">
        <v>-1.0358137757809189</v>
      </c>
      <c r="AL47" s="275">
        <v>-0.98523689824704952</v>
      </c>
      <c r="AM47" s="275">
        <v>-0.93481051765146261</v>
      </c>
      <c r="AN47" s="275">
        <v>-0.88457142501952857</v>
      </c>
      <c r="AO47" s="275">
        <v>-0.83455288195739186</v>
      </c>
      <c r="AP47" s="275">
        <v>-0.78478456870803759</v>
      </c>
      <c r="AQ47" s="275">
        <v>-0.73529261444767202</v>
      </c>
      <c r="AR47" s="275">
        <v>-0.68609969092548917</v>
      </c>
      <c r="AS47" s="275">
        <v>-0.63722515231483257</v>
      </c>
      <c r="AT47" s="275">
        <v>-0.58868520976118377</v>
      </c>
      <c r="AU47" s="275">
        <v>-0.54049313825768264</v>
      </c>
      <c r="AV47" s="275">
        <v>-0.49265952699167209</v>
      </c>
      <c r="AW47" s="275">
        <v>-0.4451926033011378</v>
      </c>
      <c r="AX47" s="275">
        <v>-0.39809868290535438</v>
      </c>
      <c r="AY47" s="275">
        <v>-0.3513828124602239</v>
      </c>
      <c r="AZ47" s="275">
        <v>-0.30504964286656372</v>
      </c>
      <c r="BA47" s="275">
        <v>-0.25910446502307172</v>
      </c>
      <c r="BB47" s="275">
        <v>-0.2135541755161488</v>
      </c>
      <c r="BC47" s="275">
        <v>-0.16840786380904699</v>
      </c>
      <c r="BD47" s="275">
        <v>-0.1236768751163722</v>
      </c>
      <c r="BE47" s="275">
        <v>-7.9374506611571263E-2</v>
      </c>
      <c r="BF47" s="275">
        <v>-3.551565766170469E-2</v>
      </c>
      <c r="BG47" s="275">
        <v>7.8833202732597005E-3</v>
      </c>
      <c r="BH47" s="275">
        <v>5.0804491275566438E-2</v>
      </c>
      <c r="BI47" s="275">
        <v>9.3227942201179623E-2</v>
      </c>
      <c r="BJ47" s="275">
        <v>0.13513117690460741</v>
      </c>
      <c r="BK47" s="275">
        <v>0.17648832921586621</v>
      </c>
      <c r="BL47" s="275">
        <v>0.2172692030651448</v>
      </c>
      <c r="BM47" s="275">
        <v>0.25743813342266958</v>
      </c>
      <c r="BN47" s="275">
        <v>0.29695266680132693</v>
      </c>
      <c r="BO47" s="275">
        <v>0.33576210571697079</v>
      </c>
      <c r="BP47" s="275">
        <v>0.3738060955057036</v>
      </c>
      <c r="BQ47" s="275">
        <v>0.41101375049050293</v>
      </c>
      <c r="BR47" s="275">
        <v>0.44730446194713891</v>
      </c>
      <c r="BS47" s="275">
        <v>0.48259253083452308</v>
      </c>
      <c r="BT47" s="275">
        <v>0.51679842238026963</v>
      </c>
      <c r="BU47" s="275">
        <v>0.54986744260861597</v>
      </c>
      <c r="BV47" s="275">
        <v>0.5817898337404005</v>
      </c>
      <c r="BW47" s="275">
        <v>0.61260979887431388</v>
      </c>
      <c r="BX47" s="275">
        <v>0.64241631524639742</v>
      </c>
      <c r="BY47" s="275">
        <v>0.67132287346593567</v>
      </c>
      <c r="BZ47" s="275">
        <v>0.69944862901576921</v>
      </c>
      <c r="CA47" s="275">
        <v>0.72690696579043712</v>
      </c>
      <c r="CB47" s="275">
        <v>0.75380066830314318</v>
      </c>
      <c r="CC47" s="275">
        <v>0.78022090223109386</v>
      </c>
      <c r="CD47" s="275">
        <v>0.80624785721272263</v>
      </c>
      <c r="CE47" s="275">
        <v>0.83195190664323226</v>
      </c>
      <c r="CF47" s="275">
        <v>0.85739478548018921</v>
      </c>
      <c r="CG47" s="275">
        <v>0.88263060761850787</v>
      </c>
      <c r="CH47" s="275">
        <v>0.90770668292159107</v>
      </c>
      <c r="CI47" s="275">
        <v>0.93266414966667865</v>
      </c>
      <c r="CJ47" s="275">
        <v>0.95753846436106704</v>
      </c>
      <c r="CK47" s="275">
        <v>0.98235981748431611</v>
      </c>
      <c r="CL47" s="275">
        <v>1.0071535911910861</v>
      </c>
      <c r="CM47" s="275">
        <v>1.031941049209645</v>
      </c>
      <c r="CN47" s="275">
        <v>1.0567404963638849</v>
      </c>
      <c r="CO47" s="275">
        <v>1.081568984990372</v>
      </c>
      <c r="CP47" s="275"/>
      <c r="CQ47" s="276">
        <v>-3.1927491418880711</v>
      </c>
      <c r="CR47" s="276">
        <v>-3.134072034817867</v>
      </c>
      <c r="CS47" s="276">
        <v>-3.0752418920249158</v>
      </c>
      <c r="CT47" s="276">
        <v>-3.0162670600735089</v>
      </c>
      <c r="CU47" s="276">
        <v>-2.9571577288701052</v>
      </c>
      <c r="CV47" s="276">
        <v>-2.8979261199401001</v>
      </c>
      <c r="CW47" s="276">
        <v>-2.838586670089553</v>
      </c>
      <c r="CX47" s="276">
        <v>-2.7791562012791751</v>
      </c>
      <c r="CY47" s="276">
        <v>-2.719654064455062</v>
      </c>
      <c r="CZ47" s="276">
        <v>-2.6601022414945308</v>
      </c>
      <c r="DA47" s="276">
        <v>-2.600525385522102</v>
      </c>
      <c r="DB47" s="276">
        <v>-2.54095077606206</v>
      </c>
      <c r="DC47" s="276">
        <v>-2.481408162611431</v>
      </c>
      <c r="DD47" s="276">
        <v>-2.4219294695043589</v>
      </c>
      <c r="DE47" s="276">
        <v>-2.362548338151206</v>
      </c>
      <c r="DF47" s="276">
        <v>-2.3032994919029068</v>
      </c>
      <c r="DG47" s="276">
        <v>-2.244217925619151</v>
      </c>
      <c r="DH47" s="276">
        <v>-2.1853379467955238</v>
      </c>
      <c r="DI47" s="276">
        <v>-2.12669212535133</v>
      </c>
      <c r="DJ47" s="276">
        <v>-2.068310238735501</v>
      </c>
      <c r="DK47" s="276">
        <v>-2.0102183186622722</v>
      </c>
      <c r="DL47" s="276">
        <v>-1.95243790624908</v>
      </c>
      <c r="DM47" s="276">
        <v>-1.894985598880301</v>
      </c>
      <c r="DN47" s="276">
        <v>-1.8378729284090931</v>
      </c>
      <c r="DO47" s="276">
        <v>-1.7811065581521479</v>
      </c>
      <c r="DP47" s="276">
        <v>-1.724688740414366</v>
      </c>
      <c r="DQ47" s="276">
        <v>-1.668617947727383</v>
      </c>
      <c r="DR47" s="276">
        <v>-1.6128895815399431</v>
      </c>
      <c r="DS47" s="276">
        <v>-1.5574966658998859</v>
      </c>
      <c r="DT47" s="276">
        <v>-1.502430442729044</v>
      </c>
      <c r="DU47" s="276">
        <v>-1.44768079581659</v>
      </c>
      <c r="DV47" s="276">
        <v>-1.3932364453535819</v>
      </c>
      <c r="DW47" s="276">
        <v>-1.339084878978831</v>
      </c>
      <c r="DX47" s="276">
        <v>-1.2852120193007519</v>
      </c>
      <c r="DY47" s="276">
        <v>-1.231601663262988</v>
      </c>
      <c r="DZ47" s="276">
        <v>-1.1782347526113519</v>
      </c>
      <c r="EA47" s="276">
        <v>-1.1250885388050811</v>
      </c>
      <c r="EB47" s="276">
        <v>-1.0721356916254139</v>
      </c>
      <c r="EC47" s="276">
        <v>-1.019343377585435</v>
      </c>
      <c r="ED47" s="276">
        <v>-0.96667231252920882</v>
      </c>
      <c r="EE47" s="276">
        <v>-0.91407578054902905</v>
      </c>
      <c r="EF47" s="276">
        <v>-0.86149861469612488</v>
      </c>
      <c r="EG47" s="276">
        <v>-0.8088761619620245</v>
      </c>
      <c r="EH47" s="276">
        <v>-0.75613332082718954</v>
      </c>
      <c r="EI47" s="276">
        <v>-0.70318387179895414</v>
      </c>
      <c r="EJ47" s="276">
        <v>-0.64993056061337617</v>
      </c>
      <c r="EK47" s="276">
        <v>-0.59626677595521527</v>
      </c>
      <c r="EL47" s="276">
        <v>-0.54208114405697005</v>
      </c>
      <c r="EM47" s="276">
        <v>-0.48726663697970152</v>
      </c>
      <c r="EN47" s="276">
        <v>-0.43173509475734362</v>
      </c>
      <c r="EO47" s="276">
        <v>-0.37543547947038791</v>
      </c>
      <c r="EP47" s="276">
        <v>-0.31837022698906481</v>
      </c>
      <c r="EQ47" s="276">
        <v>-0.26060222352406248</v>
      </c>
      <c r="ER47" s="276">
        <v>-0.20224880210406551</v>
      </c>
      <c r="ES47" s="276">
        <v>-0.14346638845246679</v>
      </c>
      <c r="ET47" s="276">
        <v>-8.4433295160355123E-2</v>
      </c>
      <c r="EU47" s="276">
        <v>-2.533632744046398E-2</v>
      </c>
      <c r="EV47" s="276">
        <v>3.363708386479515E-2</v>
      </c>
      <c r="EW47" s="276">
        <v>9.2302081861446075E-2</v>
      </c>
      <c r="EX47" s="276">
        <v>0.15047646382553681</v>
      </c>
      <c r="EY47" s="276">
        <v>0.20797890643236311</v>
      </c>
      <c r="EZ47" s="276">
        <v>0.26462611307981049</v>
      </c>
      <c r="FA47" s="276">
        <v>0.32022928325448191</v>
      </c>
      <c r="FB47" s="276">
        <v>0.37459010525746572</v>
      </c>
      <c r="FC47" s="276">
        <v>0.42749647448542338</v>
      </c>
      <c r="FD47" s="276">
        <v>0.47871842553152921</v>
      </c>
      <c r="FE47" s="276">
        <v>0.52800555944847838</v>
      </c>
      <c r="FF47" s="276">
        <v>0.57508889876394809</v>
      </c>
      <c r="FG47" s="276">
        <v>0.61969267663015903</v>
      </c>
      <c r="FH47" s="276">
        <v>0.66156325199420285</v>
      </c>
      <c r="FI47" s="276">
        <v>0.70051720186026534</v>
      </c>
      <c r="FJ47" s="272">
        <v>0.73649312324183247</v>
      </c>
      <c r="FK47" s="272">
        <v>0.76957497479563697</v>
      </c>
      <c r="FL47" s="272">
        <v>0.79996856829779472</v>
      </c>
      <c r="FM47" s="272">
        <v>0.82794959802483736</v>
      </c>
      <c r="FN47" s="272">
        <v>0.8538153766980251</v>
      </c>
      <c r="FO47" s="272">
        <v>0.87785574504209085</v>
      </c>
      <c r="FP47" s="272">
        <v>0.90034110544126322</v>
      </c>
      <c r="FQ47" s="272">
        <v>0.92152039280208375</v>
      </c>
      <c r="FR47" s="272">
        <v>0.94162348732694434</v>
      </c>
      <c r="FS47" s="272">
        <v>0.96086515831348718</v>
      </c>
      <c r="FT47" s="272">
        <v>0.97944929750310583</v>
      </c>
      <c r="FU47" s="272">
        <v>0.99757302357239774</v>
      </c>
      <c r="FV47" s="272">
        <v>1.015430571707459</v>
      </c>
      <c r="FW47" s="272">
        <v>1.033216944504586</v>
      </c>
      <c r="FX47" s="272">
        <v>1.0511311528933449</v>
      </c>
      <c r="FY47" s="272">
        <v>1.069378443158195</v>
      </c>
      <c r="FZ47" s="272">
        <v>1.0881700178709961</v>
      </c>
      <c r="GA47" s="272">
        <v>1.107717385132152</v>
      </c>
      <c r="GB47" s="272">
        <v>1.128217569501111</v>
      </c>
      <c r="GC47" s="272">
        <v>1.1498281263973911</v>
      </c>
    </row>
    <row r="48" spans="2:185" ht="15" thickBot="1" x14ac:dyDescent="0.4">
      <c r="B48" s="298">
        <v>42</v>
      </c>
      <c r="C48" s="275">
        <v>-2.815625965099132</v>
      </c>
      <c r="D48" s="275">
        <v>-2.775039934536113</v>
      </c>
      <c r="E48" s="275">
        <v>-2.7342748441835232</v>
      </c>
      <c r="F48" s="275">
        <v>-2.693316825010498</v>
      </c>
      <c r="G48" s="275">
        <v>-2.652150788228385</v>
      </c>
      <c r="H48" s="275">
        <v>-2.6107603574087519</v>
      </c>
      <c r="I48" s="275">
        <v>-2.569127817208269</v>
      </c>
      <c r="J48" s="275">
        <v>-2.5272340886783682</v>
      </c>
      <c r="K48" s="275">
        <v>-2.4850587443507322</v>
      </c>
      <c r="L48" s="275">
        <v>-2.4425800799725579</v>
      </c>
      <c r="M48" s="275">
        <v>-2.3997752636233369</v>
      </c>
      <c r="N48" s="275">
        <v>-2.3566205863699961</v>
      </c>
      <c r="O48" s="275">
        <v>-2.3130918405610279</v>
      </c>
      <c r="P48" s="275">
        <v>-2.269164850746308</v>
      </c>
      <c r="Q48" s="275">
        <v>-2.22481617599423</v>
      </c>
      <c r="R48" s="275">
        <v>-2.1800239889062869</v>
      </c>
      <c r="S48" s="275">
        <v>-2.1347691144448429</v>
      </c>
      <c r="T48" s="275">
        <v>-2.0890361813082761</v>
      </c>
      <c r="U48" s="275">
        <v>-2.0428148038912179</v>
      </c>
      <c r="V48" s="275">
        <v>-1.996100681786392</v>
      </c>
      <c r="W48" s="275">
        <v>-1.948896487138847</v>
      </c>
      <c r="X48" s="275">
        <v>-1.9012124180604519</v>
      </c>
      <c r="Y48" s="275">
        <v>-1.853066333031365</v>
      </c>
      <c r="Z48" s="275">
        <v>-1.8044834412952091</v>
      </c>
      <c r="AA48" s="275">
        <v>-1.7554955928153291</v>
      </c>
      <c r="AB48" s="275">
        <v>-1.706140269420988</v>
      </c>
      <c r="AC48" s="275">
        <v>-1.6564594109287309</v>
      </c>
      <c r="AD48" s="275">
        <v>-1.6064982101425189</v>
      </c>
      <c r="AE48" s="275">
        <v>-1.5563039829465071</v>
      </c>
      <c r="AF48" s="275">
        <v>-1.5059251758620831</v>
      </c>
      <c r="AG48" s="275">
        <v>-1.45541052795313</v>
      </c>
      <c r="AH48" s="275">
        <v>-1.4048083697446649</v>
      </c>
      <c r="AI48" s="275">
        <v>-1.3541660264374811</v>
      </c>
      <c r="AJ48" s="275">
        <v>-1.3035292960213609</v>
      </c>
      <c r="AK48" s="275">
        <v>-1.252941987636129</v>
      </c>
      <c r="AL48" s="275">
        <v>-1.2024455213974929</v>
      </c>
      <c r="AM48" s="275">
        <v>-1.1520786000472849</v>
      </c>
      <c r="AN48" s="275">
        <v>-1.1018769630152481</v>
      </c>
      <c r="AO48" s="275">
        <v>-1.051873227488451</v>
      </c>
      <c r="AP48" s="275">
        <v>-1.0020968133415711</v>
      </c>
      <c r="AQ48" s="275">
        <v>-0.95257394281047925</v>
      </c>
      <c r="AR48" s="275">
        <v>-0.90332770322330236</v>
      </c>
      <c r="AS48" s="275">
        <v>-0.85437816212768658</v>
      </c>
      <c r="AT48" s="275">
        <v>-0.80574252840260574</v>
      </c>
      <c r="AU48" s="275">
        <v>-0.75743536009472001</v>
      </c>
      <c r="AV48" s="275">
        <v>-0.70946882947192391</v>
      </c>
      <c r="AW48" s="275">
        <v>-0.66185306693088519</v>
      </c>
      <c r="AX48" s="275">
        <v>-0.61459661371355756</v>
      </c>
      <c r="AY48" s="275">
        <v>-0.56770700911058525</v>
      </c>
      <c r="AZ48" s="275">
        <v>-0.52119150677918979</v>
      </c>
      <c r="BA48" s="275">
        <v>-0.47505785122187988</v>
      </c>
      <c r="BB48" s="275">
        <v>-0.42931497607241698</v>
      </c>
      <c r="BC48" s="275">
        <v>-0.38397347333888532</v>
      </c>
      <c r="BD48" s="275">
        <v>-0.33904576941067938</v>
      </c>
      <c r="BE48" s="275">
        <v>-0.29454608211161898</v>
      </c>
      <c r="BF48" s="275">
        <v>-0.25049031990247772</v>
      </c>
      <c r="BG48" s="275">
        <v>-0.20689607212547501</v>
      </c>
      <c r="BH48" s="275">
        <v>-0.16378277007401429</v>
      </c>
      <c r="BI48" s="275">
        <v>-0.1211720351122538</v>
      </c>
      <c r="BJ48" s="275">
        <v>-7.9088198171205423E-2</v>
      </c>
      <c r="BK48" s="275">
        <v>-3.7558967665844691E-2</v>
      </c>
      <c r="BL48" s="275">
        <v>3.3837766486695862E-3</v>
      </c>
      <c r="BM48" s="275">
        <v>4.370309334386787E-2</v>
      </c>
      <c r="BN48" s="275">
        <v>8.3356051256961841E-2</v>
      </c>
      <c r="BO48" s="275">
        <v>0.1222928947522928</v>
      </c>
      <c r="BP48" s="275">
        <v>0.160456580416246</v>
      </c>
      <c r="BQ48" s="275">
        <v>0.1977832220166208</v>
      </c>
      <c r="BR48" s="275">
        <v>0.23420434803295481</v>
      </c>
      <c r="BS48" s="275">
        <v>0.26965217585828438</v>
      </c>
      <c r="BT48" s="275">
        <v>0.30406878430083428</v>
      </c>
      <c r="BU48" s="275">
        <v>0.33741830134668338</v>
      </c>
      <c r="BV48" s="275">
        <v>0.3696981495128136</v>
      </c>
      <c r="BW48" s="275">
        <v>0.40094368117827028</v>
      </c>
      <c r="BX48" s="275">
        <v>0.43122337684525047</v>
      </c>
      <c r="BY48" s="275">
        <v>0.46062743059814021</v>
      </c>
      <c r="BZ48" s="275">
        <v>0.48925538763205739</v>
      </c>
      <c r="CA48" s="275">
        <v>0.51720678886988514</v>
      </c>
      <c r="CB48" s="275">
        <v>0.54457570322011539</v>
      </c>
      <c r="CC48" s="275">
        <v>0.57144826365504586</v>
      </c>
      <c r="CD48" s="275">
        <v>0.59790200134890836</v>
      </c>
      <c r="CE48" s="275">
        <v>0.62400607289003618</v>
      </c>
      <c r="CF48" s="275">
        <v>0.64982184488752226</v>
      </c>
      <c r="CG48" s="275">
        <v>0.67540356244190336</v>
      </c>
      <c r="CH48" s="275">
        <v>0.70079898135799679</v>
      </c>
      <c r="CI48" s="275">
        <v>0.72604992768603116</v>
      </c>
      <c r="CJ48" s="275">
        <v>0.75119279681196127</v>
      </c>
      <c r="CK48" s="275">
        <v>0.77625904069400986</v>
      </c>
      <c r="CL48" s="275">
        <v>0.80127572656227064</v>
      </c>
      <c r="CM48" s="275">
        <v>0.82626627511572115</v>
      </c>
      <c r="CN48" s="275">
        <v>0.85125146014696484</v>
      </c>
      <c r="CO48" s="275">
        <v>0.87625061155780715</v>
      </c>
      <c r="CP48" s="275"/>
      <c r="CQ48" s="276">
        <v>-3.4204556872717391</v>
      </c>
      <c r="CR48" s="276">
        <v>-3.3619151673871279</v>
      </c>
      <c r="CS48" s="276">
        <v>-3.3032357746073799</v>
      </c>
      <c r="CT48" s="276">
        <v>-3.244426495243677</v>
      </c>
      <c r="CU48" s="276">
        <v>-3.185498065071684</v>
      </c>
      <c r="CV48" s="276">
        <v>-3.126463122692809</v>
      </c>
      <c r="CW48" s="276">
        <v>-3.0673363526170081</v>
      </c>
      <c r="CX48" s="276">
        <v>-3.0081346091182031</v>
      </c>
      <c r="CY48" s="276">
        <v>-2.948877009472108</v>
      </c>
      <c r="CZ48" s="276">
        <v>-2.889584982553254</v>
      </c>
      <c r="DA48" s="276">
        <v>-2.8302822561949301</v>
      </c>
      <c r="DB48" s="276">
        <v>-2.7709947646426949</v>
      </c>
      <c r="DC48" s="276">
        <v>-2.7117504565479318</v>
      </c>
      <c r="DD48" s="276">
        <v>-2.6525789852024002</v>
      </c>
      <c r="DE48" s="276">
        <v>-2.5935112672496352</v>
      </c>
      <c r="DF48" s="276">
        <v>-2.534578905013837</v>
      </c>
      <c r="DG48" s="276">
        <v>-2.4758134814442201</v>
      </c>
      <c r="DH48" s="276">
        <v>-2.4172457549131199</v>
      </c>
      <c r="DI48" s="276">
        <v>-2.3589048013870402</v>
      </c>
      <c r="DJ48" s="276">
        <v>-2.3008171695166979</v>
      </c>
      <c r="DK48" s="276">
        <v>-2.2430061244517541</v>
      </c>
      <c r="DL48" s="276">
        <v>-2.185491053769864</v>
      </c>
      <c r="DM48" s="276">
        <v>-2.128287091860483</v>
      </c>
      <c r="DN48" s="276">
        <v>-2.0714049900246718</v>
      </c>
      <c r="DO48" s="276">
        <v>-2.0148512251908031</v>
      </c>
      <c r="DP48" s="276">
        <v>-1.958628308768283</v>
      </c>
      <c r="DQ48" s="276">
        <v>-1.902735235060558</v>
      </c>
      <c r="DR48" s="276">
        <v>-1.8471679978979441</v>
      </c>
      <c r="DS48" s="276">
        <v>-1.7919201028829439</v>
      </c>
      <c r="DT48" s="276">
        <v>-1.7369830075875079</v>
      </c>
      <c r="DU48" s="276">
        <v>-1.6823464312608929</v>
      </c>
      <c r="DV48" s="276">
        <v>-1.627998489442678</v>
      </c>
      <c r="DW48" s="276">
        <v>-1.573925628289401</v>
      </c>
      <c r="DX48" s="276">
        <v>-1.520112357130774</v>
      </c>
      <c r="DY48" s="276">
        <v>-1.466540800975213</v>
      </c>
      <c r="DZ48" s="276">
        <v>-1.4131901110592979</v>
      </c>
      <c r="EA48" s="276">
        <v>-1.3600357770385969</v>
      </c>
      <c r="EB48" s="276">
        <v>-1.307048879741963</v>
      </c>
      <c r="EC48" s="276">
        <v>-1.2541953134395301</v>
      </c>
      <c r="ED48" s="276">
        <v>-1.20143499800005</v>
      </c>
      <c r="EE48" s="276">
        <v>-1.148721100802325</v>
      </c>
      <c r="EF48" s="276">
        <v>-1.095999302408849</v>
      </c>
      <c r="EG48" s="276">
        <v>-1.0432071767822311</v>
      </c>
      <c r="EH48" s="276">
        <v>-0.99027382723254265</v>
      </c>
      <c r="EI48" s="276">
        <v>-0.93712003687126666</v>
      </c>
      <c r="EJ48" s="276">
        <v>-0.88365936577161674</v>
      </c>
      <c r="EK48" s="276">
        <v>-0.82980083667416027</v>
      </c>
      <c r="EL48" s="276">
        <v>-0.77545400023131394</v>
      </c>
      <c r="EM48" s="276">
        <v>-0.72053702670727215</v>
      </c>
      <c r="EN48" s="276">
        <v>-0.66498769381373801</v>
      </c>
      <c r="EO48" s="276">
        <v>-0.60877559072010845</v>
      </c>
      <c r="EP48" s="276">
        <v>-0.55191217352507227</v>
      </c>
      <c r="EQ48" s="276">
        <v>-0.49445498637070839</v>
      </c>
      <c r="ER48" s="276">
        <v>-0.43650441399621182</v>
      </c>
      <c r="ES48" s="276">
        <v>-0.37819462189094732</v>
      </c>
      <c r="ET48" s="276">
        <v>-0.31968239262893577</v>
      </c>
      <c r="EU48" s="276">
        <v>-0.26113724739229788</v>
      </c>
      <c r="EV48" s="276">
        <v>-0.20273455895177109</v>
      </c>
      <c r="EW48" s="276">
        <v>-0.14465181460571011</v>
      </c>
      <c r="EX48" s="276">
        <v>-8.7067410636716427E-2</v>
      </c>
      <c r="EY48" s="276">
        <v>-3.0161211281215759E-2</v>
      </c>
      <c r="EZ48" s="276">
        <v>2.5883761724329692E-2</v>
      </c>
      <c r="FA48" s="276">
        <v>8.0878975017167218E-2</v>
      </c>
      <c r="FB48" s="276">
        <v>0.134627752381204</v>
      </c>
      <c r="FC48" s="276">
        <v>0.1869228351869307</v>
      </c>
      <c r="FD48" s="276">
        <v>0.23754491769542829</v>
      </c>
      <c r="FE48" s="276">
        <v>0.28626357008219872</v>
      </c>
      <c r="FF48" s="276">
        <v>0.33284288890887082</v>
      </c>
      <c r="FG48" s="276">
        <v>0.3770549773574845</v>
      </c>
      <c r="FH48" s="276">
        <v>0.41870352314953019</v>
      </c>
      <c r="FI48" s="276">
        <v>0.45765519641449842</v>
      </c>
      <c r="FJ48" s="272">
        <v>0.49386867199841111</v>
      </c>
      <c r="FK48" s="272">
        <v>0.52740667871359959</v>
      </c>
      <c r="FL48" s="272">
        <v>0.55842379660687724</v>
      </c>
      <c r="FM48" s="272">
        <v>0.58713728143605026</v>
      </c>
      <c r="FN48" s="272">
        <v>0.61379551475408745</v>
      </c>
      <c r="FO48" s="272">
        <v>0.63865427742463021</v>
      </c>
      <c r="FP48" s="272">
        <v>0.6619631291308834</v>
      </c>
      <c r="FQ48" s="272">
        <v>0.68395963494239842</v>
      </c>
      <c r="FR48" s="272">
        <v>0.7048683522522885</v>
      </c>
      <c r="FS48" s="272">
        <v>0.72490226424945314</v>
      </c>
      <c r="FT48" s="272">
        <v>0.74426528809304981</v>
      </c>
      <c r="FU48" s="272">
        <v>0.76315513607908825</v>
      </c>
      <c r="FV48" s="272">
        <v>0.78176614539894862</v>
      </c>
      <c r="FW48" s="272">
        <v>0.80029178610137963</v>
      </c>
      <c r="FX48" s="272">
        <v>0.81892644663216307</v>
      </c>
      <c r="FY48" s="272">
        <v>0.83786578208780993</v>
      </c>
      <c r="FZ48" s="272">
        <v>0.85730442324834444</v>
      </c>
      <c r="GA48" s="272">
        <v>0.8774294383400103</v>
      </c>
      <c r="GB48" s="272">
        <v>0.89840837557955178</v>
      </c>
      <c r="GC48" s="272">
        <v>0.92037311165086733</v>
      </c>
    </row>
    <row r="49" spans="2:185" ht="15" thickBot="1" x14ac:dyDescent="0.4">
      <c r="B49" s="298">
        <v>43</v>
      </c>
      <c r="C49" s="275">
        <v>-3.0320617052643239</v>
      </c>
      <c r="D49" s="275">
        <v>-2.9914010626732419</v>
      </c>
      <c r="E49" s="275">
        <v>-2.950556064892492</v>
      </c>
      <c r="F49" s="275">
        <v>-2.9095129214180679</v>
      </c>
      <c r="G49" s="275">
        <v>-2.868256734344893</v>
      </c>
      <c r="H49" s="275">
        <v>-2.8267714594584681</v>
      </c>
      <c r="I49" s="275">
        <v>-2.7850398883058269</v>
      </c>
      <c r="J49" s="275">
        <v>-2.7430436607284179</v>
      </c>
      <c r="K49" s="275">
        <v>-2.7007633197681131</v>
      </c>
      <c r="L49" s="275">
        <v>-2.658178423387294</v>
      </c>
      <c r="M49" s="275">
        <v>-2.615267729729787</v>
      </c>
      <c r="N49" s="275">
        <v>-2.572009474114473</v>
      </c>
      <c r="O49" s="275">
        <v>-2.5283817557408721</v>
      </c>
      <c r="P49" s="275">
        <v>-2.4843630490733131</v>
      </c>
      <c r="Q49" s="275">
        <v>-2.439932847807099</v>
      </c>
      <c r="R49" s="275">
        <v>-2.395072437161152</v>
      </c>
      <c r="S49" s="275">
        <v>-2.3497657727153531</v>
      </c>
      <c r="T49" s="275">
        <v>-2.3040004223306769</v>
      </c>
      <c r="U49" s="275">
        <v>-2.2577685051474652</v>
      </c>
      <c r="V49" s="275">
        <v>-2.211067543617069</v>
      </c>
      <c r="W49" s="275">
        <v>-2.1639011373689589</v>
      </c>
      <c r="X49" s="275">
        <v>-2.1162793766739529</v>
      </c>
      <c r="Y49" s="275">
        <v>-2.0682189397852668</v>
      </c>
      <c r="Z49" s="275">
        <v>-2.0197428585060169</v>
      </c>
      <c r="AA49" s="275">
        <v>-1.970879980969402</v>
      </c>
      <c r="AB49" s="275">
        <v>-1.9216641987808469</v>
      </c>
      <c r="AC49" s="275">
        <v>-1.8721335282395339</v>
      </c>
      <c r="AD49" s="275">
        <v>-1.8223291382635349</v>
      </c>
      <c r="AE49" s="275">
        <v>-1.7722944027964951</v>
      </c>
      <c r="AF49" s="275">
        <v>-1.72207402946791</v>
      </c>
      <c r="AG49" s="275">
        <v>-1.671713287815785</v>
      </c>
      <c r="AH49" s="275">
        <v>-1.6212573374263659</v>
      </c>
      <c r="AI49" s="275">
        <v>-1.5707506437489529</v>
      </c>
      <c r="AJ49" s="275">
        <v>-1.520236467565721</v>
      </c>
      <c r="AK49" s="275">
        <v>-1.4697564196494739</v>
      </c>
      <c r="AL49" s="275">
        <v>-1.419350079705836</v>
      </c>
      <c r="AM49" s="275">
        <v>-1.369054683819122</v>
      </c>
      <c r="AN49" s="275">
        <v>-1.3189048854569849</v>
      </c>
      <c r="AO49" s="275">
        <v>-1.268932592385785</v>
      </c>
      <c r="AP49" s="275">
        <v>-1.2191668776960909</v>
      </c>
      <c r="AQ49" s="275">
        <v>-1.169633959592397</v>
      </c>
      <c r="AR49" s="275">
        <v>-1.120357242947245</v>
      </c>
      <c r="AS49" s="275">
        <v>-1.071357416320976</v>
      </c>
      <c r="AT49" s="275">
        <v>-1.022652601127779</v>
      </c>
      <c r="AU49" s="275">
        <v>-0.97425855448636067</v>
      </c>
      <c r="AV49" s="275">
        <v>-0.92618893319273798</v>
      </c>
      <c r="AW49" s="275">
        <v>-0.87845563137343685</v>
      </c>
      <c r="AX49" s="275">
        <v>-0.83106920513603821</v>
      </c>
      <c r="AY49" s="275">
        <v>-0.78403938851967947</v>
      </c>
      <c r="AZ49" s="275">
        <v>-0.73737568168620182</v>
      </c>
      <c r="BA49" s="275">
        <v>-0.69108795765412623</v>
      </c>
      <c r="BB49" s="275">
        <v>-0.64518700539518958</v>
      </c>
      <c r="BC49" s="275">
        <v>-0.5996849310211867</v>
      </c>
      <c r="BD49" s="275">
        <v>-0.55459538654893326</v>
      </c>
      <c r="BE49" s="275">
        <v>-0.50993366443139809</v>
      </c>
      <c r="BF49" s="275">
        <v>-0.46571674364688498</v>
      </c>
      <c r="BG49" s="275">
        <v>-0.42196337662902378</v>
      </c>
      <c r="BH49" s="275">
        <v>-0.37869427690788271</v>
      </c>
      <c r="BI49" s="275">
        <v>-0.33593243075544921</v>
      </c>
      <c r="BJ49" s="275">
        <v>-0.29370352889176399</v>
      </c>
      <c r="BK49" s="275">
        <v>-0.25203649779265408</v>
      </c>
      <c r="BL49" s="275">
        <v>-0.210964096775486</v>
      </c>
      <c r="BM49" s="275">
        <v>-0.17052352630775941</v>
      </c>
      <c r="BN49" s="275">
        <v>-0.13075695319750391</v>
      </c>
      <c r="BO49" s="275">
        <v>-9.1711786527369554E-2</v>
      </c>
      <c r="BP49" s="275">
        <v>-5.3440423166459361E-2</v>
      </c>
      <c r="BQ49" s="275">
        <v>-1.5999027925021281E-2</v>
      </c>
      <c r="BR49" s="275">
        <v>2.0555223649339819E-2</v>
      </c>
      <c r="BS49" s="275">
        <v>5.6168972186051207E-2</v>
      </c>
      <c r="BT49" s="275">
        <v>9.0799616222453139E-2</v>
      </c>
      <c r="BU49" s="275">
        <v>0.1244233052569514</v>
      </c>
      <c r="BV49" s="275">
        <v>0.1570415990133176</v>
      </c>
      <c r="BW49" s="275">
        <v>0.1886840476023384</v>
      </c>
      <c r="BX49" s="275">
        <v>0.21940544317154839</v>
      </c>
      <c r="BY49" s="275">
        <v>0.2492789902530248</v>
      </c>
      <c r="BZ49" s="275">
        <v>0.27838813800424589</v>
      </c>
      <c r="CA49" s="275">
        <v>0.30681945751294842</v>
      </c>
      <c r="CB49" s="275">
        <v>0.33465762603671051</v>
      </c>
      <c r="CC49" s="275">
        <v>0.36198247197927641</v>
      </c>
      <c r="CD49" s="275">
        <v>0.38886754804038232</v>
      </c>
      <c r="CE49" s="275">
        <v>0.41537966178980668</v>
      </c>
      <c r="CF49" s="275">
        <v>0.4415789324129884</v>
      </c>
      <c r="CG49" s="275">
        <v>0.46751910014522302</v>
      </c>
      <c r="CH49" s="275">
        <v>0.49324793636757658</v>
      </c>
      <c r="CI49" s="275">
        <v>0.51880768396543164</v>
      </c>
      <c r="CJ49" s="275">
        <v>0.54423551102396495</v>
      </c>
      <c r="CK49" s="275">
        <v>0.56956399735602936</v>
      </c>
      <c r="CL49" s="275">
        <v>0.5948216966777693</v>
      </c>
      <c r="CM49" s="275">
        <v>0.62003382012056463</v>
      </c>
      <c r="CN49" s="275">
        <v>0.64522305098380084</v>
      </c>
      <c r="CO49" s="275">
        <v>0.67041041425823078</v>
      </c>
      <c r="CP49" s="275"/>
      <c r="CQ49" s="276">
        <v>-3.6483638788382828</v>
      </c>
      <c r="CR49" s="276">
        <v>-3.5899646878453759</v>
      </c>
      <c r="CS49" s="276">
        <v>-3.5314400317243861</v>
      </c>
      <c r="CT49" s="276">
        <v>-3.472799380454004</v>
      </c>
      <c r="CU49" s="276">
        <v>-3.4140538480464762</v>
      </c>
      <c r="CV49" s="276">
        <v>-3.355216313951034</v>
      </c>
      <c r="CW49" s="276">
        <v>-3.2963015301194618</v>
      </c>
      <c r="CX49" s="276">
        <v>-3.2373262053893419</v>
      </c>
      <c r="CY49" s="276">
        <v>-3.178309057012259</v>
      </c>
      <c r="CZ49" s="276">
        <v>-3.119270817355611</v>
      </c>
      <c r="DA49" s="276">
        <v>-3.0602341822928851</v>
      </c>
      <c r="DB49" s="276">
        <v>-3.0012236869605422</v>
      </c>
      <c r="DC49" s="276">
        <v>-2.942265494936354</v>
      </c>
      <c r="DD49" s="276">
        <v>-2.8833870891426931</v>
      </c>
      <c r="DE49" s="276">
        <v>-2.8246168575773529</v>
      </c>
      <c r="DF49" s="276">
        <v>-2.7659835748228749</v>
      </c>
      <c r="DG49" s="276">
        <v>-2.7075157912002878</v>
      </c>
      <c r="DH49" s="276">
        <v>-2.6492411545984802</v>
      </c>
      <c r="DI49" s="276">
        <v>-2.5911857035336001</v>
      </c>
      <c r="DJ49" s="276">
        <v>-2.533373180985504</v>
      </c>
      <c r="DK49" s="276">
        <v>-2.4758244237224458</v>
      </c>
      <c r="DL49" s="276">
        <v>-2.418556878531577</v>
      </c>
      <c r="DM49" s="276">
        <v>-2.3615842842551089</v>
      </c>
      <c r="DN49" s="276">
        <v>-2.3049165385749562</v>
      </c>
      <c r="DO49" s="276">
        <v>-2.248559745083071</v>
      </c>
      <c r="DP49" s="276">
        <v>-2.1925164141331979</v>
      </c>
      <c r="DQ49" s="276">
        <v>-2.136785774182715</v>
      </c>
      <c r="DR49" s="276">
        <v>-2.0813641406114369</v>
      </c>
      <c r="DS49" s="276">
        <v>-2.026245286114579</v>
      </c>
      <c r="DT49" s="276">
        <v>-1.971420759470774</v>
      </c>
      <c r="DU49" s="276">
        <v>-1.916880106731111</v>
      </c>
      <c r="DV49" s="276">
        <v>-1.8626109602205889</v>
      </c>
      <c r="DW49" s="276">
        <v>-1.808598975733583</v>
      </c>
      <c r="DX49" s="276">
        <v>-1.754827615430274</v>
      </c>
      <c r="DY49" s="276">
        <v>-1.7012777903194709</v>
      </c>
      <c r="DZ49" s="276">
        <v>-1.6479273885665009</v>
      </c>
      <c r="EA49" s="276">
        <v>-1.594750722217942</v>
      </c>
      <c r="EB49" s="276">
        <v>-1.541717925803179</v>
      </c>
      <c r="EC49" s="276">
        <v>-1.4887943386117031</v>
      </c>
      <c r="ED49" s="276">
        <v>-1.435939902712454</v>
      </c>
      <c r="EE49" s="276">
        <v>-1.383108616004225</v>
      </c>
      <c r="EF49" s="276">
        <v>-1.3302480990078569</v>
      </c>
      <c r="EG49" s="276">
        <v>-1.2772993712208009</v>
      </c>
      <c r="EH49" s="276">
        <v>-1.224196992816855</v>
      </c>
      <c r="EI49" s="276">
        <v>-1.1708698121645971</v>
      </c>
      <c r="EJ49" s="276">
        <v>-1.1172426596600471</v>
      </c>
      <c r="EK49" s="276">
        <v>-1.0632394078115659</v>
      </c>
      <c r="EL49" s="276">
        <v>-1.008787795115178</v>
      </c>
      <c r="EM49" s="276">
        <v>-0.95382615960157258</v>
      </c>
      <c r="EN49" s="276">
        <v>-0.89831163803845226</v>
      </c>
      <c r="EO49" s="276">
        <v>-0.84222853166062339</v>
      </c>
      <c r="EP49" s="276">
        <v>-0.78559483519113138</v>
      </c>
      <c r="EQ49" s="276">
        <v>-0.72846499950368038</v>
      </c>
      <c r="ER49" s="276">
        <v>-0.67092812298623705</v>
      </c>
      <c r="ES49" s="276">
        <v>-0.61310239399137278</v>
      </c>
      <c r="ET49" s="276">
        <v>-0.55512773145566141</v>
      </c>
      <c r="EU49" s="276">
        <v>-0.49715864408199723</v>
      </c>
      <c r="EV49" s="276">
        <v>-0.43935862322197428</v>
      </c>
      <c r="EW49" s="276">
        <v>-0.38189652624016762</v>
      </c>
      <c r="EX49" s="276">
        <v>-0.32494480957289568</v>
      </c>
      <c r="EY49" s="276">
        <v>-0.26867920263179501</v>
      </c>
      <c r="EZ49" s="276">
        <v>-0.21327935844555271</v>
      </c>
      <c r="FA49" s="276">
        <v>-0.15893003381858811</v>
      </c>
      <c r="FB49" s="276">
        <v>-0.1058223384230427</v>
      </c>
      <c r="FC49" s="276">
        <v>-5.4154483559309012E-2</v>
      </c>
      <c r="FD49" s="276">
        <v>-4.1312204750271709E-3</v>
      </c>
      <c r="FE49" s="276">
        <v>4.4039201218725461E-2</v>
      </c>
      <c r="FF49" s="276">
        <v>9.0152054776748758E-2</v>
      </c>
      <c r="FG49" s="276">
        <v>0.13401852154618921</v>
      </c>
      <c r="FH49" s="276">
        <v>0.17548356244140401</v>
      </c>
      <c r="FI49" s="276">
        <v>0.21444653929624699</v>
      </c>
      <c r="FJ49" s="272">
        <v>0.25087844478860299</v>
      </c>
      <c r="FK49" s="272">
        <v>0.28482867224997449</v>
      </c>
      <c r="FL49" s="272">
        <v>0.31641811057338348</v>
      </c>
      <c r="FM49" s="272">
        <v>0.34582178112480788</v>
      </c>
      <c r="FN49" s="272">
        <v>0.37324808818044591</v>
      </c>
      <c r="FO49" s="272">
        <v>0.39892082857426248</v>
      </c>
      <c r="FP49" s="272">
        <v>0.4230667038995049</v>
      </c>
      <c r="FQ49" s="272">
        <v>0.44590822395952628</v>
      </c>
      <c r="FR49" s="272">
        <v>0.46766063379755762</v>
      </c>
      <c r="FS49" s="272">
        <v>0.48853138899761073</v>
      </c>
      <c r="FT49" s="272">
        <v>0.50872104364883042</v>
      </c>
      <c r="FU49" s="272">
        <v>0.52842478373849178</v>
      </c>
      <c r="FV49" s="272">
        <v>0.54783408226310792</v>
      </c>
      <c r="FW49" s="272">
        <v>0.56713804410231961</v>
      </c>
      <c r="FX49" s="272">
        <v>0.58652396186931333</v>
      </c>
      <c r="FY49" s="272">
        <v>0.60617645406574427</v>
      </c>
      <c r="FZ49" s="272">
        <v>0.62627440046820537</v>
      </c>
      <c r="GA49" s="272">
        <v>0.64698495762377617</v>
      </c>
      <c r="GB49" s="272">
        <v>0.66845460583812832</v>
      </c>
      <c r="GC49" s="272">
        <v>0.69079868874960815</v>
      </c>
    </row>
    <row r="50" spans="2:185" ht="15" thickBot="1" x14ac:dyDescent="0.4">
      <c r="B50" s="298">
        <v>44</v>
      </c>
      <c r="C50" s="275">
        <v>-3.248196909775682</v>
      </c>
      <c r="D50" s="275">
        <v>-3.2074574240136009</v>
      </c>
      <c r="E50" s="275">
        <v>-3.1665288376356391</v>
      </c>
      <c r="F50" s="275">
        <v>-3.1253975391714879</v>
      </c>
      <c r="G50" s="275">
        <v>-3.0840489273716329</v>
      </c>
      <c r="H50" s="275">
        <v>-3.0424673979670871</v>
      </c>
      <c r="I50" s="275">
        <v>-3.000636354110672</v>
      </c>
      <c r="J50" s="275">
        <v>-2.958538249093758</v>
      </c>
      <c r="K50" s="275">
        <v>-2.9161546716371221</v>
      </c>
      <c r="L50" s="275">
        <v>-2.8734664856170888</v>
      </c>
      <c r="M50" s="275">
        <v>-2.8304540371771032</v>
      </c>
      <c r="N50" s="275">
        <v>-2.787097442306651</v>
      </c>
      <c r="O50" s="275">
        <v>-2.7433769665052741</v>
      </c>
      <c r="P50" s="275">
        <v>-2.699273504354629</v>
      </c>
      <c r="Q50" s="275">
        <v>-2.654769160005483</v>
      </c>
      <c r="R50" s="275">
        <v>-2.6098479193630459</v>
      </c>
      <c r="S50" s="275">
        <v>-2.5644963913951719</v>
      </c>
      <c r="T50" s="275">
        <v>-2.5187045807906259</v>
      </c>
      <c r="U50" s="275">
        <v>-2.4724666396761088</v>
      </c>
      <c r="V50" s="275">
        <v>-2.4257815357863031</v>
      </c>
      <c r="W50" s="275">
        <v>-2.3786535721181661</v>
      </c>
      <c r="X50" s="275">
        <v>-2.3310927013737328</v>
      </c>
      <c r="Y50" s="275">
        <v>-2.28311459768398</v>
      </c>
      <c r="Z50" s="275">
        <v>-2.2347404753552591</v>
      </c>
      <c r="AA50" s="275">
        <v>-2.1859966741474302</v>
      </c>
      <c r="AB50" s="275">
        <v>-2.1369140562726319</v>
      </c>
      <c r="AC50" s="275">
        <v>-2.0875272763899391</v>
      </c>
      <c r="AD50" s="275">
        <v>-2.0378739897093761</v>
      </c>
      <c r="AE50" s="275">
        <v>-1.9879940557409119</v>
      </c>
      <c r="AF50" s="275">
        <v>-1.937928779953592</v>
      </c>
      <c r="AG50" s="275">
        <v>-1.887720217817787</v>
      </c>
      <c r="AH50" s="275">
        <v>-1.8374105502867719</v>
      </c>
      <c r="AI50" s="275">
        <v>-1.787041529900987</v>
      </c>
      <c r="AJ50" s="275">
        <v>-1.7366539930599669</v>
      </c>
      <c r="AK50" s="275">
        <v>-1.686287435042338</v>
      </c>
      <c r="AL50" s="275">
        <v>-1.6359796473342521</v>
      </c>
      <c r="AM50" s="275">
        <v>-1.5857664192386169</v>
      </c>
      <c r="AN50" s="275">
        <v>-1.535681306260098</v>
      </c>
      <c r="AO50" s="275">
        <v>-1.485755466436971</v>
      </c>
      <c r="AP50" s="275">
        <v>-1.4360175635437971</v>
      </c>
      <c r="AQ50" s="275">
        <v>-1.3864937340449379</v>
      </c>
      <c r="AR50" s="275">
        <v>-1.337207613685653</v>
      </c>
      <c r="AS50" s="275">
        <v>-1.2881804200602061</v>
      </c>
      <c r="AT50" s="275">
        <v>-1.2394310893622531</v>
      </c>
      <c r="AU50" s="275">
        <v>-1.1909764683762041</v>
      </c>
      <c r="AV50" s="275">
        <v>-1.142831565709864</v>
      </c>
      <c r="AW50" s="275">
        <v>-1.0950098677323299</v>
      </c>
      <c r="AX50" s="275">
        <v>-1.04752372236974</v>
      </c>
      <c r="AY50" s="275">
        <v>-1.000384785412668</v>
      </c>
      <c r="AZ50" s="275">
        <v>-0.95360450868517666</v>
      </c>
      <c r="BA50" s="275">
        <v>-0.90719463133480682</v>
      </c>
      <c r="BB50" s="275">
        <v>-0.86116762437359784</v>
      </c>
      <c r="BC50" s="275">
        <v>-0.81553704538499583</v>
      </c>
      <c r="BD50" s="275">
        <v>-0.7703177876038817</v>
      </c>
      <c r="BE50" s="275">
        <v>-0.7255262439364546</v>
      </c>
      <c r="BF50" s="275">
        <v>-0.68118043330590317</v>
      </c>
      <c r="BG50" s="275">
        <v>-0.63730014240461375</v>
      </c>
      <c r="BH50" s="275">
        <v>-0.59390712277263413</v>
      </c>
      <c r="BI50" s="275">
        <v>-0.55102536146585079</v>
      </c>
      <c r="BJ50" s="275">
        <v>-0.50868142217542334</v>
      </c>
      <c r="BK50" s="275">
        <v>-0.46690483491559809</v>
      </c>
      <c r="BL50" s="275">
        <v>-0.42572849321319922</v>
      </c>
      <c r="BM50" s="275">
        <v>-0.38518899219107688</v>
      </c>
      <c r="BN50" s="275">
        <v>-0.34532680254491832</v>
      </c>
      <c r="BO50" s="275">
        <v>-0.30618611953329261</v>
      </c>
      <c r="BP50" s="275">
        <v>-0.26781415510401507</v>
      </c>
      <c r="BQ50" s="275">
        <v>-0.23025957530567939</v>
      </c>
      <c r="BR50" s="275">
        <v>-0.19356977796929589</v>
      </c>
      <c r="BS50" s="275">
        <v>-0.157786852051118</v>
      </c>
      <c r="BT50" s="275">
        <v>-0.1229424570176333</v>
      </c>
      <c r="BU50" s="275">
        <v>-8.905248393303615E-2</v>
      </c>
      <c r="BV50" s="275">
        <v>-5.6112916267668268E-2</v>
      </c>
      <c r="BW50" s="275">
        <v>-2.4098304786166189E-2</v>
      </c>
      <c r="BX50" s="275">
        <v>7.0365398064232334E-3</v>
      </c>
      <c r="BY50" s="275">
        <v>3.7352238546737603E-2</v>
      </c>
      <c r="BZ50" s="275">
        <v>6.6919333107196735E-2</v>
      </c>
      <c r="CA50" s="275">
        <v>9.5812988700730031E-2</v>
      </c>
      <c r="CB50" s="275">
        <v>0.12410877187470459</v>
      </c>
      <c r="CC50" s="275">
        <v>0.15187974149512351</v>
      </c>
      <c r="CD50" s="275">
        <v>0.1791946953267306</v>
      </c>
      <c r="CE50" s="275">
        <v>0.20611726989365961</v>
      </c>
      <c r="CF50" s="275">
        <v>0.2327056010269016</v>
      </c>
      <c r="CG50" s="275">
        <v>0.25901232226573551</v>
      </c>
      <c r="CH50" s="275">
        <v>0.28508475463790123</v>
      </c>
      <c r="CI50" s="275">
        <v>0.31096520421488832</v>
      </c>
      <c r="CJ50" s="275">
        <v>0.33669132998810558</v>
      </c>
      <c r="CK50" s="275">
        <v>0.36229657574015067</v>
      </c>
      <c r="CL50" s="275">
        <v>0.38781067583285223</v>
      </c>
      <c r="CM50" s="275">
        <v>0.41326024237688352</v>
      </c>
      <c r="CN50" s="275">
        <v>0.4386694150173896</v>
      </c>
      <c r="CO50" s="275">
        <v>0.46406050811594679</v>
      </c>
      <c r="CP50" s="275"/>
      <c r="CQ50" s="276">
        <v>-3.876465412737879</v>
      </c>
      <c r="CR50" s="276">
        <v>-3.8182111428150391</v>
      </c>
      <c r="CS50" s="276">
        <v>-3.7598440224716398</v>
      </c>
      <c r="CT50" s="276">
        <v>-3.7013738652533621</v>
      </c>
      <c r="CU50" s="276">
        <v>-3.6428120163778401</v>
      </c>
      <c r="CV50" s="276">
        <v>-3.5841714455972151</v>
      </c>
      <c r="CW50" s="276">
        <v>-3.5254668230565529</v>
      </c>
      <c r="CX50" s="276">
        <v>-3.466714570633866</v>
      </c>
      <c r="CY50" s="276">
        <v>-3.4079328799589712</v>
      </c>
      <c r="CZ50" s="276">
        <v>-3.3491416871864228</v>
      </c>
      <c r="DA50" s="276">
        <v>-3.2903625938734451</v>
      </c>
      <c r="DB50" s="276">
        <v>-3.2316187233021592</v>
      </c>
      <c r="DC50" s="276">
        <v>-3.1729345026763172</v>
      </c>
      <c r="DD50" s="276">
        <v>-3.1143353642395462</v>
      </c>
      <c r="DE50" s="276">
        <v>-3.055847362866996</v>
      </c>
      <c r="DF50" s="276">
        <v>-2.9974967142359419</v>
      </c>
      <c r="DG50" s="276">
        <v>-2.9393092660519349</v>
      </c>
      <c r="DH50" s="276">
        <v>-2.8813099242033289</v>
      </c>
      <c r="DI50" s="276">
        <v>-2.8235220647131158</v>
      </c>
      <c r="DJ50" s="276">
        <v>-2.7659669690424442</v>
      </c>
      <c r="DK50" s="276">
        <v>-2.708663322691768</v>
      </c>
      <c r="DL50" s="276">
        <v>-2.65162681371703</v>
      </c>
      <c r="DM50" s="276">
        <v>-2.59486985847643</v>
      </c>
      <c r="DN50" s="276">
        <v>-2.5384014678656648</v>
      </c>
      <c r="DO50" s="276">
        <v>-2.4822272509336312</v>
      </c>
      <c r="DP50" s="276">
        <v>-2.4263495370289911</v>
      </c>
      <c r="DQ50" s="276">
        <v>-2.3707675850211971</v>
      </c>
      <c r="DR50" s="276">
        <v>-2.3154778401267988</v>
      </c>
      <c r="DS50" s="276">
        <v>-2.2604741957917769</v>
      </c>
      <c r="DT50" s="276">
        <v>-2.2057482195559341</v>
      </c>
      <c r="DU50" s="276">
        <v>-2.1512893072688661</v>
      </c>
      <c r="DV50" s="276">
        <v>-2.0970847388549112</v>
      </c>
      <c r="DW50" s="276">
        <v>-2.043119620262801</v>
      </c>
      <c r="DX50" s="276">
        <v>-1.9893767090002561</v>
      </c>
      <c r="DY50" s="276">
        <v>-1.9358361329486899</v>
      </c>
      <c r="DZ50" s="276">
        <v>-1.882475022197633</v>
      </c>
      <c r="EA50" s="276">
        <v>-1.8292670804752049</v>
      </c>
      <c r="EB50" s="276">
        <v>-1.776182126838022</v>
      </c>
      <c r="EC50" s="276">
        <v>-1.7231856415363589</v>
      </c>
      <c r="ED50" s="276">
        <v>-1.670238355335989</v>
      </c>
      <c r="EE50" s="276">
        <v>-1.6172959324636409</v>
      </c>
      <c r="EF50" s="276">
        <v>-1.5643088170851589</v>
      </c>
      <c r="EG50" s="276">
        <v>-1.5112223444376749</v>
      </c>
      <c r="EH50" s="276">
        <v>-1.457977260926012</v>
      </c>
      <c r="EI50" s="276">
        <v>-1.4045108480659501</v>
      </c>
      <c r="EJ50" s="276">
        <v>-1.350758888143361</v>
      </c>
      <c r="EK50" s="276">
        <v>-1.2966587129691161</v>
      </c>
      <c r="EL50" s="276">
        <v>-1.242153490104235</v>
      </c>
      <c r="EM50" s="276">
        <v>-1.1871976680177381</v>
      </c>
      <c r="EN50" s="276">
        <v>-1.131763109154666</v>
      </c>
      <c r="EO50" s="276">
        <v>-1.0758449842923281</v>
      </c>
      <c r="EP50" s="276">
        <v>-1.0194662160188781</v>
      </c>
      <c r="EQ50" s="276">
        <v>-0.96267940559264897</v>
      </c>
      <c r="ER50" s="276">
        <v>-0.90556581802137226</v>
      </c>
      <c r="ES50" s="276">
        <v>-0.84823186200163303</v>
      </c>
      <c r="ET50" s="276">
        <v>-0.79080414109644048</v>
      </c>
      <c r="EU50" s="276">
        <v>-0.7334242969094068</v>
      </c>
      <c r="EV50" s="276">
        <v>-0.67624457540922178</v>
      </c>
      <c r="EW50" s="276">
        <v>-0.61942458438359405</v>
      </c>
      <c r="EX50" s="276">
        <v>-0.56312930387273641</v>
      </c>
      <c r="EY50" s="276">
        <v>-0.50752815464604206</v>
      </c>
      <c r="EZ50" s="276">
        <v>-0.45279480223695018</v>
      </c>
      <c r="FA50" s="276">
        <v>-0.39910731119046672</v>
      </c>
      <c r="FB50" s="276">
        <v>-0.3466482039093931</v>
      </c>
      <c r="FC50" s="276">
        <v>-0.29560388064486048</v>
      </c>
      <c r="FD50" s="276">
        <v>-0.24616271474829579</v>
      </c>
      <c r="FE50" s="276">
        <v>-0.19851099821351481</v>
      </c>
      <c r="FF50" s="276">
        <v>-0.1528259156960271</v>
      </c>
      <c r="FG50" s="276">
        <v>-0.1092651165135653</v>
      </c>
      <c r="FH50" s="276">
        <v>-6.7953485470540032E-2</v>
      </c>
      <c r="FI50" s="276">
        <v>-2.8969323807936601E-2</v>
      </c>
      <c r="FJ50" s="272">
        <v>7.666412765254706E-3</v>
      </c>
      <c r="FK50" s="272">
        <v>4.1994180247958091E-2</v>
      </c>
      <c r="FL50" s="272">
        <v>7.4111665682980443E-2</v>
      </c>
      <c r="FM50" s="272">
        <v>0.10416291423481321</v>
      </c>
      <c r="FN50" s="272">
        <v>0.13232440693206579</v>
      </c>
      <c r="FO50" s="272">
        <v>0.1587917416511008</v>
      </c>
      <c r="FP50" s="272">
        <v>0.18376913649814811</v>
      </c>
      <c r="FQ50" s="272">
        <v>0.2074623674335537</v>
      </c>
      <c r="FR50" s="272">
        <v>0.2300747246594165</v>
      </c>
      <c r="FS50" s="272">
        <v>0.25180518545944203</v>
      </c>
      <c r="FT50" s="272">
        <v>0.27284800173747248</v>
      </c>
      <c r="FU50" s="272">
        <v>0.29339303968306701</v>
      </c>
      <c r="FV50" s="272">
        <v>0.31362634235375558</v>
      </c>
      <c r="FW50" s="272">
        <v>0.33373045664570211</v>
      </c>
      <c r="FX50" s="272">
        <v>0.35388407050555448</v>
      </c>
      <c r="FY50" s="272">
        <v>0.37426048051486782</v>
      </c>
      <c r="FZ50" s="272">
        <v>0.39502443859271918</v>
      </c>
      <c r="GA50" s="272">
        <v>0.41632714765954082</v>
      </c>
      <c r="GB50" s="272">
        <v>0.4382997281178177</v>
      </c>
      <c r="GC50" s="272">
        <v>0.46104633100986753</v>
      </c>
    </row>
    <row r="51" spans="2:185" ht="15" thickBot="1" x14ac:dyDescent="0.4">
      <c r="B51" s="298">
        <v>45</v>
      </c>
      <c r="C51" s="275">
        <v>-3.4640468514240021</v>
      </c>
      <c r="D51" s="275">
        <v>-3.4232254432422389</v>
      </c>
      <c r="E51" s="275">
        <v>-3.3822107705607221</v>
      </c>
      <c r="F51" s="275">
        <v>-3.340989487869785</v>
      </c>
      <c r="G51" s="275">
        <v>-3.299547378688239</v>
      </c>
      <c r="H51" s="275">
        <v>-3.2578693643028429</v>
      </c>
      <c r="I51" s="275">
        <v>-3.21593953748748</v>
      </c>
      <c r="J51" s="275">
        <v>-3.1737412286997961</v>
      </c>
      <c r="K51" s="275">
        <v>-3.1312571133440299</v>
      </c>
      <c r="L51" s="275">
        <v>-3.0884693694974912</v>
      </c>
      <c r="M51" s="275">
        <v>-3.0453598957406092</v>
      </c>
      <c r="N51" s="275">
        <v>-3.0019105980331271</v>
      </c>
      <c r="O51" s="275">
        <v>-2.958103752500119</v>
      </c>
      <c r="P51" s="275">
        <v>-2.9139224470873648</v>
      </c>
      <c r="Q51" s="275">
        <v>-2.8693510989891671</v>
      </c>
      <c r="R51" s="275">
        <v>-2.8243760365107899</v>
      </c>
      <c r="S51" s="275">
        <v>-2.778986124070717</v>
      </c>
      <c r="T51" s="275">
        <v>-2.7331733985122502</v>
      </c>
      <c r="U51" s="275">
        <v>-2.6869336756057249</v>
      </c>
      <c r="V51" s="275">
        <v>-2.6402670798623409</v>
      </c>
      <c r="W51" s="275">
        <v>-2.5931784507424949</v>
      </c>
      <c r="X51" s="275">
        <v>-2.545677585386517</v>
      </c>
      <c r="Y51" s="275">
        <v>-2.4977792919564421</v>
      </c>
      <c r="Z51" s="275">
        <v>-2.4495032465555369</v>
      </c>
      <c r="AA51" s="275">
        <v>-2.40087366699571</v>
      </c>
      <c r="AB51" s="275">
        <v>-2.3519188343647248</v>
      </c>
      <c r="AC51" s="275">
        <v>-2.3026705050154481</v>
      </c>
      <c r="AD51" s="275">
        <v>-2.25316325952</v>
      </c>
      <c r="AE51" s="275">
        <v>-2.2034338316255089</v>
      </c>
      <c r="AF51" s="275">
        <v>-2.1535204514130419</v>
      </c>
      <c r="AG51" s="275">
        <v>-2.1034622257616049</v>
      </c>
      <c r="AH51" s="275">
        <v>-2.053298568871706</v>
      </c>
      <c r="AI51" s="275">
        <v>-2.0030686880978572</v>
      </c>
      <c r="AJ51" s="275">
        <v>-1.9528111263774961</v>
      </c>
      <c r="AK51" s="275">
        <v>-1.9025633615192481</v>
      </c>
      <c r="AL51" s="275">
        <v>-1.852361463162332</v>
      </c>
      <c r="AM51" s="275">
        <v>-1.802239808945828</v>
      </c>
      <c r="AN51" s="275">
        <v>-1.7522308614611251</v>
      </c>
      <c r="AO51" s="275">
        <v>-1.7023650067377081</v>
      </c>
      <c r="AP51" s="275">
        <v>-1.652670453701518</v>
      </c>
      <c r="AQ51" s="275">
        <v>-1.6031731928248569</v>
      </c>
      <c r="AR51" s="275">
        <v>-1.5538970115519319</v>
      </c>
      <c r="AS51" s="275">
        <v>-1.504863564283015</v>
      </c>
      <c r="AT51" s="275">
        <v>-1.45609249567456</v>
      </c>
      <c r="AU51" s="275">
        <v>-1.4076016173803709</v>
      </c>
      <c r="AV51" s="275">
        <v>-1.359407139386519</v>
      </c>
      <c r="AW51" s="275">
        <v>-1.311523956700384</v>
      </c>
      <c r="AX51" s="275">
        <v>-1.263965989098627</v>
      </c>
      <c r="AY51" s="275">
        <v>-1.2167465650944811</v>
      </c>
      <c r="AZ51" s="275">
        <v>-1.169878831877488</v>
      </c>
      <c r="BA51" s="275">
        <v>-1.123376163760365</v>
      </c>
      <c r="BB51" s="275">
        <v>-1.077252537782933</v>
      </c>
      <c r="BC51" s="275">
        <v>-1.0315228511543291</v>
      </c>
      <c r="BD51" s="275">
        <v>-0.98620317128598289</v>
      </c>
      <c r="BE51" s="275">
        <v>-0.94131092931898941</v>
      </c>
      <c r="BF51" s="275">
        <v>-0.89686508339178461</v>
      </c>
      <c r="BG51" s="275">
        <v>-0.85288628231576258</v>
      </c>
      <c r="BH51" s="275">
        <v>-0.80939705362350445</v>
      </c>
      <c r="BI51" s="275">
        <v>-0.76642202615113675</v>
      </c>
      <c r="BJ51" s="275">
        <v>-0.72398818070254389</v>
      </c>
      <c r="BK51" s="275">
        <v>-0.68212510475070687</v>
      </c>
      <c r="BL51" s="275">
        <v>-0.64086520761843868</v>
      </c>
      <c r="BM51" s="275">
        <v>-0.60024382866781689</v>
      </c>
      <c r="BN51" s="275">
        <v>-0.56029914059568853</v>
      </c>
      <c r="BO51" s="275">
        <v>-0.521071713846462</v>
      </c>
      <c r="BP51" s="275">
        <v>-0.48260357427954942</v>
      </c>
      <c r="BQ51" s="275">
        <v>-0.44493657480654042</v>
      </c>
      <c r="BR51" s="275">
        <v>-0.40810994879902379</v>
      </c>
      <c r="BS51" s="275">
        <v>-0.37215706269630022</v>
      </c>
      <c r="BT51" s="275">
        <v>-0.33710165723612923</v>
      </c>
      <c r="BU51" s="275">
        <v>-0.30295420180432409</v>
      </c>
      <c r="BV51" s="275">
        <v>-0.26970921521821012</v>
      </c>
      <c r="BW51" s="275">
        <v>-0.2373443229797321</v>
      </c>
      <c r="BX51" s="275">
        <v>-0.2058213647287257</v>
      </c>
      <c r="BY51" s="275">
        <v>-0.17508923916191049</v>
      </c>
      <c r="BZ51" s="275">
        <v>-0.14508771723488231</v>
      </c>
      <c r="CA51" s="275">
        <v>-0.1157513708799582</v>
      </c>
      <c r="CB51" s="275">
        <v>-8.70129927821095E-2</v>
      </c>
      <c r="CC51" s="275">
        <v>-5.8806217045288989E-2</v>
      </c>
      <c r="CD51" s="275">
        <v>-3.1067321419643079E-2</v>
      </c>
      <c r="CE51" s="275">
        <v>-3.736339726042814E-3</v>
      </c>
      <c r="CF51" s="275">
        <v>2.3242342120778581E-2</v>
      </c>
      <c r="CG51" s="275">
        <v>4.9919747614200823E-2</v>
      </c>
      <c r="CH51" s="275">
        <v>7.6342307534134513E-2</v>
      </c>
      <c r="CI51" s="275">
        <v>0.1025520133126232</v>
      </c>
      <c r="CJ51" s="275">
        <v>0.1285866786786718</v>
      </c>
      <c r="CK51" s="275">
        <v>0.15448028607860831</v>
      </c>
      <c r="CL51" s="275">
        <v>0.1802634062642792</v>
      </c>
      <c r="CM51" s="275">
        <v>0.20596367782162869</v>
      </c>
      <c r="CN51" s="275">
        <v>0.23160631835808049</v>
      </c>
      <c r="CO51" s="275">
        <v>0.25721461649538752</v>
      </c>
      <c r="CP51" s="275"/>
      <c r="CQ51" s="276">
        <v>-4.1047519231373366</v>
      </c>
      <c r="CR51" s="276">
        <v>-4.0466451462398059</v>
      </c>
      <c r="CS51" s="276">
        <v>-3.988437323417243</v>
      </c>
      <c r="CT51" s="276">
        <v>-3.9301384882516399</v>
      </c>
      <c r="CU51" s="276">
        <v>-3.8717600905546239</v>
      </c>
      <c r="CV51" s="276">
        <v>-3.8133150642757641</v>
      </c>
      <c r="CW51" s="276">
        <v>-3.7548178768887621</v>
      </c>
      <c r="CX51" s="276">
        <v>-3.696284553675254</v>
      </c>
      <c r="CY51" s="276">
        <v>-3.6377326694820642</v>
      </c>
      <c r="CZ51" s="276">
        <v>-3.5791812999243939</v>
      </c>
      <c r="DA51" s="276">
        <v>-3.5206509238342072</v>
      </c>
      <c r="DB51" s="276">
        <v>-3.4621632692486162</v>
      </c>
      <c r="DC51" s="276">
        <v>-3.4037410966629791</v>
      </c>
      <c r="DD51" s="276">
        <v>-3.345407915888059</v>
      </c>
      <c r="DE51" s="276">
        <v>-3.2871876368149842</v>
      </c>
      <c r="DF51" s="276">
        <v>-3.2291041596863361</v>
      </c>
      <c r="DG51" s="276">
        <v>-3.1711809167877538</v>
      </c>
      <c r="DH51" s="276">
        <v>-3.1134403841388512</v>
      </c>
      <c r="DI51" s="276">
        <v>-3.055903587740505</v>
      </c>
      <c r="DJ51" s="276">
        <v>-2.9985896329720569</v>
      </c>
      <c r="DK51" s="276">
        <v>-2.9415152866247181</v>
      </c>
      <c r="DL51" s="276">
        <v>-2.8846946380265939</v>
      </c>
      <c r="DM51" s="276">
        <v>-2.828138858724349</v>
      </c>
      <c r="DN51" s="276">
        <v>-2.771856070076701</v>
      </c>
      <c r="DO51" s="276">
        <v>-2.7158513164414941</v>
      </c>
      <c r="DP51" s="276">
        <v>-2.660126630262821</v>
      </c>
      <c r="DQ51" s="276">
        <v>-2.6046811659622651</v>
      </c>
      <c r="DR51" s="276">
        <v>-2.5495113732328831</v>
      </c>
      <c r="DS51" s="276">
        <v>-2.4946111776064148</v>
      </c>
      <c r="DT51" s="276">
        <v>-2.4399721369838581</v>
      </c>
      <c r="DU51" s="276">
        <v>-2.3855835468612381</v>
      </c>
      <c r="DV51" s="276">
        <v>-2.3314324737398171</v>
      </c>
      <c r="DW51" s="276">
        <v>-2.2775037049692108</v>
      </c>
      <c r="DX51" s="276">
        <v>-2.2237796130602399</v>
      </c>
      <c r="DY51" s="276">
        <v>-2.170239942176686</v>
      </c>
      <c r="DZ51" s="276">
        <v>-2.1168615330614649</v>
      </c>
      <c r="EA51" s="276">
        <v>-2.0636180096062069</v>
      </c>
      <c r="EB51" s="276">
        <v>-2.0104794560028219</v>
      </c>
      <c r="EC51" s="276">
        <v>-1.9574121191512459</v>
      </c>
      <c r="ED51" s="276">
        <v>-1.904378178573821</v>
      </c>
      <c r="EE51" s="276">
        <v>-1.8513356375122261</v>
      </c>
      <c r="EF51" s="276">
        <v>-1.798238405769186</v>
      </c>
      <c r="EG51" s="276">
        <v>-1.745036667609462</v>
      </c>
      <c r="EH51" s="276">
        <v>-1.6916776545318899</v>
      </c>
      <c r="EI51" s="276">
        <v>-1.638106966285807</v>
      </c>
      <c r="EJ51" s="276">
        <v>-1.584270590426776</v>
      </c>
      <c r="EK51" s="276">
        <v>-1.5301177389897911</v>
      </c>
      <c r="EL51" s="276">
        <v>-1.4756045238835309</v>
      </c>
      <c r="EM51" s="276">
        <v>-1.420698312823371</v>
      </c>
      <c r="EN51" s="276">
        <v>-1.36538236140342</v>
      </c>
      <c r="EO51" s="276">
        <v>-1.309660078091158</v>
      </c>
      <c r="EP51" s="276">
        <v>-1.253558171154743</v>
      </c>
      <c r="EQ51" s="276">
        <v>-1.197128059990674</v>
      </c>
      <c r="ER51" s="276">
        <v>-1.1404453118769491</v>
      </c>
      <c r="ES51" s="276">
        <v>-1.0836073478662069</v>
      </c>
      <c r="ET51" s="276">
        <v>-1.026730038560431</v>
      </c>
      <c r="EU51" s="276">
        <v>-0.96994394052073618</v>
      </c>
      <c r="EV51" s="276">
        <v>-0.91339081009317491</v>
      </c>
      <c r="EW51" s="276">
        <v>-0.85722078223115483</v>
      </c>
      <c r="EX51" s="276">
        <v>-0.80159033889793063</v>
      </c>
      <c r="EY51" s="276">
        <v>-0.74666098549764515</v>
      </c>
      <c r="EZ51" s="276">
        <v>-0.69259841677634482</v>
      </c>
      <c r="FA51" s="276">
        <v>-0.63957186380725828</v>
      </c>
      <c r="FB51" s="276">
        <v>-0.58775324194436296</v>
      </c>
      <c r="FC51" s="276">
        <v>-0.53731564873132109</v>
      </c>
      <c r="FD51" s="276">
        <v>-0.48843069883071571</v>
      </c>
      <c r="FE51" s="276">
        <v>-0.44126417627264353</v>
      </c>
      <c r="FF51" s="276">
        <v>-0.39596962352026788</v>
      </c>
      <c r="FG51" s="276">
        <v>-0.35267988536583472</v>
      </c>
      <c r="FH51" s="276">
        <v>-0.31149733531282442</v>
      </c>
      <c r="FI51" s="276">
        <v>-0.27248438112049961</v>
      </c>
      <c r="FJ51" s="272">
        <v>-0.23565643934505201</v>
      </c>
      <c r="FK51" s="272">
        <v>-0.20097935658032151</v>
      </c>
      <c r="FL51" s="272">
        <v>-0.16837208136282961</v>
      </c>
      <c r="FM51" s="272">
        <v>-0.13771377837239249</v>
      </c>
      <c r="FN51" s="272">
        <v>-0.1088534022740926</v>
      </c>
      <c r="FO51" s="272">
        <v>-8.1619535320288011E-2</v>
      </c>
      <c r="FP51" s="272">
        <v>-5.5828884366520032E-2</v>
      </c>
      <c r="FQ51" s="272">
        <v>-3.1292699934415441E-2</v>
      </c>
      <c r="FR51" s="272">
        <v>-7.8210874472364484E-3</v>
      </c>
      <c r="FS51" s="272">
        <v>1.477442226393186E-2</v>
      </c>
      <c r="FT51" s="272">
        <v>3.6679536401830387E-2</v>
      </c>
      <c r="FU51" s="272">
        <v>5.8076592586946828E-2</v>
      </c>
      <c r="FV51" s="272">
        <v>7.9144223901999905E-2</v>
      </c>
      <c r="FW51" s="272">
        <v>0.1000568855560595</v>
      </c>
      <c r="FX51" s="272">
        <v>0.12098386363669129</v>
      </c>
      <c r="FY51" s="272">
        <v>0.1420874275468953</v>
      </c>
      <c r="FZ51" s="272">
        <v>0.16351989028817249</v>
      </c>
      <c r="GA51" s="272">
        <v>0.1854195692076428</v>
      </c>
      <c r="GB51" s="272">
        <v>0.20790602533230951</v>
      </c>
      <c r="GC51" s="272">
        <v>0.2310754245069977</v>
      </c>
    </row>
    <row r="52" spans="2:185" ht="15" thickBot="1" x14ac:dyDescent="0.4">
      <c r="B52" s="298">
        <v>46</v>
      </c>
      <c r="C52" s="275">
        <v>-3.6796267289901818</v>
      </c>
      <c r="D52" s="275">
        <v>-3.6387213467032669</v>
      </c>
      <c r="E52" s="275">
        <v>-3.5976191305692802</v>
      </c>
      <c r="F52" s="275">
        <v>-3.5563070739664528</v>
      </c>
      <c r="G52" s="275">
        <v>-3.5147714160395109</v>
      </c>
      <c r="H52" s="275">
        <v>-3.472997668665982</v>
      </c>
      <c r="I52" s="275">
        <v>-3.4309706685900858</v>
      </c>
      <c r="J52" s="275">
        <v>-3.3886746610597061</v>
      </c>
      <c r="K52" s="275">
        <v>-3.3460934219051728</v>
      </c>
      <c r="L52" s="275">
        <v>-3.3032104252564589</v>
      </c>
      <c r="M52" s="275">
        <v>-3.2600090637824262</v>
      </c>
      <c r="N52" s="275">
        <v>-3.2164729271818491</v>
      </c>
      <c r="O52" s="275">
        <v>-3.1725861423754411</v>
      </c>
      <c r="P52" s="275">
        <v>-3.1283337751996929</v>
      </c>
      <c r="Q52" s="275">
        <v>-3.083702288277518</v>
      </c>
      <c r="R52" s="275">
        <v>-3.0386800432731862</v>
      </c>
      <c r="S52" s="275">
        <v>-2.9932578284230869</v>
      </c>
      <c r="T52" s="275">
        <v>-2.9474293849809778</v>
      </c>
      <c r="U52" s="275">
        <v>-2.9011919003135</v>
      </c>
      <c r="V52" s="275">
        <v>-2.85454643229144</v>
      </c>
      <c r="W52" s="275">
        <v>-2.807498230628295</v>
      </c>
      <c r="X52" s="275">
        <v>-2.760056926591365</v>
      </c>
      <c r="Y52" s="275">
        <v>-2.7122365727495721</v>
      </c>
      <c r="Z52" s="275">
        <v>-2.6640555277354139</v>
      </c>
      <c r="AA52" s="275">
        <v>-2.6155361951449358</v>
      </c>
      <c r="AB52" s="275">
        <v>-2.5667046381466418</v>
      </c>
      <c r="AC52" s="275">
        <v>-2.5175900999872129</v>
      </c>
      <c r="AD52" s="275">
        <v>-2.468224464217327</v>
      </c>
      <c r="AE52" s="275">
        <v>-2.4186416871969478</v>
      </c>
      <c r="AF52" s="275">
        <v>-2.3688772304525552</v>
      </c>
      <c r="AG52" s="275">
        <v>-2.318967513567336</v>
      </c>
      <c r="AH52" s="275">
        <v>-2.268949401354782</v>
      </c>
      <c r="AI52" s="275">
        <v>-2.218859733483689</v>
      </c>
      <c r="AJ52" s="275">
        <v>-2.1687349011000272</v>
      </c>
      <c r="AK52" s="275">
        <v>-2.1186104731760071</v>
      </c>
      <c r="AL52" s="275">
        <v>-2.0685208746639101</v>
      </c>
      <c r="AM52" s="275">
        <v>-2.0184991182888599</v>
      </c>
      <c r="AN52" s="275">
        <v>-1.9685765914391971</v>
      </c>
      <c r="AO52" s="275">
        <v>-1.9187828989179241</v>
      </c>
      <c r="AP52" s="275">
        <v>-1.8691457614224449</v>
      </c>
      <c r="AQ52" s="275">
        <v>-1.8196909687949421</v>
      </c>
      <c r="AR52" s="275">
        <v>-1.7704423865889329</v>
      </c>
      <c r="AS52" s="275">
        <v>-1.721422014450215</v>
      </c>
      <c r="AT52" s="275">
        <v>-1.672650095132693</v>
      </c>
      <c r="AU52" s="275">
        <v>-1.6241452733591071</v>
      </c>
      <c r="AV52" s="275">
        <v>-1.575924803679511</v>
      </c>
      <c r="AW52" s="275">
        <v>-1.5280048053271831</v>
      </c>
      <c r="AX52" s="275">
        <v>-1.480400559243747</v>
      </c>
      <c r="AY52" s="275">
        <v>-1.433126837820015</v>
      </c>
      <c r="AZ52" s="275">
        <v>-1.3861982522875349</v>
      </c>
      <c r="BA52" s="275">
        <v>-1.3396295980799171</v>
      </c>
      <c r="BB52" s="275">
        <v>-1.293436177509965</v>
      </c>
      <c r="BC52" s="275">
        <v>-1.247634083678276</v>
      </c>
      <c r="BD52" s="275">
        <v>-1.202240439180098</v>
      </c>
      <c r="BE52" s="275">
        <v>-1.1572735946573429</v>
      </c>
      <c r="BF52" s="275">
        <v>-1.1127533010055619</v>
      </c>
      <c r="BG52" s="275">
        <v>-1.068700871706576</v>
      </c>
      <c r="BH52" s="275">
        <v>-1.0251393475800501</v>
      </c>
      <c r="BI52" s="275">
        <v>-0.98209366669837228</v>
      </c>
      <c r="BJ52" s="275">
        <v>-0.9395908293414047</v>
      </c>
      <c r="BK52" s="275">
        <v>-0.89766003295116314</v>
      </c>
      <c r="BL52" s="275">
        <v>-0.85633273523043074</v>
      </c>
      <c r="BM52" s="275">
        <v>-0.81564258449826033</v>
      </c>
      <c r="BN52" s="275">
        <v>-0.7756251357292715</v>
      </c>
      <c r="BO52" s="275">
        <v>-0.73631725166763162</v>
      </c>
      <c r="BP52" s="275">
        <v>-0.69775607927022543</v>
      </c>
      <c r="BQ52" s="275">
        <v>-0.65997750728227211</v>
      </c>
      <c r="BR52" s="275">
        <v>-0.62301407068361081</v>
      </c>
      <c r="BS52" s="275">
        <v>-0.58689238770792984</v>
      </c>
      <c r="BT52" s="275">
        <v>-0.55163038820976362</v>
      </c>
      <c r="BU52" s="275">
        <v>-0.5172347687394131</v>
      </c>
      <c r="BV52" s="275">
        <v>-0.48369919893774183</v>
      </c>
      <c r="BW52" s="275">
        <v>-0.45100371930945848</v>
      </c>
      <c r="BX52" s="275">
        <v>-0.41911550350851401</v>
      </c>
      <c r="BY52" s="275">
        <v>-0.38799081244888289</v>
      </c>
      <c r="BZ52" s="275">
        <v>-0.35757770047461729</v>
      </c>
      <c r="CA52" s="275">
        <v>-0.32781894894496261</v>
      </c>
      <c r="CB52" s="275">
        <v>-0.29865479131541339</v>
      </c>
      <c r="CC52" s="275">
        <v>-0.27002516960372203</v>
      </c>
      <c r="CD52" s="275">
        <v>-0.2418714341134785</v>
      </c>
      <c r="CE52" s="275">
        <v>-0.21413751678607121</v>
      </c>
      <c r="CF52" s="275">
        <v>-0.1867706666041874</v>
      </c>
      <c r="CG52" s="275">
        <v>-0.15972184876020401</v>
      </c>
      <c r="CH52" s="275">
        <v>-0.13294589776035651</v>
      </c>
      <c r="CI52" s="275">
        <v>-0.1064014936220963</v>
      </c>
      <c r="CJ52" s="275">
        <v>-8.0051009197730075E-2</v>
      </c>
      <c r="CK52" s="275">
        <v>-5.3860260453805729E-2</v>
      </c>
      <c r="CL52" s="275">
        <v>-2.7798182850479709E-2</v>
      </c>
      <c r="CM52" s="275">
        <v>-1.8364567522877919E-3</v>
      </c>
      <c r="CN52" s="275">
        <v>2.4050888208953111E-2</v>
      </c>
      <c r="CO52" s="275">
        <v>4.9887850367265209E-2</v>
      </c>
      <c r="CP52" s="275"/>
      <c r="CQ52" s="276">
        <v>-4.333215107270207</v>
      </c>
      <c r="CR52" s="276">
        <v>-4.2752575006915396</v>
      </c>
      <c r="CS52" s="276">
        <v>-4.2172098423659552</v>
      </c>
      <c r="CT52" s="276">
        <v>-4.1590822787788069</v>
      </c>
      <c r="CU52" s="276">
        <v>-4.1008862572058353</v>
      </c>
      <c r="CV52" s="276">
        <v>-4.0426345722082688</v>
      </c>
      <c r="CW52" s="276">
        <v>-3.984341392992524</v>
      </c>
      <c r="CX52" s="276">
        <v>-3.926022266001806</v>
      </c>
      <c r="CY52" s="276">
        <v>-3.867694086612663</v>
      </c>
      <c r="CZ52" s="276">
        <v>-3.809375033581329</v>
      </c>
      <c r="DA52" s="276">
        <v>-3.7510844600724269</v>
      </c>
      <c r="DB52" s="276">
        <v>-3.6928427358755531</v>
      </c>
      <c r="DC52" s="276">
        <v>-3.634671036942791</v>
      </c>
      <c r="DD52" s="276">
        <v>-3.5765910807980039</v>
      </c>
      <c r="DE52" s="276">
        <v>-3.51862480972233</v>
      </c>
      <c r="DF52" s="276">
        <v>-3.4607940278088472</v>
      </c>
      <c r="DG52" s="276">
        <v>-3.4031200026977548</v>
      </c>
      <c r="DH52" s="276">
        <v>-3.3456230475144788</v>
      </c>
      <c r="DI52" s="276">
        <v>-3.2883221025028062</v>
      </c>
      <c r="DJ52" s="276">
        <v>-3.2312343382473281</v>
      </c>
      <c r="DK52" s="276">
        <v>-3.174374802481251</v>
      </c>
      <c r="DL52" s="276">
        <v>-3.1177561298498149</v>
      </c>
      <c r="DM52" s="276">
        <v>-3.0613883286978889</v>
      </c>
      <c r="DN52" s="276">
        <v>-3.0052786515631751</v>
      </c>
      <c r="DO52" s="276">
        <v>-2.9494315476062041</v>
      </c>
      <c r="DP52" s="276">
        <v>-2.8938486869202471</v>
      </c>
      <c r="DQ52" s="276">
        <v>-2.8385290396824319</v>
      </c>
      <c r="DR52" s="276">
        <v>-2.783468988278377</v>
      </c>
      <c r="DS52" s="276">
        <v>-2.728662448314422</v>
      </c>
      <c r="DT52" s="276">
        <v>-2.674100974923137</v>
      </c>
      <c r="DU52" s="276">
        <v>-2.619773833796061</v>
      </c>
      <c r="DV52" s="276">
        <v>-2.5656680215629311</v>
      </c>
      <c r="DW52" s="276">
        <v>-2.5117682269243149</v>
      </c>
      <c r="DX52" s="276">
        <v>-2.4580567316352231</v>
      </c>
      <c r="DY52" s="276">
        <v>-2.404513258287992</v>
      </c>
      <c r="DZ52" s="276">
        <v>-2.3511147792500831</v>
      </c>
      <c r="EA52" s="276">
        <v>-2.2978353078269111</v>
      </c>
      <c r="EB52" s="276">
        <v>-2.2446456989856309</v>
      </c>
      <c r="EC52" s="276">
        <v>-2.1915134935162262</v>
      </c>
      <c r="ED52" s="276">
        <v>-2.1384028473302941</v>
      </c>
      <c r="EE52" s="276">
        <v>-2.0852745976504599</v>
      </c>
      <c r="EF52" s="276">
        <v>-2.0320865305009899</v>
      </c>
      <c r="EG52" s="276">
        <v>-1.978793928295101</v>
      </c>
      <c r="EH52" s="276">
        <v>-1.9253504893781559</v>
      </c>
      <c r="EI52" s="276">
        <v>-1.87170971687818</v>
      </c>
      <c r="EJ52" s="276">
        <v>-1.817826862049017</v>
      </c>
      <c r="EK52" s="276">
        <v>-1.763661464510794</v>
      </c>
      <c r="EL52" s="276">
        <v>-1.7091804469331291</v>
      </c>
      <c r="EM52" s="276">
        <v>-1.6543615937585781</v>
      </c>
      <c r="EN52" s="276">
        <v>-1.599197093406008</v>
      </c>
      <c r="EO52" s="276">
        <v>-1.543696699538827</v>
      </c>
      <c r="EP52" s="276">
        <v>-1.4878900337278389</v>
      </c>
      <c r="EQ52" s="276">
        <v>-1.4318276556709211</v>
      </c>
      <c r="ER52" s="276">
        <v>-1.37558075842494</v>
      </c>
      <c r="ES52" s="276">
        <v>-1.319239629165526</v>
      </c>
      <c r="ET52" s="276">
        <v>-1.2629112453058029</v>
      </c>
      <c r="EU52" s="276">
        <v>-1.2067164753410109</v>
      </c>
      <c r="EV52" s="276">
        <v>-1.1507873132041579</v>
      </c>
      <c r="EW52" s="276">
        <v>-1.095264439581519</v>
      </c>
      <c r="EX52" s="276">
        <v>-1.0402952362860469</v>
      </c>
      <c r="EY52" s="276">
        <v>-0.98603222705468374</v>
      </c>
      <c r="EZ52" s="276">
        <v>-0.93263179911387306</v>
      </c>
      <c r="FA52" s="276">
        <v>-0.88025297291503213</v>
      </c>
      <c r="FB52" s="276">
        <v>-0.82905592388046534</v>
      </c>
      <c r="FC52" s="276">
        <v>-0.77919991684623868</v>
      </c>
      <c r="FD52" s="276">
        <v>-0.73084030342540052</v>
      </c>
      <c r="FE52" s="276">
        <v>-0.68412428719702723</v>
      </c>
      <c r="FF52" s="276">
        <v>-0.63918532930191452</v>
      </c>
      <c r="FG52" s="276">
        <v>-0.59613638686940762</v>
      </c>
      <c r="FH52" s="276">
        <v>-0.55506263076285611</v>
      </c>
      <c r="FI52" s="276">
        <v>-0.51601475001039221</v>
      </c>
      <c r="FJ52" s="272">
        <v>-0.47900418450237442</v>
      </c>
      <c r="FK52" s="272">
        <v>-0.44400141289606709</v>
      </c>
      <c r="FL52" s="272">
        <v>-0.41093773760710972</v>
      </c>
      <c r="FM52" s="272">
        <v>-0.37971012027291762</v>
      </c>
      <c r="FN52" s="272">
        <v>-0.35018793563839917</v>
      </c>
      <c r="FO52" s="272">
        <v>-0.32222029646356493</v>
      </c>
      <c r="FP52" s="272">
        <v>-0.29564283531922392</v>
      </c>
      <c r="FQ52" s="272">
        <v>-0.270283289044912</v>
      </c>
      <c r="FR52" s="272">
        <v>-0.24596568512615971</v>
      </c>
      <c r="FS52" s="272">
        <v>-0.2225132496417265</v>
      </c>
      <c r="FT52" s="272">
        <v>-0.1997503269683957</v>
      </c>
      <c r="FU52" s="272">
        <v>-0.1775036629479784</v>
      </c>
      <c r="FV52" s="272">
        <v>-0.15560340542294909</v>
      </c>
      <c r="FW52" s="272">
        <v>-0.133884152475955</v>
      </c>
      <c r="FX52" s="272">
        <v>-0.11218633989864329</v>
      </c>
      <c r="FY52" s="272">
        <v>-9.0358194782142076E-2</v>
      </c>
      <c r="FZ52" s="272">
        <v>-6.8258367325414182E-2</v>
      </c>
      <c r="GA52" s="272">
        <v>-4.5759165906309858E-2</v>
      </c>
      <c r="GB52" s="272">
        <v>-2.2750068664212759E-2</v>
      </c>
      <c r="GC52" s="272">
        <v>8.5906618558034256E-4</v>
      </c>
    </row>
    <row r="53" spans="2:185" ht="15" thickBot="1" x14ac:dyDescent="0.4">
      <c r="B53" s="298">
        <v>47</v>
      </c>
      <c r="C53" s="275">
        <v>-3.8949515382386002</v>
      </c>
      <c r="D53" s="275">
        <v>-3.8539610374064361</v>
      </c>
      <c r="E53" s="275">
        <v>-3.8127707260948478</v>
      </c>
      <c r="F53" s="275">
        <v>-3.771367995851902</v>
      </c>
      <c r="G53" s="275">
        <v>-3.729739596206139</v>
      </c>
      <c r="H53" s="275">
        <v>-3.6878716762664241</v>
      </c>
      <c r="I53" s="275">
        <v>-3.645749850849997</v>
      </c>
      <c r="J53" s="275">
        <v>-3.603359296343033</v>
      </c>
      <c r="K53" s="275">
        <v>-3.5606848817348089</v>
      </c>
      <c r="L53" s="275">
        <v>-3.5177113401471281</v>
      </c>
      <c r="M53" s="275">
        <v>-3.474423485535743</v>
      </c>
      <c r="N53" s="275">
        <v>-3.430806477886176</v>
      </c>
      <c r="O53" s="275">
        <v>-3.386846137991852</v>
      </c>
      <c r="P53" s="275">
        <v>-3.34252930967717</v>
      </c>
      <c r="Q53" s="275">
        <v>-3.2978442631222959</v>
      </c>
      <c r="R53" s="275">
        <v>-3.2527811279592518</v>
      </c>
      <c r="S53" s="275">
        <v>-3.2073323394823512</v>
      </c>
      <c r="T53" s="275">
        <v>-3.1614930763470088</v>
      </c>
      <c r="U53" s="275">
        <v>-3.115261664410776</v>
      </c>
      <c r="V53" s="275">
        <v>-3.068639919833573</v>
      </c>
      <c r="W53" s="275">
        <v>-3.0216334059504701</v>
      </c>
      <c r="X53" s="275">
        <v>-2.974251583074448</v>
      </c>
      <c r="Y53" s="275">
        <v>-2.926507837967943</v>
      </c>
      <c r="Z53" s="275">
        <v>-2.8784193892727981</v>
      </c>
      <c r="AA53" s="275">
        <v>-2.8300070752455819</v>
      </c>
      <c r="AB53" s="275">
        <v>-2.7812950390918849</v>
      </c>
      <c r="AC53" s="275">
        <v>-2.7323103336617498</v>
      </c>
      <c r="AD53" s="275">
        <v>-2.6830824704835861</v>
      </c>
      <c r="AE53" s="275">
        <v>-2.6336429380478839</v>
      </c>
      <c r="AF53" s="275">
        <v>-2.5840247115597479</v>
      </c>
      <c r="AG53" s="275">
        <v>-2.534261772140538</v>
      </c>
      <c r="AH53" s="275">
        <v>-2.4843886488345222</v>
      </c>
      <c r="AI53" s="275">
        <v>-2.434439992689919</v>
      </c>
      <c r="AJ53" s="275">
        <v>-2.3844501891295549</v>
      </c>
      <c r="AK53" s="275">
        <v>-2.3344530128512169</v>
      </c>
      <c r="AL53" s="275">
        <v>-2.284481328329226</v>
      </c>
      <c r="AM53" s="275">
        <v>-2.234566838239274</v>
      </c>
      <c r="AN53" s="275">
        <v>-2.1847398814788712</v>
      </c>
      <c r="AO53" s="275">
        <v>-2.1350292817534768</v>
      </c>
      <c r="AP53" s="275">
        <v>-2.085462246957944</v>
      </c>
      <c r="AQ53" s="275">
        <v>-2.036064318914232</v>
      </c>
      <c r="AR53" s="275">
        <v>-1.986859372543617</v>
      </c>
      <c r="AS53" s="275">
        <v>-1.937869663293349</v>
      </c>
      <c r="AT53" s="275">
        <v>-1.889115921521229</v>
      </c>
      <c r="AU53" s="275">
        <v>-1.8406174923490031</v>
      </c>
      <c r="AV53" s="275">
        <v>-1.7923925189023411</v>
      </c>
      <c r="AW53" s="275">
        <v>-1.7444581655121749</v>
      </c>
      <c r="AX53" s="275">
        <v>-1.6968308751407859</v>
      </c>
      <c r="AY53" s="275">
        <v>-1.649526652146569</v>
      </c>
      <c r="AZ53" s="275">
        <v>-1.602561358183505</v>
      </c>
      <c r="BA53" s="275">
        <v>-1.55595100674471</v>
      </c>
      <c r="BB53" s="275">
        <v>-1.509712041945553</v>
      </c>
      <c r="BC53" s="275">
        <v>-1.4638615903578229</v>
      </c>
      <c r="BD53" s="275">
        <v>-1.418417680543038</v>
      </c>
      <c r="BE53" s="275">
        <v>-1.3733994315327649</v>
      </c>
      <c r="BF53" s="275">
        <v>-1.3288272163986961</v>
      </c>
      <c r="BG53" s="275">
        <v>-1.284722808291116</v>
      </c>
      <c r="BH53" s="275">
        <v>-1.241109513201442</v>
      </c>
      <c r="BI53" s="275">
        <v>-1.1980122867082099</v>
      </c>
      <c r="BJ53" s="275">
        <v>-1.1554578221260721</v>
      </c>
      <c r="BK53" s="275">
        <v>-1.113474585741459</v>
      </c>
      <c r="BL53" s="275">
        <v>-1.0720927618756559</v>
      </c>
      <c r="BM53" s="275">
        <v>-1.031344057176959</v>
      </c>
      <c r="BN53" s="275">
        <v>-0.99126130155452774</v>
      </c>
      <c r="BO53" s="275">
        <v>-0.95187777623611858</v>
      </c>
      <c r="BP53" s="275">
        <v>-0.91322620405536981</v>
      </c>
      <c r="BQ53" s="275">
        <v>-0.87533736230434389</v>
      </c>
      <c r="BR53" s="275">
        <v>-0.83823833327435437</v>
      </c>
      <c r="BS53" s="275">
        <v>-0.80195049450451705</v>
      </c>
      <c r="BT53" s="275">
        <v>-0.76648745703130494</v>
      </c>
      <c r="BU53" s="275">
        <v>-0.73185325189920913</v>
      </c>
      <c r="BV53" s="275">
        <v>-0.69804109538572501</v>
      </c>
      <c r="BW53" s="275">
        <v>-0.66503299526709814</v>
      </c>
      <c r="BX53" s="275">
        <v>-0.63280029854444031</v>
      </c>
      <c r="BY53" s="275">
        <v>-0.60130508018291629</v>
      </c>
      <c r="BZ53" s="275">
        <v>-0.57050211035745235</v>
      </c>
      <c r="CA53" s="275">
        <v>-0.54034106925668901</v>
      </c>
      <c r="CB53" s="275">
        <v>-0.51076870819281783</v>
      </c>
      <c r="CC53" s="275">
        <v>-0.48173074702653018</v>
      </c>
      <c r="CD53" s="275">
        <v>-0.45317340325213712</v>
      </c>
      <c r="CE53" s="275">
        <v>-0.42504453380476898</v>
      </c>
      <c r="CF53" s="275">
        <v>-0.39729442405297632</v>
      </c>
      <c r="CG53" s="275">
        <v>-0.36987628220604313</v>
      </c>
      <c r="CH53" s="275">
        <v>-0.34274650073372998</v>
      </c>
      <c r="CI53" s="275">
        <v>-0.31586473894712869</v>
      </c>
      <c r="CJ53" s="275">
        <v>-0.28919386992737822</v>
      </c>
      <c r="CK53" s="275">
        <v>-0.2626998252299968</v>
      </c>
      <c r="CL53" s="275">
        <v>-0.23635136483973079</v>
      </c>
      <c r="CM53" s="275">
        <v>-0.21011979852000981</v>
      </c>
      <c r="CN53" s="275">
        <v>-0.18397868694989761</v>
      </c>
      <c r="CO53" s="275">
        <v>-0.1579035539156681</v>
      </c>
      <c r="CP53" s="275"/>
      <c r="CQ53" s="276">
        <v>-4.5618468247048023</v>
      </c>
      <c r="CR53" s="276">
        <v>-4.5040392903408026</v>
      </c>
      <c r="CS53" s="276">
        <v>-4.446151901533363</v>
      </c>
      <c r="CT53" s="276">
        <v>-4.3881948262244208</v>
      </c>
      <c r="CU53" s="276">
        <v>-4.3301794200850274</v>
      </c>
      <c r="CV53" s="276">
        <v>-4.2721182549475936</v>
      </c>
      <c r="CW53" s="276">
        <v>-4.2140251281702881</v>
      </c>
      <c r="CX53" s="276">
        <v>-4.1559150482042826</v>
      </c>
      <c r="CY53" s="276">
        <v>-4.0978041914012806</v>
      </c>
      <c r="CZ53" s="276">
        <v>-4.0397098251287789</v>
      </c>
      <c r="DA53" s="276">
        <v>-3.9816501926650831</v>
      </c>
      <c r="DB53" s="276">
        <v>-3.923644356239548</v>
      </c>
      <c r="DC53" s="276">
        <v>-3.865711996067362</v>
      </c>
      <c r="DD53" s="276">
        <v>-3.807873165361491</v>
      </c>
      <c r="DE53" s="276">
        <v>-3.75014800407072</v>
      </c>
      <c r="DF53" s="276">
        <v>-3.692556417361966</v>
      </c>
      <c r="DG53" s="276">
        <v>-3.6351177283685661</v>
      </c>
      <c r="DH53" s="276">
        <v>-3.5778503180525481</v>
      </c>
      <c r="DI53" s="276">
        <v>-3.5207712676610412</v>
      </c>
      <c r="DJ53" s="276">
        <v>-3.4638960206514899</v>
      </c>
      <c r="DK53" s="276">
        <v>-3.407238080667724</v>
      </c>
      <c r="DL53" s="276">
        <v>-3.3508087599370189</v>
      </c>
      <c r="DM53" s="276">
        <v>-3.2946169884110041</v>
      </c>
      <c r="DN53" s="276">
        <v>-3.2386691885113148</v>
      </c>
      <c r="DO53" s="276">
        <v>-3.1829692141592072</v>
      </c>
      <c r="DP53" s="276">
        <v>-3.1275183466950001</v>
      </c>
      <c r="DQ53" s="276">
        <v>-3.0723153351266501</v>
      </c>
      <c r="DR53" s="276">
        <v>-3.0173564645156379</v>
      </c>
      <c r="DS53" s="276">
        <v>-2.9626356345984282</v>
      </c>
      <c r="DT53" s="276">
        <v>-2.9081444310889308</v>
      </c>
      <c r="DU53" s="276">
        <v>-2.853872174426594</v>
      </c>
      <c r="DV53" s="276">
        <v>-2.799805934763631</v>
      </c>
      <c r="DW53" s="276">
        <v>-2.745930507322091</v>
      </c>
      <c r="DX53" s="276">
        <v>-2.6922283484071579</v>
      </c>
      <c r="DY53" s="276">
        <v>-2.6386794788424308</v>
      </c>
      <c r="DZ53" s="276">
        <v>-2.585261368007516</v>
      </c>
      <c r="EA53" s="276">
        <v>-2.5319488178397029</v>
      </c>
      <c r="EB53" s="276">
        <v>-2.4787138722184912</v>
      </c>
      <c r="EC53" s="276">
        <v>-2.4255257834313961</v>
      </c>
      <c r="ED53" s="276">
        <v>-2.372351074348737</v>
      </c>
      <c r="EE53" s="276">
        <v>-2.3191537427454278</v>
      </c>
      <c r="EF53" s="276">
        <v>-2.265895662552682</v>
      </c>
      <c r="EG53" s="276">
        <v>-2.21253724430666</v>
      </c>
      <c r="EH53" s="276">
        <v>-2.1590384207378022</v>
      </c>
      <c r="EI53" s="276">
        <v>-2.1053600184826839</v>
      </c>
      <c r="EJ53" s="276">
        <v>-2.0514655568296098</v>
      </c>
      <c r="EK53" s="276">
        <v>-1.9973234726099429</v>
      </c>
      <c r="EL53" s="276">
        <v>-1.9429097033896641</v>
      </c>
      <c r="EM53" s="276">
        <v>-1.888210473742308</v>
      </c>
      <c r="EN53" s="276">
        <v>-1.8332250390297939</v>
      </c>
      <c r="EO53" s="276">
        <v>-1.7779680777002911</v>
      </c>
      <c r="EP53" s="276">
        <v>-1.7224714199078921</v>
      </c>
      <c r="EQ53" s="276">
        <v>-1.666784876676072</v>
      </c>
      <c r="ER53" s="276">
        <v>-1.6109760793257279</v>
      </c>
      <c r="ES53" s="276">
        <v>-1.5551294112702321</v>
      </c>
      <c r="ET53" s="276">
        <v>-1.4993442576214491</v>
      </c>
      <c r="EU53" s="276">
        <v>-1.4437328699002769</v>
      </c>
      <c r="EV53" s="276">
        <v>-1.388418132462879</v>
      </c>
      <c r="EW53" s="276">
        <v>-1.333531442729426</v>
      </c>
      <c r="EX53" s="276">
        <v>-1.27921081137621</v>
      </c>
      <c r="EY53" s="276">
        <v>-1.2255991805396651</v>
      </c>
      <c r="EZ53" s="276">
        <v>-1.1728428651885321</v>
      </c>
      <c r="FA53" s="276">
        <v>-1.1210899515351509</v>
      </c>
      <c r="FB53" s="276">
        <v>-1.070488438175784</v>
      </c>
      <c r="FC53" s="276">
        <v>-1.021183884255751</v>
      </c>
      <c r="FD53" s="276">
        <v>-0.97331634530125799</v>
      </c>
      <c r="FE53" s="276">
        <v>-0.92701645038332059</v>
      </c>
      <c r="FF53" s="276">
        <v>-0.88240062425269239</v>
      </c>
      <c r="FG53" s="276">
        <v>-0.8395656900946552</v>
      </c>
      <c r="FH53" s="276">
        <v>-0.79858336919755823</v>
      </c>
      <c r="FI53" s="276">
        <v>-0.75949543626099614</v>
      </c>
      <c r="FJ53" s="272">
        <v>-0.7223103712175819</v>
      </c>
      <c r="FK53" s="272">
        <v>-0.68700217648809281</v>
      </c>
      <c r="FL53" s="272">
        <v>-0.65351161459016682</v>
      </c>
      <c r="FM53" s="272">
        <v>-0.62174960656082023</v>
      </c>
      <c r="FN53" s="272">
        <v>-0.5916021174548739</v>
      </c>
      <c r="FO53" s="272">
        <v>-0.56293568288737694</v>
      </c>
      <c r="FP53" s="272">
        <v>-0.53560281238622631</v>
      </c>
      <c r="FQ53" s="272">
        <v>-0.50944674763431996</v>
      </c>
      <c r="FR53" s="272">
        <v>-0.48430533483429328</v>
      </c>
      <c r="FS53" s="272">
        <v>-0.4600140041732953</v>
      </c>
      <c r="FT53" s="272">
        <v>-0.43640800309593658</v>
      </c>
      <c r="FU53" s="272">
        <v>-0.41332410977441969</v>
      </c>
      <c r="FV53" s="272">
        <v>-0.3906020796408175</v>
      </c>
      <c r="FW53" s="272">
        <v>-0.36808606955725909</v>
      </c>
      <c r="FX53" s="272">
        <v>-0.34562624937017949</v>
      </c>
      <c r="FY53" s="272">
        <v>-0.3230807468840583</v>
      </c>
      <c r="FZ53" s="272">
        <v>-0.30031797219139522</v>
      </c>
      <c r="GA53" s="272">
        <v>-0.27721922879442978</v>
      </c>
      <c r="GB53" s="272">
        <v>-0.25368135920058033</v>
      </c>
      <c r="GC53" s="272">
        <v>-0.22961903667858299</v>
      </c>
    </row>
    <row r="54" spans="2:185" ht="15" thickBot="1" x14ac:dyDescent="0.4">
      <c r="B54" s="298">
        <v>48</v>
      </c>
      <c r="C54" s="275">
        <v>-4.1100359693195356</v>
      </c>
      <c r="D54" s="275">
        <v>-4.0689599988826259</v>
      </c>
      <c r="E54" s="275">
        <v>-4.0276818208120639</v>
      </c>
      <c r="F54" s="275">
        <v>-3.986189271337238</v>
      </c>
      <c r="G54" s="275">
        <v>-3.9444696506250398</v>
      </c>
      <c r="H54" s="275">
        <v>-3.902509775721628</v>
      </c>
      <c r="I54" s="275">
        <v>-3.8602960568058311</v>
      </c>
      <c r="J54" s="275">
        <v>-3.8178146009181559</v>
      </c>
      <c r="K54" s="275">
        <v>-3.77505134730563</v>
      </c>
      <c r="L54" s="275">
        <v>-3.731992238163476</v>
      </c>
      <c r="M54" s="275">
        <v>-3.6886234277391021</v>
      </c>
      <c r="N54" s="275">
        <v>-3.6449315313739872</v>
      </c>
      <c r="O54" s="275">
        <v>-3.600903914003764</v>
      </c>
      <c r="P54" s="275">
        <v>-3.556529014884485</v>
      </c>
      <c r="Q54" s="275">
        <v>-3.5117967019327918</v>
      </c>
      <c r="R54" s="275">
        <v>-3.4666986452663391</v>
      </c>
      <c r="S54" s="275">
        <v>-3.4212286956758269</v>
      </c>
      <c r="T54" s="275">
        <v>-3.3753832503687651</v>
      </c>
      <c r="U54" s="275">
        <v>-3.3291615860090609</v>
      </c>
      <c r="V54" s="275">
        <v>-3.2825661384321809</v>
      </c>
      <c r="W54" s="275">
        <v>-3.235602709879859</v>
      </c>
      <c r="X54" s="275">
        <v>-3.1882805883028031</v>
      </c>
      <c r="Y54" s="275">
        <v>-3.1406125689529141</v>
      </c>
      <c r="Z54" s="275">
        <v>-3.0926148754514622</v>
      </c>
      <c r="AA54" s="275">
        <v>-3.0443069848071529</v>
      </c>
      <c r="AB54" s="275">
        <v>-2.9957113674138882</v>
      </c>
      <c r="AC54" s="275">
        <v>-2.9468531579877491</v>
      </c>
      <c r="AD54" s="275">
        <v>-2.8977597761731069</v>
      </c>
      <c r="AE54" s="275">
        <v>-2.8484605160876608</v>
      </c>
      <c r="AF54" s="275">
        <v>-2.798986122743107</v>
      </c>
      <c r="AG54" s="275">
        <v>-2.7493683707151488</v>
      </c>
      <c r="AH54" s="275">
        <v>-2.699639657369429</v>
      </c>
      <c r="AI54" s="275">
        <v>-2.649832619995041</v>
      </c>
      <c r="AJ54" s="275">
        <v>-2.5999797837373881</v>
      </c>
      <c r="AK54" s="275">
        <v>-2.5501132453765609</v>
      </c>
      <c r="AL54" s="275">
        <v>-2.5002643966816902</v>
      </c>
      <c r="AM54" s="275">
        <v>-2.4504636901021928</v>
      </c>
      <c r="AN54" s="275">
        <v>-2.4007404487561081</v>
      </c>
      <c r="AO54" s="275">
        <v>-2.3511227219374899</v>
      </c>
      <c r="AP54" s="275">
        <v>-2.3016371866662531</v>
      </c>
      <c r="AQ54" s="275">
        <v>-2.2523090951759448</v>
      </c>
      <c r="AR54" s="275">
        <v>-2.2031622677142941</v>
      </c>
      <c r="AS54" s="275">
        <v>-2.1542191296135109</v>
      </c>
      <c r="AT54" s="275">
        <v>-2.1055007911991792</v>
      </c>
      <c r="AU54" s="275">
        <v>-2.0570271686029589</v>
      </c>
      <c r="AV54" s="275">
        <v>-2.008817142736921</v>
      </c>
      <c r="AW54" s="275">
        <v>-1.960888752409043</v>
      </c>
      <c r="AX54" s="275">
        <v>-1.913259415764279</v>
      </c>
      <c r="AY54" s="275">
        <v>-1.865946172108365</v>
      </c>
      <c r="AZ54" s="275">
        <v>-1.8189659341883131</v>
      </c>
      <c r="BA54" s="275">
        <v>-1.7723357398626189</v>
      </c>
      <c r="BB54" s="275">
        <v>-1.7260729924641891</v>
      </c>
      <c r="BC54" s="275">
        <v>-1.6801956813087631</v>
      </c>
      <c r="BD54" s="275">
        <v>-1.634722577307427</v>
      </c>
      <c r="BE54" s="275">
        <v>-1.5896734023995449</v>
      </c>
      <c r="BF54" s="275">
        <v>-1.545068974125966</v>
      </c>
      <c r="BG54" s="275">
        <v>-1.500931326952007</v>
      </c>
      <c r="BH54" s="275">
        <v>-1.457283809400711</v>
      </c>
      <c r="BI54" s="275">
        <v>-1.4141511508223179</v>
      </c>
      <c r="BJ54" s="275">
        <v>-1.371559484300785</v>
      </c>
      <c r="BK54" s="275">
        <v>-1.329536303562352</v>
      </c>
      <c r="BL54" s="275">
        <v>-1.2881103227035291</v>
      </c>
      <c r="BM54" s="275">
        <v>-1.2473111993261969</v>
      </c>
      <c r="BN54" s="275">
        <v>-1.2071690762310869</v>
      </c>
      <c r="BO54" s="275">
        <v>-1.1677138973155601</v>
      </c>
      <c r="BP54" s="275">
        <v>-1.128974464117088</v>
      </c>
      <c r="BQ54" s="275">
        <v>-1.0909772253432279</v>
      </c>
      <c r="BR54" s="275">
        <v>-1.053744835761687</v>
      </c>
      <c r="BS54" s="275">
        <v>-1.0172945806134019</v>
      </c>
      <c r="BT54" s="275">
        <v>-0.98163682578674327</v>
      </c>
      <c r="BU54" s="275">
        <v>-0.94677370124265481</v>
      </c>
      <c r="BV54" s="275">
        <v>-0.91269823097701008</v>
      </c>
      <c r="BW54" s="275">
        <v>-0.87939407174263573</v>
      </c>
      <c r="BX54" s="275">
        <v>-0.84683592123888596</v>
      </c>
      <c r="BY54" s="275">
        <v>-0.81499053464909055</v>
      </c>
      <c r="BZ54" s="275">
        <v>-0.78381818675236603</v>
      </c>
      <c r="CA54" s="275">
        <v>-0.75327436548920745</v>
      </c>
      <c r="CB54" s="275">
        <v>-0.72331148822177072</v>
      </c>
      <c r="CC54" s="275">
        <v>-0.69388047858826363</v>
      </c>
      <c r="CD54" s="275">
        <v>-0.66493210517889023</v>
      </c>
      <c r="CE54" s="275">
        <v>-0.63641804217606646</v>
      </c>
      <c r="CF54" s="275">
        <v>-0.60829165521003092</v>
      </c>
      <c r="CG54" s="275">
        <v>-0.58050854075845792</v>
      </c>
      <c r="CH54" s="275">
        <v>-0.55302685776329275</v>
      </c>
      <c r="CI54" s="275">
        <v>-0.52580749095644685</v>
      </c>
      <c r="CJ54" s="275">
        <v>-0.49881408156503348</v>
      </c>
      <c r="CK54" s="275">
        <v>-0.47201295625264661</v>
      </c>
      <c r="CL54" s="275">
        <v>-0.44537298155650817</v>
      </c>
      <c r="CM54" s="275">
        <v>-0.41886536950639219</v>
      </c>
      <c r="CN54" s="275">
        <v>-0.39246346002638732</v>
      </c>
      <c r="CO54" s="275">
        <v>-0.36614250549091959</v>
      </c>
      <c r="CP54" s="275"/>
      <c r="CQ54" s="276">
        <v>-4.7906391739674357</v>
      </c>
      <c r="CR54" s="276">
        <v>-4.7329819495943992</v>
      </c>
      <c r="CS54" s="276">
        <v>-4.6752542950875258</v>
      </c>
      <c r="CT54" s="276">
        <v>-4.617466323020647</v>
      </c>
      <c r="CU54" s="276">
        <v>-4.5596292247664234</v>
      </c>
      <c r="CV54" s="276">
        <v>-4.5017552839364763</v>
      </c>
      <c r="CW54" s="276">
        <v>-4.4438578713102368</v>
      </c>
      <c r="CX54" s="276">
        <v>-4.3859514173477114</v>
      </c>
      <c r="CY54" s="276">
        <v>-4.3280513583342284</v>
      </c>
      <c r="CZ54" s="276">
        <v>-4.2701740524020062</v>
      </c>
      <c r="DA54" s="276">
        <v>-4.2123366621919196</v>
      </c>
      <c r="DB54" s="276">
        <v>-4.1545570018329059</v>
      </c>
      <c r="DC54" s="276">
        <v>-4.096853347279974</v>
      </c>
      <c r="DD54" s="276">
        <v>-4.0392442108792856</v>
      </c>
      <c r="DE54" s="276">
        <v>-3.981748083272489</v>
      </c>
      <c r="DF54" s="276">
        <v>-3.9243831482824838</v>
      </c>
      <c r="DG54" s="276">
        <v>-3.86716697901646</v>
      </c>
      <c r="DH54" s="276">
        <v>-3.810116225770698</v>
      </c>
      <c r="DI54" s="276">
        <v>-3.75324630806309</v>
      </c>
      <c r="DJ54" s="276">
        <v>-3.6965711238961139</v>
      </c>
      <c r="DK54" s="276">
        <v>-3.640102788887658</v>
      </c>
      <c r="DL54" s="276">
        <v>-3.5838514160781432</v>
      </c>
      <c r="DM54" s="276">
        <v>-3.5278249441189709</v>
      </c>
      <c r="DN54" s="276">
        <v>-3.472029017475867</v>
      </c>
      <c r="DO54" s="276">
        <v>-3.4164669177250202</v>
      </c>
      <c r="DP54" s="276">
        <v>-3.3611395405541948</v>
      </c>
      <c r="DQ54" s="276">
        <v>-3.3060454092702911</v>
      </c>
      <c r="DR54" s="276">
        <v>-3.2511807129235568</v>
      </c>
      <c r="DS54" s="276">
        <v>-3.1965393558956712</v>
      </c>
      <c r="DT54" s="276">
        <v>-3.1421130060970199</v>
      </c>
      <c r="DU54" s="276">
        <v>-3.087891130744707</v>
      </c>
      <c r="DV54" s="276">
        <v>-3.033861011873126</v>
      </c>
      <c r="DW54" s="276">
        <v>-2.9800077379821039</v>
      </c>
      <c r="DX54" s="276">
        <v>-2.9263141732119129</v>
      </c>
      <c r="DY54" s="276">
        <v>-2.8727609108069241</v>
      </c>
      <c r="DZ54" s="276">
        <v>-2.8193262231145639</v>
      </c>
      <c r="EA54" s="276">
        <v>-2.765986025812611</v>
      </c>
      <c r="EB54" s="276">
        <v>-2.7127138794557419</v>
      </c>
      <c r="EC54" s="276">
        <v>-2.659481056864152</v>
      </c>
      <c r="ED54" s="276">
        <v>-2.6062567103938248</v>
      </c>
      <c r="EE54" s="276">
        <v>-2.5530081785472469</v>
      </c>
      <c r="EF54" s="276">
        <v>-2.499701476035086</v>
      </c>
      <c r="EG54" s="276">
        <v>-2.446302013855381</v>
      </c>
      <c r="EH54" s="276">
        <v>-2.3927755938301289</v>
      </c>
      <c r="EI54" s="276">
        <v>-2.3390897120243941</v>
      </c>
      <c r="EJ54" s="276">
        <v>-2.2852151838740711</v>
      </c>
      <c r="EK54" s="276">
        <v>-2.2311280678799501</v>
      </c>
      <c r="EL54" s="276">
        <v>-2.176811814651304</v>
      </c>
      <c r="EM54" s="276">
        <v>-2.1222595096789969</v>
      </c>
      <c r="EN54" s="276">
        <v>-2.0674760241680228</v>
      </c>
      <c r="EO54" s="276">
        <v>-2.0124798564872961</v>
      </c>
      <c r="EP54" s="276">
        <v>-1.9573044545357461</v>
      </c>
      <c r="EQ54" s="276">
        <v>-1.9019988643764869</v>
      </c>
      <c r="ER54" s="276">
        <v>-1.8466276443558249</v>
      </c>
      <c r="ES54" s="276">
        <v>-1.791270092245673</v>
      </c>
      <c r="ET54" s="276">
        <v>-1.7360189247148829</v>
      </c>
      <c r="EU54" s="276">
        <v>-1.680978599141655</v>
      </c>
      <c r="EV54" s="276">
        <v>-1.6262634686542059</v>
      </c>
      <c r="EW54" s="276">
        <v>-1.571995919805365</v>
      </c>
      <c r="EX54" s="276">
        <v>-1.5183045754597799</v>
      </c>
      <c r="EY54" s="276">
        <v>-1.465322571381158</v>
      </c>
      <c r="EZ54" s="276">
        <v>-1.413185847351254</v>
      </c>
      <c r="FA54" s="276">
        <v>-1.3620313408094289</v>
      </c>
      <c r="FB54" s="276">
        <v>-1.3119949383353871</v>
      </c>
      <c r="FC54" s="276">
        <v>-1.263209033421349</v>
      </c>
      <c r="FD54" s="276">
        <v>-1.2157995658327909</v>
      </c>
      <c r="FE54" s="276">
        <v>-1.1698824877945759</v>
      </c>
      <c r="FF54" s="276">
        <v>-1.125559720816504</v>
      </c>
      <c r="FG54" s="276">
        <v>-1.0829148266248849</v>
      </c>
      <c r="FH54" s="276">
        <v>-1.0420087860650991</v>
      </c>
      <c r="FI54" s="276">
        <v>-1.00287640628549</v>
      </c>
      <c r="FJ54" s="272">
        <v>-0.96552389552800966</v>
      </c>
      <c r="FK54" s="272">
        <v>-0.92992801689067095</v>
      </c>
      <c r="FL54" s="272">
        <v>-0.89603697423034001</v>
      </c>
      <c r="FM54" s="272">
        <v>-0.8637728728502343</v>
      </c>
      <c r="FN54" s="272">
        <v>-0.83303533936995633</v>
      </c>
      <c r="FO54" s="272">
        <v>-0.8037057571756816</v>
      </c>
      <c r="FP54" s="272">
        <v>-0.77565159296293595</v>
      </c>
      <c r="FQ54" s="272">
        <v>-0.74873041678383645</v>
      </c>
      <c r="FR54" s="272">
        <v>-0.72279338953042371</v>
      </c>
      <c r="FS54" s="272">
        <v>-0.6976881536335342</v>
      </c>
      <c r="FT54" s="272">
        <v>-0.67326118504111898</v>
      </c>
      <c r="FU54" s="272">
        <v>-0.64935974001246111</v>
      </c>
      <c r="FV54" s="272">
        <v>-0.62583356435613569</v>
      </c>
      <c r="FW54" s="272">
        <v>-0.60253653377373118</v>
      </c>
      <c r="FX54" s="272">
        <v>-0.57932836745349947</v>
      </c>
      <c r="FY54" s="272">
        <v>-0.55607650464074476</v>
      </c>
      <c r="FZ54" s="272">
        <v>-0.53265815637373892</v>
      </c>
      <c r="GA54" s="272">
        <v>-0.50896244758612186</v>
      </c>
      <c r="GB54" s="272">
        <v>-0.48489246481661802</v>
      </c>
      <c r="GC54" s="272">
        <v>-0.46036695058292981</v>
      </c>
    </row>
    <row r="55" spans="2:185" ht="15" thickBot="1" x14ac:dyDescent="0.4">
      <c r="B55" s="298">
        <v>49</v>
      </c>
      <c r="C55" s="275">
        <v>-4.3248943271479163</v>
      </c>
      <c r="D55" s="275">
        <v>-4.2837332235397314</v>
      </c>
      <c r="E55" s="275">
        <v>-4.2423680729276114</v>
      </c>
      <c r="F55" s="275">
        <v>-4.2007871911511154</v>
      </c>
      <c r="G55" s="275">
        <v>-4.1589784565686134</v>
      </c>
      <c r="H55" s="275">
        <v>-4.1169293714272719</v>
      </c>
      <c r="I55" s="275">
        <v>-4.0746271449588773</v>
      </c>
      <c r="J55" s="275">
        <v>-4.0320588014465919</v>
      </c>
      <c r="K55" s="275">
        <v>-3.9892113163105329</v>
      </c>
      <c r="L55" s="275">
        <v>-3.9460717827640051</v>
      </c>
      <c r="M55" s="275">
        <v>-3.9026276107155811</v>
      </c>
      <c r="N55" s="275">
        <v>-3.8588667582655911</v>
      </c>
      <c r="O55" s="275">
        <v>-3.8147779943285061</v>
      </c>
      <c r="P55" s="275">
        <v>-3.7703511886192742</v>
      </c>
      <c r="Q55" s="275">
        <v>-3.7255776225627701</v>
      </c>
      <c r="R55" s="275">
        <v>-3.6804503118106489</v>
      </c>
      <c r="S55" s="275">
        <v>-3.6349643282707911</v>
      </c>
      <c r="T55" s="275">
        <v>-3.589117107249383</v>
      </c>
      <c r="U55" s="275">
        <v>-3.5429087238915149</v>
      </c>
      <c r="V55" s="275">
        <v>-3.4963421229638549</v>
      </c>
      <c r="W55" s="275">
        <v>-3.4494232874059052</v>
      </c>
      <c r="X55" s="275">
        <v>-3.4021613340247172</v>
      </c>
      <c r="Y55" s="275">
        <v>-3.3545685290000158</v>
      </c>
      <c r="Z55" s="275">
        <v>-3.30666022102618</v>
      </c>
      <c r="AA55" s="275">
        <v>-3.2584546952922082</v>
      </c>
      <c r="AB55" s="275">
        <v>-3.2099729563909438</v>
      </c>
      <c r="AC55" s="275">
        <v>-3.1612384520561729</v>
      </c>
      <c r="AD55" s="275">
        <v>-3.1122767519785728</v>
      </c>
      <c r="AE55" s="275">
        <v>-3.0631151967640862</v>
      </c>
      <c r="AF55" s="275">
        <v>-3.013782531561104</v>
      </c>
      <c r="AG55" s="275">
        <v>-2.9643085373783529</v>
      </c>
      <c r="AH55" s="275">
        <v>-2.914723671099297</v>
      </c>
      <c r="AI55" s="275">
        <v>-2.8650587230842688</v>
      </c>
      <c r="AJ55" s="275">
        <v>-2.8153444993252279</v>
      </c>
      <c r="AK55" s="275">
        <v>-2.765611533514662</v>
      </c>
      <c r="AL55" s="275">
        <v>-2.715889833113347</v>
      </c>
      <c r="AM55" s="275">
        <v>-2.6662086624790411</v>
      </c>
      <c r="AN55" s="275">
        <v>-2.6165963652592299</v>
      </c>
      <c r="AO55" s="275">
        <v>-2.5670802274890319</v>
      </c>
      <c r="AP55" s="275">
        <v>-2.5176863821403068</v>
      </c>
      <c r="AQ55" s="275">
        <v>-2.4684397552371689</v>
      </c>
      <c r="AR55" s="275">
        <v>-2.4193640530861291</v>
      </c>
      <c r="AS55" s="275">
        <v>-2.3704817896445158</v>
      </c>
      <c r="AT55" s="275">
        <v>-2.321814352511141</v>
      </c>
      <c r="AU55" s="275">
        <v>-2.2733821053775238</v>
      </c>
      <c r="AV55" s="275">
        <v>-2.225204523925973</v>
      </c>
      <c r="AW55" s="275">
        <v>-2.1773003610352788</v>
      </c>
      <c r="AX55" s="275">
        <v>-2.1296878357808509</v>
      </c>
      <c r="AY55" s="275">
        <v>-2.0823848392584421</v>
      </c>
      <c r="AZ55" s="275">
        <v>-2.035409149034237</v>
      </c>
      <c r="BA55" s="275">
        <v>-1.9887786434241399</v>
      </c>
      <c r="BB55" s="275">
        <v>-1.9425115071558481</v>
      </c>
      <c r="BC55" s="275">
        <v>-1.8966264213337509</v>
      </c>
      <c r="BD55" s="275">
        <v>-1.851142732686232</v>
      </c>
      <c r="BE55" s="275">
        <v>-1.80608059915137</v>
      </c>
      <c r="BF55" s="275">
        <v>-1.761461110121729</v>
      </c>
      <c r="BG55" s="275">
        <v>-1.717306379426635</v>
      </c>
      <c r="BH55" s="275">
        <v>-1.673639607036195</v>
      </c>
      <c r="BI55" s="275">
        <v>-1.630485101596115</v>
      </c>
      <c r="BJ55" s="275">
        <v>-1.587868250664058</v>
      </c>
      <c r="BK55" s="275">
        <v>-1.5458154195885869</v>
      </c>
      <c r="BL55" s="275">
        <v>-1.504353754257804</v>
      </c>
      <c r="BM55" s="275">
        <v>-1.463510858686293</v>
      </c>
      <c r="BN55" s="275">
        <v>-1.423314317334563</v>
      </c>
      <c r="BO55" s="275">
        <v>-1.3837910364535639</v>
      </c>
      <c r="BP55" s="275">
        <v>-1.3449663912295959</v>
      </c>
      <c r="BQ55" s="275">
        <v>-1.306863188215208</v>
      </c>
      <c r="BR55" s="275">
        <v>-1.2695004856737071</v>
      </c>
      <c r="BS55" s="275">
        <v>-1.232892354457588</v>
      </c>
      <c r="BT55" s="275">
        <v>-1.1970467002679419</v>
      </c>
      <c r="BU55" s="275">
        <v>-1.161964291835853</v>
      </c>
      <c r="BV55" s="275">
        <v>-1.1276381359273451</v>
      </c>
      <c r="BW55" s="275">
        <v>-1.094053302746115</v>
      </c>
      <c r="BX55" s="275">
        <v>-1.0611872397257009</v>
      </c>
      <c r="BY55" s="275">
        <v>-1.0290105350187499</v>
      </c>
      <c r="BZ55" s="275">
        <v>-0.99748802628962763</v>
      </c>
      <c r="CA55" s="275">
        <v>-0.96658011285106815</v>
      </c>
      <c r="CB55" s="275">
        <v>-0.93624412519075995</v>
      </c>
      <c r="CC55" s="275">
        <v>-0.90643562916246145</v>
      </c>
      <c r="CD55" s="275">
        <v>-0.87710957979050408</v>
      </c>
      <c r="CE55" s="275">
        <v>-0.84822127903567301</v>
      </c>
      <c r="CF55" s="275">
        <v>-0.81972712446623108</v>
      </c>
      <c r="CG55" s="275">
        <v>-0.79158515813323371</v>
      </c>
      <c r="CH55" s="275">
        <v>-0.7637554374827632</v>
      </c>
      <c r="CI55" s="275">
        <v>-0.73620025526842048</v>
      </c>
      <c r="CJ55" s="275">
        <v>-0.70888423606185358</v>
      </c>
      <c r="CK55" s="275">
        <v>-0.68177433559384648</v>
      </c>
      <c r="CL55" s="275">
        <v>-0.6548397674767813</v>
      </c>
      <c r="CM55" s="275">
        <v>-0.62805188060904948</v>
      </c>
      <c r="CN55" s="275">
        <v>-0.60138400961115634</v>
      </c>
      <c r="CO55" s="275">
        <v>-0.57481131921168471</v>
      </c>
      <c r="CP55" s="275"/>
      <c r="CQ55" s="276">
        <v>-5.0195845496230156</v>
      </c>
      <c r="CR55" s="276">
        <v>-4.9620773111961034</v>
      </c>
      <c r="CS55" s="276">
        <v>-4.9045083255812854</v>
      </c>
      <c r="CT55" s="276">
        <v>-4.8468875865145709</v>
      </c>
      <c r="CU55" s="276">
        <v>-4.7892260629596306</v>
      </c>
      <c r="CV55" s="276">
        <v>-4.7315357003024179</v>
      </c>
      <c r="CW55" s="276">
        <v>-4.6738294039231043</v>
      </c>
      <c r="CX55" s="276">
        <v>-4.6161210019689491</v>
      </c>
      <c r="CY55" s="276">
        <v>-4.5584251842316386</v>
      </c>
      <c r="CZ55" s="276">
        <v>-4.5007574143275297</v>
      </c>
      <c r="DA55" s="276">
        <v>-4.4431338129421452</v>
      </c>
      <c r="DB55" s="276">
        <v>-4.3855710107749868</v>
      </c>
      <c r="DC55" s="276">
        <v>-4.3280859710309727</v>
      </c>
      <c r="DD55" s="276">
        <v>-4.2706957828390877</v>
      </c>
      <c r="DE55" s="276">
        <v>-4.2134174287791133</v>
      </c>
      <c r="DF55" s="276">
        <v>-4.1562675316452484</v>
      </c>
      <c r="DG55" s="276">
        <v>-4.0992620874939716</v>
      </c>
      <c r="DH55" s="276">
        <v>-4.0424161936836853</v>
      </c>
      <c r="DI55" s="276">
        <v>-3.985743781762916</v>
      </c>
      <c r="DJ55" s="276">
        <v>-3.9292573654662961</v>
      </c>
      <c r="DK55" s="276">
        <v>-3.8729678135621328</v>
      </c>
      <c r="DL55" s="276">
        <v>-3.8168841558037041</v>
      </c>
      <c r="DM55" s="276">
        <v>-3.7610134278510809</v>
      </c>
      <c r="DN55" s="276">
        <v>-3.70536055797939</v>
      </c>
      <c r="DO55" s="276">
        <v>-3.6499282950161871</v>
      </c>
      <c r="DP55" s="276">
        <v>-3.5947171736618921</v>
      </c>
      <c r="DQ55" s="276">
        <v>-3.5397255105470742</v>
      </c>
      <c r="DR55" s="276">
        <v>-3.4849494224123818</v>
      </c>
      <c r="DS55" s="276">
        <v>-3.4303828569009411</v>
      </c>
      <c r="DT55" s="276">
        <v>-3.3760176267458171</v>
      </c>
      <c r="DU55" s="276">
        <v>-3.3218434396116998</v>
      </c>
      <c r="DV55" s="276">
        <v>-3.2678479183965341</v>
      </c>
      <c r="DW55" s="276">
        <v>-3.2140166102205812</v>
      </c>
      <c r="DX55" s="276">
        <v>-3.1603329863837368</v>
      </c>
      <c r="DY55" s="276">
        <v>-3.1067784400070182</v>
      </c>
      <c r="DZ55" s="276">
        <v>-3.0533322926740571</v>
      </c>
      <c r="EA55" s="276">
        <v>-2.9999718259963779</v>
      </c>
      <c r="EB55" s="276">
        <v>-2.946672358543867</v>
      </c>
      <c r="EC55" s="276">
        <v>-2.8934073929236499</v>
      </c>
      <c r="ED55" s="276">
        <v>-2.8401488617919761</v>
      </c>
      <c r="EE55" s="276">
        <v>-2.7868675048696101</v>
      </c>
      <c r="EF55" s="276">
        <v>-2.7335334108651188</v>
      </c>
      <c r="EG55" s="276">
        <v>-2.6801167573718989</v>
      </c>
      <c r="EH55" s="276">
        <v>-2.6265887765662219</v>
      </c>
      <c r="EI55" s="276">
        <v>-2.572922962846095</v>
      </c>
      <c r="EJ55" s="276">
        <v>-2.5190965185685039</v>
      </c>
      <c r="EK55" s="276">
        <v>-2.4650920050503622</v>
      </c>
      <c r="EL55" s="276">
        <v>-2.410899129641447</v>
      </c>
      <c r="EM55" s="276">
        <v>-2.3565165610375112</v>
      </c>
      <c r="EN55" s="276">
        <v>-2.3019536327402159</v>
      </c>
      <c r="EO55" s="276">
        <v>-2.2472317792894732</v>
      </c>
      <c r="EP55" s="276">
        <v>-2.1923855605347771</v>
      </c>
      <c r="EQ55" s="276">
        <v>-2.1374631686015841</v>
      </c>
      <c r="ER55" s="276">
        <v>-2.0825263741058602</v>
      </c>
      <c r="ES55" s="276">
        <v>-2.0276499380715718</v>
      </c>
      <c r="ET55" s="276">
        <v>-1.97292057604044</v>
      </c>
      <c r="EU55" s="276">
        <v>-1.9184355964724831</v>
      </c>
      <c r="EV55" s="276">
        <v>-1.864301340405188</v>
      </c>
      <c r="EW55" s="276">
        <v>-1.8106315262862029</v>
      </c>
      <c r="EX55" s="276">
        <v>-1.757545562066154</v>
      </c>
      <c r="EY55" s="276">
        <v>-1.7051668372991891</v>
      </c>
      <c r="EZ55" s="276">
        <v>-1.653620961273828</v>
      </c>
      <c r="FA55" s="276">
        <v>-1.6030338768592169</v>
      </c>
      <c r="FB55" s="276">
        <v>-1.5535297597510069</v>
      </c>
      <c r="FC55" s="276">
        <v>-1.5052286144008129</v>
      </c>
      <c r="FD55" s="276">
        <v>-1.458243506172344</v>
      </c>
      <c r="FE55" s="276">
        <v>-1.412677427823148</v>
      </c>
      <c r="FF55" s="276">
        <v>-1.3686198861625369</v>
      </c>
      <c r="FG55" s="276">
        <v>-1.32614340125941</v>
      </c>
      <c r="FH55" s="276">
        <v>-1.2853002129053299</v>
      </c>
      <c r="FI55" s="276">
        <v>-1.2461195538758021</v>
      </c>
      <c r="FJ55" s="272">
        <v>-1.208605843741571</v>
      </c>
      <c r="FK55" s="272">
        <v>-1.172738064200513</v>
      </c>
      <c r="FL55" s="272">
        <v>-1.138470411236842</v>
      </c>
      <c r="FM55" s="272">
        <v>-1.1057341252297539</v>
      </c>
      <c r="FN55" s="272">
        <v>-1.0744402345282249</v>
      </c>
      <c r="FO55" s="272">
        <v>-1.0444828553961241</v>
      </c>
      <c r="FP55" s="272">
        <v>-1.0157426858273491</v>
      </c>
      <c r="FQ55" s="272">
        <v>-0.98809039633514173</v>
      </c>
      <c r="FR55" s="272">
        <v>-0.961389724511577</v>
      </c>
      <c r="FS55" s="272">
        <v>-0.9355001888588057</v>
      </c>
      <c r="FT55" s="272">
        <v>-0.9102794283282809</v>
      </c>
      <c r="FU55" s="272">
        <v>-0.88558523672951095</v>
      </c>
      <c r="FV55" s="272">
        <v>-0.8612773941817875</v>
      </c>
      <c r="FW55" s="272">
        <v>-0.83721940368807202</v>
      </c>
      <c r="FX55" s="272">
        <v>-0.81328022298847946</v>
      </c>
      <c r="FY55" s="272">
        <v>-0.78933604303750515</v>
      </c>
      <c r="FZ55" s="272">
        <v>-0.7652721086293659</v>
      </c>
      <c r="GA55" s="272">
        <v>-0.74098451129677789</v>
      </c>
      <c r="GB55" s="272">
        <v>-0.71638182268611361</v>
      </c>
      <c r="GC55" s="272">
        <v>-0.69138639607135088</v>
      </c>
    </row>
    <row r="56" spans="2:185" ht="15" thickBot="1" x14ac:dyDescent="0.4">
      <c r="B56" s="298">
        <v>50</v>
      </c>
      <c r="C56" s="275">
        <v>-4.5395404714279977</v>
      </c>
      <c r="D56" s="275">
        <v>-4.4982951614750721</v>
      </c>
      <c r="E56" s="275">
        <v>-4.4568444952713548</v>
      </c>
      <c r="F56" s="275">
        <v>-4.415177292954378</v>
      </c>
      <c r="G56" s="275">
        <v>-4.3732820277661224</v>
      </c>
      <c r="H56" s="275">
        <v>-4.3311468933437673</v>
      </c>
      <c r="I56" s="275">
        <v>-4.288759890944843</v>
      </c>
      <c r="J56" s="275">
        <v>-4.2461089390658691</v>
      </c>
      <c r="K56" s="275">
        <v>-4.2031820076096498</v>
      </c>
      <c r="L56" s="275">
        <v>-4.1599672781968859</v>
      </c>
      <c r="M56" s="275">
        <v>-4.1164533313507219</v>
      </c>
      <c r="N56" s="275">
        <v>-4.0726293600714998</v>
      </c>
      <c r="O56" s="275">
        <v>-4.0284854077551993</v>
      </c>
      <c r="P56" s="275">
        <v>-3.984012626529013</v>
      </c>
      <c r="Q56" s="275">
        <v>-3.9392035499751019</v>
      </c>
      <c r="R56" s="275">
        <v>-3.8940523720505431</v>
      </c>
      <c r="S56" s="275">
        <v>-3.8485552220141059</v>
      </c>
      <c r="T56" s="275">
        <v>-3.80271042361138</v>
      </c>
      <c r="U56" s="275">
        <v>-3.7565187259338422</v>
      </c>
      <c r="V56" s="275">
        <v>-3.7099834934972962</v>
      </c>
      <c r="W56" s="275">
        <v>-3.6631108443267082</v>
      </c>
      <c r="X56" s="275">
        <v>-3.6159097271847842</v>
      </c>
      <c r="Y56" s="275">
        <v>-3.5683919323649058</v>
      </c>
      <c r="Z56" s="275">
        <v>-3.5205720343486662</v>
      </c>
      <c r="AA56" s="275">
        <v>-3.4724672686575402</v>
      </c>
      <c r="AB56" s="275">
        <v>-3.4240973489349029</v>
      </c>
      <c r="AC56" s="275">
        <v>-3.3754842332705151</v>
      </c>
      <c r="AD56" s="275">
        <v>-3.326651850759839</v>
      </c>
      <c r="AE56" s="275">
        <v>-3.2776258001924918</v>
      </c>
      <c r="AF56" s="275">
        <v>-3.2284330326827799</v>
      </c>
      <c r="AG56" s="275">
        <v>-3.1791015292173261</v>
      </c>
      <c r="AH56" s="275">
        <v>-3.1296599827876639</v>
      </c>
      <c r="AI56" s="275">
        <v>-3.0801374932759491</v>
      </c>
      <c r="AJ56" s="275">
        <v>-3.0305632817815611</v>
      </c>
      <c r="AK56" s="275">
        <v>-2.9809664297386629</v>
      </c>
      <c r="AL56" s="275">
        <v>-2.9313756470211292</v>
      </c>
      <c r="AM56" s="275">
        <v>-2.8818190722465</v>
      </c>
      <c r="AN56" s="275">
        <v>-2.8323241076361718</v>
      </c>
      <c r="AO56" s="275">
        <v>-2.7829172900268739</v>
      </c>
      <c r="AP56" s="275">
        <v>-2.7336241989342649</v>
      </c>
      <c r="AQ56" s="275">
        <v>-2.684469401928784</v>
      </c>
      <c r="AR56" s="275">
        <v>-2.6354764369832751</v>
      </c>
      <c r="AS56" s="275">
        <v>-2.5866678308670301</v>
      </c>
      <c r="AT56" s="275">
        <v>-2.5380651520499669</v>
      </c>
      <c r="AU56" s="275">
        <v>-2.4896890958911242</v>
      </c>
      <c r="AV56" s="275">
        <v>-2.4415595990681371</v>
      </c>
      <c r="AW56" s="275">
        <v>-2.393695979243089</v>
      </c>
      <c r="AX56" s="275">
        <v>-2.3461170948998422</v>
      </c>
      <c r="AY56" s="275">
        <v>-2.2988415192560541</v>
      </c>
      <c r="AZ56" s="275">
        <v>-2.2518877213475279</v>
      </c>
      <c r="BA56" s="275">
        <v>-2.2052742470226141</v>
      </c>
      <c r="BB56" s="275">
        <v>-2.1590198928196109</v>
      </c>
      <c r="BC56" s="275">
        <v>-2.1131438665156921</v>
      </c>
      <c r="BD56" s="275">
        <v>-2.0676659292975539</v>
      </c>
      <c r="BE56" s="275">
        <v>-2.022606515589386</v>
      </c>
      <c r="BF56" s="275">
        <v>-1.977986827086649</v>
      </c>
      <c r="BG56" s="275">
        <v>-1.933828897072118</v>
      </c>
      <c r="BH56" s="275">
        <v>-1.8901556194331259</v>
      </c>
      <c r="BI56" s="275">
        <v>-1.846990734027983</v>
      </c>
      <c r="BJ56" s="275">
        <v>-1.8043587565036829</v>
      </c>
      <c r="BK56" s="275">
        <v>-1.762284836921558</v>
      </c>
      <c r="BL56" s="275">
        <v>-1.7207945284076931</v>
      </c>
      <c r="BM56" s="275">
        <v>-1.6799134455672149</v>
      </c>
      <c r="BN56" s="275">
        <v>-1.639666793908894</v>
      </c>
      <c r="BO56" s="275">
        <v>-1.600078757522303</v>
      </c>
      <c r="BP56" s="275">
        <v>-1.5611717441197031</v>
      </c>
      <c r="BQ56" s="275">
        <v>-1.5229655049639601</v>
      </c>
      <c r="BR56" s="275">
        <v>-1.4854761712351761</v>
      </c>
      <c r="BS56" s="275">
        <v>-1.4487152747062979</v>
      </c>
      <c r="BT56" s="275">
        <v>-1.4126888432138429</v>
      </c>
      <c r="BU56" s="275">
        <v>-1.377396672720598</v>
      </c>
      <c r="BV56" s="275">
        <v>-1.342831871092693</v>
      </c>
      <c r="BW56" s="275">
        <v>-1.30898074159013</v>
      </c>
      <c r="BX56" s="275">
        <v>-1.2758230305444651</v>
      </c>
      <c r="BY56" s="275">
        <v>-1.243332513851128</v>
      </c>
      <c r="BZ56" s="275">
        <v>-1.2114778532831081</v>
      </c>
      <c r="CA56" s="275">
        <v>-1.1802236263218739</v>
      </c>
      <c r="CB56" s="275">
        <v>-1.1495314262552569</v>
      </c>
      <c r="CC56" s="275">
        <v>-1.119360940262816</v>
      </c>
      <c r="CD56" s="275">
        <v>-1.0896709354487339</v>
      </c>
      <c r="CE56" s="275">
        <v>-1.06042010873834</v>
      </c>
      <c r="CF56" s="275">
        <v>-1.031567780323037</v>
      </c>
      <c r="CG56" s="275">
        <v>-1.0030744287020861</v>
      </c>
      <c r="CH56" s="275">
        <v>-0.97490207756579217</v>
      </c>
      <c r="CI56" s="275">
        <v>-0.94701455163109749</v>
      </c>
      <c r="CJ56" s="275">
        <v>-0.9193776216090157</v>
      </c>
      <c r="CK56" s="275">
        <v>-0.89195905930576203</v>
      </c>
      <c r="CL56" s="275">
        <v>-0.86472862360992853</v>
      </c>
      <c r="CM56" s="275">
        <v>-0.83765799742840841</v>
      </c>
      <c r="CN56" s="275">
        <v>-0.81072069459743812</v>
      </c>
      <c r="CO56" s="275">
        <v>-0.78389195412563595</v>
      </c>
      <c r="CP56" s="275"/>
      <c r="CQ56" s="276">
        <v>-5.2486756827558159</v>
      </c>
      <c r="CR56" s="276">
        <v>-5.1913176372695027</v>
      </c>
      <c r="CS56" s="276">
        <v>-5.1339058232871517</v>
      </c>
      <c r="CT56" s="276">
        <v>-5.0764500642343302</v>
      </c>
      <c r="CU56" s="276">
        <v>-5.0189610613518401</v>
      </c>
      <c r="CV56" s="276">
        <v>-4.9614503850547997</v>
      </c>
      <c r="CW56" s="276">
        <v>-4.9039304497654461</v>
      </c>
      <c r="CX56" s="276">
        <v>-4.8464144696719362</v>
      </c>
      <c r="CY56" s="276">
        <v>-4.7889163930262626</v>
      </c>
      <c r="CZ56" s="276">
        <v>-4.7314508129388591</v>
      </c>
      <c r="DA56" s="276">
        <v>-4.6740328531898916</v>
      </c>
      <c r="DB56" s="276">
        <v>-4.6166780283804956</v>
      </c>
      <c r="DC56" s="276">
        <v>-4.5594020787966247</v>
      </c>
      <c r="DD56" s="276">
        <v>-4.5022207816293713</v>
      </c>
      <c r="DE56" s="276">
        <v>-4.445149741629864</v>
      </c>
      <c r="DF56" s="276">
        <v>-4.3882041657734563</v>
      </c>
      <c r="DG56" s="276">
        <v>-4.331398627928321</v>
      </c>
      <c r="DH56" s="276">
        <v>-4.2747468306999954</v>
      </c>
      <c r="DI56" s="276">
        <v>-4.2182613723796996</v>
      </c>
      <c r="DJ56" s="276">
        <v>-4.1619535271048651</v>
      </c>
      <c r="DK56" s="276">
        <v>-4.105833045840642</v>
      </c>
      <c r="DL56" s="276">
        <v>-4.0499079845873887</v>
      </c>
      <c r="DM56" s="276">
        <v>-3.994184564385491</v>
      </c>
      <c r="DN56" s="276">
        <v>-3.9386670653954909</v>
      </c>
      <c r="DO56" s="276">
        <v>-3.8833577548279781</v>
      </c>
      <c r="DP56" s="276">
        <v>-3.828256846075365</v>
      </c>
      <c r="DQ56" s="276">
        <v>-3.7733624843502191</v>
      </c>
      <c r="DR56" s="276">
        <v>-3.718670752714722</v>
      </c>
      <c r="DS56" s="276">
        <v>-3.6641756917782442</v>
      </c>
      <c r="DT56" s="276">
        <v>-3.609869326640843</v>
      </c>
      <c r="DU56" s="276">
        <v>-3.5557416958781798</v>
      </c>
      <c r="DV56" s="276">
        <v>-3.5017808794228671</v>
      </c>
      <c r="DW56" s="276">
        <v>-3.4479730249614908</v>
      </c>
      <c r="DX56" s="276">
        <v>-3.394302375755843</v>
      </c>
      <c r="DY56" s="276">
        <v>-3.3407513064185288</v>
      </c>
      <c r="DZ56" s="276">
        <v>-3.287300376942401</v>
      </c>
      <c r="EA56" s="276">
        <v>-3.2339284190349642</v>
      </c>
      <c r="EB56" s="276">
        <v>-3.1806126723901489</v>
      </c>
      <c r="EC56" s="276">
        <v>-3.127328991761988</v>
      </c>
      <c r="ED56" s="276">
        <v>-3.074052148325483</v>
      </c>
      <c r="EE56" s="276">
        <v>-3.0207562503913579</v>
      </c>
      <c r="EF56" s="276">
        <v>-2.9674153084194712</v>
      </c>
      <c r="EG56" s="276">
        <v>-2.9140039665158479</v>
      </c>
      <c r="EH56" s="276">
        <v>-2.8604984160547482</v>
      </c>
      <c r="EI56" s="276">
        <v>-2.806877495596463</v>
      </c>
      <c r="EJ56" s="276">
        <v>-2.753123964141134</v>
      </c>
      <c r="EK56" s="276">
        <v>-2.699225912243949</v>
      </c>
      <c r="EL56" s="276">
        <v>-2.645178249542588</v>
      </c>
      <c r="EM56" s="276">
        <v>-2.590984181776073</v>
      </c>
      <c r="EN56" s="276">
        <v>-2.5366565711331388</v>
      </c>
      <c r="EO56" s="276">
        <v>-2.48221906700108</v>
      </c>
      <c r="EP56" s="276">
        <v>-2.4277069045263029</v>
      </c>
      <c r="EQ56" s="276">
        <v>-2.373167296587932</v>
      </c>
      <c r="ER56" s="276">
        <v>-2.31865938640756</v>
      </c>
      <c r="ES56" s="276">
        <v>-2.2642537741966842</v>
      </c>
      <c r="ET56" s="276">
        <v>-2.210031671341663</v>
      </c>
      <c r="EU56" s="276">
        <v>-2.1560837607879342</v>
      </c>
      <c r="EV56" s="276">
        <v>-2.102508848163374</v>
      </c>
      <c r="EW56" s="276">
        <v>-2.0494123757182572</v>
      </c>
      <c r="EX56" s="276">
        <v>-1.9969048454414959</v>
      </c>
      <c r="EY56" s="276">
        <v>-1.9451001658579821</v>
      </c>
      <c r="EZ56" s="276">
        <v>-1.894113906255378</v>
      </c>
      <c r="FA56" s="276">
        <v>-1.844061418725822</v>
      </c>
      <c r="FB56" s="276">
        <v>-1.795055777584891</v>
      </c>
      <c r="FC56" s="276">
        <v>-1.7472054915684301</v>
      </c>
      <c r="FD56" s="276">
        <v>-1.700611969605214</v>
      </c>
      <c r="FE56" s="276">
        <v>-1.6553667665719931</v>
      </c>
      <c r="FF56" s="276">
        <v>-1.6115486978144971</v>
      </c>
      <c r="FG56" s="276">
        <v>-1.5692209808666999</v>
      </c>
      <c r="FH56" s="276">
        <v>-1.5284286236421329</v>
      </c>
      <c r="FI56" s="276">
        <v>-1.489196310402964</v>
      </c>
      <c r="FJ56" s="272">
        <v>-1.451527022607948</v>
      </c>
      <c r="FK56" s="272">
        <v>-1.4154015648789731</v>
      </c>
      <c r="FL56" s="272">
        <v>-1.380779057256073</v>
      </c>
      <c r="FM56" s="272">
        <v>-1.347598329686015</v>
      </c>
      <c r="FN56" s="272">
        <v>-1.3157800457448661</v>
      </c>
      <c r="FO56" s="272">
        <v>-1.285229316022988</v>
      </c>
      <c r="FP56" s="272">
        <v>-1.25583854792754</v>
      </c>
      <c r="FQ56" s="272">
        <v>-1.2274903115685061</v>
      </c>
      <c r="FR56" s="272">
        <v>-1.200060063585223</v>
      </c>
      <c r="FS56" s="272">
        <v>-1.173418642337569</v>
      </c>
      <c r="FT56" s="272">
        <v>-1.147434512765271</v>
      </c>
      <c r="FU56" s="272">
        <v>-1.121975787750972</v>
      </c>
      <c r="FV56" s="272">
        <v>-1.0969120811121591</v>
      </c>
      <c r="FW56" s="272">
        <v>-1.07211625522286</v>
      </c>
      <c r="FX56" s="272">
        <v>-1.047466115459079</v>
      </c>
      <c r="FY56" s="272">
        <v>-1.0228460770460259</v>
      </c>
      <c r="FZ56" s="272">
        <v>-0.99814879183251504</v>
      </c>
      <c r="GA56" s="272">
        <v>-0.97327667979591614</v>
      </c>
      <c r="GB56" s="272">
        <v>-0.94814327223137373</v>
      </c>
      <c r="GC56" s="272">
        <v>-0.92267425171024298</v>
      </c>
    </row>
    <row r="57" spans="2:185" ht="15" thickBot="1" x14ac:dyDescent="0.4">
      <c r="B57" s="298">
        <v>51</v>
      </c>
      <c r="C57" s="275">
        <v>-4.7539877732227636</v>
      </c>
      <c r="D57" s="275">
        <v>-4.7126596861094283</v>
      </c>
      <c r="E57" s="275">
        <v>-4.6711254320351401</v>
      </c>
      <c r="F57" s="275">
        <v>-4.6293743512619523</v>
      </c>
      <c r="G57" s="275">
        <v>-4.5873955195152876</v>
      </c>
      <c r="H57" s="275">
        <v>-4.545177819088865</v>
      </c>
      <c r="I57" s="275">
        <v>-4.5027100280106973</v>
      </c>
      <c r="J57" s="275">
        <v>-4.4599809290736463</v>
      </c>
      <c r="K57" s="275">
        <v>-4.4169794401728906</v>
      </c>
      <c r="L57" s="275">
        <v>-4.3736947668196953</v>
      </c>
      <c r="M57" s="275">
        <v>-4.3301165768849081</v>
      </c>
      <c r="N57" s="275">
        <v>-4.2862351965523953</v>
      </c>
      <c r="O57" s="275">
        <v>-4.2420418251415217</v>
      </c>
      <c r="P57" s="275">
        <v>-4.1975287649345878</v>
      </c>
      <c r="Q57" s="275">
        <v>-4.1526896605061197</v>
      </c>
      <c r="R57" s="275">
        <v>-4.107519740429499</v>
      </c>
      <c r="S57" s="275">
        <v>-4.0620160528043519</v>
      </c>
      <c r="T57" s="275">
        <v>-4.0161776850017894</v>
      </c>
      <c r="U57" s="275">
        <v>-3.9700059575574489</v>
      </c>
      <c r="V57" s="275">
        <v>-3.923504582410386</v>
      </c>
      <c r="W57" s="275">
        <v>-3.8766797767704588</v>
      </c>
      <c r="X57" s="275">
        <v>-3.8295403257775891</v>
      </c>
      <c r="Y57" s="275">
        <v>-3.7820975896557099</v>
      </c>
      <c r="Z57" s="275">
        <v>-3.734365454022281</v>
      </c>
      <c r="AA57" s="275">
        <v>-3.6863602250810041</v>
      </c>
      <c r="AB57" s="275">
        <v>-3.6381004742757219</v>
      </c>
      <c r="AC57" s="275">
        <v>-3.5896068393342349</v>
      </c>
      <c r="AD57" s="275">
        <v>-3.540901790290075</v>
      </c>
      <c r="AE57" s="275">
        <v>-3.4920093699634509</v>
      </c>
      <c r="AF57" s="275">
        <v>-3.4429549185522599</v>
      </c>
      <c r="AG57" s="275">
        <v>-3.3937647915628162</v>
      </c>
      <c r="AH57" s="275">
        <v>-3.344466079479568</v>
      </c>
      <c r="AI57" s="275">
        <v>-3.2950863365190082</v>
      </c>
      <c r="AJ57" s="275">
        <v>-3.245653324689393</v>
      </c>
      <c r="AK57" s="275">
        <v>-3.1961947782889348</v>
      </c>
      <c r="AL57" s="275">
        <v>-3.1467381929731961</v>
      </c>
      <c r="AM57" s="275">
        <v>-3.0973106426205299</v>
      </c>
      <c r="AN57" s="275">
        <v>-3.0479386264126132</v>
      </c>
      <c r="AO57" s="275">
        <v>-2.9986479478081169</v>
      </c>
      <c r="AP57" s="275">
        <v>-2.949463626404607</v>
      </c>
      <c r="AQ57" s="275">
        <v>-2.900409843042707</v>
      </c>
      <c r="AR57" s="275">
        <v>-2.851509917891947</v>
      </c>
      <c r="AS57" s="275">
        <v>-2.802786320648794</v>
      </c>
      <c r="AT57" s="275">
        <v>-2.7542607113467539</v>
      </c>
      <c r="AU57" s="275">
        <v>-2.705954009597233</v>
      </c>
      <c r="AV57" s="275">
        <v>-2.6578864893283232</v>
      </c>
      <c r="AW57" s="275">
        <v>-2.6100778952725401</v>
      </c>
      <c r="AX57" s="275">
        <v>-2.5625475766188281</v>
      </c>
      <c r="AY57" s="275">
        <v>-2.5153146324787912</v>
      </c>
      <c r="AZ57" s="275">
        <v>-2.4683980632438249</v>
      </c>
      <c r="BA57" s="275">
        <v>-2.4218169216464189</v>
      </c>
      <c r="BB57" s="275">
        <v>-2.3755904574492872</v>
      </c>
      <c r="BC57" s="275">
        <v>-2.329738250129668</v>
      </c>
      <c r="BD57" s="275">
        <v>-2.2842803245386052</v>
      </c>
      <c r="BE57" s="275">
        <v>-2.2392372450310489</v>
      </c>
      <c r="BF57" s="275">
        <v>-2.194630183685649</v>
      </c>
      <c r="BG57" s="275">
        <v>-2.1504809577264239</v>
      </c>
      <c r="BH57" s="275">
        <v>-2.1068120300247979</v>
      </c>
      <c r="BI57" s="275">
        <v>-2.063646464689401</v>
      </c>
      <c r="BJ57" s="275">
        <v>-2.0210078275308412</v>
      </c>
      <c r="BK57" s="275">
        <v>-1.978920019097788</v>
      </c>
      <c r="BL57" s="275">
        <v>-1.93740702667537</v>
      </c>
      <c r="BM57" s="275">
        <v>-1.896492581932101</v>
      </c>
      <c r="BN57" s="275">
        <v>-1.856199713720857</v>
      </c>
      <c r="BO57" s="275">
        <v>-1.8165501917828171</v>
      </c>
      <c r="BP57" s="275">
        <v>-1.777563867389653</v>
      </c>
      <c r="BQ57" s="275">
        <v>-1.7392579312246721</v>
      </c>
      <c r="BR57" s="275">
        <v>-1.7016461258423261</v>
      </c>
      <c r="BS57" s="275">
        <v>-1.664737967188894</v>
      </c>
      <c r="BT57" s="275">
        <v>-1.628538042912427</v>
      </c>
      <c r="BU57" s="275">
        <v>-1.5930454600322781</v>
      </c>
      <c r="BV57" s="275">
        <v>-1.558253507480476</v>
      </c>
      <c r="BW57" s="275">
        <v>-1.524149579263185</v>
      </c>
      <c r="BX57" s="275">
        <v>-1.4907153743959281</v>
      </c>
      <c r="BY57" s="275">
        <v>-1.457927356441663</v>
      </c>
      <c r="BZ57" s="275">
        <v>-1.425757425814669</v>
      </c>
      <c r="CA57" s="275">
        <v>-1.3941737381112049</v>
      </c>
      <c r="CB57" s="275">
        <v>-1.3631415944765339</v>
      </c>
      <c r="CC57" s="275">
        <v>-1.3326243346316291</v>
      </c>
      <c r="CD57" s="275">
        <v>-1.302584176197561</v>
      </c>
      <c r="CE57" s="275">
        <v>-1.2729829609154379</v>
      </c>
      <c r="CF57" s="275">
        <v>-1.243782785331971</v>
      </c>
      <c r="CG57" s="275">
        <v>-1.214946507926725</v>
      </c>
      <c r="CH57" s="275">
        <v>-1.1864381353931439</v>
      </c>
      <c r="CI57" s="275">
        <v>-1.1582230978865999</v>
      </c>
      <c r="CJ57" s="275">
        <v>-1.130268427194377</v>
      </c>
      <c r="CK57" s="275">
        <v>-1.102542853837684</v>
      </c>
      <c r="CL57" s="275">
        <v>-1.0750168398423521</v>
      </c>
      <c r="CM57" s="275">
        <v>-1.047662563798796</v>
      </c>
      <c r="CN57" s="275">
        <v>-1.020453874056702</v>
      </c>
      <c r="CO57" s="275">
        <v>-0.99336622443519873</v>
      </c>
      <c r="CP57" s="275"/>
      <c r="CQ57" s="276">
        <v>-5.4779056675585744</v>
      </c>
      <c r="CR57" s="276">
        <v>-5.4206956364106267</v>
      </c>
      <c r="CS57" s="276">
        <v>-5.3634391519154594</v>
      </c>
      <c r="CT57" s="276">
        <v>-5.3061458263445802</v>
      </c>
      <c r="CU57" s="276">
        <v>-5.2488260589911659</v>
      </c>
      <c r="CV57" s="276">
        <v>-5.1914910197750608</v>
      </c>
      <c r="CW57" s="276">
        <v>-5.1341526175317487</v>
      </c>
      <c r="CX57" s="276">
        <v>-5.0768234509698056</v>
      </c>
      <c r="CY57" s="276">
        <v>-5.0195167404891103</v>
      </c>
      <c r="CZ57" s="276">
        <v>-4.9622462394132016</v>
      </c>
      <c r="DA57" s="276">
        <v>-4.9050261237237844</v>
      </c>
      <c r="DB57" s="276">
        <v>-4.847870860103737</v>
      </c>
      <c r="DC57" s="276">
        <v>-4.7907950529900249</v>
      </c>
      <c r="DD57" s="276">
        <v>-4.7338132723824176</v>
      </c>
      <c r="DE57" s="276">
        <v>-4.6769398652918808</v>
      </c>
      <c r="DF57" s="276">
        <v>-4.6201887548623954</v>
      </c>
      <c r="DG57" s="276">
        <v>-4.5635732322544413</v>
      </c>
      <c r="DH57" s="276">
        <v>-4.5071057472151743</v>
      </c>
      <c r="DI57" s="276">
        <v>-4.4507977037571367</v>
      </c>
      <c r="DJ57" s="276">
        <v>-4.3946592674214884</v>
      </c>
      <c r="DK57" s="276">
        <v>-4.3386991901497272</v>
      </c>
      <c r="DL57" s="276">
        <v>-4.2829246578264462</v>
      </c>
      <c r="DM57" s="276">
        <v>-4.2273411641470648</v>
      </c>
      <c r="DN57" s="276">
        <v>-4.1719524127390342</v>
      </c>
      <c r="DO57" s="276">
        <v>-4.1167602476056677</v>
      </c>
      <c r="DP57" s="276">
        <v>-4.0617646101800684</v>
      </c>
      <c r="DQ57" s="276">
        <v>-4.0069635197878357</v>
      </c>
      <c r="DR57" s="276">
        <v>-3.9523530733074672</v>
      </c>
      <c r="DS57" s="276">
        <v>-3.8979274594273741</v>
      </c>
      <c r="DT57" s="276">
        <v>-3.8436789832047511</v>
      </c>
      <c r="DU57" s="276">
        <v>-3.789598097646361</v>
      </c>
      <c r="DV57" s="276">
        <v>-3.735673440704113</v>
      </c>
      <c r="DW57" s="276">
        <v>-3.6818918783076211</v>
      </c>
      <c r="DX57" s="276">
        <v>-3.6282385567052349</v>
      </c>
      <c r="DY57" s="276">
        <v>-3.5746969702965359</v>
      </c>
      <c r="DZ57" s="276">
        <v>-3.5212490541495169</v>
      </c>
      <c r="EA57" s="276">
        <v>-3.467875313337168</v>
      </c>
      <c r="EB57" s="276">
        <v>-3.4145550039217909</v>
      </c>
      <c r="EC57" s="276">
        <v>-3.361266382646638</v>
      </c>
      <c r="ED57" s="276">
        <v>-3.3079870438753058</v>
      </c>
      <c r="EE57" s="276">
        <v>-3.254694362650759</v>
      </c>
      <c r="EF57" s="276">
        <v>-3.2013660613906998</v>
      </c>
      <c r="EG57" s="276">
        <v>-3.1479809140350041</v>
      </c>
      <c r="EH57" s="276">
        <v>-3.0945195947166679</v>
      </c>
      <c r="EI57" s="276">
        <v>-3.0409656676883001</v>
      </c>
      <c r="EJ57" s="276">
        <v>-2.9873067011816521</v>
      </c>
      <c r="EK57" s="276">
        <v>-2.9335354707714649</v>
      </c>
      <c r="EL57" s="276">
        <v>-2.8796511994065108</v>
      </c>
      <c r="EM57" s="276">
        <v>-2.825660764472274</v>
      </c>
      <c r="EN57" s="276">
        <v>-2.7715797907872362</v>
      </c>
      <c r="EO57" s="276">
        <v>-2.717433545983484</v>
      </c>
      <c r="EP57" s="276">
        <v>-2.6632575636692368</v>
      </c>
      <c r="EQ57" s="276">
        <v>-2.6090979400351029</v>
      </c>
      <c r="ER57" s="276">
        <v>-2.5550112780658059</v>
      </c>
      <c r="ES57" s="276">
        <v>-2.50106428469689</v>
      </c>
      <c r="ET57" s="276">
        <v>-2.4473330536097722</v>
      </c>
      <c r="EU57" s="276">
        <v>-2.393902084397129</v>
      </c>
      <c r="EV57" s="276">
        <v>-2.3408630946308842</v>
      </c>
      <c r="EW57" s="276">
        <v>-2.288313675159074</v>
      </c>
      <c r="EX57" s="276">
        <v>-2.236355823680352</v>
      </c>
      <c r="EY57" s="276">
        <v>-2.1850943718614939</v>
      </c>
      <c r="EZ57" s="276">
        <v>-2.1346353020305462</v>
      </c>
      <c r="FA57" s="276">
        <v>-2.085083935525363</v>
      </c>
      <c r="FB57" s="276">
        <v>-2.0365429700596169</v>
      </c>
      <c r="FC57" s="276">
        <v>-1.9891103509008119</v>
      </c>
      <c r="FD57" s="276">
        <v>-1.9428769817092979</v>
      </c>
      <c r="FE57" s="276">
        <v>-1.897924314881098</v>
      </c>
      <c r="FF57" s="276">
        <v>-1.854321904402813</v>
      </c>
      <c r="FG57" s="276">
        <v>-1.8121250490621841</v>
      </c>
      <c r="FH57" s="276">
        <v>-1.771372689539674</v>
      </c>
      <c r="FI57" s="276">
        <v>-1.7320857374659311</v>
      </c>
      <c r="FJ57" s="272">
        <v>-1.694265998729058</v>
      </c>
      <c r="FK57" s="272">
        <v>-1.657895804960752</v>
      </c>
      <c r="FL57" s="272">
        <v>-1.6229383935922581</v>
      </c>
      <c r="FM57" s="272">
        <v>-1.589338993876823</v>
      </c>
      <c r="FN57" s="272">
        <v>-1.5570265028938091</v>
      </c>
      <c r="FO57" s="272">
        <v>-1.5259155875337409</v>
      </c>
      <c r="FP57" s="272">
        <v>-1.4959090332317091</v>
      </c>
      <c r="FQ57" s="272">
        <v>-1.466900175633375</v>
      </c>
      <c r="FR57" s="272">
        <v>-1.4387752882606091</v>
      </c>
      <c r="FS57" s="272">
        <v>-1.411415845635434</v>
      </c>
      <c r="FT57" s="272">
        <v>-1.3847006263336159</v>
      </c>
      <c r="FU57" s="272">
        <v>-1.358507656362026</v>
      </c>
      <c r="FV57" s="272">
        <v>-1.3327160159279641</v>
      </c>
      <c r="FW57" s="272">
        <v>-1.307207540821383</v>
      </c>
      <c r="FX57" s="272">
        <v>-1.2818684440302961</v>
      </c>
      <c r="FY57" s="272">
        <v>-1.256590866160743</v>
      </c>
      <c r="FZ57" s="272">
        <v>-1.231274338521448</v>
      </c>
      <c r="GA57" s="272">
        <v>-1.205827115728924</v>
      </c>
      <c r="GB57" s="272">
        <v>-1.180167312079059</v>
      </c>
      <c r="GC57" s="272">
        <v>-1.1542237646439391</v>
      </c>
    </row>
    <row r="58" spans="2:185" ht="15" thickBot="1" x14ac:dyDescent="0.4">
      <c r="B58" s="298">
        <v>52</v>
      </c>
      <c r="C58" s="275">
        <v>-4.9682490852659997</v>
      </c>
      <c r="D58" s="275">
        <v>-4.9268400734589139</v>
      </c>
      <c r="E58" s="275">
        <v>-4.885224548633305</v>
      </c>
      <c r="F58" s="275">
        <v>-4.8433923794804752</v>
      </c>
      <c r="G58" s="275">
        <v>-4.8013332443468837</v>
      </c>
      <c r="H58" s="275">
        <v>-4.7590367044217023</v>
      </c>
      <c r="I58" s="275">
        <v>-4.7164922931193134</v>
      </c>
      <c r="J58" s="275">
        <v>-4.6736896229248339</v>
      </c>
      <c r="K58" s="275">
        <v>-4.6306185105880608</v>
      </c>
      <c r="L58" s="275">
        <v>-4.5872691209961571</v>
      </c>
      <c r="M58" s="275">
        <v>-4.543632129312968</v>
      </c>
      <c r="N58" s="275">
        <v>-4.4996989000414098</v>
      </c>
      <c r="O58" s="275">
        <v>-4.4554616805644409</v>
      </c>
      <c r="P58" s="275">
        <v>-4.4109138054960093</v>
      </c>
      <c r="Q58" s="275">
        <v>-4.3660499069018686</v>
      </c>
      <c r="R58" s="275">
        <v>-4.3208661242377646</v>
      </c>
      <c r="S58" s="275">
        <v>-4.2753603068288468</v>
      </c>
      <c r="T58" s="275">
        <v>-4.2295322010198868</v>
      </c>
      <c r="U58" s="275">
        <v>-4.1833836138929579</v>
      </c>
      <c r="V58" s="275">
        <v>-4.1369185457772897</v>
      </c>
      <c r="W58" s="275">
        <v>-4.0901432847100914</v>
      </c>
      <c r="X58" s="275">
        <v>-4.0430664575192354</v>
      </c>
      <c r="Y58" s="275">
        <v>-3.995699034184236</v>
      </c>
      <c r="Z58" s="275">
        <v>-3.9480542844167781</v>
      </c>
      <c r="AA58" s="275">
        <v>-3.90014768776842</v>
      </c>
      <c r="AB58" s="275">
        <v>-3.851996800793708</v>
      </c>
      <c r="AC58" s="275">
        <v>-3.803621086671094</v>
      </c>
      <c r="AD58" s="275">
        <v>-3.755041714071349</v>
      </c>
      <c r="AE58" s="275">
        <v>-3.7062813328986892</v>
      </c>
      <c r="AF58" s="275">
        <v>-3.6573638348273509</v>
      </c>
      <c r="AG58" s="275">
        <v>-3.6083141063922488</v>
      </c>
      <c r="AH58" s="275">
        <v>-3.5591577818810549</v>
      </c>
      <c r="AI58" s="275">
        <v>-3.5099210025411671</v>
      </c>
      <c r="AJ58" s="275">
        <v>-3.460630187769739</v>
      </c>
      <c r="AK58" s="275">
        <v>-3.4113118230814239</v>
      </c>
      <c r="AL58" s="275">
        <v>-3.361992268798867</v>
      </c>
      <c r="AM58" s="275">
        <v>-3.3126975926093229</v>
      </c>
      <c r="AN58" s="275">
        <v>-3.2634534283829</v>
      </c>
      <c r="AO58" s="275">
        <v>-3.2142848629492962</v>
      </c>
      <c r="AP58" s="275">
        <v>-3.1652163518720071</v>
      </c>
      <c r="AQ58" s="275">
        <v>-3.116271664631324</v>
      </c>
      <c r="AR58" s="275">
        <v>-3.067473859017932</v>
      </c>
      <c r="AS58" s="275">
        <v>-3.0188452839326771</v>
      </c>
      <c r="AT58" s="275">
        <v>-2.9704076091686349</v>
      </c>
      <c r="AU58" s="275">
        <v>-2.9221818801050148</v>
      </c>
      <c r="AV58" s="275">
        <v>-2.874188594564016</v>
      </c>
      <c r="AW58" s="275">
        <v>-2.826447798385205</v>
      </c>
      <c r="AX58" s="275">
        <v>-2.7789791955944181</v>
      </c>
      <c r="AY58" s="275">
        <v>-2.7318022684469709</v>
      </c>
      <c r="AZ58" s="275">
        <v>-2.6849364021807181</v>
      </c>
      <c r="BA58" s="275">
        <v>-2.6384010090855088</v>
      </c>
      <c r="BB58" s="275">
        <v>-2.592215646504028</v>
      </c>
      <c r="BC58" s="275">
        <v>-2.546400123583493</v>
      </c>
      <c r="BD58" s="275">
        <v>-2.5009745918851869</v>
      </c>
      <c r="BE58" s="275">
        <v>-2.4559596151651468</v>
      </c>
      <c r="BF58" s="275">
        <v>-2.411376213590644</v>
      </c>
      <c r="BG58" s="275">
        <v>-2.3672458772263409</v>
      </c>
      <c r="BH58" s="275">
        <v>-2.323590542780924</v>
      </c>
      <c r="BI58" s="275">
        <v>-2.2804325264503689</v>
      </c>
      <c r="BJ58" s="275">
        <v>-2.237794404471475</v>
      </c>
      <c r="BK58" s="275">
        <v>-2.19569883209165</v>
      </c>
      <c r="BL58" s="275">
        <v>-2.1541682915698508</v>
      </c>
      <c r="BM58" s="275">
        <v>-2.1132247611339832</v>
      </c>
      <c r="BN58" s="275">
        <v>-2.0728893001290198</v>
      </c>
      <c r="BO58" s="275">
        <v>-2.0331815513823792</v>
      </c>
      <c r="BP58" s="275">
        <v>-1.9941191702690959</v>
      </c>
      <c r="BQ58" s="275">
        <v>-1.955717200712505</v>
      </c>
      <c r="BR58" s="275">
        <v>-1.917987430269031</v>
      </c>
      <c r="BS58" s="275">
        <v>-1.8809377675311809</v>
      </c>
      <c r="BT58" s="275">
        <v>-1.8445716927178399</v>
      </c>
      <c r="BU58" s="275">
        <v>-1.80888783383701</v>
      </c>
      <c r="BV58" s="275">
        <v>-1.773879714373702</v>
      </c>
      <c r="BW58" s="275">
        <v>-1.739535703952269</v>
      </c>
      <c r="BX58" s="275">
        <v>-1.7058391828562169</v>
      </c>
      <c r="BY58" s="275">
        <v>-1.6727689084523769</v>
      </c>
      <c r="BZ58" s="275">
        <v>-1.640299550950431</v>
      </c>
      <c r="CA58" s="275">
        <v>-1.608402351331528</v>
      </c>
      <c r="CB58" s="275">
        <v>-1.577045847721825</v>
      </c>
      <c r="CC58" s="275">
        <v>-1.546196617865925</v>
      </c>
      <c r="CD58" s="275">
        <v>-1.515819992872397</v>
      </c>
      <c r="CE58" s="275">
        <v>-1.48588070843261</v>
      </c>
      <c r="CF58" s="275">
        <v>-1.456343471686155</v>
      </c>
      <c r="CG58" s="275">
        <v>-1.4271734328971399</v>
      </c>
      <c r="CH58" s="275">
        <v>-1.3983365600419679</v>
      </c>
      <c r="CI58" s="275">
        <v>-1.369799920972367</v>
      </c>
      <c r="CJ58" s="275">
        <v>-1.341531882197843</v>
      </c>
      <c r="CK58" s="275">
        <v>-1.3135022359562341</v>
      </c>
      <c r="CL58" s="275">
        <v>-1.285682268560477</v>
      </c>
      <c r="CM58" s="275">
        <v>-1.2580447833659101</v>
      </c>
      <c r="CN58" s="275">
        <v>-1.2305640912910629</v>
      </c>
      <c r="CO58" s="275">
        <v>-1.2032159807249501</v>
      </c>
      <c r="CP58" s="275"/>
      <c r="CQ58" s="276">
        <v>-5.7072679764648413</v>
      </c>
      <c r="CR58" s="276">
        <v>-5.6502044695516824</v>
      </c>
      <c r="CS58" s="276">
        <v>-5.5931012036845562</v>
      </c>
      <c r="CT58" s="276">
        <v>-5.5359675484427653</v>
      </c>
      <c r="CU58" s="276">
        <v>-5.4788135764503556</v>
      </c>
      <c r="CV58" s="276">
        <v>-5.4216500410018069</v>
      </c>
      <c r="CW58" s="276">
        <v>-5.3644883396265728</v>
      </c>
      <c r="CX58" s="276">
        <v>-5.3073404620206306</v>
      </c>
      <c r="CY58" s="276">
        <v>-5.2502189210041141</v>
      </c>
      <c r="CZ58" s="276">
        <v>-5.193136665520198</v>
      </c>
      <c r="DA58" s="276">
        <v>-5.1361069751826633</v>
      </c>
      <c r="DB58" s="276">
        <v>-5.0791433365099419</v>
      </c>
      <c r="DC58" s="276">
        <v>-5.0222593017392194</v>
      </c>
      <c r="DD58" s="276">
        <v>-4.9654683319672346</v>
      </c>
      <c r="DE58" s="276">
        <v>-4.9087836272664758</v>
      </c>
      <c r="DF58" s="276">
        <v>-4.8522179473105096</v>
      </c>
      <c r="DG58" s="276">
        <v>-4.7957834268282076</v>
      </c>
      <c r="DH58" s="276">
        <v>-4.739491390805969</v>
      </c>
      <c r="DI58" s="276">
        <v>-4.6833521746830282</v>
      </c>
      <c r="DJ58" s="276">
        <v>-4.627374954771569</v>
      </c>
      <c r="DK58" s="276">
        <v>-4.5715675937428069</v>
      </c>
      <c r="DL58" s="276">
        <v>-4.5159365052586136</v>
      </c>
      <c r="DM58" s="276">
        <v>-4.4604865407491454</v>
      </c>
      <c r="DN58" s="276">
        <v>-4.4052209000393656</v>
      </c>
      <c r="DO58" s="276">
        <v>-4.3501410661470983</v>
      </c>
      <c r="DP58" s="276">
        <v>-4.2952467632686782</v>
      </c>
      <c r="DQ58" s="276">
        <v>-4.2405359358919554</v>
      </c>
      <c r="DR58" s="276">
        <v>-4.1860047462701457</v>
      </c>
      <c r="DS58" s="276">
        <v>-4.1316475872574694</v>
      </c>
      <c r="DT58" s="276">
        <v>-4.0774571078098756</v>
      </c>
      <c r="DU58" s="276">
        <v>-4.0234242493009491</v>
      </c>
      <c r="DV58" s="276">
        <v>-3.9695382921589859</v>
      </c>
      <c r="DW58" s="276">
        <v>-3.915786914117374</v>
      </c>
      <c r="DX58" s="276">
        <v>-3.8621562634777482</v>
      </c>
      <c r="DY58" s="276">
        <v>-3.8086310530813621</v>
      </c>
      <c r="DZ58" s="276">
        <v>-3.755194683021434</v>
      </c>
      <c r="EA58" s="276">
        <v>-3.7018294023459002</v>
      </c>
      <c r="EB58" s="276">
        <v>-3.6485165219143352</v>
      </c>
      <c r="EC58" s="276">
        <v>-3.5952366919684029</v>
      </c>
      <c r="ED58" s="276">
        <v>-3.541970258582956</v>
      </c>
      <c r="EE58" s="276">
        <v>-3.4886977126492131</v>
      </c>
      <c r="EF58" s="276">
        <v>-3.435400243000716</v>
      </c>
      <c r="EG58" s="276">
        <v>-3.3820604012946029</v>
      </c>
      <c r="EH58" s="276">
        <v>-3.3286628799219962</v>
      </c>
      <c r="EI58" s="276">
        <v>-3.2751953953495669</v>
      </c>
      <c r="EJ58" s="276">
        <v>-3.2216496580682779</v>
      </c>
      <c r="EK58" s="276">
        <v>-3.1680223974922139</v>
      </c>
      <c r="EL58" s="276">
        <v>-3.1143163971423209</v>
      </c>
      <c r="EM58" s="276">
        <v>-3.0605414843398582</v>
      </c>
      <c r="EN58" s="276">
        <v>-3.006715411827638</v>
      </c>
      <c r="EO58" s="276">
        <v>-2.9528645684021968</v>
      </c>
      <c r="EP58" s="276">
        <v>-2.8990244629881521</v>
      </c>
      <c r="EQ58" s="276">
        <v>-2.84523994126087</v>
      </c>
      <c r="ER58" s="276">
        <v>-2.7915651137867541</v>
      </c>
      <c r="ES58" s="276">
        <v>-2.7380629961540759</v>
      </c>
      <c r="ET58" s="276">
        <v>-2.6848048806504639</v>
      </c>
      <c r="EU58" s="276">
        <v>-2.6318694722477152</v>
      </c>
      <c r="EV58" s="276">
        <v>-2.579341827041524</v>
      </c>
      <c r="EW58" s="276">
        <v>-2.5273121288533038</v>
      </c>
      <c r="EX58" s="276">
        <v>-2.475874331188769</v>
      </c>
      <c r="EY58" s="276">
        <v>-2.425124680124461</v>
      </c>
      <c r="EZ58" s="276">
        <v>-2.3751601224310872</v>
      </c>
      <c r="FA58" s="276">
        <v>-2.326076595720421</v>
      </c>
      <c r="FB58" s="276">
        <v>-2.277967196452213</v>
      </c>
      <c r="FC58" s="276">
        <v>-2.2309202291742518</v>
      </c>
      <c r="FD58" s="276">
        <v>-2.185017157011969</v>
      </c>
      <c r="FE58" s="276">
        <v>-2.140330498037204</v>
      </c>
      <c r="FF58" s="276">
        <v>-2.0969217414369279</v>
      </c>
      <c r="FG58" s="276">
        <v>-2.0548393858430658</v>
      </c>
      <c r="FH58" s="276">
        <v>-2.0141172226465138</v>
      </c>
      <c r="FI58" s="276">
        <v>-1.974772992431526</v>
      </c>
      <c r="FJ58" s="272">
        <v>-1.936807527907644</v>
      </c>
      <c r="FK58" s="272">
        <v>-1.9002044614361759</v>
      </c>
      <c r="FL58" s="272">
        <v>-1.864930524544878</v>
      </c>
      <c r="FM58" s="272">
        <v>-1.830936410431202</v>
      </c>
      <c r="FN58" s="272">
        <v>-1.798158119913061</v>
      </c>
      <c r="FO58" s="272">
        <v>-1.7665186763440901</v>
      </c>
      <c r="FP58" s="272">
        <v>-1.735930080788717</v>
      </c>
      <c r="FQ58" s="272">
        <v>-1.7062953848270881</v>
      </c>
      <c r="FR58" s="272">
        <v>-1.6775107798138911</v>
      </c>
      <c r="FS58" s="272">
        <v>-1.6494676310484799</v>
      </c>
      <c r="FT58" s="272">
        <v>-1.6220544158985271</v>
      </c>
      <c r="FU58" s="272">
        <v>-1.595158550733863</v>
      </c>
      <c r="FV58" s="272">
        <v>-1.568668108974925</v>
      </c>
      <c r="FW58" s="272">
        <v>-1.5424734401168001</v>
      </c>
      <c r="FX58" s="272">
        <v>-1.5164686974743511</v>
      </c>
      <c r="FY58" s="272">
        <v>-1.4905532722667201</v>
      </c>
      <c r="FZ58" s="272">
        <v>-1.464633116427372</v>
      </c>
      <c r="GA58" s="272">
        <v>-1.438621920144421</v>
      </c>
      <c r="GB58" s="272">
        <v>-1.412442097175689</v>
      </c>
      <c r="GC58" s="272">
        <v>-1.3860255257945431</v>
      </c>
    </row>
    <row r="59" spans="2:185" ht="15" thickBot="1" x14ac:dyDescent="0.4">
      <c r="B59" s="298">
        <v>53</v>
      </c>
      <c r="C59" s="275">
        <v>-5.1823367235442506</v>
      </c>
      <c r="D59" s="275">
        <v>-5.1408489923129324</v>
      </c>
      <c r="E59" s="275">
        <v>-5.0991548317452198</v>
      </c>
      <c r="F59" s="275">
        <v>-5.0572446409940612</v>
      </c>
      <c r="G59" s="275">
        <v>-5.0151086951593999</v>
      </c>
      <c r="H59" s="275">
        <v>-4.972737219164558</v>
      </c>
      <c r="I59" s="275">
        <v>-4.9301204760292432</v>
      </c>
      <c r="J59" s="275">
        <v>-4.8872488703787376</v>
      </c>
      <c r="K59" s="275">
        <v>-4.8441130676479487</v>
      </c>
      <c r="L59" s="275">
        <v>-4.8007041289209624</v>
      </c>
      <c r="M59" s="275">
        <v>-4.7570136606865461</v>
      </c>
      <c r="N59" s="275">
        <v>-4.7130339779938737</v>
      </c>
      <c r="O59" s="275">
        <v>-4.6687582785842734</v>
      </c>
      <c r="P59" s="275">
        <v>-4.6241808245968494</v>
      </c>
      <c r="Q59" s="275">
        <v>-4.5792971274628256</v>
      </c>
      <c r="R59" s="275">
        <v>-4.5341041306987808</v>
      </c>
      <c r="S59" s="275">
        <v>-4.4886003845803302</v>
      </c>
      <c r="T59" s="275">
        <v>-4.4427862062249801</v>
      </c>
      <c r="U59" s="275">
        <v>-4.3966638185270899</v>
      </c>
      <c r="V59" s="275">
        <v>-4.3502374617319441</v>
      </c>
      <c r="W59" s="275">
        <v>-4.3035134722337283</v>
      </c>
      <c r="X59" s="275">
        <v>-4.2565003244053834</v>
      </c>
      <c r="Y59" s="275">
        <v>-4.2092086328364164</v>
      </c>
      <c r="Z59" s="275">
        <v>-4.1616511141409012</v>
      </c>
      <c r="AA59" s="275">
        <v>-4.113842509347025</v>
      </c>
      <c r="AB59" s="275">
        <v>-4.065799469629197</v>
      </c>
      <c r="AC59" s="275">
        <v>-4.0175404096507927</v>
      </c>
      <c r="AD59" s="275">
        <v>-3.9690853339443781</v>
      </c>
      <c r="AE59" s="275">
        <v>-3.9204556425128421</v>
      </c>
      <c r="AF59" s="275">
        <v>-3.8716739221870822</v>
      </c>
      <c r="AG59" s="275">
        <v>-3.8227637302667352</v>
      </c>
      <c r="AH59" s="275">
        <v>-3.77374937667122</v>
      </c>
      <c r="AI59" s="275">
        <v>-3.7246557103229398</v>
      </c>
      <c r="AJ59" s="275">
        <v>-3.6755079148521181</v>
      </c>
      <c r="AK59" s="275">
        <v>-3.626331318018452</v>
      </c>
      <c r="AL59" s="275">
        <v>-3.5771512185344321</v>
      </c>
      <c r="AM59" s="275">
        <v>-3.5279927332760641</v>
      </c>
      <c r="AN59" s="275">
        <v>-3.4788806671920911</v>
      </c>
      <c r="AO59" s="275">
        <v>-3.42983940757584</v>
      </c>
      <c r="AP59" s="275">
        <v>-3.380892843742517</v>
      </c>
      <c r="AQ59" s="275">
        <v>-3.3320643125534239</v>
      </c>
      <c r="AR59" s="275">
        <v>-3.2833765696396329</v>
      </c>
      <c r="AS59" s="275">
        <v>-3.23485178559236</v>
      </c>
      <c r="AT59" s="275">
        <v>-3.1865115657966681</v>
      </c>
      <c r="AU59" s="275">
        <v>-3.1383769919846869</v>
      </c>
      <c r="AV59" s="275">
        <v>-3.0904686829764021</v>
      </c>
      <c r="AW59" s="275">
        <v>-3.0428068714753049</v>
      </c>
      <c r="AX59" s="275">
        <v>-2.9954114932214768</v>
      </c>
      <c r="AY59" s="275">
        <v>-2.948302284316159</v>
      </c>
      <c r="AZ59" s="275">
        <v>-2.901498882163132</v>
      </c>
      <c r="BA59" s="275">
        <v>-2.8550209252546601</v>
      </c>
      <c r="BB59" s="275">
        <v>-2.8088881469681759</v>
      </c>
      <c r="BC59" s="275">
        <v>-2.7631204585996558</v>
      </c>
      <c r="BD59" s="275">
        <v>-2.7177380169663499</v>
      </c>
      <c r="BE59" s="275">
        <v>-2.6727612719661811</v>
      </c>
      <c r="BF59" s="275">
        <v>-2.628210989386111</v>
      </c>
      <c r="BG59" s="275">
        <v>-2.584108243947512</v>
      </c>
      <c r="BH59" s="275">
        <v>-2.540474377071797</v>
      </c>
      <c r="BI59" s="275">
        <v>-2.4973309132453441</v>
      </c>
      <c r="BJ59" s="275">
        <v>-2.4546994283589512</v>
      </c>
      <c r="BK59" s="275">
        <v>-2.4126013632875281</v>
      </c>
      <c r="BL59" s="275">
        <v>-2.371057776624601</v>
      </c>
      <c r="BM59" s="275">
        <v>-2.3300890322882122</v>
      </c>
      <c r="BN59" s="275">
        <v>-2.2897144210271669</v>
      </c>
      <c r="BO59" s="275">
        <v>-2.249951719899896</v>
      </c>
      <c r="BP59" s="275">
        <v>-2.2108167005265442</v>
      </c>
      <c r="BQ59" s="275">
        <v>-2.1723226048791839</v>
      </c>
      <c r="BR59" s="275">
        <v>-2.134479615628964</v>
      </c>
      <c r="BS59" s="275">
        <v>-2.097294355188096</v>
      </c>
      <c r="BT59" s="275">
        <v>-2.0607694518673569</v>
      </c>
      <c r="BU59" s="275">
        <v>-2.0249032114328722</v>
      </c>
      <c r="BV59" s="275">
        <v>-1.9896894268392391</v>
      </c>
      <c r="BW59" s="275">
        <v>-1.955117348176006</v>
      </c>
      <c r="BX59" s="275">
        <v>-1.9211718202887971</v>
      </c>
      <c r="BY59" s="275">
        <v>-1.8878335795415939</v>
      </c>
      <c r="BZ59" s="275">
        <v>-1.8550796865795169</v>
      </c>
      <c r="CA59" s="275">
        <v>-1.822884061154874</v>
      </c>
      <c r="CB59" s="275">
        <v>-1.791218079501594</v>
      </c>
      <c r="CC59" s="275">
        <v>-1.760051194540055</v>
      </c>
      <c r="CD59" s="275">
        <v>-1.729351543441233</v>
      </c>
      <c r="CE59" s="275">
        <v>-1.699086514226376</v>
      </c>
      <c r="CF59" s="275">
        <v>-1.6692232514639469</v>
      </c>
      <c r="CG59" s="275">
        <v>-1.639729089366734</v>
      </c>
      <c r="CH59" s="275">
        <v>-1.610571907778658</v>
      </c>
      <c r="CI59" s="275">
        <v>-1.5817204122416091</v>
      </c>
      <c r="CJ59" s="275">
        <v>-1.553144343488424</v>
      </c>
      <c r="CK59" s="275">
        <v>-1.524814624476053</v>
      </c>
      <c r="CL59" s="275">
        <v>-1.496703454691549</v>
      </c>
      <c r="CM59" s="275">
        <v>-1.468784362155223</v>
      </c>
      <c r="CN59" s="275">
        <v>-1.4410322234755</v>
      </c>
      <c r="CO59" s="275">
        <v>-1.413423261593149</v>
      </c>
      <c r="CP59" s="275"/>
      <c r="CQ59" s="276">
        <v>-5.9367564659739163</v>
      </c>
      <c r="CR59" s="276">
        <v>-5.8798377469413747</v>
      </c>
      <c r="CS59" s="276">
        <v>-5.8228853862400776</v>
      </c>
      <c r="CT59" s="276">
        <v>-5.7659084872797663</v>
      </c>
      <c r="CU59" s="276">
        <v>-5.7089167793554978</v>
      </c>
      <c r="CV59" s="276">
        <v>-5.6519205907908292</v>
      </c>
      <c r="CW59" s="276">
        <v>-5.594930809269929</v>
      </c>
      <c r="CX59" s="276">
        <v>-5.5379588281525383</v>
      </c>
      <c r="CY59" s="276">
        <v>-5.4810164778029709</v>
      </c>
      <c r="CZ59" s="276">
        <v>-5.4241159413018707</v>
      </c>
      <c r="DA59" s="276">
        <v>-5.3672696543538327</v>
      </c>
      <c r="DB59" s="276">
        <v>-5.3104901897493564</v>
      </c>
      <c r="DC59" s="276">
        <v>-5.2537901273738097</v>
      </c>
      <c r="DD59" s="276">
        <v>-5.1971819114508868</v>
      </c>
      <c r="DE59" s="276">
        <v>-5.1406776974233148</v>
      </c>
      <c r="DF59" s="276">
        <v>-5.0842891915573976</v>
      </c>
      <c r="DG59" s="276">
        <v>-5.028027486947825</v>
      </c>
      <c r="DH59" s="276">
        <v>-4.9719029000314539</v>
      </c>
      <c r="DI59" s="276">
        <v>-4.9159248119345502</v>
      </c>
      <c r="DJ59" s="276">
        <v>-4.8601015189320167</v>
      </c>
      <c r="DK59" s="276">
        <v>-4.8044400959708744</v>
      </c>
      <c r="DL59" s="276">
        <v>-4.7489462766119397</v>
      </c>
      <c r="DM59" s="276">
        <v>-4.6936243519200156</v>
      </c>
      <c r="DN59" s="276">
        <v>-4.6384770898581902</v>
      </c>
      <c r="DO59" s="276">
        <v>-4.5835056757196666</v>
      </c>
      <c r="DP59" s="276">
        <v>-4.5287096731749674</v>
      </c>
      <c r="DQ59" s="276">
        <v>-4.4740870047397641</v>
      </c>
      <c r="DR59" s="276">
        <v>-4.4196339499824981</v>
      </c>
      <c r="DS59" s="276">
        <v>-4.3653451596678474</v>
      </c>
      <c r="DT59" s="276">
        <v>-4.311213684318302</v>
      </c>
      <c r="DU59" s="276">
        <v>-4.2572310163784692</v>
      </c>
      <c r="DV59" s="276">
        <v>-4.2033871462568149</v>
      </c>
      <c r="DW59" s="276">
        <v>-4.1496706339341101</v>
      </c>
      <c r="DX59" s="276">
        <v>-4.0960686994766586</v>
      </c>
      <c r="DY59" s="276">
        <v>-4.0425673375616498</v>
      </c>
      <c r="DZ59" s="276">
        <v>-3.9891514628800882</v>
      </c>
      <c r="EA59" s="276">
        <v>-3.935805094880338</v>
      </c>
      <c r="EB59" s="276">
        <v>-3.8825115915820398</v>
      </c>
      <c r="EC59" s="276">
        <v>-3.829253942928923</v>
      </c>
      <c r="ED59" s="276">
        <v>-3.7760151341303021</v>
      </c>
      <c r="EE59" s="276">
        <v>-3.7227785884009048</v>
      </c>
      <c r="EF59" s="276">
        <v>-3.6695286961669429</v>
      </c>
      <c r="EG59" s="276">
        <v>-3.6162514338994578</v>
      </c>
      <c r="EH59" s="276">
        <v>-3.5629350700881228</v>
      </c>
      <c r="EI59" s="276">
        <v>-3.5095709484856048</v>
      </c>
      <c r="EJ59" s="276">
        <v>-3.4561543299348538</v>
      </c>
      <c r="EK59" s="276">
        <v>-3.4026852645296479</v>
      </c>
      <c r="EL59" s="276">
        <v>-3.3491694566644692</v>
      </c>
      <c r="EM59" s="276">
        <v>-3.295619078152507</v>
      </c>
      <c r="EN59" s="276">
        <v>-3.2420534805803172</v>
      </c>
      <c r="EO59" s="276">
        <v>-3.1884997587075699</v>
      </c>
      <c r="EP59" s="276">
        <v>-3.1349931226093188</v>
      </c>
      <c r="EQ59" s="276">
        <v>-3.0815770469912058</v>
      </c>
      <c r="ER59" s="276">
        <v>-3.0283031802044622</v>
      </c>
      <c r="ES59" s="276">
        <v>-2.9752310106455129</v>
      </c>
      <c r="ET59" s="276">
        <v>-2.9224273018636069</v>
      </c>
      <c r="EU59" s="276">
        <v>-2.869965317613703</v>
      </c>
      <c r="EV59" s="276">
        <v>-2.8179238630021999</v>
      </c>
      <c r="EW59" s="276">
        <v>-2.766386167707124</v>
      </c>
      <c r="EX59" s="276">
        <v>-2.7154386330915141</v>
      </c>
      <c r="EY59" s="276">
        <v>-2.665169458799296</v>
      </c>
      <c r="EZ59" s="276">
        <v>-2.6156671584722582</v>
      </c>
      <c r="FA59" s="276">
        <v>-2.5670189708825082</v>
      </c>
      <c r="FB59" s="276">
        <v>-2.519309173960119</v>
      </c>
      <c r="FC59" s="276">
        <v>-2.472617316097919</v>
      </c>
      <c r="FD59" s="276">
        <v>-2.4270163918801209</v>
      </c>
      <c r="FE59" s="276">
        <v>-2.38257100684676</v>
      </c>
      <c r="FF59" s="276">
        <v>-2.3393355954645592</v>
      </c>
      <c r="FG59" s="276">
        <v>-2.2973527742121331</v>
      </c>
      <c r="FH59" s="276">
        <v>-2.256651922965244</v>
      </c>
      <c r="FI59" s="276">
        <v>-2.2172480883823762</v>
      </c>
      <c r="FJ59" s="272">
        <v>-2.179141290114238</v>
      </c>
      <c r="FK59" s="272">
        <v>-2.142316284613333</v>
      </c>
      <c r="FL59" s="272">
        <v>-2.106742805607547</v>
      </c>
      <c r="FM59" s="272">
        <v>-2.0723762610812111</v>
      </c>
      <c r="FN59" s="272">
        <v>-2.039158831044916</v>
      </c>
      <c r="FO59" s="272">
        <v>-2.0070208846348629</v>
      </c>
      <c r="FP59" s="272">
        <v>-1.9758826226742701</v>
      </c>
      <c r="FQ59" s="272">
        <v>-1.945655852976415</v>
      </c>
      <c r="FR59" s="272">
        <v>-1.916245817723464</v>
      </c>
      <c r="FS59" s="272">
        <v>-1.8875530108643419</v>
      </c>
      <c r="FT59" s="272">
        <v>-1.8594749438979239</v>
      </c>
      <c r="FU59" s="272">
        <v>-1.8319078365714989</v>
      </c>
      <c r="FV59" s="272">
        <v>-1.8047482221040809</v>
      </c>
      <c r="FW59" s="272">
        <v>-1.7778944631336591</v>
      </c>
      <c r="FX59" s="272">
        <v>-1.751248174626147</v>
      </c>
      <c r="FY59" s="272">
        <v>-1.724715544578268</v>
      </c>
      <c r="FZ59" s="272">
        <v>-1.6982085345769029</v>
      </c>
      <c r="GA59" s="272">
        <v>-1.67164593292191</v>
      </c>
      <c r="GB59" s="272">
        <v>-1.644954226144671</v>
      </c>
      <c r="GC59" s="272">
        <v>-1.6180682531091699</v>
      </c>
    </row>
    <row r="60" spans="2:185" ht="15" thickBot="1" x14ac:dyDescent="0.4">
      <c r="B60" s="298">
        <v>54</v>
      </c>
      <c r="C60" s="275">
        <v>-5.3962624580065697</v>
      </c>
      <c r="D60" s="275">
        <v>-5.3546985030123393</v>
      </c>
      <c r="E60" s="275">
        <v>-5.3129285971249516</v>
      </c>
      <c r="F60" s="275">
        <v>-5.2709436668508491</v>
      </c>
      <c r="G60" s="275">
        <v>-5.2287345734427353</v>
      </c>
      <c r="H60" s="275">
        <v>-5.1862921863661802</v>
      </c>
      <c r="I60" s="275">
        <v>-5.1436074694713314</v>
      </c>
      <c r="J60" s="275">
        <v>-5.1006715803723486</v>
      </c>
      <c r="K60" s="275">
        <v>-5.0574759831732488</v>
      </c>
      <c r="L60" s="275">
        <v>-5.0140125742075812</v>
      </c>
      <c r="M60" s="275">
        <v>-4.9702738198821974</v>
      </c>
      <c r="N60" s="275">
        <v>-4.926252905042328</v>
      </c>
      <c r="O60" s="275">
        <v>-4.8819438895309633</v>
      </c>
      <c r="P60" s="275">
        <v>-4.837341869837628</v>
      </c>
      <c r="Q60" s="275">
        <v>-4.7924431419736457</v>
      </c>
      <c r="R60" s="275">
        <v>-4.7472453610374394</v>
      </c>
      <c r="S60" s="275">
        <v>-4.7017476924175066</v>
      </c>
      <c r="T60" s="275">
        <v>-4.6559509492939153</v>
      </c>
      <c r="U60" s="275">
        <v>-4.6098577111035937</v>
      </c>
      <c r="V60" s="275">
        <v>-4.5634724179708854</v>
      </c>
      <c r="W60" s="275">
        <v>-4.5168014367835774</v>
      </c>
      <c r="X60" s="275">
        <v>-4.4698530955901914</v>
      </c>
      <c r="Y60" s="275">
        <v>-4.4226376842446538</v>
      </c>
      <c r="Z60" s="275">
        <v>-4.3751674206364353</v>
      </c>
      <c r="AA60" s="275">
        <v>-4.3274563833052806</v>
      </c>
      <c r="AB60" s="275">
        <v>-4.2795204126328281</v>
      </c>
      <c r="AC60" s="275">
        <v>-4.2313769840238917</v>
      </c>
      <c r="AD60" s="275">
        <v>-4.1830450574586839</v>
      </c>
      <c r="AE60" s="275">
        <v>-4.1345449084683361</v>
      </c>
      <c r="AF60" s="275">
        <v>-4.0858979459507516</v>
      </c>
      <c r="AG60" s="275">
        <v>-4.0371265223240469</v>
      </c>
      <c r="AH60" s="275">
        <v>-3.9882537413551948</v>
      </c>
      <c r="AI60" s="275">
        <v>-3.939303268657814</v>
      </c>
      <c r="AJ60" s="275">
        <v>-3.8902991493817729</v>
      </c>
      <c r="AK60" s="275">
        <v>-3.8412656370680729</v>
      </c>
      <c r="AL60" s="275">
        <v>-3.7922270370535012</v>
      </c>
      <c r="AM60" s="275">
        <v>-3.7432075672074192</v>
      </c>
      <c r="AN60" s="275">
        <v>-3.6942312381833289</v>
      </c>
      <c r="AO60" s="275">
        <v>-3.645321754778462</v>
      </c>
      <c r="AP60" s="275">
        <v>-3.5965024394179368</v>
      </c>
      <c r="AQ60" s="275">
        <v>-3.5477961782146399</v>
      </c>
      <c r="AR60" s="275">
        <v>-3.4992253894988559</v>
      </c>
      <c r="AS60" s="275">
        <v>-3.4508120141586729</v>
      </c>
      <c r="AT60" s="275">
        <v>-3.402577526580183</v>
      </c>
      <c r="AU60" s="275">
        <v>-3.354542964425749</v>
      </c>
      <c r="AV60" s="275">
        <v>-3.3067289749446882</v>
      </c>
      <c r="AW60" s="275">
        <v>-3.2591558749870648</v>
      </c>
      <c r="AX60" s="275">
        <v>-3.2118437214093101</v>
      </c>
      <c r="AY60" s="275">
        <v>-3.1648123881464878</v>
      </c>
      <c r="AZ60" s="275">
        <v>-3.1180816459057672</v>
      </c>
      <c r="BA60" s="275">
        <v>-3.0716712402255362</v>
      </c>
      <c r="BB60" s="275">
        <v>-3.025600963542193</v>
      </c>
      <c r="BC60" s="275">
        <v>-2.9798907168873159</v>
      </c>
      <c r="BD60" s="275">
        <v>-2.9345605568546409</v>
      </c>
      <c r="BE60" s="275">
        <v>-2.8896307234722372</v>
      </c>
      <c r="BF60" s="275">
        <v>-2.8451216445401601</v>
      </c>
      <c r="BG60" s="275">
        <v>-2.8010539118277031</v>
      </c>
      <c r="BH60" s="275">
        <v>-2.757448224295584</v>
      </c>
      <c r="BI60" s="275">
        <v>-2.7143252933094222</v>
      </c>
      <c r="BJ60" s="275">
        <v>-2.6717057047998871</v>
      </c>
      <c r="BK60" s="275">
        <v>-2.6296097337182949</v>
      </c>
      <c r="BL60" s="275">
        <v>-2.5880571071865428</v>
      </c>
      <c r="BM60" s="275">
        <v>-2.5470667146974679</v>
      </c>
      <c r="BN60" s="275">
        <v>-2.5066562667798729</v>
      </c>
      <c r="BO60" s="275">
        <v>-2.4668419077655939</v>
      </c>
      <c r="BP60" s="275">
        <v>-2.427637793537905</v>
      </c>
      <c r="BQ60" s="275">
        <v>-2.3890556509723329</v>
      </c>
      <c r="BR60" s="275">
        <v>-2.3511043414634138</v>
      </c>
      <c r="BS60" s="275">
        <v>-2.313789455465058</v>
      </c>
      <c r="BT60" s="275">
        <v>-2.277112967259348</v>
      </c>
      <c r="BU60" s="275">
        <v>-2.241072978267145</v>
      </c>
      <c r="BV60" s="275">
        <v>-2.2056635726404692</v>
      </c>
      <c r="BW60" s="275">
        <v>-2.1708748008442509</v>
      </c>
      <c r="BX60" s="275">
        <v>-2.1366927964201579</v>
      </c>
      <c r="BY60" s="275">
        <v>-2.1031000197017189</v>
      </c>
      <c r="BZ60" s="275">
        <v>-2.0700756117186119</v>
      </c>
      <c r="CA60" s="275">
        <v>-2.037595833467754</v>
      </c>
      <c r="CB60" s="275">
        <v>-2.0056345611262421</v>
      </c>
      <c r="CC60" s="275">
        <v>-1.9741638068648391</v>
      </c>
      <c r="CD60" s="275">
        <v>-1.9431542372276009</v>
      </c>
      <c r="CE60" s="275">
        <v>-1.912575665657295</v>
      </c>
      <c r="CF60" s="275">
        <v>-1.882397501595648</v>
      </c>
      <c r="CG60" s="275">
        <v>-1.852589144699045</v>
      </c>
      <c r="CH60" s="275">
        <v>-1.823120318362822</v>
      </c>
      <c r="CI60" s="275">
        <v>-1.7939613415131861</v>
      </c>
      <c r="CJ60" s="275">
        <v>-1.765083341334821</v>
      </c>
      <c r="CK60" s="275">
        <v>-1.73645841226219</v>
      </c>
      <c r="CL60" s="275">
        <v>-1.7080597282741501</v>
      </c>
      <c r="CM60" s="275">
        <v>-1.679861616426193</v>
      </c>
      <c r="CN60" s="275">
        <v>-1.651839599755752</v>
      </c>
      <c r="CO60" s="275">
        <v>-1.623970417313682</v>
      </c>
      <c r="CP60" s="275"/>
      <c r="CQ60" s="276">
        <v>-6.1663653750374454</v>
      </c>
      <c r="CR60" s="276">
        <v>-6.1095895182360476</v>
      </c>
      <c r="CS60" s="276">
        <v>-6.0527856034981484</v>
      </c>
      <c r="CT60" s="276">
        <v>-5.9959624515010184</v>
      </c>
      <c r="CU60" s="276">
        <v>-5.9391294383226576</v>
      </c>
      <c r="CV60" s="276">
        <v>-5.8822964653524359</v>
      </c>
      <c r="CW60" s="276">
        <v>-5.8254739176027099</v>
      </c>
      <c r="CX60" s="276">
        <v>-5.7686726095139766</v>
      </c>
      <c r="CY60" s="276">
        <v>-5.7119037175780072</v>
      </c>
      <c r="CZ60" s="276">
        <v>-5.6551786994164344</v>
      </c>
      <c r="DA60" s="276">
        <v>-5.598509199346176</v>
      </c>
      <c r="DB60" s="276">
        <v>-5.5419069409319732</v>
      </c>
      <c r="DC60" s="276">
        <v>-5.4853836075556641</v>
      </c>
      <c r="DD60" s="276">
        <v>-5.4289507125974126</v>
      </c>
      <c r="DE60" s="276">
        <v>-5.3726194613931568</v>
      </c>
      <c r="DF60" s="276">
        <v>-5.3164006076630148</v>
      </c>
      <c r="DG60" s="276">
        <v>-5.2603043075519924</v>
      </c>
      <c r="DH60" s="276">
        <v>-5.2043399747400363</v>
      </c>
      <c r="DI60" s="276">
        <v>-5.1485161402223936</v>
      </c>
      <c r="DJ60" s="276">
        <v>-5.0928403203051076</v>
      </c>
      <c r="DK60" s="276">
        <v>-5.0373188960937698</v>
      </c>
      <c r="DL60" s="276">
        <v>-4.9819570072884636</v>
      </c>
      <c r="DM60" s="276">
        <v>-4.9267584624708967</v>
      </c>
      <c r="DN60" s="276">
        <v>-4.8717256673402192</v>
      </c>
      <c r="DO60" s="276">
        <v>-4.8168595715979459</v>
      </c>
      <c r="DP60" s="276">
        <v>-4.7621596344862898</v>
      </c>
      <c r="DQ60" s="276">
        <v>-4.7076238084332402</v>
      </c>
      <c r="DR60" s="276">
        <v>-4.6532485399280246</v>
      </c>
      <c r="DS60" s="276">
        <v>-4.5990287866992929</v>
      </c>
      <c r="DT60" s="276">
        <v>-4.5449580505279474</v>
      </c>
      <c r="DU60" s="276">
        <v>-4.4910284256011677</v>
      </c>
      <c r="DV60" s="276">
        <v>-4.4372306631787053</v>
      </c>
      <c r="DW60" s="276">
        <v>-4.3835542544448574</v>
      </c>
      <c r="DX60" s="276">
        <v>-4.3299875346824148</v>
      </c>
      <c r="DY60" s="276">
        <v>-4.2765178132313162</v>
      </c>
      <c r="DZ60" s="276">
        <v>-4.2231315349681919</v>
      </c>
      <c r="EA60" s="276">
        <v>-4.1698144801313566</v>
      </c>
      <c r="EB60" s="276">
        <v>-4.1165520100683466</v>
      </c>
      <c r="EC60" s="276">
        <v>-4.0633293667321277</v>
      </c>
      <c r="ED60" s="276">
        <v>-4.0101320333123791</v>
      </c>
      <c r="EE60" s="276">
        <v>-3.9569461620650581</v>
      </c>
      <c r="EF60" s="276">
        <v>-3.9037590730116909</v>
      </c>
      <c r="EG60" s="276">
        <v>-3.8505598235758902</v>
      </c>
      <c r="EH60" s="276">
        <v>-3.7973398443583881</v>
      </c>
      <c r="EI60" s="276">
        <v>-3.7440936302287571</v>
      </c>
      <c r="EJ60" s="276">
        <v>-3.6908194690567622</v>
      </c>
      <c r="EK60" s="276">
        <v>-3.6375201833039119</v>
      </c>
      <c r="EL60" s="276">
        <v>-3.58420385318363</v>
      </c>
      <c r="EM60" s="276">
        <v>-3.530884485180636</v>
      </c>
      <c r="EN60" s="276">
        <v>-3.477582587396955</v>
      </c>
      <c r="EO60" s="276">
        <v>-3.424325614226972</v>
      </c>
      <c r="EP60" s="276">
        <v>-3.3711482475377599</v>
      </c>
      <c r="EQ60" s="276">
        <v>-3.3180924894792212</v>
      </c>
      <c r="ER60" s="276">
        <v>-3.2652075522439401</v>
      </c>
      <c r="ES60" s="276">
        <v>-3.2125495410276832</v>
      </c>
      <c r="ET60" s="276">
        <v>-3.1601809364425888</v>
      </c>
      <c r="EU60" s="276">
        <v>-3.1081698902842261</v>
      </c>
      <c r="EV60" s="276">
        <v>-3.0565893530084538</v>
      </c>
      <c r="EW60" s="276">
        <v>-3.0055160524564131</v>
      </c>
      <c r="EX60" s="276">
        <v>-2.9550293419515361</v>
      </c>
      <c r="EY60" s="276">
        <v>-2.905209933136554</v>
      </c>
      <c r="EZ60" s="276">
        <v>-2.8561385263797638</v>
      </c>
      <c r="FA60" s="276">
        <v>-2.8078943508122838</v>
      </c>
      <c r="FB60" s="276">
        <v>-2.7605536283148622</v>
      </c>
      <c r="FC60" s="276">
        <v>-2.7141879817451469</v>
      </c>
      <c r="FD60" s="276">
        <v>-2.66886281729417</v>
      </c>
      <c r="FE60" s="276">
        <v>-2.6246357230688711</v>
      </c>
      <c r="FF60" s="276">
        <v>-2.5815549388600432</v>
      </c>
      <c r="FG60" s="276">
        <v>-2.5396579628668241</v>
      </c>
      <c r="FH60" s="276">
        <v>-2.4989703669145529</v>
      </c>
      <c r="FI60" s="276">
        <v>-2.4595048898333931</v>
      </c>
      <c r="FJ60" s="272">
        <v>-2.42126086776923</v>
      </c>
      <c r="FK60" s="272">
        <v>-2.3842240407050319</v>
      </c>
      <c r="FL60" s="272">
        <v>-2.3483667487958551</v>
      </c>
      <c r="FM60" s="272">
        <v>-2.3136485042338042</v>
      </c>
      <c r="FN60" s="272">
        <v>-2.2800168988144578</v>
      </c>
      <c r="FO60" s="272">
        <v>-2.2474087881422262</v>
      </c>
      <c r="FP60" s="272">
        <v>-2.2157516829018951</v>
      </c>
      <c r="FQ60" s="272">
        <v>-2.1849652762525369</v>
      </c>
      <c r="FR60" s="272">
        <v>-2.1549630427475321</v>
      </c>
      <c r="FS60" s="272">
        <v>-2.1256538556062901</v>
      </c>
      <c r="FT60" s="272">
        <v>-2.0969435825758991</v>
      </c>
      <c r="FU60" s="272">
        <v>-2.0687366331963521</v>
      </c>
      <c r="FV60" s="272">
        <v>-2.040937439919507</v>
      </c>
      <c r="FW60" s="272">
        <v>-2.013451861069024</v>
      </c>
      <c r="FX60" s="272">
        <v>-1.986188494878361</v>
      </c>
      <c r="FY60" s="272">
        <v>-1.959059891503091</v>
      </c>
      <c r="FZ60" s="272">
        <v>-1.9319836453849291</v>
      </c>
      <c r="GA60" s="272">
        <v>-1.904883345534065</v>
      </c>
      <c r="GB60" s="272">
        <v>-1.8776893582190071</v>
      </c>
      <c r="GC60" s="272">
        <v>-1.8503394169509371</v>
      </c>
    </row>
    <row r="61" spans="2:185" ht="15" thickBot="1" x14ac:dyDescent="0.4">
      <c r="B61" s="298">
        <v>55</v>
      </c>
      <c r="C61" s="275">
        <v>-5.6100375105744824</v>
      </c>
      <c r="D61" s="275">
        <v>-5.5684000629086423</v>
      </c>
      <c r="E61" s="275">
        <v>-5.5265575032198662</v>
      </c>
      <c r="F61" s="275">
        <v>-5.4845012781216624</v>
      </c>
      <c r="G61" s="275">
        <v>-5.4422228207747807</v>
      </c>
      <c r="H61" s="275">
        <v>-5.3997136230978162</v>
      </c>
      <c r="I61" s="275">
        <v>-5.3569653191204738</v>
      </c>
      <c r="J61" s="275">
        <v>-5.3139697797220506</v>
      </c>
      <c r="K61" s="275">
        <v>-5.2707192186593597</v>
      </c>
      <c r="L61" s="275">
        <v>-5.2272063093677863</v>
      </c>
      <c r="M61" s="275">
        <v>-5.1834243115206036</v>
      </c>
      <c r="N61" s="275">
        <v>-5.139367205767762</v>
      </c>
      <c r="O61" s="275">
        <v>-5.0950298344687406</v>
      </c>
      <c r="P61" s="275">
        <v>-5.0504080456174982</v>
      </c>
      <c r="Q61" s="275">
        <v>-5.0054988365740263</v>
      </c>
      <c r="R61" s="275">
        <v>-4.96030049371715</v>
      </c>
      <c r="S61" s="275">
        <v>-4.9148127237706651</v>
      </c>
      <c r="T61" s="275">
        <v>-4.8690367723817891</v>
      </c>
      <c r="U61" s="275">
        <v>-4.8229755255891549</v>
      </c>
      <c r="V61" s="275">
        <v>-4.7766335901334678</v>
      </c>
      <c r="W61" s="275">
        <v>-4.7300173491405548</v>
      </c>
      <c r="X61" s="275">
        <v>-4.683134990522019</v>
      </c>
      <c r="Y61" s="275">
        <v>-4.6359965064445614</v>
      </c>
      <c r="Z61" s="275">
        <v>-4.5886136633465657</v>
      </c>
      <c r="AA61" s="275">
        <v>-4.5409999431466579</v>
      </c>
      <c r="AB61" s="275">
        <v>-4.4931704574083877</v>
      </c>
      <c r="AC61" s="275">
        <v>-4.4451418372202687</v>
      </c>
      <c r="AD61" s="275">
        <v>-4.3969321023604131</v>
      </c>
      <c r="AE61" s="275">
        <v>-4.3485605139027133</v>
      </c>
      <c r="AF61" s="275">
        <v>-4.3000474147745686</v>
      </c>
      <c r="AG61" s="275">
        <v>-4.2514140629043338</v>
      </c>
      <c r="AH61" s="275">
        <v>-4.2026824615273473</v>
      </c>
      <c r="AI61" s="275">
        <v>-4.1538751909895</v>
      </c>
      <c r="AJ61" s="275">
        <v>-4.1050152460368521</v>
      </c>
      <c r="AK61" s="275">
        <v>-4.0561258821460102</v>
      </c>
      <c r="AL61" s="275">
        <v>-4.0072304739640616</v>
      </c>
      <c r="AM61" s="275">
        <v>-3.958352388412119</v>
      </c>
      <c r="AN61" s="275">
        <v>-3.9095148744791479</v>
      </c>
      <c r="AO61" s="275">
        <v>-3.8607409712025849</v>
      </c>
      <c r="AP61" s="275">
        <v>-3.8120534348045889</v>
      </c>
      <c r="AQ61" s="275">
        <v>-3.7634746854294918</v>
      </c>
      <c r="AR61" s="275">
        <v>-3.7150267734097731</v>
      </c>
      <c r="AS61" s="275">
        <v>-3.6667313644738342</v>
      </c>
      <c r="AT61" s="275">
        <v>-3.6186097427998809</v>
      </c>
      <c r="AU61" s="275">
        <v>-3.5706828303192588</v>
      </c>
      <c r="AV61" s="275">
        <v>-3.5229712201861529</v>
      </c>
      <c r="AW61" s="275">
        <v>-3.475495221870438</v>
      </c>
      <c r="AX61" s="275">
        <v>-3.428274914912083</v>
      </c>
      <c r="AY61" s="275">
        <v>-3.381330208016637</v>
      </c>
      <c r="AZ61" s="275">
        <v>-3.3346808998874642</v>
      </c>
      <c r="BA61" s="275">
        <v>-3.288346737990365</v>
      </c>
      <c r="BB61" s="275">
        <v>-3.2423474713266551</v>
      </c>
      <c r="BC61" s="275">
        <v>-3.1967028932357282</v>
      </c>
      <c r="BD61" s="275">
        <v>-3.1514328702300278</v>
      </c>
      <c r="BE61" s="275">
        <v>-3.106557352854237</v>
      </c>
      <c r="BF61" s="275">
        <v>-3.0620963645346562</v>
      </c>
      <c r="BG61" s="275">
        <v>-3.0180699643457558</v>
      </c>
      <c r="BH61" s="275">
        <v>-2.974498179604669</v>
      </c>
      <c r="BI61" s="275">
        <v>-2.9314009042893101</v>
      </c>
      <c r="BJ61" s="275">
        <v>-2.888797759582673</v>
      </c>
      <c r="BK61" s="275">
        <v>-2.8467079135275708</v>
      </c>
      <c r="BL61" s="275">
        <v>-2.8051498579991492</v>
      </c>
      <c r="BM61" s="275">
        <v>-2.764141143115006</v>
      </c>
      <c r="BN61" s="275">
        <v>-2.723698071893065</v>
      </c>
      <c r="BO61" s="275">
        <v>-2.683835361414908</v>
      </c>
      <c r="BP61" s="275">
        <v>-2.6445657807794221</v>
      </c>
      <c r="BQ61" s="275">
        <v>-2.605899780369819</v>
      </c>
      <c r="BR61" s="275">
        <v>-2.5678451308492209</v>
      </c>
      <c r="BS61" s="275">
        <v>-2.5304065931541331</v>
      </c>
      <c r="BT61" s="275">
        <v>-2.4935856418631182</v>
      </c>
      <c r="BU61" s="275">
        <v>-2.4573802631190031</v>
      </c>
      <c r="BV61" s="275">
        <v>-2.4217848445420391</v>
      </c>
      <c r="BW61" s="275">
        <v>-2.3867901685030501</v>
      </c>
      <c r="BX61" s="275">
        <v>-2.3523835124176822</v>
      </c>
      <c r="BY61" s="275">
        <v>-2.3185488514208958</v>
      </c>
      <c r="BZ61" s="275">
        <v>-2.2852671510674631</v>
      </c>
      <c r="CA61" s="275">
        <v>-2.2525167316294961</v>
      </c>
      <c r="CB61" s="275">
        <v>-2.2202736818215878</v>
      </c>
      <c r="CC61" s="275">
        <v>-2.1885122986051382</v>
      </c>
      <c r="CD61" s="275">
        <v>-2.1572055308860691</v>
      </c>
      <c r="CE61" s="275">
        <v>-2.126325407881819</v>
      </c>
      <c r="CF61" s="275">
        <v>-2.0958434370030949</v>
      </c>
      <c r="CG61" s="275">
        <v>-2.065730960596893</v>
      </c>
      <c r="CH61" s="275">
        <v>-2.0359594652779278</v>
      </c>
      <c r="CI61" s="275">
        <v>-2.0065008414612069</v>
      </c>
      <c r="CJ61" s="275">
        <v>-1.977327593895132</v>
      </c>
      <c r="CK61" s="275">
        <v>-1.948413006413821</v>
      </c>
      <c r="CL61" s="275">
        <v>-1.91973126579904</v>
      </c>
      <c r="CM61" s="275">
        <v>-1.891257550631158</v>
      </c>
      <c r="CN61" s="275">
        <v>-1.8629680913990709</v>
      </c>
      <c r="CO61" s="275">
        <v>-1.834840208020655</v>
      </c>
      <c r="CP61" s="275"/>
      <c r="CQ61" s="276">
        <v>-6.3960893176127227</v>
      </c>
      <c r="CR61" s="276">
        <v>-6.3394542573791002</v>
      </c>
      <c r="CS61" s="276">
        <v>-6.282796232120031</v>
      </c>
      <c r="CT61" s="276">
        <v>-6.2261237690926459</v>
      </c>
      <c r="CU61" s="276">
        <v>-6.1694458869012321</v>
      </c>
      <c r="CV61" s="276">
        <v>-6.1127720632098974</v>
      </c>
      <c r="CW61" s="276">
        <v>-6.0561121920091479</v>
      </c>
      <c r="CX61" s="276">
        <v>-5.9994765297698693</v>
      </c>
      <c r="CY61" s="276">
        <v>-5.9428756300394134</v>
      </c>
      <c r="CZ61" s="276">
        <v>-5.8863202663182133</v>
      </c>
      <c r="DA61" s="276">
        <v>-5.8298213434022124</v>
      </c>
      <c r="DB61" s="276">
        <v>-5.7733897977764146</v>
      </c>
      <c r="DC61" s="276">
        <v>-5.7170364880862108</v>
      </c>
      <c r="DD61" s="276">
        <v>-5.6607720771741894</v>
      </c>
      <c r="DE61" s="276">
        <v>-5.6046069076241736</v>
      </c>
      <c r="DF61" s="276">
        <v>-5.54855087316911</v>
      </c>
      <c r="DG61" s="276">
        <v>-5.4926132886605989</v>
      </c>
      <c r="DH61" s="276">
        <v>-5.4368027615319923</v>
      </c>
      <c r="DI61" s="276">
        <v>-5.3811270677853127</v>
      </c>
      <c r="DJ61" s="276">
        <v>-5.3255930354772856</v>
      </c>
      <c r="DK61" s="276">
        <v>-5.2702064384665928</v>
      </c>
      <c r="DL61" s="276">
        <v>-5.2149719028256154</v>
      </c>
      <c r="DM61" s="276">
        <v>-5.1598928278451597</v>
      </c>
      <c r="DN61" s="276">
        <v>-5.1049713230156897</v>
      </c>
      <c r="DO61" s="276">
        <v>-5.0502081618110344</v>
      </c>
      <c r="DP61" s="276">
        <v>-4.9956027525946576</v>
      </c>
      <c r="DQ61" s="276">
        <v>-4.9411531265772952</v>
      </c>
      <c r="DR61" s="276">
        <v>-4.8868559425342371</v>
      </c>
      <c r="DS61" s="276">
        <v>-4.8327065079814986</v>
      </c>
      <c r="DT61" s="276">
        <v>-4.7786988167360107</v>
      </c>
      <c r="DU61" s="276">
        <v>-4.7248256032451668</v>
      </c>
      <c r="DV61" s="276">
        <v>-4.6710784147440014</v>
      </c>
      <c r="DW61" s="276">
        <v>-4.6174477031385583</v>
      </c>
      <c r="DX61" s="276">
        <v>-4.5639229394561944</v>
      </c>
      <c r="DY61" s="276">
        <v>-4.5104927546639342</v>
      </c>
      <c r="DZ61" s="276">
        <v>-4.4571451115349756</v>
      </c>
      <c r="EA61" s="276">
        <v>-4.4038675129265643</v>
      </c>
      <c r="EB61" s="276">
        <v>-4.3506472521933022</v>
      </c>
      <c r="EC61" s="276">
        <v>-4.2974717113617249</v>
      </c>
      <c r="ED61" s="276">
        <v>-4.2443287119925257</v>
      </c>
      <c r="EE61" s="276">
        <v>-4.191206922219493</v>
      </c>
      <c r="EF61" s="276">
        <v>-4.1380963211649036</v>
      </c>
      <c r="EG61" s="276">
        <v>-4.0849887187256488</v>
      </c>
      <c r="EH61" s="276">
        <v>-4.031878324623916</v>
      </c>
      <c r="EI61" s="276">
        <v>-3.978762355766376</v>
      </c>
      <c r="EJ61" s="276">
        <v>-3.9256416656589441</v>
      </c>
      <c r="EK61" s="276">
        <v>-3.872521374353699</v>
      </c>
      <c r="EL61" s="276">
        <v>-3.8194114727787838</v>
      </c>
      <c r="EM61" s="276">
        <v>-3.7663273720155459</v>
      </c>
      <c r="EN61" s="276">
        <v>-3.7132903667880819</v>
      </c>
      <c r="EO61" s="276">
        <v>-3.6603279835752471</v>
      </c>
      <c r="EP61" s="276">
        <v>-3.6074741874638478</v>
      </c>
      <c r="EQ61" s="276">
        <v>-3.5547694278349562</v>
      </c>
      <c r="ER61" s="276">
        <v>-3.5022605104996258</v>
      </c>
      <c r="ES61" s="276">
        <v>-3.4500002919718811</v>
      </c>
      <c r="ET61" s="276">
        <v>-3.3980471990976211</v>
      </c>
      <c r="EU61" s="276">
        <v>-3.346464583319801</v>
      </c>
      <c r="EV61" s="276">
        <v>-3.295319922896518</v>
      </c>
      <c r="EW61" s="276">
        <v>-3.2446838883293538</v>
      </c>
      <c r="EX61" s="276">
        <v>-3.1946292865288699</v>
      </c>
      <c r="EY61" s="276">
        <v>-3.145229898651714</v>
      </c>
      <c r="EZ61" s="276">
        <v>-3.096559226105327</v>
      </c>
      <c r="FA61" s="276">
        <v>-3.048689159940865</v>
      </c>
      <c r="FB61" s="276">
        <v>-3.00168859152669</v>
      </c>
      <c r="FC61" s="276">
        <v>-2.9556219873856051</v>
      </c>
      <c r="FD61" s="276">
        <v>-2.9105479581998819</v>
      </c>
      <c r="FE61" s="276">
        <v>-2.8665178604175292</v>
      </c>
      <c r="FF61" s="276">
        <v>-2.823574477211646</v>
      </c>
      <c r="FG61" s="276">
        <v>-2.7817508319117952</v>
      </c>
      <c r="FH61" s="276">
        <v>-2.7410691895176171</v>
      </c>
      <c r="FI61" s="276">
        <v>-2.7015402989626072</v>
      </c>
      <c r="FJ61" s="272">
        <v>-2.663162919700131</v>
      </c>
      <c r="FK61" s="272">
        <v>-2.625923661383827</v>
      </c>
      <c r="FL61" s="272">
        <v>-2.5897971465861329</v>
      </c>
      <c r="FM61" s="272">
        <v>-2.5547464862468452</v>
      </c>
      <c r="FN61" s="272">
        <v>-2.520724038821228</v>
      </c>
      <c r="FO61" s="272">
        <v>-2.487672409506231</v>
      </c>
      <c r="FP61" s="272">
        <v>-2.4555256371291678</v>
      </c>
      <c r="FQ61" s="272">
        <v>-2.4242105137174739</v>
      </c>
      <c r="FR61" s="272">
        <v>-2.3936479846771022</v>
      </c>
      <c r="FS61" s="272">
        <v>-2.363754584284119</v>
      </c>
      <c r="FT61" s="272">
        <v>-2.3344438698404559</v>
      </c>
      <c r="FU61" s="272">
        <v>-2.305627826434737</v>
      </c>
      <c r="FV61" s="272">
        <v>-2.2772182212655281</v>
      </c>
      <c r="FW61" s="272">
        <v>-2.24912789102568</v>
      </c>
      <c r="FX61" s="272">
        <v>-2.221271947686815</v>
      </c>
      <c r="FY61" s="272">
        <v>-2.193568887570521</v>
      </c>
      <c r="FZ61" s="272">
        <v>-2.165941586771658</v>
      </c>
      <c r="GA61" s="272">
        <v>-2.1383181640521491</v>
      </c>
      <c r="GB61" s="272">
        <v>-2.1106326915691791</v>
      </c>
      <c r="GC61" s="272">
        <v>-2.0828257353373809</v>
      </c>
    </row>
    <row r="62" spans="2:185" ht="15" thickBot="1" x14ac:dyDescent="0.4">
      <c r="B62" s="298">
        <v>56</v>
      </c>
      <c r="C62" s="275">
        <v>-5.8236725589129934</v>
      </c>
      <c r="D62" s="275">
        <v>-5.7819645369250789</v>
      </c>
      <c r="E62" s="275">
        <v>-5.7400525690275526</v>
      </c>
      <c r="F62" s="275">
        <v>-5.6979286114276304</v>
      </c>
      <c r="G62" s="275">
        <v>-5.6555846522232107</v>
      </c>
      <c r="H62" s="275">
        <v>-5.6130127817228219</v>
      </c>
      <c r="I62" s="275">
        <v>-5.5702052724853273</v>
      </c>
      <c r="J62" s="275">
        <v>-5.527154669124668</v>
      </c>
      <c r="K62" s="275">
        <v>-5.4838538876174177</v>
      </c>
      <c r="L62" s="275">
        <v>-5.4402963234801831</v>
      </c>
      <c r="M62" s="275">
        <v>-5.3964759677578096</v>
      </c>
      <c r="N62" s="275">
        <v>-5.352387529293515</v>
      </c>
      <c r="O62" s="275">
        <v>-5.3080265612598847</v>
      </c>
      <c r="P62" s="275">
        <v>-5.2633895894419309</v>
      </c>
      <c r="Q62" s="275">
        <v>-5.2184742393154693</v>
      </c>
      <c r="R62" s="275">
        <v>-5.1732793585939136</v>
      </c>
      <c r="S62" s="275">
        <v>-5.1278051316652133</v>
      </c>
      <c r="T62" s="275">
        <v>-5.0820531822447172</v>
      </c>
      <c r="U62" s="275">
        <v>-5.0360266606585249</v>
      </c>
      <c r="V62" s="275">
        <v>-4.989730312461556</v>
      </c>
      <c r="W62" s="275">
        <v>-4.9431705255848959</v>
      </c>
      <c r="X62" s="275">
        <v>-4.8963553538787359</v>
      </c>
      <c r="Y62" s="275">
        <v>-4.8492945157333187</v>
      </c>
      <c r="Z62" s="275">
        <v>-4.8019993673687962</v>
      </c>
      <c r="AA62" s="275">
        <v>-4.7544828513242736</v>
      </c>
      <c r="AB62" s="275">
        <v>-4.7067594215830342</v>
      </c>
      <c r="AC62" s="275">
        <v>-4.6588449475870934</v>
      </c>
      <c r="AD62" s="275">
        <v>-4.6107566000724303</v>
      </c>
      <c r="AE62" s="275">
        <v>-4.5625127221667672</v>
      </c>
      <c r="AF62" s="275">
        <v>-4.5141326895202543</v>
      </c>
      <c r="AG62" s="275">
        <v>-4.4656367633897087</v>
      </c>
      <c r="AH62" s="275">
        <v>-4.4170459405848019</v>
      </c>
      <c r="AI62" s="275">
        <v>-4.3683818040340094</v>
      </c>
      <c r="AJ62" s="275">
        <v>-4.3196663774676987</v>
      </c>
      <c r="AK62" s="275">
        <v>-4.2709219873731161</v>
      </c>
      <c r="AL62" s="275">
        <v>-4.222171134975631</v>
      </c>
      <c r="AM62" s="275">
        <v>-4.1734363805628876</v>
      </c>
      <c r="AN62" s="275">
        <v>-4.1247402420082739</v>
      </c>
      <c r="AO62" s="275">
        <v>-4.0761051088777931</v>
      </c>
      <c r="AP62" s="275">
        <v>-4.0275531730274352</v>
      </c>
      <c r="AQ62" s="275">
        <v>-3.9791063761200411</v>
      </c>
      <c r="AR62" s="275">
        <v>-3.9307863740148581</v>
      </c>
      <c r="AS62" s="275">
        <v>-3.882614517511271</v>
      </c>
      <c r="AT62" s="275">
        <v>-3.8346118484637048</v>
      </c>
      <c r="AU62" s="275">
        <v>-3.7867991098315388</v>
      </c>
      <c r="AV62" s="275">
        <v>-3.739196767793397</v>
      </c>
      <c r="AW62" s="275">
        <v>-3.6918250436485871</v>
      </c>
      <c r="AX62" s="275">
        <v>-3.6447039528616978</v>
      </c>
      <c r="AY62" s="275">
        <v>-3.5978533482916628</v>
      </c>
      <c r="AZ62" s="275">
        <v>-3.5512929643937898</v>
      </c>
      <c r="BA62" s="275">
        <v>-3.5050424589980911</v>
      </c>
      <c r="BB62" s="275">
        <v>-3.4591214491473479</v>
      </c>
      <c r="BC62" s="275">
        <v>-3.413549537414831</v>
      </c>
      <c r="BD62" s="275">
        <v>-3.368346325100219</v>
      </c>
      <c r="BE62" s="275">
        <v>-3.3235314087096741</v>
      </c>
      <c r="BF62" s="275">
        <v>-3.2791243561568661</v>
      </c>
      <c r="BG62" s="275">
        <v>-3.2351446591882742</v>
      </c>
      <c r="BH62" s="275">
        <v>-3.19161165867374</v>
      </c>
      <c r="BI62" s="275">
        <v>-3.1485444396753661</v>
      </c>
      <c r="BJ62" s="275">
        <v>-3.1059616937023642</v>
      </c>
      <c r="BK62" s="275">
        <v>-3.0638815463806761</v>
      </c>
      <c r="BL62" s="275">
        <v>-3.0223213500174708</v>
      </c>
      <c r="BM62" s="275">
        <v>-2.9812974423008018</v>
      </c>
      <c r="BN62" s="275">
        <v>-2.9408248746687118</v>
      </c>
      <c r="BO62" s="275">
        <v>-2.9009171166486269</v>
      </c>
      <c r="BP62" s="275">
        <v>-2.861585745532861</v>
      </c>
      <c r="BQ62" s="275">
        <v>-2.8228401338203808</v>
      </c>
      <c r="BR62" s="275">
        <v>-2.7846871495075298</v>
      </c>
      <c r="BS62" s="275">
        <v>-2.7471308860753441</v>
      </c>
      <c r="BT62" s="275">
        <v>-2.710172439441966</v>
      </c>
      <c r="BU62" s="275">
        <v>-2.6738097478919989</v>
      </c>
      <c r="BV62" s="275">
        <v>-2.6380375079563918</v>
      </c>
      <c r="BW62" s="275">
        <v>-2.6028471745866639</v>
      </c>
      <c r="BX62" s="275">
        <v>-2.5682270482338709</v>
      </c>
      <c r="BY62" s="275">
        <v>-2.5341624453145131</v>
      </c>
      <c r="BZ62" s="275">
        <v>-2.5006359428147631</v>
      </c>
      <c r="CA62" s="275">
        <v>-2.467627683162839</v>
      </c>
      <c r="CB62" s="275">
        <v>-2.435115722481406</v>
      </c>
      <c r="CC62" s="275">
        <v>-2.4030764041171389</v>
      </c>
      <c r="CD62" s="275">
        <v>-2.371484739839187</v>
      </c>
      <c r="CE62" s="275">
        <v>-2.340314782981852</v>
      </c>
      <c r="CF62" s="275">
        <v>-2.3095399806324122</v>
      </c>
      <c r="CG62" s="275">
        <v>-2.2791334952646212</v>
      </c>
      <c r="CH62" s="275">
        <v>-2.2490684895803601</v>
      </c>
      <c r="CI62" s="275">
        <v>-2.219318371436545</v>
      </c>
      <c r="CJ62" s="275">
        <v>-2.189856998403092</v>
      </c>
      <c r="CK62" s="275">
        <v>-2.1606588436220542</v>
      </c>
      <c r="CL62" s="275">
        <v>-2.1316991261909268</v>
      </c>
      <c r="CM62" s="275">
        <v>-2.1029539102973041</v>
      </c>
      <c r="CN62" s="275">
        <v>-2.0744001778379868</v>
      </c>
      <c r="CO62" s="275">
        <v>-2.04601587932979</v>
      </c>
      <c r="CP62" s="275"/>
      <c r="CQ62" s="276">
        <v>-6.6259232707459734</v>
      </c>
      <c r="CR62" s="276">
        <v>-6.5694268436650036</v>
      </c>
      <c r="CS62" s="276">
        <v>-6.5129120950093631</v>
      </c>
      <c r="CT62" s="276">
        <v>-6.4563872528730339</v>
      </c>
      <c r="CU62" s="276">
        <v>-6.3998609787626819</v>
      </c>
      <c r="CV62" s="276">
        <v>-6.3433423339615871</v>
      </c>
      <c r="CW62" s="276">
        <v>-6.2868407365282097</v>
      </c>
      <c r="CX62" s="276">
        <v>-6.2303659084567089</v>
      </c>
      <c r="CY62" s="276">
        <v>-6.1739278127322974</v>
      </c>
      <c r="CZ62" s="276">
        <v>-6.1175365802695918</v>
      </c>
      <c r="DA62" s="276">
        <v>-6.061202427024134</v>
      </c>
      <c r="DB62" s="276">
        <v>-6.0049355619082991</v>
      </c>
      <c r="DC62" s="276">
        <v>-5.9487460865103907</v>
      </c>
      <c r="DD62" s="276">
        <v>-5.8926438879924854</v>
      </c>
      <c r="DE62" s="276">
        <v>-5.836638526906925</v>
      </c>
      <c r="DF62" s="276">
        <v>-5.7807391219982831</v>
      </c>
      <c r="DG62" s="276">
        <v>-5.7249542343214532</v>
      </c>
      <c r="DH62" s="276">
        <v>-5.6692917531833134</v>
      </c>
      <c r="DI62" s="276">
        <v>-5.613758786485092</v>
      </c>
      <c r="DJ62" s="276">
        <v>-5.5583615579946217</v>
      </c>
      <c r="DK62" s="276">
        <v>-5.5031053139105044</v>
      </c>
      <c r="DL62" s="276">
        <v>-5.4479942408056079</v>
      </c>
      <c r="DM62" s="276">
        <v>-5.3930313966794383</v>
      </c>
      <c r="DN62" s="276">
        <v>-5.3382186564426828</v>
      </c>
      <c r="DO62" s="276">
        <v>-5.2835566727468111</v>
      </c>
      <c r="DP62" s="276">
        <v>-5.2290448527041544</v>
      </c>
      <c r="DQ62" s="276">
        <v>-5.1746813507662903</v>
      </c>
      <c r="DR62" s="276">
        <v>-5.120463077881606</v>
      </c>
      <c r="DS62" s="276">
        <v>-5.0663857270650858</v>
      </c>
      <c r="DT62" s="276">
        <v>-5.0124438157007098</v>
      </c>
      <c r="DU62" s="276">
        <v>-4.9586307452555554</v>
      </c>
      <c r="DV62" s="276">
        <v>-4.9049388795950568</v>
      </c>
      <c r="DW62" s="276">
        <v>-4.8513596437111781</v>
      </c>
      <c r="DX62" s="276">
        <v>-4.7978836453541396</v>
      </c>
      <c r="DY62" s="276">
        <v>-4.744500822722638</v>
      </c>
      <c r="DZ62" s="276">
        <v>-4.6912006219326177</v>
      </c>
      <c r="EA62" s="276">
        <v>-4.6379722083559933</v>
      </c>
      <c r="EB62" s="276">
        <v>-4.5848047159943643</v>
      </c>
      <c r="EC62" s="276">
        <v>-4.5316875387224531</v>
      </c>
      <c r="ED62" s="276">
        <v>-4.478610666396464</v>
      </c>
      <c r="EE62" s="276">
        <v>-4.4255650673827693</v>
      </c>
      <c r="EF62" s="276">
        <v>-4.3725431169586262</v>
      </c>
      <c r="EG62" s="276">
        <v>-4.3195390682547794</v>
      </c>
      <c r="EH62" s="276">
        <v>-4.2665495590063376</v>
      </c>
      <c r="EI62" s="276">
        <v>-4.213574143506662</v>
      </c>
      <c r="EJ62" s="276">
        <v>-4.160615835080848</v>
      </c>
      <c r="EK62" s="276">
        <v>-4.1076816404829026</v>
      </c>
      <c r="EL62" s="276">
        <v>-4.054783064326581</v>
      </c>
      <c r="EM62" s="276">
        <v>-4.001936559464415</v>
      </c>
      <c r="EN62" s="276">
        <v>-3.9491638985562671</v>
      </c>
      <c r="EO62" s="276">
        <v>-3.8964924431921171</v>
      </c>
      <c r="EP62" s="276">
        <v>-3.8439552898950291</v>
      </c>
      <c r="EQ62" s="276">
        <v>-3.79159127689491</v>
      </c>
      <c r="ER62" s="276">
        <v>-3.7394448412358532</v>
      </c>
      <c r="ES62" s="276">
        <v>-3.687565721885802</v>
      </c>
      <c r="ET62" s="276">
        <v>-3.6360085103373549</v>
      </c>
      <c r="EU62" s="276">
        <v>-3.584832055110553</v>
      </c>
      <c r="EV62" s="276">
        <v>-3.5340987302184361</v>
      </c>
      <c r="EW62" s="276">
        <v>-3.4838735799755809</v>
      </c>
      <c r="EX62" s="276">
        <v>-3.4342233537783411</v>
      </c>
      <c r="EY62" s="276">
        <v>-3.3852154451783458</v>
      </c>
      <c r="EZ62" s="276">
        <v>-3.3369167503540038</v>
      </c>
      <c r="FA62" s="276">
        <v>-3.289392462594555</v>
      </c>
      <c r="FB62" s="276">
        <v>-3.2427048221172532</v>
      </c>
      <c r="FC62" s="276">
        <v>-3.1969118446160301</v>
      </c>
      <c r="FD62" s="276">
        <v>-3.1520660571744452</v>
      </c>
      <c r="FE62" s="276">
        <v>-3.108213275931258</v>
      </c>
      <c r="FF62" s="276">
        <v>-3.065391465154105</v>
      </c>
      <c r="FG62" s="276">
        <v>-3.0236297209172389</v>
      </c>
      <c r="FH62" s="276">
        <v>-2.982947423161848</v>
      </c>
      <c r="FI62" s="276">
        <v>-2.9433535966077291</v>
      </c>
      <c r="FJ62" s="272">
        <v>-2.904846513428212</v>
      </c>
      <c r="FK62" s="272">
        <v>-2.867413559199731</v>
      </c>
      <c r="FL62" s="272">
        <v>-2.8310313695629961</v>
      </c>
      <c r="FM62" s="272">
        <v>-2.7956662300256689</v>
      </c>
      <c r="FN62" s="272">
        <v>-2.7612747173451009</v>
      </c>
      <c r="FO62" s="272">
        <v>-2.7278045496894028</v>
      </c>
      <c r="FP62" s="272">
        <v>-2.6951956054447059</v>
      </c>
      <c r="FQ62" s="272">
        <v>-2.663381067499901</v>
      </c>
      <c r="FR62" s="272">
        <v>-2.6322886507105481</v>
      </c>
      <c r="FS62" s="272">
        <v>-2.6018418740454532</v>
      </c>
      <c r="FT62" s="272">
        <v>-2.5719613443656901</v>
      </c>
      <c r="FU62" s="272">
        <v>-2.5425660245768951</v>
      </c>
      <c r="FV62" s="272">
        <v>-2.5135744639632152</v>
      </c>
      <c r="FW62" s="272">
        <v>-2.4849059721767088</v>
      </c>
      <c r="FX62" s="272">
        <v>-2.4564817203980782</v>
      </c>
      <c r="FY62" s="272">
        <v>-2.4282257538256919</v>
      </c>
      <c r="FZ62" s="272">
        <v>-2.400065899469003</v>
      </c>
      <c r="GA62" s="272">
        <v>-2.371934553018713</v>
      </c>
      <c r="GB62" s="272">
        <v>-2.3437693291818209</v>
      </c>
      <c r="GC62" s="272">
        <v>-2.315513561991855</v>
      </c>
    </row>
    <row r="63" spans="2:185" ht="15" thickBot="1" x14ac:dyDescent="0.4">
      <c r="B63" s="298">
        <v>57</v>
      </c>
      <c r="C63" s="275">
        <v>-6.0371777446798758</v>
      </c>
      <c r="D63" s="275">
        <v>-5.9954022119337766</v>
      </c>
      <c r="E63" s="275">
        <v>-5.9534241949443683</v>
      </c>
      <c r="F63" s="275">
        <v>-5.9112361464782586</v>
      </c>
      <c r="G63" s="275">
        <v>-5.8688305906358966</v>
      </c>
      <c r="H63" s="275">
        <v>-5.8262001908208596</v>
      </c>
      <c r="I63" s="275">
        <v>-5.7833378261470942</v>
      </c>
      <c r="J63" s="275">
        <v>-5.7402366761835228</v>
      </c>
      <c r="K63" s="275">
        <v>-5.6968903136595941</v>
      </c>
      <c r="L63" s="275">
        <v>-5.6532928044324056</v>
      </c>
      <c r="M63" s="275">
        <v>-5.6094388136543314</v>
      </c>
      <c r="N63" s="275">
        <v>-5.5653237166905907</v>
      </c>
      <c r="O63" s="275">
        <v>-5.5209437129380889</v>
      </c>
      <c r="P63" s="275">
        <v>-5.4762959403119416</v>
      </c>
      <c r="Q63" s="275">
        <v>-5.4313785878227234</v>
      </c>
      <c r="R63" s="275">
        <v>-5.3861910033948579</v>
      </c>
      <c r="S63" s="275">
        <v>-5.3407337939053097</v>
      </c>
      <c r="T63" s="275">
        <v>-5.2950089143779326</v>
      </c>
      <c r="U63" s="275">
        <v>-5.2490197433730197</v>
      </c>
      <c r="V63" s="275">
        <v>-5.2027711418734768</v>
      </c>
      <c r="W63" s="275">
        <v>-5.1562694933863638</v>
      </c>
      <c r="X63" s="275">
        <v>-5.1095227235352807</v>
      </c>
      <c r="Y63" s="275">
        <v>-5.0625402980861454</v>
      </c>
      <c r="Z63" s="275">
        <v>-5.015333199087129</v>
      </c>
      <c r="AA63" s="275">
        <v>-4.9679138795661713</v>
      </c>
      <c r="AB63" s="275">
        <v>-4.9202961979695603</v>
      </c>
      <c r="AC63" s="275">
        <v>-4.8724953341975494</v>
      </c>
      <c r="AD63" s="275">
        <v>-4.8245276896622604</v>
      </c>
      <c r="AE63" s="275">
        <v>-4.7764107742333248</v>
      </c>
      <c r="AF63" s="275">
        <v>-4.7281630832355583</v>
      </c>
      <c r="AG63" s="275">
        <v>-4.6798039678189642</v>
      </c>
      <c r="AH63" s="275">
        <v>-4.6313535020438197</v>
      </c>
      <c r="AI63" s="275">
        <v>-4.5828323499280241</v>
      </c>
      <c r="AJ63" s="275">
        <v>-4.5342616355102088</v>
      </c>
      <c r="AK63" s="275">
        <v>-4.4856628187107903</v>
      </c>
      <c r="AL63" s="275">
        <v>-4.4370575794434206</v>
      </c>
      <c r="AM63" s="275">
        <v>-4.3884677120580404</v>
      </c>
      <c r="AN63" s="275">
        <v>-4.3399150317972</v>
      </c>
      <c r="AO63" s="275">
        <v>-4.2914212945300729</v>
      </c>
      <c r="AP63" s="275">
        <v>-4.2430081306011118</v>
      </c>
      <c r="AQ63" s="275">
        <v>-4.1946969931983169</v>
      </c>
      <c r="AR63" s="275">
        <v>-4.1465091212138754</v>
      </c>
      <c r="AS63" s="275">
        <v>-4.098465516141478</v>
      </c>
      <c r="AT63" s="275">
        <v>-4.0505869321339407</v>
      </c>
      <c r="AU63" s="275">
        <v>-4.0028938779373657</v>
      </c>
      <c r="AV63" s="275">
        <v>-3.9554066290301888</v>
      </c>
      <c r="AW63" s="275">
        <v>-3.9081452479357779</v>
      </c>
      <c r="AX63" s="275">
        <v>-3.861129610354209</v>
      </c>
      <c r="AY63" s="275">
        <v>-3.814379434482142</v>
      </c>
      <c r="AZ63" s="275">
        <v>-3.7679143106658608</v>
      </c>
      <c r="BA63" s="275">
        <v>-3.7217537283662039</v>
      </c>
      <c r="BB63" s="275">
        <v>-3.6759170973046871</v>
      </c>
      <c r="BC63" s="275">
        <v>-3.6304237596041302</v>
      </c>
      <c r="BD63" s="275">
        <v>-3.5852929897285049</v>
      </c>
      <c r="BE63" s="275">
        <v>-3.5405439790623858</v>
      </c>
      <c r="BF63" s="275">
        <v>-3.4961958020535522</v>
      </c>
      <c r="BG63" s="275">
        <v>-3.4522673609890639</v>
      </c>
      <c r="BH63" s="275">
        <v>-3.4087773067165208</v>
      </c>
      <c r="BI63" s="275">
        <v>-3.3657439330070948</v>
      </c>
      <c r="BJ63" s="275">
        <v>-3.3231850428466849</v>
      </c>
      <c r="BK63" s="275">
        <v>-3.2811177858035858</v>
      </c>
      <c r="BL63" s="275">
        <v>-3.2395584668149602</v>
      </c>
      <c r="BM63" s="275">
        <v>-3.1985223282944042</v>
      </c>
      <c r="BN63" s="275">
        <v>-3.1580233093778531</v>
      </c>
      <c r="BO63" s="275">
        <v>-3.118073788319021</v>
      </c>
      <c r="BP63" s="275">
        <v>-3.0786843163637401</v>
      </c>
      <c r="BQ63" s="275">
        <v>-3.039863353639769</v>
      </c>
      <c r="BR63" s="275">
        <v>-3.0016170193958529</v>
      </c>
      <c r="BS63" s="275">
        <v>-2.9639488699847858</v>
      </c>
      <c r="BT63" s="275">
        <v>-2.9268597180155411</v>
      </c>
      <c r="BU63" s="275">
        <v>-2.8903475049024192</v>
      </c>
      <c r="BV63" s="275">
        <v>-2.854407236578131</v>
      </c>
      <c r="BW63" s="275">
        <v>-2.8190309885717242</v>
      </c>
      <c r="BX63" s="275">
        <v>-2.7842079823310359</v>
      </c>
      <c r="BY63" s="275">
        <v>-2.749924730081502</v>
      </c>
      <c r="BZ63" s="275">
        <v>-2.7161652411995201</v>
      </c>
      <c r="CA63" s="275">
        <v>-2.6829112795303112</v>
      </c>
      <c r="CB63" s="275">
        <v>-2.650142658651522</v>
      </c>
      <c r="CC63" s="275">
        <v>-2.617837560940437</v>
      </c>
      <c r="CD63" s="275">
        <v>-2.5859728664150619</v>
      </c>
      <c r="CE63" s="275">
        <v>-2.5545244784989372</v>
      </c>
      <c r="CF63" s="275">
        <v>-2.523467635816889</v>
      </c>
      <c r="CG63" s="275">
        <v>-2.4927772015405969</v>
      </c>
      <c r="CH63" s="275">
        <v>-2.4624279243658158</v>
      </c>
      <c r="CI63" s="275">
        <v>-2.432394667670517</v>
      </c>
      <c r="CJ63" s="275">
        <v>-2.402652605600005</v>
      </c>
      <c r="CK63" s="275">
        <v>-2.3731773866447949</v>
      </c>
      <c r="CL63" s="275">
        <v>-2.3439452666722702</v>
      </c>
      <c r="CM63" s="275">
        <v>-2.314933214339304</v>
      </c>
      <c r="CN63" s="275">
        <v>-2.2861189923750018</v>
      </c>
      <c r="CO63" s="275">
        <v>-2.2574812184271069</v>
      </c>
      <c r="CP63" s="275"/>
      <c r="CQ63" s="276">
        <v>-6.8558625593324471</v>
      </c>
      <c r="CR63" s="276">
        <v>-6.799502540139553</v>
      </c>
      <c r="CS63" s="276">
        <v>-6.7431284329551957</v>
      </c>
      <c r="CT63" s="276">
        <v>-6.6867481650865326</v>
      </c>
      <c r="CU63" s="276">
        <v>-6.6303700450835921</v>
      </c>
      <c r="CV63" s="276">
        <v>-6.5740027284453699</v>
      </c>
      <c r="CW63" s="276">
        <v>-6.5176551749628864</v>
      </c>
      <c r="CX63" s="276">
        <v>-6.4613365973811474</v>
      </c>
      <c r="CY63" s="276">
        <v>-6.4050564012501132</v>
      </c>
      <c r="CZ63" s="276">
        <v>-6.3488241160622589</v>
      </c>
      <c r="DA63" s="276">
        <v>-6.2926493180364531</v>
      </c>
      <c r="DB63" s="276">
        <v>-6.2365415451978894</v>
      </c>
      <c r="DC63" s="276">
        <v>-6.1805102057105401</v>
      </c>
      <c r="DD63" s="276">
        <v>-6.1245644807274031</v>
      </c>
      <c r="DE63" s="276">
        <v>-6.0687132233183299</v>
      </c>
      <c r="DF63" s="276">
        <v>-6.0129648552947961</v>
      </c>
      <c r="DG63" s="276">
        <v>-5.9573272639580788</v>
      </c>
      <c r="DH63" s="276">
        <v>-5.9018077009332961</v>
      </c>
      <c r="DI63" s="276">
        <v>-5.8464126853038394</v>
      </c>
      <c r="DJ63" s="276">
        <v>-5.7911479132219936</v>
      </c>
      <c r="DK63" s="276">
        <v>-5.7360181760426459</v>
      </c>
      <c r="DL63" s="276">
        <v>-5.681027288818731</v>
      </c>
      <c r="DM63" s="276">
        <v>-5.6261780307279237</v>
      </c>
      <c r="DN63" s="276">
        <v>-5.571472098698055</v>
      </c>
      <c r="DO63" s="276">
        <v>-5.5169100751961739</v>
      </c>
      <c r="DP63" s="276">
        <v>-5.4624914108786706</v>
      </c>
      <c r="DQ63" s="276">
        <v>-5.4082144226020574</v>
      </c>
      <c r="DR63" s="276">
        <v>-5.3540763071938766</v>
      </c>
      <c r="DS63" s="276">
        <v>-5.3000731714026319</v>
      </c>
      <c r="DT63" s="276">
        <v>-5.246200078592091</v>
      </c>
      <c r="DU63" s="276">
        <v>-5.1924511130149646</v>
      </c>
      <c r="DV63" s="276">
        <v>-5.1388194628744897</v>
      </c>
      <c r="DW63" s="276">
        <v>-5.0852975238254574</v>
      </c>
      <c r="DX63" s="276">
        <v>-5.0318770250326201</v>
      </c>
      <c r="DY63" s="276">
        <v>-4.9785491803330997</v>
      </c>
      <c r="DZ63" s="276">
        <v>-4.9253048673720157</v>
      </c>
      <c r="EA63" s="276">
        <v>-4.8721348377187832</v>
      </c>
      <c r="EB63" s="276">
        <v>-4.8190299608440634</v>
      </c>
      <c r="EC63" s="276">
        <v>-4.7659815043633618</v>
      </c>
      <c r="ED63" s="276">
        <v>-4.7129814520583952</v>
      </c>
      <c r="EE63" s="276">
        <v>-4.6600228598140694</v>
      </c>
      <c r="EF63" s="276">
        <v>-4.6071002477286358</v>
      </c>
      <c r="EG63" s="276">
        <v>-4.5542100242805121</v>
      </c>
      <c r="EH63" s="276">
        <v>-4.5013509356403283</v>
      </c>
      <c r="EI63" s="276">
        <v>-4.4485245301434224</v>
      </c>
      <c r="EJ63" s="276">
        <v>-4.3957356248044057</v>
      </c>
      <c r="EK63" s="276">
        <v>-4.3429927578491219</v>
      </c>
      <c r="EL63" s="276">
        <v>-4.2903086088903741</v>
      </c>
      <c r="EM63" s="276">
        <v>-4.2377003669156732</v>
      </c>
      <c r="EN63" s="276">
        <v>-4.1851900259672794</v>
      </c>
      <c r="EO63" s="276">
        <v>-4.1328045894433023</v>
      </c>
      <c r="EP63" s="276">
        <v>-4.0805761663383082</v>
      </c>
      <c r="EQ63" s="276">
        <v>-4.028541946294645</v>
      </c>
      <c r="ER63" s="276">
        <v>-3.976744044705474</v>
      </c>
      <c r="ES63" s="276">
        <v>-3.9252292138407849</v>
      </c>
      <c r="ET63" s="276">
        <v>-3.8740484205770431</v>
      </c>
      <c r="EU63" s="276">
        <v>-3.8232562953892542</v>
      </c>
      <c r="EV63" s="276">
        <v>-3.7729104605554622</v>
      </c>
      <c r="EW63" s="276">
        <v>-3.723070747976378</v>
      </c>
      <c r="EX63" s="276">
        <v>-3.6737983187799879</v>
      </c>
      <c r="EY63" s="276">
        <v>-3.6251546982807819</v>
      </c>
      <c r="EZ63" s="276">
        <v>-3.5772007412960569</v>
      </c>
      <c r="FA63" s="276">
        <v>-3.5299955446736182</v>
      </c>
      <c r="FB63" s="276">
        <v>-3.483595326422015</v>
      </c>
      <c r="FC63" s="276">
        <v>-3.43805229411646</v>
      </c>
      <c r="FD63" s="276">
        <v>-3.3934135290761618</v>
      </c>
      <c r="FE63" s="276">
        <v>-3.3497199166922549</v>
      </c>
      <c r="FF63" s="276">
        <v>-3.3070051565232141</v>
      </c>
      <c r="FG63" s="276">
        <v>-3.265294887538301</v>
      </c>
      <c r="FH63" s="276">
        <v>-3.2246059633961179</v>
      </c>
      <c r="FI63" s="276">
        <v>-3.1849459093387962</v>
      </c>
      <c r="FJ63" s="272">
        <v>-3.1463125860053189</v>
      </c>
      <c r="FK63" s="272">
        <v>-3.1086940765595918</v>
      </c>
      <c r="FL63" s="272">
        <v>-3.0720688028157901</v>
      </c>
      <c r="FM63" s="272">
        <v>-3.0364058647065888</v>
      </c>
      <c r="FN63" s="272">
        <v>-3.001665586788544</v>
      </c>
      <c r="FO63" s="272">
        <v>-2.967800246689535</v>
      </c>
      <c r="FP63" s="272">
        <v>-2.9347549542892208</v>
      </c>
      <c r="FQ63" s="272">
        <v>-2.9024686473065038</v>
      </c>
      <c r="FR63" s="272">
        <v>-2.8708751686644232</v>
      </c>
      <c r="FS63" s="272">
        <v>-2.839904392921766</v>
      </c>
      <c r="FT63" s="272">
        <v>-2.8094833723804862</v>
      </c>
      <c r="FU63" s="272">
        <v>-2.779537477326838</v>
      </c>
      <c r="FV63" s="272">
        <v>-2.749991508502112</v>
      </c>
      <c r="FW63" s="272">
        <v>-2.720770762824285</v>
      </c>
      <c r="FX63" s="272">
        <v>-2.691802035400956</v>
      </c>
      <c r="FY63" s="272">
        <v>-2.6630145420878728</v>
      </c>
      <c r="FZ63" s="272">
        <v>-2.6343407476077281</v>
      </c>
      <c r="GA63" s="272">
        <v>-2.6057170850485121</v>
      </c>
      <c r="GB63" s="272">
        <v>-2.5770845539349478</v>
      </c>
      <c r="GC63" s="272">
        <v>-2.5483891864350152</v>
      </c>
    </row>
    <row r="64" spans="2:185" ht="15" thickBot="1" x14ac:dyDescent="0.4">
      <c r="B64" s="298">
        <v>58</v>
      </c>
      <c r="C64" s="275">
        <v>-6.2505626851947182</v>
      </c>
      <c r="D64" s="275">
        <v>-6.2087228139115922</v>
      </c>
      <c r="E64" s="275">
        <v>-6.166682185625171</v>
      </c>
      <c r="F64" s="275">
        <v>-6.1244337347365088</v>
      </c>
      <c r="G64" s="275">
        <v>-6.0819705010757561</v>
      </c>
      <c r="H64" s="275">
        <v>-6.0392856952026293</v>
      </c>
      <c r="I64" s="275">
        <v>-5.9963727710003853</v>
      </c>
      <c r="J64" s="275">
        <v>-5.9532255053577181</v>
      </c>
      <c r="K64" s="275">
        <v>-5.9098380844881166</v>
      </c>
      <c r="L64" s="275">
        <v>-5.8662051961575923</v>
      </c>
      <c r="M64" s="275">
        <v>-5.8223221267859211</v>
      </c>
      <c r="N64" s="275">
        <v>-5.7781848620653271</v>
      </c>
      <c r="O64" s="275">
        <v>-5.7337901894190013</v>
      </c>
      <c r="P64" s="275">
        <v>-5.6891358003187724</v>
      </c>
      <c r="Q64" s="275">
        <v>-5.6442203902186048</v>
      </c>
      <c r="R64" s="275">
        <v>-5.5990437536613031</v>
      </c>
      <c r="S64" s="275">
        <v>-5.5536068720019349</v>
      </c>
      <c r="T64" s="275">
        <v>-5.5079119911827972</v>
      </c>
      <c r="U64" s="275">
        <v>-5.4619626871046378</v>
      </c>
      <c r="V64" s="275">
        <v>-5.4157639163732281</v>
      </c>
      <c r="W64" s="275">
        <v>-5.3693220505565016</v>
      </c>
      <c r="X64" s="275">
        <v>-5.3226448925511143</v>
      </c>
      <c r="Y64" s="275">
        <v>-5.2757416742066114</v>
      </c>
      <c r="Z64" s="275">
        <v>-5.22862303495942</v>
      </c>
      <c r="AA64" s="275">
        <v>-5.1813009818528819</v>
      </c>
      <c r="AB64" s="275">
        <v>-5.133788831927224</v>
      </c>
      <c r="AC64" s="275">
        <v>-5.0861011385202586</v>
      </c>
      <c r="AD64" s="275">
        <v>-5.0382536034980472</v>
      </c>
      <c r="AE64" s="275">
        <v>-4.9902629778130736</v>
      </c>
      <c r="AF64" s="275">
        <v>-4.9421469530546389</v>
      </c>
      <c r="AG64" s="275">
        <v>-4.8939240468085012</v>
      </c>
      <c r="AH64" s="275">
        <v>-4.845613484685062</v>
      </c>
      <c r="AI64" s="275">
        <v>-4.7972350818174796</v>
      </c>
      <c r="AJ64" s="275">
        <v>-4.7488091264867807</v>
      </c>
      <c r="AK64" s="275">
        <v>-4.700356268315482</v>
      </c>
      <c r="AL64" s="275">
        <v>-4.6518974131993813</v>
      </c>
      <c r="AM64" s="275">
        <v>-4.6034536268326294</v>
      </c>
      <c r="AN64" s="275">
        <v>-4.5550460483359414</v>
      </c>
      <c r="AO64" s="275">
        <v>-4.5066958151312297</v>
      </c>
      <c r="AP64" s="275">
        <v>-4.4584239998259658</v>
      </c>
      <c r="AQ64" s="275">
        <v>-4.4102515594834832</v>
      </c>
      <c r="AR64" s="275">
        <v>-4.3621992972664376</v>
      </c>
      <c r="AS64" s="275">
        <v>-4.3142878360545494</v>
      </c>
      <c r="AT64" s="275">
        <v>-4.2665376032596267</v>
      </c>
      <c r="AU64" s="275">
        <v>-4.2189688256961304</v>
      </c>
      <c r="AV64" s="275">
        <v>-4.171601533020473</v>
      </c>
      <c r="AW64" s="275">
        <v>-4.1244555679339818</v>
      </c>
      <c r="AX64" s="275">
        <v>-4.0775506010603584</v>
      </c>
      <c r="AY64" s="275">
        <v>-4.0309061481654629</v>
      </c>
      <c r="AZ64" s="275">
        <v>-3.9845415871915071</v>
      </c>
      <c r="BA64" s="275">
        <v>-3.9384761724325479</v>
      </c>
      <c r="BB64" s="275">
        <v>-3.8927290430855188</v>
      </c>
      <c r="BC64" s="275">
        <v>-3.8473192233702731</v>
      </c>
      <c r="BD64" s="275">
        <v>-3.802265611423048</v>
      </c>
      <c r="BE64" s="275">
        <v>-3.7575869542323148</v>
      </c>
      <c r="BF64" s="275">
        <v>-3.713301806011466</v>
      </c>
      <c r="BG64" s="275">
        <v>-3.6694284676053188</v>
      </c>
      <c r="BH64" s="275">
        <v>-3.6259849048322281</v>
      </c>
      <c r="BI64" s="275">
        <v>-3.5829886441063321</v>
      </c>
      <c r="BJ64" s="275">
        <v>-3.5404566443062331</v>
      </c>
      <c r="BK64" s="275">
        <v>-3.4984051446976299</v>
      </c>
      <c r="BL64" s="275">
        <v>-3.456849489808739</v>
      </c>
      <c r="BM64" s="275">
        <v>-3.415803933504741</v>
      </c>
      <c r="BN64" s="275">
        <v>-3.3752814260828181</v>
      </c>
      <c r="BO64" s="275">
        <v>-3.3352933899348329</v>
      </c>
      <c r="BP64" s="275">
        <v>-3.2958494910706362</v>
      </c>
      <c r="BQ64" s="275">
        <v>-3.256957415379953</v>
      </c>
      <c r="BR64" s="275">
        <v>-3.2186226597189012</v>
      </c>
      <c r="BS64" s="275">
        <v>-3.1808483485155379</v>
      </c>
      <c r="BT64" s="275">
        <v>-3.143635086406956</v>
      </c>
      <c r="BU64" s="275">
        <v>-3.106980856334109</v>
      </c>
      <c r="BV64" s="275">
        <v>-3.07088097052721</v>
      </c>
      <c r="BW64" s="275">
        <v>-3.035328079042936</v>
      </c>
      <c r="BX64" s="275">
        <v>-3.0003122372185231</v>
      </c>
      <c r="BY64" s="275">
        <v>-2.9658210299289731</v>
      </c>
      <c r="BZ64" s="275">
        <v>-2.931839747247976</v>
      </c>
      <c r="CA64" s="275">
        <v>-2.8983516033646799</v>
      </c>
      <c r="CB64" s="275">
        <v>-2.865337988653637</v>
      </c>
      <c r="CC64" s="275">
        <v>-2.8327787437673142</v>
      </c>
      <c r="CD64" s="275">
        <v>-2.8006524445217842</v>
      </c>
      <c r="CE64" s="275">
        <v>-2.7689366870665708</v>
      </c>
      <c r="CF64" s="275">
        <v>-2.7376083641807138</v>
      </c>
      <c r="CG64" s="275">
        <v>-2.7066439252960999</v>
      </c>
      <c r="CH64" s="275">
        <v>-2.6760196147940079</v>
      </c>
      <c r="CI64" s="275">
        <v>-2.645711685060157</v>
      </c>
      <c r="CJ64" s="275">
        <v>-2.615696582568956</v>
      </c>
      <c r="CK64" s="275">
        <v>-2.5859511068009282</v>
      </c>
      <c r="CL64" s="275">
        <v>-2.5564525430206171</v>
      </c>
      <c r="CM64" s="275">
        <v>-2.5271787708383981</v>
      </c>
      <c r="CN64" s="275">
        <v>-2.4981083510548538</v>
      </c>
      <c r="CO64" s="275">
        <v>-2.4692205935702289</v>
      </c>
      <c r="CP64" s="275"/>
      <c r="CQ64" s="276">
        <v>-7.0859028385090497</v>
      </c>
      <c r="CR64" s="276">
        <v>-7.0296769702776132</v>
      </c>
      <c r="CS64" s="276">
        <v>-6.9734408753189374</v>
      </c>
      <c r="CT64" s="276">
        <v>-6.917202181922816</v>
      </c>
      <c r="CU64" s="276">
        <v>-6.8609688528389201</v>
      </c>
      <c r="CV64" s="276">
        <v>-6.80474915088171</v>
      </c>
      <c r="CW64" s="276">
        <v>-6.7485515970946306</v>
      </c>
      <c r="CX64" s="276">
        <v>-6.6923849212775437</v>
      </c>
      <c r="CY64" s="276">
        <v>-6.6362580048525377</v>
      </c>
      <c r="CZ64" s="276">
        <v>-6.580179816244228</v>
      </c>
      <c r="DA64" s="276">
        <v>-6.5241593391779311</v>
      </c>
      <c r="DB64" s="276">
        <v>-6.468205494545364</v>
      </c>
      <c r="DC64" s="276">
        <v>-6.4123270567443473</v>
      </c>
      <c r="DD64" s="276">
        <v>-6.3565325656531781</v>
      </c>
      <c r="DE64" s="276">
        <v>-6.3008302356398964</v>
      </c>
      <c r="DF64" s="276">
        <v>-6.2452278632150096</v>
      </c>
      <c r="DG64" s="276">
        <v>-6.1897327351010576</v>
      </c>
      <c r="DH64" s="276">
        <v>-6.1343515385991916</v>
      </c>
      <c r="DI64" s="276">
        <v>-6.0790902761742576</v>
      </c>
      <c r="DJ64" s="276">
        <v>-6.0239541861504122</v>
      </c>
      <c r="DK64" s="276">
        <v>-5.9689476713117102</v>
      </c>
      <c r="DL64" s="276">
        <v>-5.9140742370449946</v>
      </c>
      <c r="DM64" s="276">
        <v>-5.8593364404606021</v>
      </c>
      <c r="DN64" s="276">
        <v>-5.8047358517016612</v>
      </c>
      <c r="DO64" s="276">
        <v>-5.7502730284287704</v>
      </c>
      <c r="DP64" s="276">
        <v>-5.6959475042708787</v>
      </c>
      <c r="DQ64" s="276">
        <v>-5.6417577918892716</v>
      </c>
      <c r="DR64" s="276">
        <v>-5.5877014012306176</v>
      </c>
      <c r="DS64" s="276">
        <v>-5.5337748735610246</v>
      </c>
      <c r="DT64" s="276">
        <v>-5.4799738319799287</v>
      </c>
      <c r="DU64" s="276">
        <v>-5.4262930493048094</v>
      </c>
      <c r="DV64" s="276">
        <v>-5.3727265344773807</v>
      </c>
      <c r="DW64" s="276">
        <v>-5.319267638940004</v>
      </c>
      <c r="DX64" s="276">
        <v>-5.2659091847278257</v>
      </c>
      <c r="DY64" s="276">
        <v>-5.2126436162685152</v>
      </c>
      <c r="DZ64" s="276">
        <v>-5.159463178020439</v>
      </c>
      <c r="EA64" s="276">
        <v>-5.1063601200505868</v>
      </c>
      <c r="EB64" s="276">
        <v>-5.0533269333925404</v>
      </c>
      <c r="EC64" s="276">
        <v>-5.0003566164726934</v>
      </c>
      <c r="ED64" s="276">
        <v>-4.9474429729998093</v>
      </c>
      <c r="EE64" s="276">
        <v>-4.894580940445417</v>
      </c>
      <c r="EF64" s="276">
        <v>-4.841766946593653</v>
      </c>
      <c r="EG64" s="276">
        <v>-4.7889992896381646</v>
      </c>
      <c r="EH64" s="276">
        <v>-4.7362785350251242</v>
      </c>
      <c r="EI64" s="276">
        <v>-4.6836079198110818</v>
      </c>
      <c r="EJ64" s="276">
        <v>-4.6309937528999772</v>
      </c>
      <c r="EK64" s="276">
        <v>-4.5784457973637203</v>
      </c>
      <c r="EL64" s="276">
        <v>-4.5259776193777093</v>
      </c>
      <c r="EM64" s="276">
        <v>-4.4736068873479642</v>
      </c>
      <c r="EN64" s="276">
        <v>-4.4213556047573954</v>
      </c>
      <c r="EO64" s="276">
        <v>-4.3692502612166626</v>
      </c>
      <c r="EP64" s="276">
        <v>-4.3173218881596123</v>
      </c>
      <c r="EQ64" s="276">
        <v>-4.2656060084417584</v>
      </c>
      <c r="ER64" s="276">
        <v>-4.2141424725396872</v>
      </c>
      <c r="ES64" s="276">
        <v>-4.162975177797863</v>
      </c>
      <c r="ET64" s="276">
        <v>-4.112151670899455</v>
      </c>
      <c r="EU64" s="276">
        <v>-4.0617226371712061</v>
      </c>
      <c r="EV64" s="276">
        <v>-4.0117412832882238</v>
      </c>
      <c r="EW64" s="276">
        <v>-3.9622626223757411</v>
      </c>
      <c r="EX64" s="276">
        <v>-3.9133426724944762</v>
      </c>
      <c r="EY64" s="276">
        <v>-3.8650375812318969</v>
      </c>
      <c r="EZ64" s="276">
        <v>-3.8174026908423211</v>
      </c>
      <c r="FA64" s="276">
        <v>-3.7704915603066671</v>
      </c>
      <c r="FB64" s="276">
        <v>-3.7243549629559309</v>
      </c>
      <c r="FC64" s="276">
        <v>-3.6790398809171001</v>
      </c>
      <c r="FD64" s="276">
        <v>-3.6345885204174082</v>
      </c>
      <c r="FE64" s="276">
        <v>-3.5910373745666839</v>
      </c>
      <c r="FF64" s="276">
        <v>-3.5484163621368752</v>
      </c>
      <c r="FG64" s="276">
        <v>-3.5067480715239081</v>
      </c>
      <c r="FH64" s="276">
        <v>-3.4660471380130171</v>
      </c>
      <c r="FI64" s="276">
        <v>-3.4263197793495062</v>
      </c>
      <c r="FJ64" s="272">
        <v>-3.3875635093919252</v>
      </c>
      <c r="FK64" s="272">
        <v>-3.3497670425693391</v>
      </c>
      <c r="FL64" s="272">
        <v>-3.3129103935697568</v>
      </c>
      <c r="FM64" s="272">
        <v>-3.2769651679662859</v>
      </c>
      <c r="FN64" s="272">
        <v>-3.241895031237418</v>
      </c>
      <c r="FO64" s="272">
        <v>-3.207656336665988</v>
      </c>
      <c r="FP64" s="272">
        <v>-3.174198887489093</v>
      </c>
      <c r="FQ64" s="272">
        <v>-3.1414668056777488</v>
      </c>
      <c r="FR64" s="272">
        <v>-3.109399478778121</v>
      </c>
      <c r="FS64" s="272">
        <v>-3.0779325569956719</v>
      </c>
      <c r="FT64" s="272">
        <v>-3.0469989746229218</v>
      </c>
      <c r="FU64" s="272">
        <v>-3.0165299724262669</v>
      </c>
      <c r="FV64" s="272">
        <v>-2.9864561002044079</v>
      </c>
      <c r="FW64" s="272">
        <v>-2.9567081810495441</v>
      </c>
      <c r="FX64" s="272">
        <v>-2.9272182207153219</v>
      </c>
      <c r="FY64" s="272">
        <v>-2.8979202469580971</v>
      </c>
      <c r="FZ64" s="272">
        <v>-2.868751064967257</v>
      </c>
      <c r="GA64" s="272">
        <v>-2.8396509163396231</v>
      </c>
      <c r="GB64" s="272">
        <v>-2.8105640307985311</v>
      </c>
      <c r="GC64" s="272">
        <v>-2.7814390622641332</v>
      </c>
    </row>
    <row r="65" spans="2:185" ht="15" thickBot="1" x14ac:dyDescent="0.4">
      <c r="B65" s="298">
        <v>59</v>
      </c>
      <c r="C65" s="275">
        <v>-6.4638364876613066</v>
      </c>
      <c r="D65" s="275">
        <v>-6.4219355270447052</v>
      </c>
      <c r="E65" s="275">
        <v>-6.3798357740907496</v>
      </c>
      <c r="F65" s="275">
        <v>-6.3375306285455837</v>
      </c>
      <c r="G65" s="275">
        <v>-6.2950136248647004</v>
      </c>
      <c r="H65" s="275">
        <v>-6.2522784946400138</v>
      </c>
      <c r="I65" s="275">
        <v>-6.2093192353061326</v>
      </c>
      <c r="J65" s="275">
        <v>-6.1661301848470513</v>
      </c>
      <c r="K65" s="275">
        <v>-6.1227061020094524</v>
      </c>
      <c r="L65" s="275">
        <v>-6.0790422512896587</v>
      </c>
      <c r="M65" s="275">
        <v>-6.0351344917042038</v>
      </c>
      <c r="N65" s="275">
        <v>-5.9909793680896479</v>
      </c>
      <c r="O65" s="275">
        <v>-5.9465742034182041</v>
      </c>
      <c r="P65" s="275">
        <v>-5.9019171903775423</v>
      </c>
      <c r="Q65" s="275">
        <v>-5.8570074802629444</v>
      </c>
      <c r="R65" s="275">
        <v>-5.8118452670853218</v>
      </c>
      <c r="S65" s="275">
        <v>-5.7664318647265054</v>
      </c>
      <c r="T65" s="275">
        <v>-5.720769774987029</v>
      </c>
      <c r="U65" s="275">
        <v>-5.6748627444814508</v>
      </c>
      <c r="V65" s="275">
        <v>-5.6287158085449054</v>
      </c>
      <c r="W65" s="275">
        <v>-5.5823353206187996</v>
      </c>
      <c r="X65" s="275">
        <v>-5.5357289659719289</v>
      </c>
      <c r="Y65" s="275">
        <v>-5.4889057590683166</v>
      </c>
      <c r="Z65" s="275">
        <v>-5.4418760243907798</v>
      </c>
      <c r="AA65" s="275">
        <v>-5.3946513610429996</v>
      </c>
      <c r="AB65" s="275">
        <v>-5.3472445919546772</v>
      </c>
      <c r="AC65" s="275">
        <v>-5.2996696989776559</v>
      </c>
      <c r="AD65" s="275">
        <v>-5.2519417455633928</v>
      </c>
      <c r="AE65" s="275">
        <v>-5.204076789036689</v>
      </c>
      <c r="AF65" s="275">
        <v>-5.15609178471649</v>
      </c>
      <c r="AG65" s="275">
        <v>-5.1080044842779371</v>
      </c>
      <c r="AH65" s="275">
        <v>-5.0598333308020784</v>
      </c>
      <c r="AI65" s="275">
        <v>-5.0115973529272564</v>
      </c>
      <c r="AJ65" s="275">
        <v>-4.9633160604082924</v>
      </c>
      <c r="AK65" s="275">
        <v>-4.9150093432176423</v>
      </c>
      <c r="AL65" s="275">
        <v>-4.8666973760980019</v>
      </c>
      <c r="AM65" s="275">
        <v>-4.8184005302096367</v>
      </c>
      <c r="AN65" s="275">
        <v>-4.7701392932180244</v>
      </c>
      <c r="AO65" s="275">
        <v>-4.7219341988469949</v>
      </c>
      <c r="AP65" s="275">
        <v>-4.6738057665869359</v>
      </c>
      <c r="AQ65" s="275">
        <v>-4.6257744519031521</v>
      </c>
      <c r="AR65" s="275">
        <v>-4.577860606942016</v>
      </c>
      <c r="AS65" s="275">
        <v>-4.5300844513871592</v>
      </c>
      <c r="AT65" s="275">
        <v>-4.4824660527800289</v>
      </c>
      <c r="AU65" s="275">
        <v>-4.435025315294439</v>
      </c>
      <c r="AV65" s="275">
        <v>-4.3877819756486138</v>
      </c>
      <c r="AW65" s="275">
        <v>-4.3407556045577156</v>
      </c>
      <c r="AX65" s="275">
        <v>-4.2939656118804246</v>
      </c>
      <c r="AY65" s="275">
        <v>-4.2474312534015999</v>
      </c>
      <c r="AZ65" s="275">
        <v>-4.2011716370236414</v>
      </c>
      <c r="BA65" s="275">
        <v>-4.1552057260165984</v>
      </c>
      <c r="BB65" s="275">
        <v>-4.1095523369033682</v>
      </c>
      <c r="BC65" s="275">
        <v>-4.0642301295338346</v>
      </c>
      <c r="BD65" s="275">
        <v>-4.0192575869330556</v>
      </c>
      <c r="BE65" s="275">
        <v>-3.974652982597922</v>
      </c>
      <c r="BF65" s="275">
        <v>-3.9304343330729621</v>
      </c>
      <c r="BG65" s="275">
        <v>-3.8866193338728272</v>
      </c>
      <c r="BH65" s="275">
        <v>-3.8432252771560842</v>
      </c>
      <c r="BI65" s="275">
        <v>-3.8002689500169642</v>
      </c>
      <c r="BJ65" s="275">
        <v>-3.75776651287409</v>
      </c>
      <c r="BK65" s="275">
        <v>-3.7157333582203869</v>
      </c>
      <c r="BL65" s="275">
        <v>-3.6741839509671088</v>
      </c>
      <c r="BM65" s="275">
        <v>-3.6331316527584918</v>
      </c>
      <c r="BN65" s="275">
        <v>-3.5925885339154799</v>
      </c>
      <c r="BO65" s="275">
        <v>-3.5525651780166312</v>
      </c>
      <c r="BP65" s="275">
        <v>-3.5130704854351702</v>
      </c>
      <c r="BQ65" s="275">
        <v>-3.474111483285971</v>
      </c>
      <c r="BR65" s="275">
        <v>-3.4356931500394059</v>
      </c>
      <c r="BS65" s="275">
        <v>-3.3978182633784062</v>
      </c>
      <c r="BT65" s="275">
        <v>-3.3604872795877681</v>
      </c>
      <c r="BU65" s="275">
        <v>-3.3236982518058009</v>
      </c>
      <c r="BV65" s="275">
        <v>-3.2874467928510112</v>
      </c>
      <c r="BW65" s="275">
        <v>-3.2517260861645458</v>
      </c>
      <c r="BX65" s="275">
        <v>-3.2165269458666619</v>
      </c>
      <c r="BY65" s="275">
        <v>-3.1818379242571062</v>
      </c>
      <c r="BZ65" s="275">
        <v>-3.1476454625590682</v>
      </c>
      <c r="CA65" s="275">
        <v>-3.11393407855945</v>
      </c>
      <c r="CB65" s="275">
        <v>-3.0806865832216621</v>
      </c>
      <c r="CC65" s="275">
        <v>-3.047884317446433</v>
      </c>
      <c r="CD65" s="275">
        <v>-3.015507399948361</v>
      </c>
      <c r="CE65" s="275">
        <v>-2.983534977636829</v>
      </c>
      <c r="CF65" s="275">
        <v>-2.9519454708180559</v>
      </c>
      <c r="CG65" s="275">
        <v>-2.9207168068152618</v>
      </c>
      <c r="CH65" s="275">
        <v>-2.8898266370753909</v>
      </c>
      <c r="CI65" s="275">
        <v>-2.859252534346389</v>
      </c>
      <c r="CJ65" s="275">
        <v>-2.828972167947859</v>
      </c>
      <c r="CK65" s="275">
        <v>-2.7989634564333201</v>
      </c>
      <c r="CL65" s="275">
        <v>-2.769204697997063</v>
      </c>
      <c r="CM65" s="275">
        <v>-2.73967467978775</v>
      </c>
      <c r="CN65" s="275">
        <v>-2.7103527678500861</v>
      </c>
      <c r="CO65" s="275">
        <v>-2.681218979741288</v>
      </c>
      <c r="CP65" s="275"/>
      <c r="CQ65" s="276">
        <v>-7.3160400744685674</v>
      </c>
      <c r="CR65" s="276">
        <v>-7.2599460937000027</v>
      </c>
      <c r="CS65" s="276">
        <v>-7.2038454104752629</v>
      </c>
      <c r="CT65" s="276">
        <v>-7.1477453585947961</v>
      </c>
      <c r="CU65" s="276">
        <v>-7.0916535645353918</v>
      </c>
      <c r="CV65" s="276">
        <v>-7.035577913397872</v>
      </c>
      <c r="CW65" s="276">
        <v>-6.9795265082569724</v>
      </c>
      <c r="CX65" s="276">
        <v>-6.9235076228135606</v>
      </c>
      <c r="CY65" s="276">
        <v>-6.8675296474035159</v>
      </c>
      <c r="CZ65" s="276">
        <v>-6.8116010285945903</v>
      </c>
      <c r="DA65" s="276">
        <v>-6.7557302027993309</v>
      </c>
      <c r="DB65" s="276">
        <v>-6.6999255245415616</v>
      </c>
      <c r="DC65" s="276">
        <v>-6.6441951902293432</v>
      </c>
      <c r="DD65" s="276">
        <v>-6.5885471584980158</v>
      </c>
      <c r="DE65" s="276">
        <v>-6.5329890683828014</v>
      </c>
      <c r="DF65" s="276">
        <v>-6.4775281567499006</v>
      </c>
      <c r="DG65" s="276">
        <v>-6.4221711765473799</v>
      </c>
      <c r="DH65" s="276">
        <v>-6.3669243175233579</v>
      </c>
      <c r="DI65" s="276">
        <v>-6.3117931310932827</v>
      </c>
      <c r="DJ65" s="276">
        <v>-6.2567824610170204</v>
      </c>
      <c r="DK65" s="276">
        <v>-6.201896381473917</v>
      </c>
      <c r="DL65" s="276">
        <v>-6.1471381440055959</v>
      </c>
      <c r="DM65" s="276">
        <v>-6.0925101346453756</v>
      </c>
      <c r="DN65" s="276">
        <v>-6.0380138423847391</v>
      </c>
      <c r="DO65" s="276">
        <v>-5.9836498399605356</v>
      </c>
      <c r="DP65" s="276">
        <v>-5.9294177778002997</v>
      </c>
      <c r="DQ65" s="276">
        <v>-5.8753163918552831</v>
      </c>
      <c r="DR65" s="276">
        <v>-5.8213435259959274</v>
      </c>
      <c r="DS65" s="276">
        <v>-5.7674961696510429</v>
      </c>
      <c r="DT65" s="276">
        <v>-5.713770511441866</v>
      </c>
      <c r="DU65" s="276">
        <v>-5.660162009688146</v>
      </c>
      <c r="DV65" s="276">
        <v>-5.6066654808298972</v>
      </c>
      <c r="DW65" s="276">
        <v>-5.5532752069907394</v>
      </c>
      <c r="DX65" s="276">
        <v>-5.4999850640733561</v>
      </c>
      <c r="DY65" s="276">
        <v>-5.446788671885189</v>
      </c>
      <c r="DZ65" s="276">
        <v>-5.3936795677970606</v>
      </c>
      <c r="EA65" s="276">
        <v>-5.340651405291954</v>
      </c>
      <c r="EB65" s="276">
        <v>-5.2876981784178918</v>
      </c>
      <c r="EC65" s="276">
        <v>-5.2348144725759758</v>
      </c>
      <c r="ED65" s="276">
        <v>-5.1819957412193718</v>
      </c>
      <c r="EE65" s="276">
        <v>-5.1292386068955604</v>
      </c>
      <c r="EF65" s="276">
        <v>-5.0765411836385228</v>
      </c>
      <c r="EG65" s="276">
        <v>-5.023903416045794</v>
      </c>
      <c r="EH65" s="276">
        <v>-4.9713274285275988</v>
      </c>
      <c r="EI65" s="276">
        <v>-4.918817876299288</v>
      </c>
      <c r="EJ65" s="276">
        <v>-4.8663822878447762</v>
      </c>
      <c r="EK65" s="276">
        <v>-4.8140313869755742</v>
      </c>
      <c r="EL65" s="276">
        <v>-4.7617793814231346</v>
      </c>
      <c r="EM65" s="276">
        <v>-4.7096442042955378</v>
      </c>
      <c r="EN65" s="276">
        <v>-4.657647694828726</v>
      </c>
      <c r="EO65" s="276">
        <v>-4.605815705731156</v>
      </c>
      <c r="EP65" s="276">
        <v>-4.5541781260436007</v>
      </c>
      <c r="EQ65" s="276">
        <v>-4.5027688107140502</v>
      </c>
      <c r="ER65" s="276">
        <v>-4.4516254108512037</v>
      </c>
      <c r="ES65" s="276">
        <v>-4.4007891016516574</v>
      </c>
      <c r="ET65" s="276">
        <v>-4.3503042080712717</v>
      </c>
      <c r="EU65" s="276">
        <v>-4.3002177312351506</v>
      </c>
      <c r="EV65" s="276">
        <v>-4.2505787812237079</v>
      </c>
      <c r="EW65" s="276">
        <v>-4.2014379241880784</v>
      </c>
      <c r="EX65" s="276">
        <v>-4.1528464537747452</v>
      </c>
      <c r="EY65" s="276">
        <v>-4.1048555986797881</v>
      </c>
      <c r="EZ65" s="276">
        <v>-4.0575156799407406</v>
      </c>
      <c r="FA65" s="276">
        <v>-4.0108752334276527</v>
      </c>
      <c r="FB65" s="276">
        <v>-3.964980114973879</v>
      </c>
      <c r="FC65" s="276">
        <v>-3.919872607655801</v>
      </c>
      <c r="FD65" s="276">
        <v>-3.8755905527388772</v>
      </c>
      <c r="FE65" s="276">
        <v>-3.8321665274945862</v>
      </c>
      <c r="FF65" s="276">
        <v>-3.789627094119485</v>
      </c>
      <c r="FG65" s="276">
        <v>-3.7479921439920592</v>
      </c>
      <c r="FH65" s="276">
        <v>-3.7072743601725882</v>
      </c>
      <c r="FI65" s="276">
        <v>-3.6674788182018321</v>
      </c>
      <c r="FJ65" s="272">
        <v>-3.6286027408896788</v>
      </c>
      <c r="FK65" s="272">
        <v>-3.5906354171266699</v>
      </c>
      <c r="FL65" s="272">
        <v>-3.553558288227145</v>
      </c>
      <c r="FM65" s="272">
        <v>-3.5173451984923019</v>
      </c>
      <c r="FN65" s="272">
        <v>-3.4819628001875449</v>
      </c>
      <c r="FO65" s="272">
        <v>-3.4473710975267169</v>
      </c>
      <c r="FP65" s="272">
        <v>-3.4135241099649338</v>
      </c>
      <c r="FQ65" s="272">
        <v>-3.3803706323300768</v>
      </c>
      <c r="FR65" s="272">
        <v>-3.347855068059165</v>
      </c>
      <c r="FS65" s="272">
        <v>-3.3159183118446069</v>
      </c>
      <c r="FT65" s="272">
        <v>-3.2844986590062901</v>
      </c>
      <c r="FU65" s="272">
        <v>-3.25353272050834</v>
      </c>
      <c r="FV65" s="272">
        <v>-3.222956324384711</v>
      </c>
      <c r="FW65" s="272">
        <v>-3.1927053861648029</v>
      </c>
      <c r="FX65" s="272">
        <v>-3.1627167325627328</v>
      </c>
      <c r="FY65" s="272">
        <v>-3.1329288642071669</v>
      </c>
      <c r="FZ65" s="272">
        <v>-3.1032826446454709</v>
      </c>
      <c r="GA65" s="272">
        <v>-3.0737219044304291</v>
      </c>
      <c r="GB65" s="272">
        <v>-3.044193950973102</v>
      </c>
      <c r="GC65" s="272">
        <v>-3.0146499771668589</v>
      </c>
    </row>
    <row r="66" spans="2:185" ht="15" thickBot="1" x14ac:dyDescent="0.4">
      <c r="B66" s="298">
        <v>60</v>
      </c>
      <c r="C66" s="275">
        <v>-6.6770077652399626</v>
      </c>
      <c r="D66" s="275">
        <v>-6.6350490141237026</v>
      </c>
      <c r="E66" s="275">
        <v>-6.5928936464939794</v>
      </c>
      <c r="F66" s="275">
        <v>-6.5505355102227876</v>
      </c>
      <c r="G66" s="275">
        <v>-6.5079686128605614</v>
      </c>
      <c r="H66" s="275">
        <v>-6.4651871810751533</v>
      </c>
      <c r="I66" s="275">
        <v>-6.4221857254762194</v>
      </c>
      <c r="J66" s="275">
        <v>-6.3789591104979024</v>
      </c>
      <c r="K66" s="275">
        <v>-6.3355026288254166</v>
      </c>
      <c r="L66" s="275">
        <v>-6.2918120796467676</v>
      </c>
      <c r="M66" s="275">
        <v>-6.2478838497954987</v>
      </c>
      <c r="N66" s="275">
        <v>-6.2037149966333462</v>
      </c>
      <c r="O66" s="275">
        <v>-6.1593033313133869</v>
      </c>
      <c r="P66" s="275">
        <v>-6.1146475008773722</v>
      </c>
      <c r="Q66" s="275">
        <v>-6.0697470674888612</v>
      </c>
      <c r="R66" s="275">
        <v>-6.0246025830003473</v>
      </c>
      <c r="S66" s="275">
        <v>-5.9792156570099468</v>
      </c>
      <c r="T66" s="275">
        <v>-5.9335890165915659</v>
      </c>
      <c r="U66" s="275">
        <v>-5.8877265559884604</v>
      </c>
      <c r="V66" s="275">
        <v>-5.8416333747449531</v>
      </c>
      <c r="W66" s="275">
        <v>-5.7953158030118006</v>
      </c>
      <c r="X66" s="275">
        <v>-5.7487814130873094</v>
      </c>
      <c r="Y66" s="275">
        <v>-5.7020390166355472</v>
      </c>
      <c r="Z66" s="275">
        <v>-5.6550986474353611</v>
      </c>
      <c r="AA66" s="275">
        <v>-5.6079715299395643</v>
      </c>
      <c r="AB66" s="275">
        <v>-5.5606700343400179</v>
      </c>
      <c r="AC66" s="275">
        <v>-5.5132076192212844</v>
      </c>
      <c r="AD66" s="275">
        <v>-5.4655987632247447</v>
      </c>
      <c r="AE66" s="275">
        <v>-5.4178588874228426</v>
      </c>
      <c r="AF66" s="275">
        <v>-5.3700042703099138</v>
      </c>
      <c r="AG66" s="275">
        <v>-5.3220519574474787</v>
      </c>
      <c r="AH66" s="275">
        <v>-5.2740196678580702</v>
      </c>
      <c r="AI66" s="275">
        <v>-5.2259256992459333</v>
      </c>
      <c r="AJ66" s="275">
        <v>-5.1777888340422296</v>
      </c>
      <c r="AK66" s="275">
        <v>-5.1296282481343649</v>
      </c>
      <c r="AL66" s="275">
        <v>-5.0814634239529308</v>
      </c>
      <c r="AM66" s="275">
        <v>-5.0333140693644021</v>
      </c>
      <c r="AN66" s="275">
        <v>-4.9852000435616626</v>
      </c>
      <c r="AO66" s="275">
        <v>-4.9371412908654086</v>
      </c>
      <c r="AP66" s="275">
        <v>-4.8891577830545687</v>
      </c>
      <c r="AQ66" s="275">
        <v>-4.8412694705392756</v>
      </c>
      <c r="AR66" s="275">
        <v>-4.793496242381436</v>
      </c>
      <c r="AS66" s="275">
        <v>-4.7458578948609356</v>
      </c>
      <c r="AT66" s="275">
        <v>-4.6983741079854173</v>
      </c>
      <c r="AU66" s="275">
        <v>-4.6510644290536449</v>
      </c>
      <c r="AV66" s="275">
        <v>-4.6039482621125423</v>
      </c>
      <c r="AW66" s="275">
        <v>-4.5570448619013204</v>
      </c>
      <c r="AX66" s="275">
        <v>-4.5103733306587968</v>
      </c>
      <c r="AY66" s="275">
        <v>-4.4639526159869094</v>
      </c>
      <c r="AZ66" s="275">
        <v>-4.4178015078194042</v>
      </c>
      <c r="BA66" s="275">
        <v>-4.3719386324439391</v>
      </c>
      <c r="BB66" s="275">
        <v>-4.3263824414713294</v>
      </c>
      <c r="BC66" s="275">
        <v>-4.2811511936413229</v>
      </c>
      <c r="BD66" s="275">
        <v>-4.2362629274032209</v>
      </c>
      <c r="BE66" s="275">
        <v>-4.1917354223181498</v>
      </c>
      <c r="BF66" s="275">
        <v>-4.1475861475051428</v>
      </c>
      <c r="BG66" s="275">
        <v>-4.1038321956072661</v>
      </c>
      <c r="BH66" s="275">
        <v>-4.060490201100567</v>
      </c>
      <c r="BI66" s="275">
        <v>-4.0175762422236012</v>
      </c>
      <c r="BJ66" s="275">
        <v>-3.9751057263835219</v>
      </c>
      <c r="BK66" s="275">
        <v>-3.9330932596055268</v>
      </c>
      <c r="BL66" s="275">
        <v>-3.8915525014353651</v>
      </c>
      <c r="BM66" s="275">
        <v>-3.850496007662449</v>
      </c>
      <c r="BN66" s="275">
        <v>-3.8099350642667029</v>
      </c>
      <c r="BO66" s="275">
        <v>-3.7698795170435551</v>
      </c>
      <c r="BP66" s="275">
        <v>-3.7303376023437278</v>
      </c>
      <c r="BQ66" s="275">
        <v>-3.691315785174023</v>
      </c>
      <c r="BR66" s="275">
        <v>-3.652818611430642</v>
      </c>
      <c r="BS66" s="275">
        <v>-3.6148485811740598</v>
      </c>
      <c r="BT66" s="275">
        <v>-3.5774060495243392</v>
      </c>
      <c r="BU66" s="275">
        <v>-3.540489160923201</v>
      </c>
      <c r="BV66" s="275">
        <v>-3.5040938211937531</v>
      </c>
      <c r="BW66" s="275">
        <v>-3.4682137101126682</v>
      </c>
      <c r="BX66" s="275">
        <v>-3.432840335229232</v>
      </c>
      <c r="BY66" s="275">
        <v>-3.397963125596724</v>
      </c>
      <c r="BZ66" s="275">
        <v>-3.363569562113828</v>
      </c>
      <c r="CA66" s="275">
        <v>-3.329645339482826</v>
      </c>
      <c r="CB66" s="275">
        <v>-3.2961745535161868</v>
      </c>
      <c r="CC66" s="275">
        <v>-3.2631399067456548</v>
      </c>
      <c r="CD66" s="275">
        <v>-3.2305229250309329</v>
      </c>
      <c r="CE66" s="275">
        <v>-3.198304178092398</v>
      </c>
      <c r="CF66" s="275">
        <v>-3.166463497524469</v>
      </c>
      <c r="CG66" s="275">
        <v>-3.1349801867761999</v>
      </c>
      <c r="CH66" s="275">
        <v>-3.1038332186965172</v>
      </c>
      <c r="CI66" s="275">
        <v>-3.0730014174210769</v>
      </c>
      <c r="CJ66" s="275">
        <v>-3.042463622530418</v>
      </c>
      <c r="CK66" s="275">
        <v>-3.0121988344600399</v>
      </c>
      <c r="CL66" s="275">
        <v>-2.9821863410411291</v>
      </c>
      <c r="CM66" s="275">
        <v>-2.952405825767118</v>
      </c>
      <c r="CN66" s="275">
        <v>-2.9228374589059412</v>
      </c>
      <c r="CO66" s="275">
        <v>-2.89346197291774</v>
      </c>
      <c r="CP66" s="275"/>
      <c r="CQ66" s="276">
        <v>-7.5462705243412476</v>
      </c>
      <c r="CR66" s="276">
        <v>-7.4903061815394478</v>
      </c>
      <c r="CS66" s="276">
        <v>-7.4343383565612582</v>
      </c>
      <c r="CT66" s="276">
        <v>-7.3783740954528358</v>
      </c>
      <c r="CU66" s="276">
        <v>-7.3224206997662957</v>
      </c>
      <c r="CV66" s="276">
        <v>-7.2664856931994732</v>
      </c>
      <c r="CW66" s="276">
        <v>-7.2105767824042699</v>
      </c>
      <c r="CX66" s="276">
        <v>-7.1547018119392174</v>
      </c>
      <c r="CY66" s="276">
        <v>-7.0988687134791606</v>
      </c>
      <c r="CZ66" s="276">
        <v>-7.0430854495512412</v>
      </c>
      <c r="DA66" s="276">
        <v>-6.9873599522359484</v>
      </c>
      <c r="DB66" s="276">
        <v>-6.9317000574509384</v>
      </c>
      <c r="DC66" s="276">
        <v>-6.8761134356163831</v>
      </c>
      <c r="DD66" s="276">
        <v>-6.8206075196762139</v>
      </c>
      <c r="DE66" s="276">
        <v>-6.7651894316111152</v>
      </c>
      <c r="DF66" s="276">
        <v>-6.7098659087179788</v>
      </c>
      <c r="DG66" s="276">
        <v>-6.6546432310386692</v>
      </c>
      <c r="DH66" s="276">
        <v>-6.5995271513917286</v>
      </c>
      <c r="DI66" s="276">
        <v>-6.5445228294898889</v>
      </c>
      <c r="DJ66" s="276">
        <v>-6.4896347716130691</v>
      </c>
      <c r="DK66" s="276">
        <v>-6.4348667772522337</v>
      </c>
      <c r="DL66" s="276">
        <v>-6.3802218940511448</v>
      </c>
      <c r="DM66" s="276">
        <v>-6.3257023822593599</v>
      </c>
      <c r="DN66" s="276">
        <v>-6.2713096897824787</v>
      </c>
      <c r="DO66" s="276">
        <v>-6.2170444387896593</v>
      </c>
      <c r="DP66" s="276">
        <v>-6.1629064247261649</v>
      </c>
      <c r="DQ66" s="276">
        <v>-6.1088946284943964</v>
      </c>
      <c r="DR66" s="276">
        <v>-6.0550072425187356</v>
      </c>
      <c r="DS66" s="276">
        <v>-6.0012417114044014</v>
      </c>
      <c r="DT66" s="276">
        <v>-5.9475947879362856</v>
      </c>
      <c r="DU66" s="276">
        <v>-5.8940626052349741</v>
      </c>
      <c r="DV66" s="276">
        <v>-5.8406407659781587</v>
      </c>
      <c r="DW66" s="276">
        <v>-5.7873244496873442</v>
      </c>
      <c r="DX66" s="276">
        <v>-5.7341085391434046</v>
      </c>
      <c r="DY66" s="276">
        <v>-5.6809877669992899</v>
      </c>
      <c r="DZ66" s="276">
        <v>-5.6279568835677223</v>
      </c>
      <c r="EA66" s="276">
        <v>-5.5750108465405468</v>
      </c>
      <c r="EB66" s="276">
        <v>-5.5221450330090596</v>
      </c>
      <c r="EC66" s="276">
        <v>-5.4693554735730796</v>
      </c>
      <c r="ED66" s="276">
        <v>-5.4166391075307354</v>
      </c>
      <c r="EE66" s="276">
        <v>-5.3639940571264102</v>
      </c>
      <c r="EF66" s="276">
        <v>-5.3114199176146633</v>
      </c>
      <c r="EG66" s="276">
        <v>-5.2589180585104716</v>
      </c>
      <c r="EH66" s="276">
        <v>-5.2064919299043231</v>
      </c>
      <c r="EI66" s="276">
        <v>-5.1541473662130226</v>
      </c>
      <c r="EJ66" s="276">
        <v>-5.1018928783267352</v>
      </c>
      <c r="EK66" s="276">
        <v>-5.0497399239254781</v>
      </c>
      <c r="EL66" s="276">
        <v>-4.9977031449045493</v>
      </c>
      <c r="EM66" s="276">
        <v>-4.9458005604842494</v>
      </c>
      <c r="EN66" s="276">
        <v>-4.8940537047703874</v>
      </c>
      <c r="EO66" s="276">
        <v>-4.8424876983194798</v>
      </c>
      <c r="EP66" s="276">
        <v>-4.7911312446298098</v>
      </c>
      <c r="EQ66" s="276">
        <v>-4.7400165443550764</v>
      </c>
      <c r="ER66" s="276">
        <v>-4.689179122298996</v>
      </c>
      <c r="ES66" s="276">
        <v>-4.6386575647456931</v>
      </c>
      <c r="ET66" s="276">
        <v>-4.5884931672539304</v>
      </c>
      <c r="EU66" s="276">
        <v>-4.5387294955541746</v>
      </c>
      <c r="EV66" s="276">
        <v>-4.4894118645395791</v>
      </c>
      <c r="EW66" s="276">
        <v>-4.4405867424894296</v>
      </c>
      <c r="EX66" s="276">
        <v>-4.3923010896169101</v>
      </c>
      <c r="EY66" s="276">
        <v>-4.3446016418396018</v>
      </c>
      <c r="EZ66" s="276">
        <v>-4.2975341523983586</v>
      </c>
      <c r="FA66" s="276">
        <v>-4.2511426056515011</v>
      </c>
      <c r="FB66" s="276">
        <v>-4.2054684190610461</v>
      </c>
      <c r="FC66" s="276">
        <v>-4.1605496510163853</v>
      </c>
      <c r="FD66" s="276">
        <v>-4.1164202335855986</v>
      </c>
      <c r="FE66" s="276">
        <v>-4.0731092503569606</v>
      </c>
      <c r="FF66" s="276">
        <v>-4.0306402799979777</v>
      </c>
      <c r="FG66" s="276">
        <v>-3.9890308257810032</v>
      </c>
      <c r="FH66" s="276">
        <v>-3.9482918499078181</v>
      </c>
      <c r="FI66" s="276">
        <v>-3.908427428911474</v>
      </c>
      <c r="FJ66" s="272">
        <v>-3.8694345427533592</v>
      </c>
      <c r="FK66" s="272">
        <v>-3.8313030056437101</v>
      </c>
      <c r="FL66" s="272">
        <v>-3.7940155414082581</v>
      </c>
      <c r="FM66" s="272">
        <v>-3.757548000807736</v>
      </c>
      <c r="FN66" s="272">
        <v>-3.721869713031408</v>
      </c>
      <c r="FO66" s="272">
        <v>-3.6869439590313031</v>
      </c>
      <c r="FP66" s="272">
        <v>-3.652728550748904</v>
      </c>
      <c r="FQ66" s="272">
        <v>-3.6191764977754199</v>
      </c>
      <c r="FR66" s="272">
        <v>-3.5862367416017582</v>
      </c>
      <c r="FS66" s="272">
        <v>-3.5538549372393979</v>
      </c>
      <c r="FT66" s="272">
        <v>-3.5219742624223742</v>
      </c>
      <c r="FU66" s="272">
        <v>-3.4905362355863589</v>
      </c>
      <c r="FV66" s="272">
        <v>-3.459481525123258</v>
      </c>
      <c r="FW66" s="272">
        <v>-3.4287507338441849</v>
      </c>
      <c r="FX66" s="272">
        <v>-3.3982851440392432</v>
      </c>
      <c r="FY66" s="272">
        <v>-3.368027409974875</v>
      </c>
      <c r="FZ66" s="272">
        <v>-3.337922186163234</v>
      </c>
      <c r="GA66" s="272">
        <v>-3.3079166813653131</v>
      </c>
      <c r="GB66" s="272">
        <v>-3.2779611301495111</v>
      </c>
      <c r="GC66" s="272">
        <v>-3.2480091759941372</v>
      </c>
    </row>
    <row r="67" spans="2:185" ht="15" thickBot="1" x14ac:dyDescent="0.4">
      <c r="B67" s="298">
        <v>61</v>
      </c>
      <c r="C67" s="275">
        <v>-6.8900846544027843</v>
      </c>
      <c r="D67" s="275">
        <v>-6.8480714377114644</v>
      </c>
      <c r="E67" s="275">
        <v>-6.8058639670956156</v>
      </c>
      <c r="F67" s="275">
        <v>-6.7634565207590054</v>
      </c>
      <c r="G67" s="275">
        <v>-6.7208435577109844</v>
      </c>
      <c r="H67" s="275">
        <v>-6.6780197741726557</v>
      </c>
      <c r="I67" s="275">
        <v>-6.6349801645845279</v>
      </c>
      <c r="J67" s="275">
        <v>-6.5917200868595671</v>
      </c>
      <c r="K67" s="275">
        <v>-6.5482353313630854</v>
      </c>
      <c r="L67" s="275">
        <v>-6.5045221929270252</v>
      </c>
      <c r="M67" s="275">
        <v>-6.4605775450264904</v>
      </c>
      <c r="N67" s="275">
        <v>-6.416398915068334</v>
      </c>
      <c r="O67" s="275">
        <v>-6.3719845595745888</v>
      </c>
      <c r="P67" s="275">
        <v>-6.3273335378970197</v>
      </c>
      <c r="Q67" s="275">
        <v>-6.282445782984527</v>
      </c>
      <c r="R67" s="275">
        <v>-6.237322167652076</v>
      </c>
      <c r="S67" s="275">
        <v>-6.191964564778452</v>
      </c>
      <c r="T67" s="275">
        <v>-6.1463758998971914</v>
      </c>
      <c r="U67" s="275">
        <v>-6.1005601947449266</v>
      </c>
      <c r="V67" s="275">
        <v>-6.0545226004949866</v>
      </c>
      <c r="W67" s="275">
        <v>-6.008269419627835</v>
      </c>
      <c r="X67" s="275">
        <v>-5.9618081156659741</v>
      </c>
      <c r="Y67" s="275">
        <v>-5.9151473103184511</v>
      </c>
      <c r="Z67" s="275">
        <v>-5.8682967679238214</v>
      </c>
      <c r="AA67" s="275">
        <v>-5.8212673674346753</v>
      </c>
      <c r="AB67" s="275">
        <v>-5.7740710625341096</v>
      </c>
      <c r="AC67" s="275">
        <v>-5.7267208307985911</v>
      </c>
      <c r="AD67" s="275">
        <v>-5.67923061310817</v>
      </c>
      <c r="AE67" s="275">
        <v>-5.6316152447425019</v>
      </c>
      <c r="AF67" s="275">
        <v>-5.583890379781181</v>
      </c>
      <c r="AG67" s="275">
        <v>-5.5360724105455432</v>
      </c>
      <c r="AH67" s="275">
        <v>-5.4881783838750708</v>
      </c>
      <c r="AI67" s="275">
        <v>-5.4402259160268036</v>
      </c>
      <c r="AJ67" s="275">
        <v>-5.3922331079254278</v>
      </c>
      <c r="AK67" s="275">
        <v>-5.3442184623803151</v>
      </c>
      <c r="AL67" s="275">
        <v>-5.2962008047313613</v>
      </c>
      <c r="AM67" s="275">
        <v>-5.2481992081944124</v>
      </c>
      <c r="AN67" s="275">
        <v>-5.2002329249572741</v>
      </c>
      <c r="AO67" s="275">
        <v>-5.1523213238350838</v>
      </c>
      <c r="AP67" s="275">
        <v>-5.1044838350357766</v>
      </c>
      <c r="AQ67" s="275">
        <v>-5.0567399023184114</v>
      </c>
      <c r="AR67" s="275">
        <v>-5.0091089425548967</v>
      </c>
      <c r="AS67" s="275">
        <v>-4.9616103124341544</v>
      </c>
      <c r="AT67" s="275">
        <v>-4.9142632817827501</v>
      </c>
      <c r="AU67" s="275">
        <v>-4.8670870127221519</v>
      </c>
      <c r="AV67" s="275">
        <v>-4.820100543645677</v>
      </c>
      <c r="AW67" s="275">
        <v>-4.7733227767827797</v>
      </c>
      <c r="AX67" s="275">
        <v>-4.726772467929921</v>
      </c>
      <c r="AY67" s="275">
        <v>-4.6804682167703993</v>
      </c>
      <c r="AZ67" s="275">
        <v>-4.6344284560850877</v>
      </c>
      <c r="BA67" s="275">
        <v>-4.588671438075413</v>
      </c>
      <c r="BB67" s="275">
        <v>-4.5432152159837047</v>
      </c>
      <c r="BC67" s="275">
        <v>-4.4980776192071881</v>
      </c>
      <c r="BD67" s="275">
        <v>-4.4532762201654279</v>
      </c>
      <c r="BE67" s="275">
        <v>-4.4088282913017247</v>
      </c>
      <c r="BF67" s="275">
        <v>-4.3647507507840926</v>
      </c>
      <c r="BG67" s="275">
        <v>-4.3210600957292096</v>
      </c>
      <c r="BH67" s="275">
        <v>-4.2777723221127024</v>
      </c>
      <c r="BI67" s="275">
        <v>-4.234902830960757</v>
      </c>
      <c r="BJ67" s="275">
        <v>-4.1924663209481157</v>
      </c>
      <c r="BK67" s="275">
        <v>-4.15047666815751</v>
      </c>
      <c r="BL67" s="275">
        <v>-4.1089467944781441</v>
      </c>
      <c r="BM67" s="275">
        <v>-4.0678885269158176</v>
      </c>
      <c r="BN67" s="275">
        <v>-4.02731245091889</v>
      </c>
      <c r="BO67" s="275">
        <v>-3.9872277616411909</v>
      </c>
      <c r="BP67" s="275">
        <v>-3.947642117797451</v>
      </c>
      <c r="BQ67" s="275">
        <v>-3.9085615033416872</v>
      </c>
      <c r="BR67" s="275">
        <v>-3.86999010253456</v>
      </c>
      <c r="BS67" s="275">
        <v>-3.8319301939902251</v>
      </c>
      <c r="BT67" s="275">
        <v>-3.794382068957026</v>
      </c>
      <c r="BU67" s="275">
        <v>-3.757343978370435</v>
      </c>
      <c r="BV67" s="275">
        <v>-3.720812112143618</v>
      </c>
      <c r="BW67" s="275">
        <v>-3.6847806127950369</v>
      </c>
      <c r="BX67" s="275">
        <v>-3.6492416239554459</v>
      </c>
      <c r="BY67" s="275">
        <v>-3.6141853726771229</v>
      </c>
      <c r="BZ67" s="275">
        <v>-3.5796002829232498</v>
      </c>
      <c r="CA67" s="275">
        <v>-3.5454731162736448</v>
      </c>
      <c r="CB67" s="275">
        <v>-3.51178913484735</v>
      </c>
      <c r="CC67" s="275">
        <v>-3.4785322807776691</v>
      </c>
      <c r="CD67" s="275">
        <v>-3.4456853663037141</v>
      </c>
      <c r="CE67" s="275">
        <v>-3.4132302686454481</v>
      </c>
      <c r="CF67" s="275">
        <v>-3.3811481242547639</v>
      </c>
      <c r="CG67" s="275">
        <v>-3.3494195177087578</v>
      </c>
      <c r="CH67" s="275">
        <v>-3.3180246613484541</v>
      </c>
      <c r="CI67" s="275">
        <v>-3.2869435626820298</v>
      </c>
      <c r="CJ67" s="275">
        <v>-3.2561561774906251</v>
      </c>
      <c r="CK67" s="275">
        <v>-3.225642547435625</v>
      </c>
      <c r="CL67" s="275">
        <v>-3.195382921723148</v>
      </c>
      <c r="CM67" s="275">
        <v>-3.165357863006983</v>
      </c>
      <c r="CN67" s="275">
        <v>-3.1355483381912039</v>
      </c>
      <c r="CO67" s="275">
        <v>-3.1059357951294828</v>
      </c>
      <c r="CP67" s="275"/>
      <c r="CQ67" s="276">
        <v>-7.7765907156658791</v>
      </c>
      <c r="CR67" s="276">
        <v>-7.7207537919377902</v>
      </c>
      <c r="CS67" s="276">
        <v>-7.6649163329592369</v>
      </c>
      <c r="CT67" s="276">
        <v>-7.6090851054875923</v>
      </c>
      <c r="CU67" s="276">
        <v>-7.5532670988509292</v>
      </c>
      <c r="CV67" s="276">
        <v>-7.4974694925497829</v>
      </c>
      <c r="CW67" s="276">
        <v>-7.4416996187221862</v>
      </c>
      <c r="CX67" s="276">
        <v>-7.3859649195049037</v>
      </c>
      <c r="CY67" s="276">
        <v>-7.3302728994476549</v>
      </c>
      <c r="CZ67" s="276">
        <v>-7.2746310732730972</v>
      </c>
      <c r="DA67" s="276">
        <v>-7.2190469094227723</v>
      </c>
      <c r="DB67" s="276">
        <v>-7.1635277699817639</v>
      </c>
      <c r="DC67" s="276">
        <v>-7.1080808477279689</v>
      </c>
      <c r="DD67" s="276">
        <v>-7.0527131011986661</v>
      </c>
      <c r="DE67" s="276">
        <v>-6.9974311888016061</v>
      </c>
      <c r="DF67" s="276">
        <v>-6.9422414031123783</v>
      </c>
      <c r="DG67" s="276">
        <v>-6.8871496065891051</v>
      </c>
      <c r="DH67" s="276">
        <v>-6.8321611699948139</v>
      </c>
      <c r="DI67" s="276">
        <v>-6.7772809148435353</v>
      </c>
      <c r="DJ67" s="276">
        <v>-6.7225130611782014</v>
      </c>
      <c r="DK67" s="276">
        <v>-6.6678611819491742</v>
      </c>
      <c r="DL67" s="276">
        <v>-6.6133281651949627</v>
      </c>
      <c r="DM67" s="276">
        <v>-6.5589161851408093</v>
      </c>
      <c r="DN67" s="276">
        <v>-6.5046266832328934</v>
      </c>
      <c r="DO67" s="276">
        <v>-6.4504603600282167</v>
      </c>
      <c r="DP67" s="276">
        <v>-6.3964171787713511</v>
      </c>
      <c r="DQ67" s="276">
        <v>-6.3424963814185649</v>
      </c>
      <c r="DR67" s="276">
        <v>-6.2886965178239294</v>
      </c>
      <c r="DS67" s="276">
        <v>-6.2350154887831586</v>
      </c>
      <c r="DT67" s="276">
        <v>-6.1814506036378738</v>
      </c>
      <c r="DU67" s="276">
        <v>-6.1279986531684472</v>
      </c>
      <c r="DV67" s="276">
        <v>-6.0746559985359374</v>
      </c>
      <c r="DW67" s="276">
        <v>-6.0214186770549123</v>
      </c>
      <c r="DX67" s="276">
        <v>-5.968282525567945</v>
      </c>
      <c r="DY67" s="276">
        <v>-5.9152433221230352</v>
      </c>
      <c r="DZ67" s="276">
        <v>-5.8622969465011776</v>
      </c>
      <c r="EA67" s="276">
        <v>-5.8094395598742494</v>
      </c>
      <c r="EB67" s="276">
        <v>-5.7566678034698828</v>
      </c>
      <c r="EC67" s="276">
        <v>-5.7039790155607442</v>
      </c>
      <c r="ED67" s="276">
        <v>-5.651371465370242</v>
      </c>
      <c r="EE67" s="276">
        <v>-5.5988446015979534</v>
      </c>
      <c r="EF67" s="276">
        <v>-5.5463993122330848</v>
      </c>
      <c r="EG67" s="276">
        <v>-5.4940381911788521</v>
      </c>
      <c r="EH67" s="276">
        <v>-5.4417658060100633</v>
      </c>
      <c r="EI67" s="276">
        <v>-5.3895889600030644</v>
      </c>
      <c r="EJ67" s="276">
        <v>-5.3375169405006222</v>
      </c>
      <c r="EK67" s="276">
        <v>-5.2855617447998267</v>
      </c>
      <c r="EL67" s="276">
        <v>-5.2337382741755789</v>
      </c>
      <c r="EM67" s="276">
        <v>-5.182064486458005</v>
      </c>
      <c r="EN67" s="276">
        <v>-5.1305614978299534</v>
      </c>
      <c r="EO67" s="276">
        <v>-5.079253625225487</v>
      </c>
      <c r="EP67" s="276">
        <v>-5.0281683618792741</v>
      </c>
      <c r="EQ67" s="276">
        <v>-4.9773362801453409</v>
      </c>
      <c r="ER67" s="276">
        <v>-4.9267908575857167</v>
      </c>
      <c r="ES67" s="276">
        <v>-4.8765682244158324</v>
      </c>
      <c r="ET67" s="276">
        <v>-4.8267068325720706</v>
      </c>
      <c r="EU67" s="276">
        <v>-4.7772470488349947</v>
      </c>
      <c r="EV67" s="276">
        <v>-4.7282306765247828</v>
      </c>
      <c r="EW67" s="276">
        <v>-4.6797004122402388</v>
      </c>
      <c r="EX67" s="276">
        <v>-4.6316992459303394</v>
      </c>
      <c r="EY67" s="276">
        <v>-4.5842698142827487</v>
      </c>
      <c r="EZ67" s="276">
        <v>-4.5374537190121274</v>
      </c>
      <c r="FA67" s="276">
        <v>-4.4912908231473976</v>
      </c>
      <c r="FB67" s="276">
        <v>-4.4458185398404577</v>
      </c>
      <c r="FC67" s="276">
        <v>-4.4010711294963052</v>
      </c>
      <c r="FD67" s="276">
        <v>-4.3570790220580289</v>
      </c>
      <c r="FE67" s="276">
        <v>-4.3138681819325084</v>
      </c>
      <c r="FF67" s="276">
        <v>-4.2714595331536209</v>
      </c>
      <c r="FG67" s="276">
        <v>-4.2298684617942168</v>
      </c>
      <c r="FH67" s="276">
        <v>-4.1891044112392297</v>
      </c>
      <c r="FI67" s="276">
        <v>-4.1491705836698696</v>
      </c>
      <c r="FJ67" s="272">
        <v>-4.1100637580264276</v>
      </c>
      <c r="FK67" s="272">
        <v>-4.0717742309562386</v>
      </c>
      <c r="FL67" s="272">
        <v>-4.0342858830464881</v>
      </c>
      <c r="FM67" s="272">
        <v>-3.9975763682824579</v>
      </c>
      <c r="FN67" s="272">
        <v>-3.961617420477038</v>
      </c>
      <c r="FO67" s="272">
        <v>-3.9263752666765792</v>
      </c>
      <c r="FP67" s="272">
        <v>-3.8918111344902719</v>
      </c>
      <c r="FQ67" s="272">
        <v>-3.8578818380484972</v>
      </c>
      <c r="FR67" s="272">
        <v>-3.8245404259038369</v>
      </c>
      <c r="FS67" s="272">
        <v>-3.791736873589028</v>
      </c>
      <c r="FT67" s="272">
        <v>-3.7594188036108722</v>
      </c>
      <c r="FU67" s="272">
        <v>-3.7275322162293021</v>
      </c>
      <c r="FV67" s="272">
        <v>-3.696022215283139</v>
      </c>
      <c r="FW67" s="272">
        <v>-3.6648337144461811</v>
      </c>
      <c r="FX67" s="272">
        <v>-3.6339121105419898</v>
      </c>
      <c r="FY67" s="272">
        <v>-3.6032039118790542</v>
      </c>
      <c r="FZ67" s="272">
        <v>-3.5726573110008069</v>
      </c>
      <c r="GA67" s="272">
        <v>-3.5422226928184579</v>
      </c>
      <c r="GB67" s="272">
        <v>-3.5118530708556772</v>
      </c>
      <c r="GC67" s="272">
        <v>-3.481504446312822</v>
      </c>
    </row>
    <row r="68" spans="2:185" ht="15" thickBot="1" x14ac:dyDescent="0.4">
      <c r="B68" s="298">
        <v>62</v>
      </c>
      <c r="C68" s="275">
        <v>-7.1030748331183933</v>
      </c>
      <c r="D68" s="275">
        <v>-7.0610104816800758</v>
      </c>
      <c r="E68" s="275">
        <v>-7.0187544031111662</v>
      </c>
      <c r="F68" s="275">
        <v>-6.9763012878651152</v>
      </c>
      <c r="G68" s="275">
        <v>-6.9336460249181151</v>
      </c>
      <c r="H68" s="275">
        <v>-6.8907837551511451</v>
      </c>
      <c r="I68" s="275">
        <v>-6.8477099286489533</v>
      </c>
      <c r="J68" s="275">
        <v>-6.8044203655450604</v>
      </c>
      <c r="K68" s="275">
        <v>-6.7609113199021724</v>
      </c>
      <c r="L68" s="275">
        <v>-6.7171795459694872</v>
      </c>
      <c r="M68" s="275">
        <v>-6.6732223660089094</v>
      </c>
      <c r="N68" s="275">
        <v>-6.6290377387364483</v>
      </c>
      <c r="O68" s="275">
        <v>-6.584624327291138</v>
      </c>
      <c r="P68" s="275">
        <v>-6.5399815655296702</v>
      </c>
      <c r="Q68" s="275">
        <v>-6.4951097213587428</v>
      </c>
      <c r="R68" s="275">
        <v>-6.4500099557672614</v>
      </c>
      <c r="S68" s="275">
        <v>-6.4046843762139272</v>
      </c>
      <c r="T68" s="275">
        <v>-6.3591360830672494</v>
      </c>
      <c r="U68" s="275">
        <v>-6.3133692078881456</v>
      </c>
      <c r="V68" s="275">
        <v>-6.267388942489692</v>
      </c>
      <c r="W68" s="275">
        <v>-6.2212015579008533</v>
      </c>
      <c r="X68" s="275">
        <v>-6.1748144125956017</v>
      </c>
      <c r="Y68" s="275">
        <v>-6.1282359496154992</v>
      </c>
      <c r="Z68" s="275">
        <v>-6.081475682502032</v>
      </c>
      <c r="AA68" s="275">
        <v>-6.0345441702509577</v>
      </c>
      <c r="AB68" s="275">
        <v>-5.9874529817918738</v>
      </c>
      <c r="AC68" s="275">
        <v>-5.9402146507683957</v>
      </c>
      <c r="AD68" s="275">
        <v>-5.8928426216368681</v>
      </c>
      <c r="AE68" s="275">
        <v>-5.8453511883042477</v>
      </c>
      <c r="AF68" s="275">
        <v>-5.7977554266820981</v>
      </c>
      <c r="AG68" s="275">
        <v>-5.7500711226393681</v>
      </c>
      <c r="AH68" s="275">
        <v>-5.702314696890042</v>
      </c>
      <c r="AI68" s="275">
        <v>-5.6545031283540528</v>
      </c>
      <c r="AJ68" s="275">
        <v>-5.6066538774837396</v>
      </c>
      <c r="AK68" s="275">
        <v>-5.5587848109580129</v>
      </c>
      <c r="AL68" s="275">
        <v>-5.5109141290176149</v>
      </c>
      <c r="AM68" s="275">
        <v>-5.4630602965530084</v>
      </c>
      <c r="AN68" s="275">
        <v>-5.4152419788679449</v>
      </c>
      <c r="AO68" s="275">
        <v>-5.3674779828320274</v>
      </c>
      <c r="AP68" s="275">
        <v>-5.3197872039107006</v>
      </c>
      <c r="AQ68" s="275">
        <v>-5.2721885793265333</v>
      </c>
      <c r="AR68" s="275">
        <v>-5.2247010473663673</v>
      </c>
      <c r="AS68" s="275">
        <v>-5.1773435126104479</v>
      </c>
      <c r="AT68" s="275">
        <v>-5.1301348166265166</v>
      </c>
      <c r="AU68" s="275">
        <v>-5.0830937134493883</v>
      </c>
      <c r="AV68" s="275">
        <v>-5.0362388489592984</v>
      </c>
      <c r="AW68" s="275">
        <v>-4.9895887430853199</v>
      </c>
      <c r="AX68" s="275">
        <v>-4.9431617735979616</v>
      </c>
      <c r="AY68" s="275">
        <v>-4.8969761601221222</v>
      </c>
      <c r="AZ68" s="275">
        <v>-4.8510499469022319</v>
      </c>
      <c r="BA68" s="275">
        <v>-4.8054009827894566</v>
      </c>
      <c r="BB68" s="275">
        <v>-4.7600468969000431</v>
      </c>
      <c r="BC68" s="275">
        <v>-4.7150050684183142</v>
      </c>
      <c r="BD68" s="275">
        <v>-4.6702925890913232</v>
      </c>
      <c r="BE68" s="275">
        <v>-4.6259262170895727</v>
      </c>
      <c r="BF68" s="275">
        <v>-4.5819223210950311</v>
      </c>
      <c r="BG68" s="275">
        <v>-4.5382968137294908</v>
      </c>
      <c r="BH68" s="275">
        <v>-4.4950650737593634</v>
      </c>
      <c r="BI68" s="275">
        <v>-4.452241856911435</v>
      </c>
      <c r="BJ68" s="275">
        <v>-4.4098411956101291</v>
      </c>
      <c r="BK68" s="275">
        <v>-4.3678762884963902</v>
      </c>
      <c r="BL68" s="275">
        <v>-4.3263593812010379</v>
      </c>
      <c r="BM68" s="275">
        <v>-4.2853016405003146</v>
      </c>
      <c r="BN68" s="275">
        <v>-4.2447130246469094</v>
      </c>
      <c r="BO68" s="275">
        <v>-4.2046021533028446</v>
      </c>
      <c r="BP68" s="275">
        <v>-4.1649761810489716</v>
      </c>
      <c r="BQ68" s="275">
        <v>-4.1258406788515662</v>
      </c>
      <c r="BR68" s="275">
        <v>-4.0871995280723903</v>
      </c>
      <c r="BS68" s="275">
        <v>-4.0490548315660808</v>
      </c>
      <c r="BT68" s="275">
        <v>-4.0114068460855377</v>
      </c>
      <c r="BU68" s="275">
        <v>-3.97425393960475</v>
      </c>
      <c r="BV68" s="275">
        <v>-3.9375925762898278</v>
      </c>
      <c r="BW68" s="275">
        <v>-3.9014173307541258</v>
      </c>
      <c r="BX68" s="275">
        <v>-3.8657209319989461</v>
      </c>
      <c r="BY68" s="275">
        <v>-3.830494336161935</v>
      </c>
      <c r="BZ68" s="275">
        <v>-3.795726825972114</v>
      </c>
      <c r="CA68" s="275">
        <v>-3.761406133737903</v>
      </c>
      <c r="CB68" s="275">
        <v>-3.7275185838498381</v>
      </c>
      <c r="CC68" s="275">
        <v>-3.6940492502138769</v>
      </c>
      <c r="CD68" s="275">
        <v>-3.6609821237645108</v>
      </c>
      <c r="CE68" s="275">
        <v>-3.6283002852314552</v>
      </c>
      <c r="CF68" s="275">
        <v>-3.595986078614605</v>
      </c>
      <c r="CG68" s="275">
        <v>-3.5640212813083272</v>
      </c>
      <c r="CH68" s="275">
        <v>-3.532387267445861</v>
      </c>
      <c r="CI68" s="275">
        <v>-3.5010651617441759</v>
      </c>
      <c r="CJ68" s="275">
        <v>-3.4700359818603839</v>
      </c>
      <c r="CK68" s="275">
        <v>-3.439280767972086</v>
      </c>
      <c r="CL68" s="275">
        <v>-3.408780698927687</v>
      </c>
      <c r="CM68" s="275">
        <v>-3.378517194852269</v>
      </c>
      <c r="CN68" s="275">
        <v>-3.3484720065260949</v>
      </c>
      <c r="CO68" s="275">
        <v>-3.3186272921721112</v>
      </c>
      <c r="CP68" s="275"/>
      <c r="CQ68" s="276">
        <v>-8.0069974258682954</v>
      </c>
      <c r="CR68" s="276">
        <v>-7.9512857460497264</v>
      </c>
      <c r="CS68" s="276">
        <v>-7.8955762328325809</v>
      </c>
      <c r="CT68" s="276">
        <v>-7.8398753834717327</v>
      </c>
      <c r="CU68" s="276">
        <v>-7.7841898887275374</v>
      </c>
      <c r="CV68" s="276">
        <v>-7.7285266016341989</v>
      </c>
      <c r="CW68" s="276">
        <v>-7.6728925017579028</v>
      </c>
      <c r="CX68" s="276">
        <v>-7.6172946550225529</v>
      </c>
      <c r="CY68" s="276">
        <v>-7.5617401692902178</v>
      </c>
      <c r="CZ68" s="276">
        <v>-7.5062361460032143</v>
      </c>
      <c r="DA68" s="276">
        <v>-7.4507896283223713</v>
      </c>
      <c r="DB68" s="276">
        <v>-7.395407546326318</v>
      </c>
      <c r="DC68" s="276">
        <v>-7.3400966599669362</v>
      </c>
      <c r="DD68" s="276">
        <v>-7.2848635005995597</v>
      </c>
      <c r="DE68" s="276">
        <v>-7.2297143120186824</v>
      </c>
      <c r="DF68" s="276">
        <v>-7.1746549920258991</v>
      </c>
      <c r="DG68" s="276">
        <v>-7.1196910356309608</v>
      </c>
      <c r="DH68" s="276">
        <v>-7.0648274810368674</v>
      </c>
      <c r="DI68" s="276">
        <v>-7.0100688595829146</v>
      </c>
      <c r="DJ68" s="276">
        <v>-6.9554191508157279</v>
      </c>
      <c r="DK68" s="276">
        <v>-6.9008817438290819</v>
      </c>
      <c r="DL68" s="276">
        <v>-6.8464594059626016</v>
      </c>
      <c r="DM68" s="276">
        <v>-6.7921542598824001</v>
      </c>
      <c r="DN68" s="276">
        <v>-6.7379677699902532</v>
      </c>
      <c r="DO68" s="276">
        <v>-6.6839007390295526</v>
      </c>
      <c r="DP68" s="276">
        <v>-6.62995331568235</v>
      </c>
      <c r="DQ68" s="276">
        <v>-6.5761250138894667</v>
      </c>
      <c r="DR68" s="276">
        <v>-6.5224147445778984</v>
      </c>
      <c r="DS68" s="276">
        <v>-6.4688208604480657</v>
      </c>
      <c r="DT68" s="276">
        <v>-6.4153412144558359</v>
      </c>
      <c r="DU68" s="276">
        <v>-6.3619732326133436</v>
      </c>
      <c r="DV68" s="276">
        <v>-6.3087140017193786</v>
      </c>
      <c r="DW68" s="276">
        <v>-6.2555603725990094</v>
      </c>
      <c r="DX68" s="276">
        <v>-6.2025090793665978</v>
      </c>
      <c r="DY68" s="276">
        <v>-6.1495568751066161</v>
      </c>
      <c r="DZ68" s="276">
        <v>-6.0967006841714717</v>
      </c>
      <c r="EA68" s="276">
        <v>-6.0439377710063189</v>
      </c>
      <c r="EB68" s="276">
        <v>-5.9912659250096656</v>
      </c>
      <c r="EC68" s="276">
        <v>-5.9386836604145801</v>
      </c>
      <c r="ED68" s="276">
        <v>-5.8861904295245786</v>
      </c>
      <c r="EE68" s="276">
        <v>-5.8337868468671141</v>
      </c>
      <c r="EF68" s="276">
        <v>-5.7814749209549046</v>
      </c>
      <c r="EG68" s="276">
        <v>-5.7292582894042354</v>
      </c>
      <c r="EH68" s="276">
        <v>-5.6771424521956284</v>
      </c>
      <c r="EI68" s="276">
        <v>-5.6251349969370859</v>
      </c>
      <c r="EJ68" s="276">
        <v>-5.5732458091709756</v>
      </c>
      <c r="EK68" s="276">
        <v>-5.52148726012806</v>
      </c>
      <c r="EL68" s="276">
        <v>-5.4698743639456007</v>
      </c>
      <c r="EM68" s="276">
        <v>-5.4184248962928709</v>
      </c>
      <c r="EN68" s="276">
        <v>-5.3671594666274984</v>
      </c>
      <c r="EO68" s="276">
        <v>-5.3161015369579872</v>
      </c>
      <c r="EP68" s="276">
        <v>-5.2652773809987492</v>
      </c>
      <c r="EQ68" s="276">
        <v>-5.2147159789352564</v>
      </c>
      <c r="ER68" s="276">
        <v>-5.1644488446042711</v>
      </c>
      <c r="ES68" s="276">
        <v>-5.1145097836594582</v>
      </c>
      <c r="ET68" s="276">
        <v>-5.0649345831529367</v>
      </c>
      <c r="EU68" s="276">
        <v>-5.0157606348421107</v>
      </c>
      <c r="EV68" s="276">
        <v>-4.9670264963680602</v>
      </c>
      <c r="EW68" s="276">
        <v>-4.9187713962061332</v>
      </c>
      <c r="EX68" s="276">
        <v>-4.8710346899422623</v>
      </c>
      <c r="EY68" s="276">
        <v>-4.8238552769737506</v>
      </c>
      <c r="EZ68" s="276">
        <v>-4.7772709881721198</v>
      </c>
      <c r="FA68" s="276">
        <v>-4.7313179563704679</v>
      </c>
      <c r="FB68" s="276">
        <v>-4.6860299827248388</v>
      </c>
      <c r="FC68" s="276">
        <v>-4.6414379129982288</v>
      </c>
      <c r="FD68" s="276">
        <v>-4.5975690385492047</v>
      </c>
      <c r="FE68" s="276">
        <v>-4.554446537175</v>
      </c>
      <c r="FF68" s="276">
        <v>-4.512088968852547</v>
      </c>
      <c r="FG68" s="276">
        <v>-4.4705098407392816</v>
      </c>
      <c r="FH68" s="276">
        <v>-4.4297172544701384</v>
      </c>
      <c r="FI68" s="276">
        <v>-4.3897136467983584</v>
      </c>
      <c r="FJ68" s="272">
        <v>-4.3504956320215102</v>
      </c>
      <c r="FK68" s="272">
        <v>-4.3120539515245042</v>
      </c>
      <c r="FL68" s="272">
        <v>-4.2743735323331382</v>
      </c>
      <c r="FM68" s="272">
        <v>-4.2374336530215029</v>
      </c>
      <c r="FN68" s="272">
        <v>-4.2012082118842136</v>
      </c>
      <c r="FO68" s="272">
        <v>-4.1656660891851107</v>
      </c>
      <c r="FP68" s="272">
        <v>-4.1307715926978723</v>
      </c>
      <c r="FQ68" s="272">
        <v>-4.0964849737700666</v>
      </c>
      <c r="FR68" s="272">
        <v>-4.0627629998096246</v>
      </c>
      <c r="FS68" s="272">
        <v>-4.0295595683864329</v>
      </c>
      <c r="FT68" s="272">
        <v>-3.9968263479866559</v>
      </c>
      <c r="FU68" s="272">
        <v>-3.964513430749907</v>
      </c>
      <c r="FV68" s="272">
        <v>-3.932569983151569</v>
      </c>
      <c r="FW68" s="272">
        <v>-3.900944881467451</v>
      </c>
      <c r="FX68" s="272">
        <v>-3.8695873199091109</v>
      </c>
      <c r="FY68" s="272">
        <v>-3.8384473805074082</v>
      </c>
      <c r="FZ68" s="272">
        <v>-3.8074765551424372</v>
      </c>
      <c r="GA68" s="272">
        <v>-3.7766282115801499</v>
      </c>
      <c r="GB68" s="272">
        <v>-3.7458579969942609</v>
      </c>
      <c r="GC68" s="272">
        <v>-3.715124174231569</v>
      </c>
    </row>
    <row r="69" spans="2:185" ht="15" thickBot="1" x14ac:dyDescent="0.4">
      <c r="B69" s="298">
        <v>63</v>
      </c>
      <c r="C69" s="275">
        <v>-7.3159855395060616</v>
      </c>
      <c r="D69" s="275">
        <v>-7.2738733728054301</v>
      </c>
      <c r="E69" s="275">
        <v>-7.2315721491777856</v>
      </c>
      <c r="F69" s="275">
        <v>-7.1890769531854248</v>
      </c>
      <c r="G69" s="275">
        <v>-7.1463830826143386</v>
      </c>
      <c r="H69" s="275">
        <v>-7.1034860988811399</v>
      </c>
      <c r="I69" s="275">
        <v>-7.0603818807608612</v>
      </c>
      <c r="J69" s="275">
        <v>-7.0170666810611122</v>
      </c>
      <c r="K69" s="275">
        <v>-6.9735371857476309</v>
      </c>
      <c r="L69" s="275">
        <v>-6.9297905749014994</v>
      </c>
      <c r="M69" s="275">
        <v>-6.8858245847637667</v>
      </c>
      <c r="N69" s="275">
        <v>-6.8416375700042664</v>
      </c>
      <c r="O69" s="275">
        <v>-6.7972285652442652</v>
      </c>
      <c r="P69" s="275">
        <v>-6.7525973447736751</v>
      </c>
      <c r="Q69" s="275">
        <v>-6.7077444793397154</v>
      </c>
      <c r="R69" s="275">
        <v>-6.6626713888509466</v>
      </c>
      <c r="S69" s="275">
        <v>-6.6173803898441639</v>
      </c>
      <c r="T69" s="275">
        <v>-6.5718747366052419</v>
      </c>
      <c r="U69" s="275">
        <v>-6.5261586549206916</v>
      </c>
      <c r="V69" s="275">
        <v>-6.4802373675638609</v>
      </c>
      <c r="W69" s="275">
        <v>-6.4341171107857367</v>
      </c>
      <c r="X69" s="275">
        <v>-6.3878051412798396</v>
      </c>
      <c r="Y69" s="275">
        <v>-6.3413097333160344</v>
      </c>
      <c r="Z69" s="275">
        <v>-6.2946401659804421</v>
      </c>
      <c r="AA69" s="275">
        <v>-6.2478067007073221</v>
      </c>
      <c r="AB69" s="275">
        <v>-6.2008205495330486</v>
      </c>
      <c r="AC69" s="275">
        <v>-6.1536938347319436</v>
      </c>
      <c r="AD69" s="275">
        <v>-6.106439540699073</v>
      </c>
      <c r="AE69" s="275">
        <v>-6.0590714591182779</v>
      </c>
      <c r="AF69" s="275">
        <v>-6.0116041285889814</v>
      </c>
      <c r="AG69" s="275">
        <v>-5.9640527699785348</v>
      </c>
      <c r="AH69" s="275">
        <v>-5.9164332188167306</v>
      </c>
      <c r="AI69" s="275">
        <v>-5.8687618560553654</v>
      </c>
      <c r="AJ69" s="275">
        <v>-5.8210555384807927</v>
      </c>
      <c r="AK69" s="275">
        <v>-5.7733315299939161</v>
      </c>
      <c r="AL69" s="275">
        <v>-5.7256074348645409</v>
      </c>
      <c r="AM69" s="275">
        <v>-5.6779011339298711</v>
      </c>
      <c r="AN69" s="275">
        <v>-5.6302307245453038</v>
      </c>
      <c r="AO69" s="275">
        <v>-5.582614464914708</v>
      </c>
      <c r="AP69" s="275">
        <v>-5.53507072323199</v>
      </c>
      <c r="AQ69" s="275">
        <v>-5.4876179318611467</v>
      </c>
      <c r="AR69" s="275">
        <v>-5.4402745465729279</v>
      </c>
      <c r="AS69" s="275">
        <v>-5.393059010647498</v>
      </c>
      <c r="AT69" s="275">
        <v>-5.3459897234486879</v>
      </c>
      <c r="AU69" s="275">
        <v>-5.2990850128813456</v>
      </c>
      <c r="AV69" s="275">
        <v>-5.2523631109633291</v>
      </c>
      <c r="AW69" s="275">
        <v>-5.205842131582223</v>
      </c>
      <c r="AX69" s="275">
        <v>-5.1595400493683723</v>
      </c>
      <c r="AY69" s="275">
        <v>-5.1134746785044367</v>
      </c>
      <c r="AZ69" s="275">
        <v>-5.067663650210914</v>
      </c>
      <c r="BA69" s="275">
        <v>-5.0221243876014618</v>
      </c>
      <c r="BB69" s="275">
        <v>-4.9768740765940613</v>
      </c>
      <c r="BC69" s="275">
        <v>-4.931929631598428</v>
      </c>
      <c r="BD69" s="275">
        <v>-4.887307654779864</v>
      </c>
      <c r="BE69" s="275">
        <v>-4.8430243878288506</v>
      </c>
      <c r="BF69" s="275">
        <v>-4.7990956553481281</v>
      </c>
      <c r="BG69" s="275">
        <v>-4.7555367992084774</v>
      </c>
      <c r="BH69" s="275">
        <v>-4.7123626035239958</v>
      </c>
      <c r="BI69" s="275">
        <v>-4.6695872102584532</v>
      </c>
      <c r="BJ69" s="275">
        <v>-4.6272240258949644</v>
      </c>
      <c r="BK69" s="275">
        <v>-4.5852856200750791</v>
      </c>
      <c r="BL69" s="275">
        <v>-4.5437836176286073</v>
      </c>
      <c r="BM69" s="275">
        <v>-4.5027285859522186</v>
      </c>
      <c r="BN69" s="275">
        <v>-4.4621299202257134</v>
      </c>
      <c r="BO69" s="275">
        <v>-4.421995729444923</v>
      </c>
      <c r="BP69" s="275">
        <v>-4.3823327266585812</v>
      </c>
      <c r="BQ69" s="275">
        <v>-4.3431461270804581</v>
      </c>
      <c r="BR69" s="275">
        <v>-4.3044395578660923</v>
      </c>
      <c r="BS69" s="275">
        <v>-4.2662149832628211</v>
      </c>
      <c r="BT69" s="275">
        <v>-4.22847264854218</v>
      </c>
      <c r="BU69" s="275">
        <v>-4.1912110456033984</v>
      </c>
      <c r="BV69" s="275">
        <v>-4.1544269024147473</v>
      </c>
      <c r="BW69" s="275">
        <v>-4.1181151975762029</v>
      </c>
      <c r="BX69" s="275">
        <v>-4.0822692003003542</v>
      </c>
      <c r="BY69" s="275">
        <v>-4.0468805350897101</v>
      </c>
      <c r="BZ69" s="275">
        <v>-4.0119392694121734</v>
      </c>
      <c r="CA69" s="275">
        <v>-3.9774340218131048</v>
      </c>
      <c r="CB69" s="275">
        <v>-3.9433520872106889</v>
      </c>
      <c r="CC69" s="275">
        <v>-3.9096795756404639</v>
      </c>
      <c r="CD69" s="275">
        <v>-3.876401560464239</v>
      </c>
      <c r="CE69" s="275">
        <v>-3.8435022320341399</v>
      </c>
      <c r="CF69" s="275">
        <v>-3.8109650529832271</v>
      </c>
      <c r="CG69" s="275">
        <v>-3.778772911663089</v>
      </c>
      <c r="CH69" s="275">
        <v>-3.7469082707218311</v>
      </c>
      <c r="CI69" s="275">
        <v>-3.715353308365124</v>
      </c>
      <c r="CJ69" s="275">
        <v>-3.6840900504223679</v>
      </c>
      <c r="CK69" s="275">
        <v>-3.653100491909786</v>
      </c>
      <c r="CL69" s="275">
        <v>-3.622366707309487</v>
      </c>
      <c r="CM69" s="275">
        <v>-3.5918709492454148</v>
      </c>
      <c r="CN69" s="275">
        <v>-3.5615957356190351</v>
      </c>
      <c r="CO69" s="275">
        <v>-3.5315239255641302</v>
      </c>
      <c r="CP69" s="275"/>
      <c r="CQ69" s="276">
        <v>-8.2374876620763153</v>
      </c>
      <c r="CR69" s="276">
        <v>-8.1818991048395198</v>
      </c>
      <c r="CS69" s="276">
        <v>-8.1263151969473899</v>
      </c>
      <c r="CT69" s="276">
        <v>-8.0707421769088015</v>
      </c>
      <c r="CU69" s="276">
        <v>-8.015186451194813</v>
      </c>
      <c r="CV69" s="276">
        <v>-7.9596545643230714</v>
      </c>
      <c r="CW69" s="276">
        <v>-7.9041531649963757</v>
      </c>
      <c r="CX69" s="276">
        <v>-7.8486889684061634</v>
      </c>
      <c r="CY69" s="276">
        <v>-7.7932687149093596</v>
      </c>
      <c r="CZ69" s="276">
        <v>-7.7378991253918104</v>
      </c>
      <c r="DA69" s="276">
        <v>-7.6825868537421016</v>
      </c>
      <c r="DB69" s="276">
        <v>-7.6273384369716766</v>
      </c>
      <c r="DC69" s="276">
        <v>-7.5721602436278612</v>
      </c>
      <c r="DD69" s="276">
        <v>-7.5170584212508169</v>
      </c>
      <c r="DE69" s="276">
        <v>-7.4620388437199896</v>
      </c>
      <c r="DF69" s="276">
        <v>-7.4071070594156838</v>
      </c>
      <c r="DG69" s="276">
        <v>-7.3522682411842091</v>
      </c>
      <c r="DH69" s="276">
        <v>-7.2975271391371654</v>
      </c>
      <c r="DI69" s="276">
        <v>-7.2428880373359368</v>
      </c>
      <c r="DJ69" s="276">
        <v>-7.1883547154112604</v>
      </c>
      <c r="DK69" s="276">
        <v>-7.1339304161457919</v>
      </c>
      <c r="DL69" s="276">
        <v>-7.0796178200080506</v>
      </c>
      <c r="DM69" s="276">
        <v>-7.0254190275730863</v>
      </c>
      <c r="DN69" s="276">
        <v>-6.9713355507030466</v>
      </c>
      <c r="DO69" s="276">
        <v>-6.9173683132957313</v>
      </c>
      <c r="DP69" s="276">
        <v>-6.8635176623449219</v>
      </c>
      <c r="DQ69" s="276">
        <v>-6.8097833899977926</v>
      </c>
      <c r="DR69" s="276">
        <v>-6.756164767243912</v>
      </c>
      <c r="DS69" s="276">
        <v>-6.7026605898269267</v>
      </c>
      <c r="DT69" s="276">
        <v>-6.6492692369323407</v>
      </c>
      <c r="DU69" s="276">
        <v>-6.5959887431656652</v>
      </c>
      <c r="DV69" s="276">
        <v>-6.5428168842875571</v>
      </c>
      <c r="DW69" s="276">
        <v>-6.489751277103557</v>
      </c>
      <c r="DX69" s="276">
        <v>-6.4367894938028662</v>
      </c>
      <c r="DY69" s="276">
        <v>-6.3839291908877662</v>
      </c>
      <c r="DZ69" s="276">
        <v>-6.3311682526179132</v>
      </c>
      <c r="EA69" s="276">
        <v>-6.2785049485976208</v>
      </c>
      <c r="EB69" s="276">
        <v>-6.2259381047485656</v>
      </c>
      <c r="EC69" s="276">
        <v>-6.1734672864287168</v>
      </c>
      <c r="ED69" s="276">
        <v>-6.1210929918814037</v>
      </c>
      <c r="EE69" s="276">
        <v>-6.0688168535344982</v>
      </c>
      <c r="EF69" s="276">
        <v>-6.0166418439382889</v>
      </c>
      <c r="EG69" s="276">
        <v>-5.9645724823595767</v>
      </c>
      <c r="EH69" s="276">
        <v>-5.9126150372794237</v>
      </c>
      <c r="EI69" s="276">
        <v>-5.8607777193201276</v>
      </c>
      <c r="EJ69" s="276">
        <v>-5.8090708585086537</v>
      </c>
      <c r="EK69" s="276">
        <v>-5.7575070593245696</v>
      </c>
      <c r="EL69" s="276">
        <v>-5.7061013267342062</v>
      </c>
      <c r="EM69" s="276">
        <v>-5.654871156423618</v>
      </c>
      <c r="EN69" s="276">
        <v>-5.6038365827401373</v>
      </c>
      <c r="EO69" s="276">
        <v>-5.5530201784483424</v>
      </c>
      <c r="EP69" s="276">
        <v>-5.5024470012901423</v>
      </c>
      <c r="EQ69" s="276">
        <v>-5.4521444834816792</v>
      </c>
      <c r="ER69" s="276">
        <v>-5.402142261633748</v>
      </c>
      <c r="ES69" s="276">
        <v>-5.3524719460906542</v>
      </c>
      <c r="ET69" s="276">
        <v>-5.3031668302810306</v>
      </c>
      <c r="EU69" s="276">
        <v>-5.2542615423054837</v>
      </c>
      <c r="EV69" s="276">
        <v>-5.2057916425995838</v>
      </c>
      <c r="EW69" s="276">
        <v>-5.1577931730689519</v>
      </c>
      <c r="EX69" s="276">
        <v>-5.1103021645713884</v>
      </c>
      <c r="EY69" s="276">
        <v>-5.0633541110021394</v>
      </c>
      <c r="EZ69" s="276">
        <v>-5.0169834195089216</v>
      </c>
      <c r="FA69" s="276">
        <v>-4.9712228475049427</v>
      </c>
      <c r="FB69" s="276">
        <v>-4.9261029381310681</v>
      </c>
      <c r="FC69" s="276">
        <v>-4.8816514665974688</v>
      </c>
      <c r="FD69" s="276">
        <v>-4.8378929103493062</v>
      </c>
      <c r="FE69" s="276">
        <v>-4.7948479561786472</v>
      </c>
      <c r="FF69" s="276">
        <v>-4.7525330571699262</v>
      </c>
      <c r="FG69" s="276">
        <v>-4.7109600516571932</v>
      </c>
      <c r="FH69" s="276">
        <v>-4.6701358551466807</v>
      </c>
      <c r="FI69" s="276">
        <v>-4.6300622344185802</v>
      </c>
      <c r="FJ69" s="272">
        <v>-4.5907356708097016</v>
      </c>
      <c r="FK69" s="272">
        <v>-4.5521473170876803</v>
      </c>
      <c r="FL69" s="272">
        <v>-4.51428304948963</v>
      </c>
      <c r="FM69" s="272">
        <v>-4.4771236135764054</v>
      </c>
      <c r="FN69" s="272">
        <v>-4.4406448597182111</v>
      </c>
      <c r="FO69" s="272">
        <v>-4.4048180614387968</v>
      </c>
      <c r="FP69" s="272">
        <v>-4.3696103076347574</v>
      </c>
      <c r="FQ69" s="272">
        <v>-4.3349849579405184</v>
      </c>
      <c r="FR69" s="272">
        <v>-4.3009021492709518</v>
      </c>
      <c r="FS69" s="272">
        <v>-4.2673193408329464</v>
      </c>
      <c r="FT69" s="272">
        <v>-4.2341918846162363</v>
      </c>
      <c r="FU69" s="272">
        <v>-4.2014736084839246</v>
      </c>
      <c r="FV69" s="272">
        <v>-4.169117399413242</v>
      </c>
      <c r="FW69" s="272">
        <v>-4.1370757751177614</v>
      </c>
      <c r="FX69" s="272">
        <v>-4.1053014331608262</v>
      </c>
      <c r="FY69" s="272">
        <v>-4.0737477677105494</v>
      </c>
      <c r="FZ69" s="272">
        <v>-4.0423693452725864</v>
      </c>
      <c r="GA69" s="272">
        <v>-4.0111223320603102</v>
      </c>
      <c r="GB69" s="272">
        <v>-3.9799648671199841</v>
      </c>
      <c r="GC69" s="272">
        <v>-3.948857376909686</v>
      </c>
    </row>
    <row r="70" spans="2:185" ht="15" thickBot="1" x14ac:dyDescent="0.4">
      <c r="B70" s="298">
        <v>64</v>
      </c>
      <c r="C70" s="275">
        <v>-7.5288235906758381</v>
      </c>
      <c r="D70" s="275">
        <v>-7.4866669021818328</v>
      </c>
      <c r="E70" s="275">
        <v>-7.4443239512585064</v>
      </c>
      <c r="F70" s="275">
        <v>-7.401790198558249</v>
      </c>
      <c r="G70" s="275">
        <v>-7.3590613299983501</v>
      </c>
      <c r="H70" s="275">
        <v>-7.3161333042711183</v>
      </c>
      <c r="I70" s="275">
        <v>-7.2730024031576264</v>
      </c>
      <c r="J70" s="275">
        <v>-7.2296652842744518</v>
      </c>
      <c r="K70" s="275">
        <v>-7.1861190357800053</v>
      </c>
      <c r="L70" s="275">
        <v>-7.1423612324612762</v>
      </c>
      <c r="M70" s="275">
        <v>-7.0983899925187561</v>
      </c>
      <c r="N70" s="275">
        <v>-7.0542040342700254</v>
      </c>
      <c r="O70" s="275">
        <v>-7.0098027319071807</v>
      </c>
      <c r="P70" s="275">
        <v>-6.9651861693742072</v>
      </c>
      <c r="Q70" s="275">
        <v>-6.9203551913836474</v>
      </c>
      <c r="R70" s="275">
        <v>-6.8753114505716217</v>
      </c>
      <c r="S70" s="275">
        <v>-6.830057449800659</v>
      </c>
      <c r="T70" s="275">
        <v>-6.7845965786635301</v>
      </c>
      <c r="U70" s="275">
        <v>-6.738933143319449</v>
      </c>
      <c r="V70" s="275">
        <v>-6.6930723889062316</v>
      </c>
      <c r="W70" s="275">
        <v>-6.647020513915292</v>
      </c>
      <c r="X70" s="275">
        <v>-6.6007846760868389</v>
      </c>
      <c r="Y70" s="275">
        <v>-6.5543729895737561</v>
      </c>
      <c r="Z70" s="275">
        <v>-6.5077945133271919</v>
      </c>
      <c r="AA70" s="275">
        <v>-6.461059230866609</v>
      </c>
      <c r="AB70" s="275">
        <v>-6.4141780218028659</v>
      </c>
      <c r="AC70" s="275">
        <v>-6.3671626256771541</v>
      </c>
      <c r="AD70" s="275">
        <v>-6.3200255988526184</v>
      </c>
      <c r="AE70" s="275">
        <v>-6.2727802653436608</v>
      </c>
      <c r="AF70" s="275">
        <v>-6.2254406625845373</v>
      </c>
      <c r="AG70" s="275">
        <v>-6.1780214832206388</v>
      </c>
      <c r="AH70" s="275">
        <v>-6.1305380140515098</v>
      </c>
      <c r="AI70" s="275">
        <v>-6.0830060732630553</v>
      </c>
      <c r="AJ70" s="275">
        <v>-6.0354419470597724</v>
      </c>
      <c r="AK70" s="275">
        <v>-5.9878623267477042</v>
      </c>
      <c r="AL70" s="275">
        <v>-5.9402842472288571</v>
      </c>
      <c r="AM70" s="275">
        <v>-5.8927250277514158</v>
      </c>
      <c r="AN70" s="275">
        <v>-5.8452022156219243</v>
      </c>
      <c r="AO70" s="275">
        <v>-5.7977335334295823</v>
      </c>
      <c r="AP70" s="275">
        <v>-5.7503368301636746</v>
      </c>
      <c r="AQ70" s="275">
        <v>-5.7030300364274407</v>
      </c>
      <c r="AR70" s="275">
        <v>-5.6558311237696692</v>
      </c>
      <c r="AS70" s="275">
        <v>-5.6087580679735378</v>
      </c>
      <c r="AT70" s="275">
        <v>-5.5618288159649572</v>
      </c>
      <c r="AU70" s="275">
        <v>-5.5150612558341994</v>
      </c>
      <c r="AV70" s="275">
        <v>-5.4684731893091634</v>
      </c>
      <c r="AW70" s="275">
        <v>-5.4220823058802052</v>
      </c>
      <c r="AX70" s="275">
        <v>-5.3759061576590854</v>
      </c>
      <c r="AY70" s="275">
        <v>-5.3299621339621064</v>
      </c>
      <c r="AZ70" s="275">
        <v>-5.2842674345433824</v>
      </c>
      <c r="BA70" s="275">
        <v>-5.2388390403719418</v>
      </c>
      <c r="BB70" s="275">
        <v>-5.1936936808494218</v>
      </c>
      <c r="BC70" s="275">
        <v>-5.1488477964062076</v>
      </c>
      <c r="BD70" s="275">
        <v>-5.1043174954967201</v>
      </c>
      <c r="BE70" s="275">
        <v>-5.0601185051412978</v>
      </c>
      <c r="BF70" s="275">
        <v>-5.0162661143361547</v>
      </c>
      <c r="BG70" s="275">
        <v>-4.9727751098757951</v>
      </c>
      <c r="BH70" s="275">
        <v>-4.9296597044049806</v>
      </c>
      <c r="BI70" s="275">
        <v>-4.8869334568394613</v>
      </c>
      <c r="BJ70" s="275">
        <v>-4.844609185661608</v>
      </c>
      <c r="BK70" s="275">
        <v>-4.802698876002224</v>
      </c>
      <c r="BL70" s="275">
        <v>-4.7612135818501002</v>
      </c>
      <c r="BM70" s="275">
        <v>-4.7201633251690041</v>
      </c>
      <c r="BN70" s="275">
        <v>-4.6795569941242583</v>
      </c>
      <c r="BO70" s="275">
        <v>-4.6394022429997683</v>
      </c>
      <c r="BP70" s="275">
        <v>-4.599705396689715</v>
      </c>
      <c r="BQ70" s="275">
        <v>-4.5604713628453144</v>
      </c>
      <c r="BR70" s="275">
        <v>-4.5217035548161144</v>
      </c>
      <c r="BS70" s="275">
        <v>-4.4834038284252076</v>
      </c>
      <c r="BT70" s="275">
        <v>-4.4455724353459836</v>
      </c>
      <c r="BU70" s="275">
        <v>-4.4082079954056823</v>
      </c>
      <c r="BV70" s="275">
        <v>-4.3713074895458943</v>
      </c>
      <c r="BW70" s="275">
        <v>-4.3348662744527857</v>
      </c>
      <c r="BX70" s="275">
        <v>-4.2988781190759031</v>
      </c>
      <c r="BY70" s="275">
        <v>-4.2633352624368257</v>
      </c>
      <c r="BZ70" s="275">
        <v>-4.2282284913436898</v>
      </c>
      <c r="CA70" s="275">
        <v>-4.1935472359282677</v>
      </c>
      <c r="CB70" s="275">
        <v>-4.1592796803529044</v>
      </c>
      <c r="CC70" s="275">
        <v>-4.1254128856268562</v>
      </c>
      <c r="CD70" s="275">
        <v>-4.0919329212409119</v>
      </c>
      <c r="CE70" s="275">
        <v>-4.0588250022765484</v>
      </c>
      <c r="CF70" s="275">
        <v>-4.0260736287560981</v>
      </c>
      <c r="CG70" s="275">
        <v>-3.9936627242495151</v>
      </c>
      <c r="CH70" s="275">
        <v>-3.961575771107591</v>
      </c>
      <c r="CI70" s="275">
        <v>-3.9297959401161719</v>
      </c>
      <c r="CJ70" s="275">
        <v>-3.898306212824838</v>
      </c>
      <c r="CK70" s="275">
        <v>-3.867089495264969</v>
      </c>
      <c r="CL70" s="275">
        <v>-3.8361287222092479</v>
      </c>
      <c r="CM70" s="275">
        <v>-3.8054069515172868</v>
      </c>
      <c r="CN70" s="275">
        <v>-3.7749074484465881</v>
      </c>
      <c r="CO70" s="275">
        <v>-3.744613760078245</v>
      </c>
      <c r="CP70" s="275"/>
      <c r="CQ70" s="276">
        <v>-8.4680586415254115</v>
      </c>
      <c r="CR70" s="276">
        <v>-8.4125911468830683</v>
      </c>
      <c r="CS70" s="276">
        <v>-8.3571305889412972</v>
      </c>
      <c r="CT70" s="276">
        <v>-8.3016829588918757</v>
      </c>
      <c r="CU70" s="276">
        <v>-8.246254393537523</v>
      </c>
      <c r="CV70" s="276">
        <v>-8.190851146796895</v>
      </c>
      <c r="CW70" s="276">
        <v>-8.1354795577703261</v>
      </c>
      <c r="CX70" s="276">
        <v>-8.0801460155013913</v>
      </c>
      <c r="CY70" s="276">
        <v>-8.024856920656422</v>
      </c>
      <c r="CZ70" s="276">
        <v>-7.9696186444356139</v>
      </c>
      <c r="DA70" s="276">
        <v>-7.9144374851257391</v>
      </c>
      <c r="DB70" s="276">
        <v>-7.8593196228005606</v>
      </c>
      <c r="DC70" s="276">
        <v>-7.8042710727699829</v>
      </c>
      <c r="DD70" s="276">
        <v>-7.7492976384672829</v>
      </c>
      <c r="DE70" s="276">
        <v>-7.6944048645436958</v>
      </c>
      <c r="DF70" s="276">
        <v>-7.639597991007367</v>
      </c>
      <c r="DG70" s="276">
        <v>-7.5848819092963016</v>
      </c>
      <c r="DH70" s="276">
        <v>-7.5302611212109749</v>
      </c>
      <c r="DI70" s="276">
        <v>-7.4757397016503164</v>
      </c>
      <c r="DJ70" s="276">
        <v>-7.4213212660947292</v>
      </c>
      <c r="DK70" s="276">
        <v>-7.3670089437629986</v>
      </c>
      <c r="DL70" s="276">
        <v>-7.3128053573379947</v>
      </c>
      <c r="DM70" s="276">
        <v>-7.25871261011266</v>
      </c>
      <c r="DN70" s="276">
        <v>-7.2047322813553833</v>
      </c>
      <c r="DO70" s="276">
        <v>-7.1508654306374391</v>
      </c>
      <c r="DP70" s="276">
        <v>-7.097112611806649</v>
      </c>
      <c r="DQ70" s="276">
        <v>-7.0434738972348194</v>
      </c>
      <c r="DR70" s="276">
        <v>-6.9899489129113901</v>
      </c>
      <c r="DS70" s="276">
        <v>-6.9365368849030977</v>
      </c>
      <c r="DT70" s="276">
        <v>-6.8832366976453496</v>
      </c>
      <c r="DU70" s="276">
        <v>-6.8300469644710136</v>
      </c>
      <c r="DV70" s="276">
        <v>-6.7769661107096608</v>
      </c>
      <c r="DW70" s="276">
        <v>-6.7239924695947044</v>
      </c>
      <c r="DX70" s="276">
        <v>-6.6711243910883251</v>
      </c>
      <c r="DY70" s="276">
        <v>-6.6183603635620116</v>
      </c>
      <c r="DZ70" s="276">
        <v>-6.5656991480436693</v>
      </c>
      <c r="EA70" s="276">
        <v>-6.5131399244511039</v>
      </c>
      <c r="EB70" s="276">
        <v>-6.4606824488690764</v>
      </c>
      <c r="EC70" s="276">
        <v>-6.4083272204912047</v>
      </c>
      <c r="ED70" s="276">
        <v>-6.3560756563411536</v>
      </c>
      <c r="EE70" s="276">
        <v>-6.3039302713201701</v>
      </c>
      <c r="EF70" s="276">
        <v>-6.2518948605172318</v>
      </c>
      <c r="EG70" s="276">
        <v>-6.1999746800894604</v>
      </c>
      <c r="EH70" s="276">
        <v>-6.1481766224067362</v>
      </c>
      <c r="EI70" s="276">
        <v>-6.0965093805945116</v>
      </c>
      <c r="EJ70" s="276">
        <v>-6.0449835971459471</v>
      </c>
      <c r="EK70" s="276">
        <v>-5.9936119909510843</v>
      </c>
      <c r="EL70" s="276">
        <v>-5.9424094569481252</v>
      </c>
      <c r="EM70" s="276">
        <v>-5.8913931326712428</v>
      </c>
      <c r="EN70" s="276">
        <v>-5.8405824262738353</v>
      </c>
      <c r="EO70" s="276">
        <v>-5.7899990011514708</v>
      </c>
      <c r="EP70" s="276">
        <v>-5.7396667130686936</v>
      </c>
      <c r="EQ70" s="276">
        <v>-5.6896114966838329</v>
      </c>
      <c r="ER70" s="276">
        <v>-5.6398611995322732</v>
      </c>
      <c r="ES70" s="276">
        <v>-5.5904453628254958</v>
      </c>
      <c r="ET70" s="276">
        <v>-5.5413949498042578</v>
      </c>
      <c r="EU70" s="276">
        <v>-5.4927420238018279</v>
      </c>
      <c r="EV70" s="276">
        <v>-5.4445193795857296</v>
      </c>
      <c r="EW70" s="276">
        <v>-5.396760132919959</v>
      </c>
      <c r="EX70" s="276">
        <v>-5.3494972745953273</v>
      </c>
      <c r="EY70" s="276">
        <v>-5.3027631963933297</v>
      </c>
      <c r="EZ70" s="276">
        <v>-5.2565891975557699</v>
      </c>
      <c r="FA70" s="276">
        <v>-5.211004981306</v>
      </c>
      <c r="FB70" s="276">
        <v>-5.1660381517772898</v>
      </c>
      <c r="FC70" s="276">
        <v>-5.1217137223094937</v>
      </c>
      <c r="FD70" s="276">
        <v>-5.0780536464300292</v>
      </c>
      <c r="FE70" s="276">
        <v>-5.0350763828859968</v>
      </c>
      <c r="FF70" s="276">
        <v>-4.9927965057909516</v>
      </c>
      <c r="FG70" s="276">
        <v>-4.9512243702519623</v>
      </c>
      <c r="FH70" s="276">
        <v>-4.9103658427310029</v>
      </c>
      <c r="FI70" s="276">
        <v>-4.8702221038759026</v>
      </c>
      <c r="FJ70" s="272">
        <v>-4.8307895296729839</v>
      </c>
      <c r="FK70" s="272">
        <v>-4.7920596545991518</v>
      </c>
      <c r="FL70" s="272">
        <v>-4.754019218089665</v>
      </c>
      <c r="FM70" s="272">
        <v>-4.7166502932114307</v>
      </c>
      <c r="FN70" s="272">
        <v>-4.6799304940698656</v>
      </c>
      <c r="FO70" s="272">
        <v>-4.6438332563015763</v>
      </c>
      <c r="FP70" s="272">
        <v>-4.6083281831159812</v>
      </c>
      <c r="FQ70" s="272">
        <v>-4.573381447820406</v>
      </c>
      <c r="FR70" s="272">
        <v>-4.5389562426306398</v>
      </c>
      <c r="FS70" s="272">
        <v>-4.5050132628404711</v>
      </c>
      <c r="FT70" s="272">
        <v>-4.471511215075715</v>
      </c>
      <c r="FU70" s="272">
        <v>-4.438407338351138</v>
      </c>
      <c r="FV70" s="272">
        <v>-4.4056579269335936</v>
      </c>
      <c r="FW70" s="272">
        <v>-4.3732188445422606</v>
      </c>
      <c r="FX70" s="272">
        <v>-4.3410460201459591</v>
      </c>
      <c r="FY70" s="272">
        <v>-4.3090959165152487</v>
      </c>
      <c r="FZ70" s="272">
        <v>-4.2773259637329089</v>
      </c>
      <c r="GA70" s="272">
        <v>-4.2456949510432942</v>
      </c>
      <c r="GB70" s="272">
        <v>-4.2141633717154132</v>
      </c>
      <c r="GC70" s="272">
        <v>-4.1826937169883607</v>
      </c>
    </row>
    <row r="71" spans="2:185" ht="15" thickBot="1" x14ac:dyDescent="0.4">
      <c r="B71" s="298">
        <v>65</v>
      </c>
      <c r="C71" s="275">
        <v>-7.7415954015336306</v>
      </c>
      <c r="D71" s="275">
        <v>-7.6993974462779482</v>
      </c>
      <c r="E71" s="275">
        <v>-7.6570161298542923</v>
      </c>
      <c r="F71" s="275">
        <v>-7.6144472712491087</v>
      </c>
      <c r="G71" s="275">
        <v>-7.5716869244157872</v>
      </c>
      <c r="H71" s="275">
        <v>-7.5287314229872404</v>
      </c>
      <c r="I71" s="275">
        <v>-7.4855774273440572</v>
      </c>
      <c r="J71" s="275">
        <v>-7.4422219736775146</v>
      </c>
      <c r="K71" s="275">
        <v>-7.3986625245984774</v>
      </c>
      <c r="L71" s="275">
        <v>-7.3548970207544446</v>
      </c>
      <c r="M71" s="275">
        <v>-7.3109239328313107</v>
      </c>
      <c r="N71" s="275">
        <v>-7.2667423132372937</v>
      </c>
      <c r="O71" s="275">
        <v>-7.2223518466984489</v>
      </c>
      <c r="P71" s="275">
        <v>-7.1777528989420603</v>
      </c>
      <c r="Q71" s="275">
        <v>-7.1329465626104156</v>
      </c>
      <c r="R71" s="275">
        <v>-7.0879346995365218</v>
      </c>
      <c r="S71" s="275">
        <v>-7.0427199785281056</v>
      </c>
      <c r="T71" s="275">
        <v>-6.9973059078489612</v>
      </c>
      <c r="U71" s="275">
        <v>-6.9516968616577124</v>
      </c>
      <c r="V71" s="275">
        <v>-6.9058980997627613</v>
      </c>
      <c r="W71" s="275">
        <v>-6.8599157801765021</v>
      </c>
      <c r="X71" s="275">
        <v>-6.8137569640976974</v>
      </c>
      <c r="Y71" s="275">
        <v>-6.7674296131135847</v>
      </c>
      <c r="Z71" s="275">
        <v>-6.7209425785867394</v>
      </c>
      <c r="AA71" s="275">
        <v>-6.6743055833688496</v>
      </c>
      <c r="AB71" s="275">
        <v>-6.6275291961579388</v>
      </c>
      <c r="AC71" s="275">
        <v>-6.5806247989798372</v>
      </c>
      <c r="AD71" s="275">
        <v>-6.5336045484228764</v>
      </c>
      <c r="AE71" s="275">
        <v>-6.4864813313812117</v>
      </c>
      <c r="AF71" s="275">
        <v>-6.4392687161627862</v>
      </c>
      <c r="AG71" s="275">
        <v>-6.3919808998894121</v>
      </c>
      <c r="AH71" s="275">
        <v>-6.3446326531574391</v>
      </c>
      <c r="AI71" s="275">
        <v>-6.2972392629372269</v>
      </c>
      <c r="AJ71" s="275">
        <v>-6.2498164746689966</v>
      </c>
      <c r="AK71" s="275">
        <v>-6.2023804344634836</v>
      </c>
      <c r="AL71" s="275">
        <v>-6.1549476322401908</v>
      </c>
      <c r="AM71" s="275">
        <v>-6.1075348465375203</v>
      </c>
      <c r="AN71" s="275">
        <v>-6.0601590916108918</v>
      </c>
      <c r="AO71" s="275">
        <v>-6.0128375673007284</v>
      </c>
      <c r="AP71" s="275">
        <v>-5.9655876120064741</v>
      </c>
      <c r="AQ71" s="275">
        <v>-5.918426658948694</v>
      </c>
      <c r="AR71" s="275">
        <v>-5.8713721957437661</v>
      </c>
      <c r="AS71" s="275">
        <v>-5.8244417271579429</v>
      </c>
      <c r="AT71" s="275">
        <v>-5.7776527407542231</v>
      </c>
      <c r="AU71" s="275">
        <v>-5.7310226749999034</v>
      </c>
      <c r="AV71" s="275">
        <v>-5.6845688892693396</v>
      </c>
      <c r="AW71" s="275">
        <v>-5.6383086350583449</v>
      </c>
      <c r="AX71" s="275">
        <v>-5.5922590276281534</v>
      </c>
      <c r="AY71" s="275">
        <v>-5.5464370172209039</v>
      </c>
      <c r="AZ71" s="275">
        <v>-5.500859358938504</v>
      </c>
      <c r="BA71" s="275">
        <v>-5.4555425803559796</v>
      </c>
      <c r="BB71" s="275">
        <v>-5.4105029459513547</v>
      </c>
      <c r="BC71" s="275">
        <v>-5.3657564174798376</v>
      </c>
      <c r="BD71" s="275">
        <v>-5.3213186095027147</v>
      </c>
      <c r="BE71" s="275">
        <v>-5.2772047394034258</v>
      </c>
      <c r="BF71" s="275">
        <v>-5.2334295713856616</v>
      </c>
      <c r="BG71" s="275">
        <v>-5.1900073541525771</v>
      </c>
      <c r="BH71" s="275">
        <v>-5.146951752211236</v>
      </c>
      <c r="BI71" s="275">
        <v>-5.1042757710300268</v>
      </c>
      <c r="BJ71" s="275">
        <v>-5.0619916765944986</v>
      </c>
      <c r="BK71" s="275">
        <v>-5.0201109102504882</v>
      </c>
      <c r="BL71" s="275">
        <v>-4.9786440000811734</v>
      </c>
      <c r="BM71" s="275">
        <v>-4.9376004704211152</v>
      </c>
      <c r="BN71" s="275">
        <v>-4.8969887514459058</v>
      </c>
      <c r="BO71" s="275">
        <v>-4.8568160910682527</v>
      </c>
      <c r="BP71" s="275">
        <v>-4.8170884715957998</v>
      </c>
      <c r="BQ71" s="275">
        <v>-4.7778105337389709</v>
      </c>
      <c r="BR71" s="275">
        <v>-4.7389855105772538</v>
      </c>
      <c r="BS71" s="275">
        <v>-4.7006151739844722</v>
      </c>
      <c r="BT71" s="275">
        <v>-4.6626997957703988</v>
      </c>
      <c r="BU71" s="275">
        <v>-4.6252381254206689</v>
      </c>
      <c r="BV71" s="275">
        <v>-4.5882273858239886</v>
      </c>
      <c r="BW71" s="275">
        <v>-4.5516632877900234</v>
      </c>
      <c r="BX71" s="275">
        <v>-4.515540063517939</v>
      </c>
      <c r="BY71" s="275">
        <v>-4.4798505185147031</v>
      </c>
      <c r="BZ71" s="275">
        <v>-4.4445861008265419</v>
      </c>
      <c r="CA71" s="275">
        <v>-4.40973698587662</v>
      </c>
      <c r="CB71" s="275">
        <v>-4.3752921747314852</v>
      </c>
      <c r="CC71" s="275">
        <v>-4.3412396032725704</v>
      </c>
      <c r="CD71" s="275">
        <v>-4.3075662595406836</v>
      </c>
      <c r="CE71" s="275">
        <v>-4.2742583064527162</v>
      </c>
      <c r="CF71" s="275">
        <v>-4.2413012071521763</v>
      </c>
      <c r="CG71" s="275">
        <v>-4.2086798504304408</v>
      </c>
      <c r="CH71" s="275">
        <v>-4.1763786739208948</v>
      </c>
      <c r="CI71" s="275">
        <v>-4.1443817830956542</v>
      </c>
      <c r="CJ71" s="275">
        <v>-4.1126730644580647</v>
      </c>
      <c r="CK71" s="275">
        <v>-4.0812362916970244</v>
      </c>
      <c r="CL71" s="275">
        <v>-4.0500552239306726</v>
      </c>
      <c r="CM71" s="275">
        <v>-4.0191136954988966</v>
      </c>
      <c r="CN71" s="275">
        <v>-3.988395697054949</v>
      </c>
      <c r="CO71" s="275">
        <v>-3.9578854479488701</v>
      </c>
      <c r="CP71" s="275"/>
      <c r="CQ71" s="276">
        <v>-8.6987077727473654</v>
      </c>
      <c r="CR71" s="276">
        <v>-8.6433593473270811</v>
      </c>
      <c r="CS71" s="276">
        <v>-8.5880199721438419</v>
      </c>
      <c r="CT71" s="276">
        <v>-8.5326954029218012</v>
      </c>
      <c r="CU71" s="276">
        <v>-8.4773915215268829</v>
      </c>
      <c r="CV71" s="276">
        <v>-8.422114308959781</v>
      </c>
      <c r="CW71" s="276">
        <v>-8.3668698153630832</v>
      </c>
      <c r="CX71" s="276">
        <v>-8.3116641271954155</v>
      </c>
      <c r="CY71" s="276">
        <v>-8.256503331802044</v>
      </c>
      <c r="CZ71" s="276">
        <v>-8.2013934796921166</v>
      </c>
      <c r="DA71" s="276">
        <v>-8.1463405449161481</v>
      </c>
      <c r="DB71" s="276">
        <v>-8.0913503840204726</v>
      </c>
      <c r="DC71" s="276">
        <v>-8.0364286941363599</v>
      </c>
      <c r="DD71" s="276">
        <v>-7.9815809708370828</v>
      </c>
      <c r="DE71" s="276">
        <v>-7.9268124664636401</v>
      </c>
      <c r="DF71" s="276">
        <v>-7.8721281496772431</v>
      </c>
      <c r="DG71" s="276">
        <v>-7.8175326670411076</v>
      </c>
      <c r="DH71" s="276">
        <v>-7.7630303074646196</v>
      </c>
      <c r="DI71" s="276">
        <v>-7.7086249703585281</v>
      </c>
      <c r="DJ71" s="276">
        <v>-7.6543201383501103</v>
      </c>
      <c r="DK71" s="276">
        <v>-7.6001188553934726</v>
      </c>
      <c r="DL71" s="276">
        <v>-7.5460237110835804</v>
      </c>
      <c r="DM71" s="276">
        <v>-7.4920368319451818</v>
      </c>
      <c r="DN71" s="276">
        <v>-7.4381598804223747</v>
      </c>
      <c r="DO71" s="276">
        <v>-7.3843940622431976</v>
      </c>
      <c r="DP71" s="276">
        <v>-7.3307401427790717</v>
      </c>
      <c r="DQ71" s="276">
        <v>-7.277198472961949</v>
      </c>
      <c r="DR71" s="276">
        <v>-7.2237690252639668</v>
      </c>
      <c r="DS71" s="276">
        <v>-7.1704514401831823</v>
      </c>
      <c r="DT71" s="276">
        <v>-7.1172450836135059</v>
      </c>
      <c r="DU71" s="276">
        <v>-7.0641491154012783</v>
      </c>
      <c r="DV71" s="276">
        <v>-7.0111625693010939</v>
      </c>
      <c r="DW71" s="276">
        <v>-6.9582844444310474</v>
      </c>
      <c r="DX71" s="276">
        <v>-6.9055138081848826</v>
      </c>
      <c r="DY71" s="276">
        <v>-6.8528499103781408</v>
      </c>
      <c r="DZ71" s="276">
        <v>-6.8002923081782392</v>
      </c>
      <c r="EA71" s="276">
        <v>-6.7478410010897916</v>
      </c>
      <c r="EB71" s="276">
        <v>-6.6954965749316369</v>
      </c>
      <c r="EC71" s="276">
        <v>-6.643260353351895</v>
      </c>
      <c r="ED71" s="276">
        <v>-6.5911345549857812</v>
      </c>
      <c r="EE71" s="276">
        <v>-6.5391224538787203</v>
      </c>
      <c r="EF71" s="276">
        <v>-6.4872285402894434</v>
      </c>
      <c r="EG71" s="276">
        <v>-6.4354586784772767</v>
      </c>
      <c r="EH71" s="276">
        <v>-6.3838202575908696</v>
      </c>
      <c r="EI71" s="276">
        <v>-6.3323223313443364</v>
      </c>
      <c r="EJ71" s="276">
        <v>-6.2809757418244763</v>
      </c>
      <c r="EK71" s="276">
        <v>-6.229793222553127</v>
      </c>
      <c r="EL71" s="276">
        <v>-6.1787894758617217</v>
      </c>
      <c r="EM71" s="276">
        <v>-6.1279812197456316</v>
      </c>
      <c r="EN71" s="276">
        <v>-6.0773871996688937</v>
      </c>
      <c r="EO71" s="276">
        <v>-6.0270281612905654</v>
      </c>
      <c r="EP71" s="276">
        <v>-5.9769267807757958</v>
      </c>
      <c r="EQ71" s="276">
        <v>-5.9271075502192492</v>
      </c>
      <c r="ER71" s="276">
        <v>-5.8775966167191553</v>
      </c>
      <c r="ES71" s="276">
        <v>-5.8284215747626487</v>
      </c>
      <c r="ET71" s="276">
        <v>-5.7796112127790886</v>
      </c>
      <c r="EU71" s="276">
        <v>-5.7311952159507191</v>
      </c>
      <c r="EV71" s="276">
        <v>-5.6832038286032081</v>
      </c>
      <c r="EW71" s="276">
        <v>-5.6356674807009819</v>
      </c>
      <c r="EX71" s="276">
        <v>-5.58861638411648</v>
      </c>
      <c r="EY71" s="276">
        <v>-5.5420801054044748</v>
      </c>
      <c r="EZ71" s="276">
        <v>-5.4960871227676833</v>
      </c>
      <c r="FA71" s="276">
        <v>-5.4506643757243873</v>
      </c>
      <c r="FB71" s="276">
        <v>-5.4058368166522124</v>
      </c>
      <c r="FC71" s="276">
        <v>-5.36162697385193</v>
      </c>
      <c r="FD71" s="276">
        <v>-5.3180545360133564</v>
      </c>
      <c r="FE71" s="276">
        <v>-5.2751359679343341</v>
      </c>
      <c r="FF71" s="276">
        <v>-5.2328841670089119</v>
      </c>
      <c r="FG71" s="276">
        <v>-5.191308169337951</v>
      </c>
      <c r="FH71" s="276">
        <v>-5.1504129133164431</v>
      </c>
      <c r="FI71" s="276">
        <v>-5.1101990672290238</v>
      </c>
      <c r="FJ71" s="272">
        <v>-5.0706629257763307</v>
      </c>
      <c r="FK71" s="272">
        <v>-5.0317963786198776</v>
      </c>
      <c r="FL71" s="272">
        <v>-4.9935869520531018</v>
      </c>
      <c r="FM71" s="272">
        <v>-4.9560179228767254</v>
      </c>
      <c r="FN71" s="272">
        <v>-4.9190685015742082</v>
      </c>
      <c r="FO71" s="272">
        <v>-4.8827140800443312</v>
      </c>
      <c r="FP71" s="272">
        <v>-4.8469265375298161</v>
      </c>
      <c r="FQ71" s="272">
        <v>-4.8116745970446129</v>
      </c>
      <c r="FR71" s="272">
        <v>-4.7769242235817453</v>
      </c>
      <c r="FS71" s="272">
        <v>-4.7426390546901551</v>
      </c>
      <c r="FT71" s="272">
        <v>-4.7087808536340177</v>
      </c>
      <c r="FU71" s="272">
        <v>-4.6753099752670826</v>
      </c>
      <c r="FV71" s="272">
        <v>-4.642185834935141</v>
      </c>
      <c r="FW71" s="272">
        <v>-4.6093673711270098</v>
      </c>
      <c r="FX71" s="272">
        <v>-4.5768134931958429</v>
      </c>
      <c r="FY71" s="272">
        <v>-4.5444835062392617</v>
      </c>
      <c r="FZ71" s="272">
        <v>-4.5123375061373583</v>
      </c>
      <c r="GA71" s="272">
        <v>-4.4803367387809114</v>
      </c>
      <c r="GB71" s="272">
        <v>-4.4484439186599296</v>
      </c>
      <c r="GC71" s="272">
        <v>-4.4166235032020378</v>
      </c>
    </row>
    <row r="72" spans="2:185" ht="15" thickBot="1" x14ac:dyDescent="0.4">
      <c r="B72" s="298">
        <v>66</v>
      </c>
      <c r="C72" s="275">
        <v>-7.9543070033807064</v>
      </c>
      <c r="D72" s="275">
        <v>-7.9120709875021582</v>
      </c>
      <c r="E72" s="275">
        <v>-7.8696546024356948</v>
      </c>
      <c r="F72" s="275">
        <v>-7.8270540081158471</v>
      </c>
      <c r="G72" s="275">
        <v>-7.7842656070940306</v>
      </c>
      <c r="H72" s="275">
        <v>-7.7412860865668067</v>
      </c>
      <c r="I72" s="275">
        <v>-7.6981124623725812</v>
      </c>
      <c r="J72" s="275">
        <v>-7.6547421246097498</v>
      </c>
      <c r="K72" s="275">
        <v>-7.6111728844536417</v>
      </c>
      <c r="L72" s="275">
        <v>-7.5674030216751893</v>
      </c>
      <c r="M72" s="275">
        <v>-7.5234313322931694</v>
      </c>
      <c r="N72" s="275">
        <v>-7.4792571757275539</v>
      </c>
      <c r="O72" s="275">
        <v>-7.4348805207674733</v>
      </c>
      <c r="P72" s="275">
        <v>-7.3903019896266144</v>
      </c>
      <c r="Q72" s="275">
        <v>-7.3455228993350676</v>
      </c>
      <c r="R72" s="275">
        <v>-7.3005452997125859</v>
      </c>
      <c r="S72" s="275">
        <v>-7.2553720071855254</v>
      </c>
      <c r="T72" s="275">
        <v>-7.2100066337507398</v>
      </c>
      <c r="U72" s="275">
        <v>-7.1644536104538004</v>
      </c>
      <c r="V72" s="275">
        <v>-7.118718204836008</v>
      </c>
      <c r="W72" s="275">
        <v>-7.0728065319122706</v>
      </c>
      <c r="X72" s="275">
        <v>-7.0267255583673434</v>
      </c>
      <c r="Y72" s="275">
        <v>-6.9804830997967526</v>
      </c>
      <c r="Z72" s="275">
        <v>-6.9340878109660053</v>
      </c>
      <c r="AA72" s="275">
        <v>-6.8875491692122344</v>
      </c>
      <c r="AB72" s="275">
        <v>-6.8408774512601704</v>
      </c>
      <c r="AC72" s="275">
        <v>-6.7940837038638282</v>
      </c>
      <c r="AD72" s="275">
        <v>-6.747179708811557</v>
      </c>
      <c r="AE72" s="275">
        <v>-6.7001779429401269</v>
      </c>
      <c r="AF72" s="275">
        <v>-6.6530915338902163</v>
      </c>
      <c r="AG72" s="275">
        <v>-6.6059342123979352</v>
      </c>
      <c r="AH72" s="275">
        <v>-6.5587202619535647</v>
      </c>
      <c r="AI72" s="275">
        <v>-6.5114644666687846</v>
      </c>
      <c r="AJ72" s="275">
        <v>-6.4641820581778866</v>
      </c>
      <c r="AK72" s="275">
        <v>-6.4168886623578416</v>
      </c>
      <c r="AL72" s="275">
        <v>-6.3696002465887993</v>
      </c>
      <c r="AM72" s="275">
        <v>-6.3223330681929832</v>
      </c>
      <c r="AN72" s="275">
        <v>-6.2751036245891409</v>
      </c>
      <c r="AO72" s="275">
        <v>-6.2279286055845731</v>
      </c>
      <c r="AP72" s="275">
        <v>-6.1808248481013566</v>
      </c>
      <c r="AQ72" s="275">
        <v>-6.1338092935004971</v>
      </c>
      <c r="AR72" s="275">
        <v>-6.0868989475316759</v>
      </c>
      <c r="AS72" s="275">
        <v>-6.040110842800229</v>
      </c>
      <c r="AT72" s="275">
        <v>-5.99346200351071</v>
      </c>
      <c r="AU72" s="275">
        <v>-5.946969412121601</v>
      </c>
      <c r="AV72" s="275">
        <v>-5.900649977431625</v>
      </c>
      <c r="AW72" s="275">
        <v>-5.8545205035183434</v>
      </c>
      <c r="AX72" s="275">
        <v>-5.808597658867555</v>
      </c>
      <c r="AY72" s="275">
        <v>-5.7628979449702404</v>
      </c>
      <c r="AZ72" s="275">
        <v>-5.7174376636258568</v>
      </c>
      <c r="BA72" s="275">
        <v>-5.6722328821789594</v>
      </c>
      <c r="BB72" s="275">
        <v>-5.6272993959330924</v>
      </c>
      <c r="BC72" s="275">
        <v>-5.5826526870337378</v>
      </c>
      <c r="BD72" s="275">
        <v>-5.5383078791929412</v>
      </c>
      <c r="BE72" s="275">
        <v>-5.4942796877429068</v>
      </c>
      <c r="BF72" s="275">
        <v>-5.4505823646556539</v>
      </c>
      <c r="BG72" s="275">
        <v>-5.4072296383501488</v>
      </c>
      <c r="BH72" s="275">
        <v>-5.364234648326021</v>
      </c>
      <c r="BI72" s="275">
        <v>-5.3216098749106147</v>
      </c>
      <c r="BJ72" s="275">
        <v>-5.2793670646788202</v>
      </c>
      <c r="BK72" s="275">
        <v>-5.2375171523947399</v>
      </c>
      <c r="BL72" s="275">
        <v>-5.1960701806205263</v>
      </c>
      <c r="BM72" s="275">
        <v>-5.1550352184267823</v>
      </c>
      <c r="BN72" s="275">
        <v>-5.114420280905132</v>
      </c>
      <c r="BO72" s="275">
        <v>-5.0742322514084766</v>
      </c>
      <c r="BP72" s="275">
        <v>-5.0344768086097904</v>
      </c>
      <c r="BQ72" s="275">
        <v>-4.9951583605578227</v>
      </c>
      <c r="BR72" s="275">
        <v>-4.9562799879029553</v>
      </c>
      <c r="BS72" s="275">
        <v>-4.9178433983580971</v>
      </c>
      <c r="BT72" s="275">
        <v>-4.8798488942438398</v>
      </c>
      <c r="BU72" s="275">
        <v>-4.8422953546485106</v>
      </c>
      <c r="BV72" s="275">
        <v>-4.805180233323715</v>
      </c>
      <c r="BW72" s="275">
        <v>-4.7684995729554069</v>
      </c>
      <c r="BX72" s="275">
        <v>-4.7322480359257497</v>
      </c>
      <c r="BY72" s="275">
        <v>-4.6964189511432499</v>
      </c>
      <c r="BZ72" s="275">
        <v>-4.6610043760005766</v>
      </c>
      <c r="CA72" s="275">
        <v>-4.6259951720517707</v>
      </c>
      <c r="CB72" s="275">
        <v>-4.5913810926098506</v>
      </c>
      <c r="CC72" s="275">
        <v>-4.5571508801714664</v>
      </c>
      <c r="CD72" s="275">
        <v>-4.5232923713888962</v>
      </c>
      <c r="CE72" s="275">
        <v>-4.4897926072338397</v>
      </c>
      <c r="CF72" s="275">
        <v>-4.4566379460263112</v>
      </c>
      <c r="CG72" s="275">
        <v>-4.4238141771242789</v>
      </c>
      <c r="CH72" s="275">
        <v>-4.391306633266816</v>
      </c>
      <c r="CI72" s="275">
        <v>-4.3591002998165349</v>
      </c>
      <c r="CJ72" s="275">
        <v>-4.3271799194342107</v>
      </c>
      <c r="CK72" s="275">
        <v>-4.2955300910198533</v>
      </c>
      <c r="CL72" s="275">
        <v>-4.26413536205248</v>
      </c>
      <c r="CM72" s="275">
        <v>-4.2329803137404838</v>
      </c>
      <c r="CN72" s="275">
        <v>-4.20204963864568</v>
      </c>
      <c r="CO72" s="275">
        <v>-4.1713282106592677</v>
      </c>
      <c r="CP72" s="275"/>
      <c r="CQ72" s="276">
        <v>-8.9294326376814173</v>
      </c>
      <c r="CR72" s="276">
        <v>-8.8742013581067507</v>
      </c>
      <c r="CS72" s="276">
        <v>-8.8189810880056463</v>
      </c>
      <c r="CT72" s="276">
        <v>-8.763777359693254</v>
      </c>
      <c r="CU72" s="276">
        <v>-8.7085958147500193</v>
      </c>
      <c r="CV72" s="276">
        <v>-8.653442178539148</v>
      </c>
      <c r="CW72" s="276">
        <v>-8.5983222321435235</v>
      </c>
      <c r="CX72" s="276">
        <v>-8.5432417818867563</v>
      </c>
      <c r="CY72" s="276">
        <v>-8.4882066266706602</v>
      </c>
      <c r="CZ72" s="276">
        <v>-8.4332225234326739</v>
      </c>
      <c r="DA72" s="276">
        <v>-8.3782951510988433</v>
      </c>
      <c r="DB72" s="276">
        <v>-8.3234300734803082</v>
      </c>
      <c r="DC72" s="276">
        <v>-8.2686327016302812</v>
      </c>
      <c r="DD72" s="276">
        <v>-8.2139082562431955</v>
      </c>
      <c r="DE72" s="276">
        <v>-8.1592617307348512</v>
      </c>
      <c r="DF72" s="276">
        <v>-8.1046978556912297</v>
      </c>
      <c r="DG72" s="276">
        <v>-8.0502210654106481</v>
      </c>
      <c r="DH72" s="276">
        <v>-7.9958354672901439</v>
      </c>
      <c r="DI72" s="276">
        <v>-7.9415448148195251</v>
      </c>
      <c r="DJ72" s="276">
        <v>-7.8873524849468097</v>
      </c>
      <c r="DK72" s="276">
        <v>-7.8332614605667228</v>
      </c>
      <c r="DL72" s="276">
        <v>-7.7792743188602742</v>
      </c>
      <c r="DM72" s="276">
        <v>-7.7253932261804694</v>
      </c>
      <c r="DN72" s="276">
        <v>-7.6716199401378367</v>
      </c>
      <c r="DO72" s="276">
        <v>-7.6179558194915771</v>
      </c>
      <c r="DP72" s="276">
        <v>-7.5644018423995298</v>
      </c>
      <c r="DQ72" s="276">
        <v>-7.5109586335229661</v>
      </c>
      <c r="DR72" s="276">
        <v>-7.4576265004207816</v>
      </c>
      <c r="DS72" s="276">
        <v>-7.4044054796009817</v>
      </c>
      <c r="DT72" s="276">
        <v>-7.3512953925229247</v>
      </c>
      <c r="DU72" s="276">
        <v>-7.2982959117582658</v>
      </c>
      <c r="DV72" s="276">
        <v>-7.245406637417191</v>
      </c>
      <c r="DW72" s="276">
        <v>-7.1926271838244613</v>
      </c>
      <c r="DX72" s="276">
        <v>-7.1399572762801968</v>
      </c>
      <c r="DY72" s="276">
        <v>-7.0873968575583408</v>
      </c>
      <c r="DZ72" s="276">
        <v>-7.0349462035753936</v>
      </c>
      <c r="EA72" s="276">
        <v>-6.9826060474005098</v>
      </c>
      <c r="EB72" s="276">
        <v>-6.9303777104730964</v>
      </c>
      <c r="EC72" s="276">
        <v>-6.8782632395481409</v>
      </c>
      <c r="ED72" s="276">
        <v>-6.8262655475075071</v>
      </c>
      <c r="EE72" s="276">
        <v>-6.7743885557674703</v>
      </c>
      <c r="EF72" s="276">
        <v>-6.7226373355925801</v>
      </c>
      <c r="EG72" s="276">
        <v>-6.6710182452130571</v>
      </c>
      <c r="EH72" s="276">
        <v>-6.6195390592585888</v>
      </c>
      <c r="EI72" s="276">
        <v>-6.5682090866923897</v>
      </c>
      <c r="EJ72" s="276">
        <v>-6.5170392731808802</v>
      </c>
      <c r="EK72" s="276">
        <v>-6.4660422836933984</v>
      </c>
      <c r="EL72" s="276">
        <v>-6.4152325611152534</v>
      </c>
      <c r="EM72" s="276">
        <v>-6.3646263567947399</v>
      </c>
      <c r="EN72" s="276">
        <v>-6.3142417292417736</v>
      </c>
      <c r="EO72" s="276">
        <v>-6.2640985076552296</v>
      </c>
      <c r="EP72" s="276">
        <v>-6.2142182175727996</v>
      </c>
      <c r="EQ72" s="276">
        <v>-6.1646239666962748</v>
      </c>
      <c r="ER72" s="276">
        <v>-6.1153402898259621</v>
      </c>
      <c r="ES72" s="276">
        <v>-6.0663929528124863</v>
      </c>
      <c r="ET72" s="276">
        <v>-6.0178087164731444</v>
      </c>
      <c r="EU72" s="276">
        <v>-5.9696150624913287</v>
      </c>
      <c r="EV72" s="276">
        <v>-5.9218398843916322</v>
      </c>
      <c r="EW72" s="276">
        <v>-5.8745111477309866</v>
      </c>
      <c r="EX72" s="276">
        <v>-5.827656524642058</v>
      </c>
      <c r="EY72" s="276">
        <v>-5.7813030087841666</v>
      </c>
      <c r="EZ72" s="276">
        <v>-5.7354765175758873</v>
      </c>
      <c r="FA72" s="276">
        <v>-5.6902014892769506</v>
      </c>
      <c r="FB72" s="276">
        <v>-5.6455004830292088</v>
      </c>
      <c r="FC72" s="276">
        <v>-5.6013937903289737</v>
      </c>
      <c r="FD72" s="276">
        <v>-5.557899066556609</v>
      </c>
      <c r="FE72" s="276">
        <v>-5.5150309911062534</v>
      </c>
      <c r="FF72" s="276">
        <v>-5.4728009643162494</v>
      </c>
      <c r="FG72" s="276">
        <v>-5.431216848784497</v>
      </c>
      <c r="FH72" s="276">
        <v>-5.3902827617620668</v>
      </c>
      <c r="FI72" s="276">
        <v>-5.3499989241670534</v>
      </c>
      <c r="FJ72" s="272">
        <v>-5.3103615703823719</v>
      </c>
      <c r="FK72" s="272">
        <v>-5.2713629214441786</v>
      </c>
      <c r="FL72" s="272">
        <v>-5.2329912225584208</v>
      </c>
      <c r="FM72" s="272">
        <v>-5.1952308441727348</v>
      </c>
      <c r="FN72" s="272">
        <v>-5.1580624441584311</v>
      </c>
      <c r="FO72" s="272">
        <v>-5.1214631870949363</v>
      </c>
      <c r="FP72" s="272">
        <v>-5.0854070152601736</v>
      </c>
      <c r="FQ72" s="272">
        <v>-5.0498649647639606</v>
      </c>
      <c r="FR72" s="272">
        <v>-5.0148055193489407</v>
      </c>
      <c r="FS72" s="272">
        <v>-4.9801949937390662</v>
      </c>
      <c r="FT72" s="272">
        <v>-4.9459979380369807</v>
      </c>
      <c r="FU72" s="272">
        <v>-4.9121775545470712</v>
      </c>
      <c r="FV72" s="272">
        <v>-4.8786961185063289</v>
      </c>
      <c r="FW72" s="272">
        <v>-4.8455153945185359</v>
      </c>
      <c r="FX72" s="272">
        <v>-4.8125970409799734</v>
      </c>
      <c r="FY72" s="272">
        <v>-4.7799029954356458</v>
      </c>
      <c r="FZ72" s="272">
        <v>-4.7473958345894776</v>
      </c>
      <c r="GA72" s="272">
        <v>-4.7150391035912689</v>
      </c>
      <c r="GB72" s="272">
        <v>-4.6827976102151601</v>
      </c>
      <c r="GC72" s="272">
        <v>-4.650637680606633</v>
      </c>
    </row>
    <row r="73" spans="2:185" ht="15" thickBot="1" x14ac:dyDescent="0.4">
      <c r="B73" s="298">
        <v>67</v>
      </c>
      <c r="C73" s="275">
        <v>-8.1669640621778417</v>
      </c>
      <c r="D73" s="275">
        <v>-8.124693134182305</v>
      </c>
      <c r="E73" s="275">
        <v>-8.082244905037399</v>
      </c>
      <c r="F73" s="275">
        <v>-8.0396158586900803</v>
      </c>
      <c r="G73" s="275">
        <v>-7.9968027275578812</v>
      </c>
      <c r="H73" s="275">
        <v>-7.9538025319948158</v>
      </c>
      <c r="I73" s="275">
        <v>-7.9106126213919286</v>
      </c>
      <c r="J73" s="275">
        <v>-7.8672307165814557</v>
      </c>
      <c r="K73" s="275">
        <v>-7.8236549531492257</v>
      </c>
      <c r="L73" s="275">
        <v>-7.7798839251974128</v>
      </c>
      <c r="M73" s="275">
        <v>-7.7359167290406923</v>
      </c>
      <c r="N73" s="275">
        <v>-7.6917530062671009</v>
      </c>
      <c r="O73" s="275">
        <v>-7.6473929855516136</v>
      </c>
      <c r="P73" s="275">
        <v>-7.6028375225799714</v>
      </c>
      <c r="Q73" s="275">
        <v>-7.5580881374240363</v>
      </c>
      <c r="R73" s="275">
        <v>-7.5131470487104606</v>
      </c>
      <c r="S73" s="275">
        <v>-7.4680172039437602</v>
      </c>
      <c r="T73" s="275">
        <v>-7.4227023053829502</v>
      </c>
      <c r="U73" s="275">
        <v>-7.377206830929274</v>
      </c>
      <c r="V73" s="275">
        <v>-7.3315360495587019</v>
      </c>
      <c r="W73" s="275">
        <v>-7.285696030926915</v>
      </c>
      <c r="X73" s="275">
        <v>-7.2396936488820636</v>
      </c>
      <c r="Y73" s="275">
        <v>-7.1935365787396153</v>
      </c>
      <c r="Z73" s="275">
        <v>-7.1472332882992156</v>
      </c>
      <c r="AA73" s="275">
        <v>-7.1007930227114517</v>
      </c>
      <c r="AB73" s="275">
        <v>-7.0542257834281807</v>
      </c>
      <c r="AC73" s="275">
        <v>-7.0075423015887868</v>
      </c>
      <c r="AD73" s="275">
        <v>-6.9607540063023743</v>
      </c>
      <c r="AE73" s="275">
        <v>-6.9138729883784489</v>
      </c>
      <c r="AF73" s="275">
        <v>-6.8669119601332076</v>
      </c>
      <c r="AG73" s="275">
        <v>-6.81988421195281</v>
      </c>
      <c r="AH73" s="275">
        <v>-6.7728035663272914</v>
      </c>
      <c r="AI73" s="275">
        <v>-6.7256843300789111</v>
      </c>
      <c r="AJ73" s="275">
        <v>-6.6785412454965067</v>
      </c>
      <c r="AK73" s="275">
        <v>-6.6313894410539138</v>
      </c>
      <c r="AL73" s="275">
        <v>-6.5842443823375678</v>
      </c>
      <c r="AM73" s="275">
        <v>-6.5371218237373876</v>
      </c>
      <c r="AN73" s="275">
        <v>-6.4900377613692379</v>
      </c>
      <c r="AO73" s="275">
        <v>-6.4430083875988107</v>
      </c>
      <c r="AP73" s="275">
        <v>-6.3960500474290729</v>
      </c>
      <c r="AQ73" s="275">
        <v>-6.3491791968993114</v>
      </c>
      <c r="AR73" s="275">
        <v>-6.3024123635267237</v>
      </c>
      <c r="AS73" s="275">
        <v>-6.2557661087046883</v>
      </c>
      <c r="AT73" s="275">
        <v>-6.2092569918583704</v>
      </c>
      <c r="AU73" s="275">
        <v>-6.1629015360516508</v>
      </c>
      <c r="AV73" s="275">
        <v>-6.1167161946426214</v>
      </c>
      <c r="AW73" s="275">
        <v>-6.0707173185008454</v>
      </c>
      <c r="AX73" s="275">
        <v>-6.0249211232317421</v>
      </c>
      <c r="AY73" s="275">
        <v>-5.9793436558039312</v>
      </c>
      <c r="AZ73" s="275">
        <v>-5.9340007599472946</v>
      </c>
      <c r="BA73" s="275">
        <v>-5.8889080396849058</v>
      </c>
      <c r="BB73" s="275">
        <v>-5.8440808203829677</v>
      </c>
      <c r="BC73" s="275">
        <v>-5.7995341067513806</v>
      </c>
      <c r="BD73" s="275">
        <v>-5.7552825373045771</v>
      </c>
      <c r="BE73" s="275">
        <v>-5.7113403348987903</v>
      </c>
      <c r="BF73" s="275">
        <v>-5.6677212530981924</v>
      </c>
      <c r="BG73" s="275">
        <v>-5.6244385182868264</v>
      </c>
      <c r="BH73" s="275">
        <v>-5.5815047676350797</v>
      </c>
      <c r="BI73" s="275">
        <v>-5.5389319832438089</v>
      </c>
      <c r="BJ73" s="275">
        <v>-5.4967314230220392</v>
      </c>
      <c r="BK73" s="275">
        <v>-5.4549135490970997</v>
      </c>
      <c r="BL73" s="275">
        <v>-5.4134879548006678</v>
      </c>
      <c r="BM73" s="275">
        <v>-5.372463291508045</v>
      </c>
      <c r="BN73" s="275">
        <v>-5.3318471968188401</v>
      </c>
      <c r="BO73" s="275">
        <v>-5.2916462257399104</v>
      </c>
      <c r="BP73" s="275">
        <v>-5.2518657866522087</v>
      </c>
      <c r="BQ73" s="275">
        <v>-5.212510083898418</v>
      </c>
      <c r="BR73" s="275">
        <v>-5.1735820688068737</v>
      </c>
      <c r="BS73" s="275">
        <v>-5.1350834008629471</v>
      </c>
      <c r="BT73" s="275">
        <v>-5.0970144205490504</v>
      </c>
      <c r="BU73" s="275">
        <v>-5.0593741351034636</v>
      </c>
      <c r="BV73" s="275">
        <v>-5.0221602181062179</v>
      </c>
      <c r="BW73" s="275">
        <v>-4.9853690234035959</v>
      </c>
      <c r="BX73" s="275">
        <v>-4.9489956134522197</v>
      </c>
      <c r="BY73" s="275">
        <v>-4.9130338017236079</v>
      </c>
      <c r="BZ73" s="275">
        <v>-4.8774762083850067</v>
      </c>
      <c r="CA73" s="275">
        <v>-4.8423143280867569</v>
      </c>
      <c r="CB73" s="275">
        <v>-4.8075386083605016</v>
      </c>
      <c r="CC73" s="275">
        <v>-4.7731385368821346</v>
      </c>
      <c r="CD73" s="275">
        <v>-4.7391027356875064</v>
      </c>
      <c r="CE73" s="275">
        <v>-4.7054190603513826</v>
      </c>
      <c r="CF73" s="275">
        <v>-4.6720747021467242</v>
      </c>
      <c r="CG73" s="275">
        <v>-4.6390562912843523</v>
      </c>
      <c r="CH73" s="275">
        <v>-4.6063499994794128</v>
      </c>
      <c r="CI73" s="275">
        <v>-4.5739416402858959</v>
      </c>
      <c r="CJ73" s="275">
        <v>-4.5418167658672681</v>
      </c>
      <c r="CK73" s="275">
        <v>-4.509960759114704</v>
      </c>
      <c r="CL73" s="275">
        <v>-4.4783589202693914</v>
      </c>
      <c r="CM73" s="275">
        <v>-4.4469965474408308</v>
      </c>
      <c r="CN73" s="275">
        <v>-4.415859010628199</v>
      </c>
      <c r="CO73" s="275">
        <v>-4.3849318190418627</v>
      </c>
      <c r="CP73" s="275"/>
      <c r="CQ73" s="276">
        <v>-9.1602309748048167</v>
      </c>
      <c r="CR73" s="276">
        <v>-9.1051149894829297</v>
      </c>
      <c r="CS73" s="276">
        <v>-9.0500118361565658</v>
      </c>
      <c r="CT73" s="276">
        <v>-8.9949268358241081</v>
      </c>
      <c r="CU73" s="276">
        <v>-8.9398654041960395</v>
      </c>
      <c r="CV73" s="276">
        <v>-8.8848330277486127</v>
      </c>
      <c r="CW73" s="276">
        <v>-8.8298352375582247</v>
      </c>
      <c r="CX73" s="276">
        <v>-8.7748775810883934</v>
      </c>
      <c r="CY73" s="276">
        <v>-8.7199655921611896</v>
      </c>
      <c r="CZ73" s="276">
        <v>-8.6651047594072814</v>
      </c>
      <c r="DA73" s="276">
        <v>-8.610300493551664</v>
      </c>
      <c r="DB73" s="276">
        <v>-8.5555580939546676</v>
      </c>
      <c r="DC73" s="276">
        <v>-8.5008827148871386</v>
      </c>
      <c r="DD73" s="276">
        <v>-8.4462793320738374</v>
      </c>
      <c r="DE73" s="276">
        <v>-8.3917527100879905</v>
      </c>
      <c r="DF73" s="276">
        <v>-8.3373073712205716</v>
      </c>
      <c r="DG73" s="276">
        <v>-8.2829475664799546</v>
      </c>
      <c r="DH73" s="276">
        <v>-8.2286772493981388</v>
      </c>
      <c r="DI73" s="276">
        <v>-8.1745000533309522</v>
      </c>
      <c r="DJ73" s="276">
        <v>-8.1204192729383209</v>
      </c>
      <c r="DK73" s="276">
        <v>-8.0664378505196552</v>
      </c>
      <c r="DL73" s="276">
        <v>-8.0125583678575936</v>
      </c>
      <c r="DM73" s="276">
        <v>-7.9587830441929377</v>
      </c>
      <c r="DN73" s="276">
        <v>-7.905113740914941</v>
      </c>
      <c r="DO73" s="276">
        <v>-7.8515519735053196</v>
      </c>
      <c r="DP73" s="276">
        <v>-7.7980989312229338</v>
      </c>
      <c r="DQ73" s="276">
        <v>-7.7447555049582588</v>
      </c>
      <c r="DR73" s="276">
        <v>-7.6915223236234889</v>
      </c>
      <c r="DS73" s="276">
        <v>-7.6383997993729444</v>
      </c>
      <c r="DT73" s="276">
        <v>-7.5853881818687547</v>
      </c>
      <c r="DU73" s="276">
        <v>-7.532487621715025</v>
      </c>
      <c r="DV73" s="276">
        <v>-7.4796982430761201</v>
      </c>
      <c r="DW73" s="276">
        <v>-7.4270202253681266</v>
      </c>
      <c r="DX73" s="276">
        <v>-7.3744538937620598</v>
      </c>
      <c r="DY73" s="276">
        <v>-7.3219998180588997</v>
      </c>
      <c r="DZ73" s="276">
        <v>-7.2696589192877106</v>
      </c>
      <c r="EA73" s="276">
        <v>-7.2174325831359596</v>
      </c>
      <c r="EB73" s="276">
        <v>-7.1653227790469574</v>
      </c>
      <c r="EC73" s="276">
        <v>-7.1133321835147187</v>
      </c>
      <c r="ED73" s="276">
        <v>-7.0614643057783821</v>
      </c>
      <c r="EE73" s="276">
        <v>-7.0097236137745824</v>
      </c>
      <c r="EF73" s="276">
        <v>-6.9581156578602599</v>
      </c>
      <c r="EG73" s="276">
        <v>-6.906647189485815</v>
      </c>
      <c r="EH73" s="276">
        <v>-6.8553262716976393</v>
      </c>
      <c r="EI73" s="276">
        <v>-6.8041623781008296</v>
      </c>
      <c r="EJ73" s="276">
        <v>-6.7531664767375439</v>
      </c>
      <c r="EK73" s="276">
        <v>-6.7023510952552057</v>
      </c>
      <c r="EL73" s="276">
        <v>-6.6517303637677632</v>
      </c>
      <c r="EM73" s="276">
        <v>-6.6013200319678278</v>
      </c>
      <c r="EN73" s="276">
        <v>-6.5511374573343746</v>
      </c>
      <c r="EO73" s="276">
        <v>-6.5012015617024517</v>
      </c>
      <c r="EP73" s="276">
        <v>-6.4515327540128657</v>
      </c>
      <c r="EQ73" s="276">
        <v>-6.4021528177290019</v>
      </c>
      <c r="ER73" s="276">
        <v>-6.3530847621785416</v>
      </c>
      <c r="ES73" s="276">
        <v>-6.3043526379266046</v>
      </c>
      <c r="ET73" s="276">
        <v>-6.2559813171905159</v>
      </c>
      <c r="EU73" s="276">
        <v>-6.2079962412373391</v>
      </c>
      <c r="EV73" s="276">
        <v>-6.1604231376392171</v>
      </c>
      <c r="EW73" s="276">
        <v>-6.113287711170627</v>
      </c>
      <c r="EX73" s="276">
        <v>-6.0666153129946583</v>
      </c>
      <c r="EY73" s="276">
        <v>-6.0204305935759406</v>
      </c>
      <c r="EZ73" s="276">
        <v>-5.9747571454561363</v>
      </c>
      <c r="FA73" s="276">
        <v>-5.9296171426087616</v>
      </c>
      <c r="FB73" s="276">
        <v>-5.8850309835317614</v>
      </c>
      <c r="FC73" s="276">
        <v>-5.841016945514335</v>
      </c>
      <c r="FD73" s="276">
        <v>-5.7975908576067798</v>
      </c>
      <c r="FE73" s="276">
        <v>-5.7547657997082888</v>
      </c>
      <c r="FF73" s="276">
        <v>-5.712551834851765</v>
      </c>
      <c r="FG73" s="276">
        <v>-5.6709557812006022</v>
      </c>
      <c r="FH73" s="276">
        <v>-5.629981029481403</v>
      </c>
      <c r="FI73" s="276">
        <v>-5.5896274105748516</v>
      </c>
      <c r="FJ73" s="272">
        <v>-5.549891116802641</v>
      </c>
      <c r="FK73" s="272">
        <v>-5.5107646791225333</v>
      </c>
      <c r="FL73" s="272">
        <v>-5.4722370010273789</v>
      </c>
      <c r="FM73" s="272">
        <v>-5.4342934484961383</v>
      </c>
      <c r="FN73" s="272">
        <v>-5.3969159939258269</v>
      </c>
      <c r="FO73" s="272">
        <v>-5.3600834106403568</v>
      </c>
      <c r="FP73" s="272">
        <v>-5.3237715133778414</v>
      </c>
      <c r="FQ73" s="272">
        <v>-5.2879534391401677</v>
      </c>
      <c r="FR73" s="272">
        <v>-5.2525999619781469</v>
      </c>
      <c r="FS73" s="272">
        <v>-5.2176798346946871</v>
      </c>
      <c r="FT73" s="272">
        <v>-5.1831601500819167</v>
      </c>
      <c r="FU73" s="272">
        <v>-5.1490067141582969</v>
      </c>
      <c r="FV73" s="272">
        <v>-5.1151844239247204</v>
      </c>
      <c r="FW73" s="272">
        <v>-5.0816576423972606</v>
      </c>
      <c r="FX73" s="272">
        <v>-5.0483905640768736</v>
      </c>
      <c r="FY73" s="272">
        <v>-5.0153475645644523</v>
      </c>
      <c r="FZ73" s="272">
        <v>-4.9824935287016832</v>
      </c>
      <c r="GA73" s="272">
        <v>-4.9497941523948983</v>
      </c>
      <c r="GB73" s="272">
        <v>-4.9172162141393532</v>
      </c>
      <c r="GC73" s="272">
        <v>-4.8847278131825131</v>
      </c>
    </row>
    <row r="74" spans="2:185" ht="15" thickBot="1" x14ac:dyDescent="0.4">
      <c r="B74" s="298">
        <v>68</v>
      </c>
      <c r="C74" s="275">
        <v>-8.3795718963771719</v>
      </c>
      <c r="D74" s="275">
        <v>-8.3372691398937455</v>
      </c>
      <c r="E74" s="275">
        <v>-8.2947922129832428</v>
      </c>
      <c r="F74" s="275">
        <v>-8.2521379071777581</v>
      </c>
      <c r="G74" s="275">
        <v>-8.209303266764751</v>
      </c>
      <c r="H74" s="275">
        <v>-8.1662856258172667</v>
      </c>
      <c r="I74" s="275">
        <v>-8.1230826465713122</v>
      </c>
      <c r="J74" s="275">
        <v>-8.079692358837006</v>
      </c>
      <c r="K74" s="275">
        <v>-8.0361132000751017</v>
      </c>
      <c r="L74" s="275">
        <v>-7.9923440557182577</v>
      </c>
      <c r="M74" s="275">
        <v>-7.9483842992676106</v>
      </c>
      <c r="N74" s="275">
        <v>-7.9042338316530101</v>
      </c>
      <c r="O74" s="275">
        <v>-7.8598931193115176</v>
      </c>
      <c r="P74" s="275">
        <v>-7.815363230415608</v>
      </c>
      <c r="Q74" s="275">
        <v>-7.770645868672263</v>
      </c>
      <c r="R74" s="275">
        <v>-7.7257434041180533</v>
      </c>
      <c r="S74" s="275">
        <v>-7.6806589003550059</v>
      </c>
      <c r="T74" s="275">
        <v>-7.6353961377078488</v>
      </c>
      <c r="U74" s="275">
        <v>-7.589959631835435</v>
      </c>
      <c r="V74" s="275">
        <v>-7.5443546473964966</v>
      </c>
      <c r="W74" s="275">
        <v>-7.4985872064515293</v>
      </c>
      <c r="X74" s="275">
        <v>-7.4526640913755609</v>
      </c>
      <c r="Y74" s="275">
        <v>-7.4065928421586404</v>
      </c>
      <c r="Z74" s="275">
        <v>-7.3603817480783444</v>
      </c>
      <c r="AA74" s="275">
        <v>-7.3140398338377297</v>
      </c>
      <c r="AB74" s="275">
        <v>-7.26757684036947</v>
      </c>
      <c r="AC74" s="275">
        <v>-7.2210032006080489</v>
      </c>
      <c r="AD74" s="275">
        <v>-7.1743300106240584</v>
      </c>
      <c r="AE74" s="275">
        <v>-7.1275689965937357</v>
      </c>
      <c r="AF74" s="275">
        <v>-7.0807324781413481</v>
      </c>
      <c r="AG74" s="275">
        <v>-7.0338333286388934</v>
      </c>
      <c r="AH74" s="275">
        <v>-6.986884933076448</v>
      </c>
      <c r="AI74" s="275">
        <v>-6.9399011441259466</v>
      </c>
      <c r="AJ74" s="275">
        <v>-6.8928962370120042</v>
      </c>
      <c r="AK74" s="275">
        <v>-6.8458848637757663</v>
      </c>
      <c r="AL74" s="275">
        <v>-6.7988820074732326</v>
      </c>
      <c r="AM74" s="275">
        <v>-6.7519029367896186</v>
      </c>
      <c r="AN74" s="275">
        <v>-6.7049631614782346</v>
      </c>
      <c r="AO74" s="275">
        <v>-6.6580783889484119</v>
      </c>
      <c r="AP74" s="275">
        <v>-6.6112644822348328</v>
      </c>
      <c r="AQ74" s="275">
        <v>-6.5645374194829227</v>
      </c>
      <c r="AR74" s="275">
        <v>-6.5179132549847774</v>
      </c>
      <c r="AS74" s="275">
        <v>-6.4714080816999306</v>
      </c>
      <c r="AT74" s="275">
        <v>-6.4250379950986458</v>
      </c>
      <c r="AU74" s="275">
        <v>-6.3788190580746331</v>
      </c>
      <c r="AV74" s="275">
        <v>-6.3327672665923576</v>
      </c>
      <c r="AW74" s="275">
        <v>-6.2868985156641548</v>
      </c>
      <c r="AX74" s="275">
        <v>-6.2412285651964128</v>
      </c>
      <c r="AY74" s="275">
        <v>-6.1957730052053019</v>
      </c>
      <c r="AZ74" s="275">
        <v>-6.1505472198822329</v>
      </c>
      <c r="BA74" s="275">
        <v>-6.1055663499903492</v>
      </c>
      <c r="BB74" s="275">
        <v>-6.0608452530968044</v>
      </c>
      <c r="BC74" s="275">
        <v>-6.0163984611932104</v>
      </c>
      <c r="BD74" s="275">
        <v>-5.9722401353290477</v>
      </c>
      <c r="BE74" s="275">
        <v>-5.9283840169804627</v>
      </c>
      <c r="BF74" s="275">
        <v>-5.8848433759993153</v>
      </c>
      <c r="BG74" s="275">
        <v>-5.8416309551333123</v>
      </c>
      <c r="BH74" s="275">
        <v>-5.798758911275268</v>
      </c>
      <c r="BI74" s="275">
        <v>-5.7562387537843556</v>
      </c>
      <c r="BJ74" s="275">
        <v>-5.7140812804195926</v>
      </c>
      <c r="BK74" s="275">
        <v>-5.6722965116291366</v>
      </c>
      <c r="BL74" s="275">
        <v>-5.6308936241399969</v>
      </c>
      <c r="BM74" s="275">
        <v>-5.5898808849818513</v>
      </c>
      <c r="BN74" s="275">
        <v>-5.5492655872450962</v>
      </c>
      <c r="BO74" s="275">
        <v>-5.5090539890055732</v>
      </c>
      <c r="BP74" s="275">
        <v>-5.4692512569356504</v>
      </c>
      <c r="BQ74" s="275">
        <v>-5.4298614161534271</v>
      </c>
      <c r="BR74" s="275">
        <v>-5.3908873078311039</v>
      </c>
      <c r="BS74" s="275">
        <v>-5.3523305559850272</v>
      </c>
      <c r="BT74" s="275">
        <v>-5.3141915447035784</v>
      </c>
      <c r="BU74" s="275">
        <v>-5.2764694068380784</v>
      </c>
      <c r="BV74" s="275">
        <v>-5.2391620248957551</v>
      </c>
      <c r="BW74" s="275">
        <v>-5.2022660445445279</v>
      </c>
      <c r="BX74" s="275">
        <v>-5.165776900784385</v>
      </c>
      <c r="BY74" s="275">
        <v>-5.1296888564775101</v>
      </c>
      <c r="BZ74" s="275">
        <v>-5.0939950525788689</v>
      </c>
      <c r="CA74" s="275">
        <v>-5.0586875690892166</v>
      </c>
      <c r="CB74" s="275">
        <v>-5.0237574954795363</v>
      </c>
      <c r="CC74" s="275">
        <v>-4.9891950091221826</v>
      </c>
      <c r="CD74" s="275">
        <v>-4.9549894601176412</v>
      </c>
      <c r="CE74" s="275">
        <v>-4.9211294608291816</v>
      </c>
      <c r="CF74" s="275">
        <v>-4.8876029784299231</v>
      </c>
      <c r="CG74" s="275">
        <v>-4.8543974288212919</v>
      </c>
      <c r="CH74" s="275">
        <v>-4.8214997703895843</v>
      </c>
      <c r="CI74" s="275">
        <v>-4.7888965962173096</v>
      </c>
      <c r="CJ74" s="275">
        <v>-4.7565742235450248</v>
      </c>
      <c r="CK74" s="275">
        <v>-4.7245187794757797</v>
      </c>
      <c r="CL74" s="275">
        <v>-4.6927162821157857</v>
      </c>
      <c r="CM74" s="275">
        <v>-4.6611527165422233</v>
      </c>
      <c r="CN74" s="275">
        <v>-4.6298141051733257</v>
      </c>
      <c r="CO74" s="275">
        <v>-4.5986865722818884</v>
      </c>
      <c r="CP74" s="275"/>
      <c r="CQ74" s="276">
        <v>-9.3911006633437921</v>
      </c>
      <c r="CR74" s="276">
        <v>-9.3360981929264035</v>
      </c>
      <c r="CS74" s="276">
        <v>-9.2811102560837035</v>
      </c>
      <c r="CT74" s="276">
        <v>-9.2261419744783968</v>
      </c>
      <c r="CU74" s="276">
        <v>-9.171198552006139</v>
      </c>
      <c r="CV74" s="276">
        <v>-9.1162852523769491</v>
      </c>
      <c r="CW74" s="276">
        <v>-9.0614073747982911</v>
      </c>
      <c r="CX74" s="276">
        <v>-9.0065702279359527</v>
      </c>
      <c r="CY74" s="276">
        <v>-8.9517791023807032</v>
      </c>
      <c r="CZ74" s="276">
        <v>-8.8970392419043005</v>
      </c>
      <c r="DA74" s="276">
        <v>-8.8423558138427332</v>
      </c>
      <c r="DB74" s="276">
        <v>-8.7877338789988055</v>
      </c>
      <c r="DC74" s="276">
        <v>-8.7331783615071981</v>
      </c>
      <c r="DD74" s="276">
        <v>-8.6786940191520117</v>
      </c>
      <c r="DE74" s="276">
        <v>-8.6242854146687833</v>
      </c>
      <c r="DF74" s="276">
        <v>-8.56995688859657</v>
      </c>
      <c r="DG74" s="276">
        <v>-8.5157125342729216</v>
      </c>
      <c r="DH74" s="276">
        <v>-8.4615561755811513</v>
      </c>
      <c r="DI74" s="276">
        <v>-8.4074913480678326</v>
      </c>
      <c r="DJ74" s="276">
        <v>-8.3535212840461064</v>
      </c>
      <c r="DK74" s="276">
        <v>-8.2996489022894053</v>
      </c>
      <c r="DL74" s="276">
        <v>-8.245876802899291</v>
      </c>
      <c r="DM74" s="276">
        <v>-8.1922072679022282</v>
      </c>
      <c r="DN74" s="276">
        <v>-8.138642268093081</v>
      </c>
      <c r="DO74" s="276">
        <v>-8.0851834765988642</v>
      </c>
      <c r="DP74" s="276">
        <v>-8.031832289585294</v>
      </c>
      <c r="DQ74" s="276">
        <v>-7.9785898544708962</v>
      </c>
      <c r="DR74" s="276">
        <v>-7.9254571059485306</v>
      </c>
      <c r="DS74" s="276">
        <v>-7.8724348100409269</v>
      </c>
      <c r="DT74" s="276">
        <v>-7.819523616334056</v>
      </c>
      <c r="DU74" s="276">
        <v>-7.7667241184371711</v>
      </c>
      <c r="DV74" s="276">
        <v>-7.7140369226088312</v>
      </c>
      <c r="DW74" s="276">
        <v>-7.6614627243611304</v>
      </c>
      <c r="DX74" s="276">
        <v>-7.6090023927067483</v>
      </c>
      <c r="DY74" s="276">
        <v>-7.5566570615427961</v>
      </c>
      <c r="DZ74" s="276">
        <v>-7.5044282274701084</v>
      </c>
      <c r="EA74" s="276">
        <v>-7.4523178531256358</v>
      </c>
      <c r="EB74" s="276">
        <v>-7.4003284748610838</v>
      </c>
      <c r="EC74" s="276">
        <v>-7.3484633133346522</v>
      </c>
      <c r="ED74" s="276">
        <v>-7.2967263853022466</v>
      </c>
      <c r="EE74" s="276">
        <v>-7.2451226146062631</v>
      </c>
      <c r="EF74" s="276">
        <v>-7.193657940076851</v>
      </c>
      <c r="EG74" s="276">
        <v>-7.1423394177937567</v>
      </c>
      <c r="EH74" s="276">
        <v>-7.0911753149240626</v>
      </c>
      <c r="EI74" s="276">
        <v>-7.0401751921663456</v>
      </c>
      <c r="EJ74" s="276">
        <v>-6.9893499717137813</v>
      </c>
      <c r="EK74" s="276">
        <v>-6.938711987611824</v>
      </c>
      <c r="EL74" s="276">
        <v>-6.8882750154442833</v>
      </c>
      <c r="EM74" s="276">
        <v>-6.8380542784454459</v>
      </c>
      <c r="EN74" s="276">
        <v>-6.7880664274102358</v>
      </c>
      <c r="EO74" s="276">
        <v>-6.7383294921615056</v>
      </c>
      <c r="EP74" s="276">
        <v>-6.6888628028273303</v>
      </c>
      <c r="EQ74" s="276">
        <v>-6.6396868797733699</v>
      </c>
      <c r="ER74" s="276">
        <v>-6.5908232917111089</v>
      </c>
      <c r="ES74" s="276">
        <v>-6.5422944822435189</v>
      </c>
      <c r="ET74" s="276">
        <v>-6.4941235658967482</v>
      </c>
      <c r="EU74" s="276">
        <v>-6.446334095495061</v>
      </c>
      <c r="EV74" s="276">
        <v>-6.3989498035465209</v>
      </c>
      <c r="EW74" s="276">
        <v>-6.3519943210942484</v>
      </c>
      <c r="EX74" s="276">
        <v>-6.3054908782318737</v>
      </c>
      <c r="EY74" s="276">
        <v>-6.2594619911602356</v>
      </c>
      <c r="EZ74" s="276">
        <v>-6.2139291412540958</v>
      </c>
      <c r="FA74" s="276">
        <v>-6.1689124520935916</v>
      </c>
      <c r="FB74" s="276">
        <v>-6.1244303707727941</v>
      </c>
      <c r="FC74" s="276">
        <v>-6.0804993600105739</v>
      </c>
      <c r="FD74" s="276">
        <v>-6.0371336076360933</v>
      </c>
      <c r="FE74" s="276">
        <v>-5.9943447598908399</v>
      </c>
      <c r="FF74" s="276">
        <v>-5.9521416846689492</v>
      </c>
      <c r="FG74" s="276">
        <v>-5.9105302703053599</v>
      </c>
      <c r="FH74" s="276">
        <v>-5.8695132648221566</v>
      </c>
      <c r="FI74" s="276">
        <v>-5.8290901596713338</v>
      </c>
      <c r="FJ74" s="272">
        <v>-5.7892571209924473</v>
      </c>
      <c r="FK74" s="272">
        <v>-5.7500069702696281</v>
      </c>
      <c r="FL74" s="272">
        <v>-5.7113292150663408</v>
      </c>
      <c r="FM74" s="272">
        <v>-5.6732101292840564</v>
      </c>
      <c r="FN74" s="272">
        <v>-5.6356328811818406</v>
      </c>
      <c r="FO74" s="272">
        <v>-5.5985777062528763</v>
      </c>
      <c r="FP74" s="272">
        <v>-5.5620221210238734</v>
      </c>
      <c r="FQ74" s="272">
        <v>-5.5259411729566494</v>
      </c>
      <c r="FR74" s="272">
        <v>-5.4903077209132398</v>
      </c>
      <c r="FS74" s="272">
        <v>-5.4550927401103877</v>
      </c>
      <c r="FT74" s="272">
        <v>-5.42026564514269</v>
      </c>
      <c r="FU74" s="272">
        <v>-5.3857946244920889</v>
      </c>
      <c r="FV74" s="272">
        <v>-5.3516469799573443</v>
      </c>
      <c r="FW74" s="272">
        <v>-5.3177894646169648</v>
      </c>
      <c r="FX74" s="272">
        <v>-5.2841886132668563</v>
      </c>
      <c r="FY74" s="272">
        <v>-5.2508110597334889</v>
      </c>
      <c r="FZ74" s="272">
        <v>-5.2176238360358411</v>
      </c>
      <c r="GA74" s="272">
        <v>-5.1845946490369874</v>
      </c>
      <c r="GB74" s="272">
        <v>-5.1516921309685646</v>
      </c>
      <c r="GC74" s="272">
        <v>-5.1188860610082267</v>
      </c>
    </row>
    <row r="75" spans="2:185" ht="15" thickBot="1" x14ac:dyDescent="0.4">
      <c r="B75" s="298">
        <v>69</v>
      </c>
      <c r="C75" s="275">
        <v>-8.5921354942507691</v>
      </c>
      <c r="D75" s="275">
        <v>-8.5498039220922042</v>
      </c>
      <c r="E75" s="275">
        <v>-8.5073013607273715</v>
      </c>
      <c r="F75" s="275">
        <v>-8.4646248933947312</v>
      </c>
      <c r="G75" s="275">
        <v>-8.4217718590055473</v>
      </c>
      <c r="H75" s="275">
        <v>-8.3787398868665051</v>
      </c>
      <c r="I75" s="275">
        <v>-8.335526932502491</v>
      </c>
      <c r="J75" s="275">
        <v>-8.2921313142841129</v>
      </c>
      <c r="K75" s="275">
        <v>-8.248551750518363</v>
      </c>
      <c r="L75" s="275">
        <v>-8.2047873966164406</v>
      </c>
      <c r="M75" s="275">
        <v>-8.1608378819129754</v>
      </c>
      <c r="N75" s="275">
        <v>-8.1167033456763757</v>
      </c>
      <c r="O75" s="275">
        <v>-8.072384471823856</v>
      </c>
      <c r="P75" s="275">
        <v>-8.02788252183732</v>
      </c>
      <c r="Q75" s="275">
        <v>-7.9831993653706013</v>
      </c>
      <c r="R75" s="275">
        <v>-7.9383375080446248</v>
      </c>
      <c r="S75" s="275">
        <v>-7.8933001159468379</v>
      </c>
      <c r="T75" s="275">
        <v>-7.8480910363843828</v>
      </c>
      <c r="U75" s="275">
        <v>-7.802714814487179</v>
      </c>
      <c r="V75" s="275">
        <v>-7.7571767053167582</v>
      </c>
      <c r="W75" s="275">
        <v>-7.7114826812075332</v>
      </c>
      <c r="X75" s="275">
        <v>-7.6656394341478258</v>
      </c>
      <c r="Y75" s="275">
        <v>-7.6196543730957158</v>
      </c>
      <c r="Z75" s="275">
        <v>-7.5735356162167982</v>
      </c>
      <c r="AA75" s="275">
        <v>-7.5272919781245493</v>
      </c>
      <c r="AB75" s="275">
        <v>-7.4809329522953787</v>
      </c>
      <c r="AC75" s="275">
        <v>-7.4344686889173213</v>
      </c>
      <c r="AD75" s="275">
        <v>-7.3879099685097982</v>
      </c>
      <c r="AE75" s="275">
        <v>-7.34126817172013</v>
      </c>
      <c r="AF75" s="275">
        <v>-7.2945552457578424</v>
      </c>
      <c r="AG75" s="275">
        <v>-7.2477836679686369</v>
      </c>
      <c r="AH75" s="275">
        <v>-7.2009664070752777</v>
      </c>
      <c r="AI75" s="275">
        <v>-7.1541168826217332</v>
      </c>
      <c r="AJ75" s="275">
        <v>-7.1072489231498919</v>
      </c>
      <c r="AK75" s="275">
        <v>-7.0603767236155059</v>
      </c>
      <c r="AL75" s="275">
        <v>-7.0135148025127068</v>
      </c>
      <c r="AM75" s="275">
        <v>-6.9666779591258647</v>
      </c>
      <c r="AN75" s="275">
        <v>-6.9198812312655829</v>
      </c>
      <c r="AO75" s="275">
        <v>-6.8731398537742274</v>
      </c>
      <c r="AP75" s="275">
        <v>-6.8264692180077029</v>
      </c>
      <c r="AQ75" s="275">
        <v>-6.7798848324169709</v>
      </c>
      <c r="AR75" s="275">
        <v>-6.7334022842671688</v>
      </c>
      <c r="AS75" s="275">
        <v>-6.6870372024470308</v>
      </c>
      <c r="AT75" s="275">
        <v>-6.6408052212391029</v>
      </c>
      <c r="AU75" s="275">
        <v>-6.5947219448445384</v>
      </c>
      <c r="AV75" s="275">
        <v>-6.5488029123876768</v>
      </c>
      <c r="AW75" s="275">
        <v>-6.5030635630674967</v>
      </c>
      <c r="AX75" s="275">
        <v>-6.4575192010777691</v>
      </c>
      <c r="AY75" s="275">
        <v>-6.4121849598873304</v>
      </c>
      <c r="AZ75" s="275">
        <v>-6.3670757654583596</v>
      </c>
      <c r="BA75" s="275">
        <v>-6.3222062979857556</v>
      </c>
      <c r="BB75" s="275">
        <v>-6.2775909517652488</v>
      </c>
      <c r="BC75" s="275">
        <v>-6.233243792844025</v>
      </c>
      <c r="BD75" s="275">
        <v>-6.1891785141745439</v>
      </c>
      <c r="BE75" s="275">
        <v>-6.1454083880807948</v>
      </c>
      <c r="BF75" s="275">
        <v>-6.1019462159554809</v>
      </c>
      <c r="BG75" s="275">
        <v>-6.0588042752348814</v>
      </c>
      <c r="BH75" s="275">
        <v>-6.0159942638432513</v>
      </c>
      <c r="BI75" s="275">
        <v>-5.9735272424568899</v>
      </c>
      <c r="BJ75" s="275">
        <v>-5.9314135751048136</v>
      </c>
      <c r="BK75" s="275">
        <v>-5.8896628687924188</v>
      </c>
      <c r="BL75" s="275">
        <v>-5.8482839129993511</v>
      </c>
      <c r="BM75" s="275">
        <v>-5.8072846200554524</v>
      </c>
      <c r="BN75" s="275">
        <v>-5.7666719675295584</v>
      </c>
      <c r="BO75" s="275">
        <v>-5.7264519438669863</v>
      </c>
      <c r="BP75" s="275">
        <v>-5.6866294985735362</v>
      </c>
      <c r="BQ75" s="275">
        <v>-5.6472084982596362</v>
      </c>
      <c r="BR75" s="275">
        <v>-5.6081916898221431</v>
      </c>
      <c r="BS75" s="275">
        <v>-5.5695806719503702</v>
      </c>
      <c r="BT75" s="275">
        <v>-5.5313758759970222</v>
      </c>
      <c r="BU75" s="275">
        <v>-5.4935765570580051</v>
      </c>
      <c r="BV75" s="275">
        <v>-5.4561807958642046</v>
      </c>
      <c r="BW75" s="275">
        <v>-5.4191855118142236</v>
      </c>
      <c r="BX75" s="275">
        <v>-5.3825864871824054</v>
      </c>
      <c r="BY75" s="275">
        <v>-5.346378402236315</v>
      </c>
      <c r="BZ75" s="275">
        <v>-5.3105548807073149</v>
      </c>
      <c r="CA75" s="275">
        <v>-5.2751085447911077</v>
      </c>
      <c r="CB75" s="275">
        <v>-5.2400310786260453</v>
      </c>
      <c r="CC75" s="275">
        <v>-5.2053132990137474</v>
      </c>
      <c r="CD75" s="275">
        <v>-5.1709452320179432</v>
      </c>
      <c r="CE75" s="275">
        <v>-5.1369161940040016</v>
      </c>
      <c r="CF75" s="275">
        <v>-5.1032148756644586</v>
      </c>
      <c r="CG75" s="275">
        <v>-5.0698294276098199</v>
      </c>
      <c r="CH75" s="275">
        <v>-5.0367475461825544</v>
      </c>
      <c r="CI75" s="275">
        <v>-5.0039565582671459</v>
      </c>
      <c r="CJ75" s="275">
        <v>-4.9714435040106038</v>
      </c>
      <c r="CK75" s="275">
        <v>-4.9391952165259676</v>
      </c>
      <c r="CL75" s="275">
        <v>-4.9071983978172344</v>
      </c>
      <c r="CM75" s="275">
        <v>-4.8754396903289834</v>
      </c>
      <c r="CN75" s="275">
        <v>-4.8439057436812059</v>
      </c>
      <c r="CO75" s="275">
        <v>-4.8125832762945953</v>
      </c>
      <c r="CP75" s="275"/>
      <c r="CQ75" s="276">
        <v>-9.6220397085971836</v>
      </c>
      <c r="CR75" s="276">
        <v>-9.5671490453504795</v>
      </c>
      <c r="CS75" s="276">
        <v>-9.5122745103962671</v>
      </c>
      <c r="CT75" s="276">
        <v>-9.4574210378137682</v>
      </c>
      <c r="CU75" s="276">
        <v>-9.4025936332804427</v>
      </c>
      <c r="CV75" s="276">
        <v>-9.3477973531560945</v>
      </c>
      <c r="CW75" s="276">
        <v>-9.2930372819537777</v>
      </c>
      <c r="CX75" s="276">
        <v>-9.2383185083740269</v>
      </c>
      <c r="CY75" s="276">
        <v>-9.1836461001252871</v>
      </c>
      <c r="CZ75" s="276">
        <v>-9.1290250778016588</v>
      </c>
      <c r="DA75" s="276">
        <v>-9.0744603881369255</v>
      </c>
      <c r="DB75" s="276">
        <v>-9.0199568770002845</v>
      </c>
      <c r="DC75" s="276">
        <v>-8.9655192625431734</v>
      </c>
      <c r="DD75" s="276">
        <v>-8.9111521089469097</v>
      </c>
      <c r="DE75" s="276">
        <v>-8.8568598012556734</v>
      </c>
      <c r="DF75" s="276">
        <v>-8.802646521808402</v>
      </c>
      <c r="DG75" s="276">
        <v>-8.7485162288048848</v>
      </c>
      <c r="DH75" s="276">
        <v>-8.6944726375550374</v>
      </c>
      <c r="DI75" s="276">
        <v>-8.6405192049659103</v>
      </c>
      <c r="DJ75" s="276">
        <v>-8.5866591178178187</v>
      </c>
      <c r="DK75" s="276">
        <v>-8.5328952853690261</v>
      </c>
      <c r="DL75" s="276">
        <v>-8.479230336808504</v>
      </c>
      <c r="DM75" s="276">
        <v>-8.4256666240477838</v>
      </c>
      <c r="DN75" s="276">
        <v>-8.372206230307139</v>
      </c>
      <c r="DO75" s="276">
        <v>-8.3188509849080834</v>
      </c>
      <c r="DP75" s="276">
        <v>-8.2656024846337228</v>
      </c>
      <c r="DQ75" s="276">
        <v>-8.212462121960872</v>
      </c>
      <c r="DR75" s="276">
        <v>-8.1594311204024059</v>
      </c>
      <c r="DS75" s="276">
        <v>-8.1065105771243093</v>
      </c>
      <c r="DT75" s="276">
        <v>-8.0537015129182485</v>
      </c>
      <c r="DU75" s="276">
        <v>-8.0010049295147141</v>
      </c>
      <c r="DV75" s="276">
        <v>-7.9484218741132544</v>
      </c>
      <c r="DW75" s="276">
        <v>-7.8959535108817409</v>
      </c>
      <c r="DX75" s="276">
        <v>-7.8436011990348984</v>
      </c>
      <c r="DY75" s="276">
        <v>-7.7913665769417104</v>
      </c>
      <c r="DZ75" s="276">
        <v>-7.7392516515310117</v>
      </c>
      <c r="EA75" s="276">
        <v>-7.6872588920652021</v>
      </c>
      <c r="EB75" s="276">
        <v>-7.6353913271351104</v>
      </c>
      <c r="EC75" s="276">
        <v>-7.5836526434983771</v>
      </c>
      <c r="ED75" s="276">
        <v>-7.5320472851445981</v>
      </c>
      <c r="EE75" s="276">
        <v>-7.4805805507303909</v>
      </c>
      <c r="EF75" s="276">
        <v>-7.4292586872963033</v>
      </c>
      <c r="EG75" s="276">
        <v>-7.3780889779658674</v>
      </c>
      <c r="EH75" s="276">
        <v>-7.3270798211479971</v>
      </c>
      <c r="EI75" s="276">
        <v>-7.2762407986305204</v>
      </c>
      <c r="EJ75" s="276">
        <v>-7.2255827298782256</v>
      </c>
      <c r="EK75" s="276">
        <v>-7.1751177098453391</v>
      </c>
      <c r="EL75" s="276">
        <v>-7.124859127690744</v>
      </c>
      <c r="EM75" s="276">
        <v>-7.0748216639515187</v>
      </c>
      <c r="EN75" s="276">
        <v>-7.0250212639909968</v>
      </c>
      <c r="EO75" s="276">
        <v>-6.97547508589183</v>
      </c>
      <c r="EP75" s="276">
        <v>-6.9262014214077414</v>
      </c>
      <c r="EQ75" s="276">
        <v>-6.8772195891123324</v>
      </c>
      <c r="ER75" s="276">
        <v>-6.8285497994770159</v>
      </c>
      <c r="ES75" s="276">
        <v>-6.7802129922582832</v>
      </c>
      <c r="ET75" s="276">
        <v>-6.7322306472592146</v>
      </c>
      <c r="EU75" s="276">
        <v>-6.6846245702334564</v>
      </c>
      <c r="EV75" s="276">
        <v>-6.6374166564013741</v>
      </c>
      <c r="EW75" s="276">
        <v>-6.5906286347282794</v>
      </c>
      <c r="EX75" s="276">
        <v>-6.5442817967546922</v>
      </c>
      <c r="EY75" s="276">
        <v>-6.498396714347626</v>
      </c>
      <c r="EZ75" s="276">
        <v>-6.4529929512432007</v>
      </c>
      <c r="FA75" s="276">
        <v>-6.4080887736548284</v>
      </c>
      <c r="FB75" s="276">
        <v>-6.3637008655113636</v>
      </c>
      <c r="FC75" s="276">
        <v>-6.3198440540495966</v>
      </c>
      <c r="FD75" s="276">
        <v>-6.2765310515016806</v>
      </c>
      <c r="FE75" s="276">
        <v>-6.2337722184795412</v>
      </c>
      <c r="FF75" s="276">
        <v>-6.1915753543585064</v>
      </c>
      <c r="FG75" s="276">
        <v>-6.1499455195013164</v>
      </c>
      <c r="FH75" s="276">
        <v>-6.1088848935458921</v>
      </c>
      <c r="FI75" s="276">
        <v>-6.0683926732214664</v>
      </c>
      <c r="FJ75" s="272">
        <v>-6.0284650122771053</v>
      </c>
      <c r="FK75" s="272">
        <v>-5.9890950051337937</v>
      </c>
      <c r="FL75" s="272">
        <v>-5.9502727148399224</v>
      </c>
      <c r="FM75" s="272">
        <v>-5.9119852448572816</v>
      </c>
      <c r="FN75" s="272">
        <v>-5.8742168531699841</v>
      </c>
      <c r="FO75" s="272">
        <v>-5.8369491062296346</v>
      </c>
      <c r="FP75" s="272">
        <v>-5.8001610693595813</v>
      </c>
      <c r="FQ75" s="272">
        <v>-5.7638295294687509</v>
      </c>
      <c r="FR75" s="272">
        <v>-5.7279292452913504</v>
      </c>
      <c r="FS75" s="272">
        <v>-5.6924332198869712</v>
      </c>
      <c r="FT75" s="272">
        <v>-5.6573129898128096</v>
      </c>
      <c r="FU75" s="272">
        <v>-5.6225389252157889</v>
      </c>
      <c r="FV75" s="272">
        <v>-5.5880805350819971</v>
      </c>
      <c r="FW75" s="272">
        <v>-5.5539067720147326</v>
      </c>
      <c r="FX75" s="272">
        <v>-5.5199863311783579</v>
      </c>
      <c r="FY75" s="272">
        <v>-5.4862879384286733</v>
      </c>
      <c r="FZ75" s="272">
        <v>-5.4527806231364897</v>
      </c>
      <c r="GA75" s="272">
        <v>-5.4194339717821736</v>
      </c>
      <c r="GB75" s="272">
        <v>-5.3862183590379233</v>
      </c>
      <c r="GC75" s="272">
        <v>-5.3531051537418559</v>
      </c>
    </row>
    <row r="76" spans="2:185" ht="15" thickBot="1" x14ac:dyDescent="0.4">
      <c r="B76" s="298">
        <v>70</v>
      </c>
      <c r="C76" s="275">
        <v>-8.8046595306659334</v>
      </c>
      <c r="D76" s="275">
        <v>-8.7623020800255738</v>
      </c>
      <c r="E76" s="275">
        <v>-8.7197768608108746</v>
      </c>
      <c r="F76" s="275">
        <v>-8.6770812326623794</v>
      </c>
      <c r="G76" s="275">
        <v>-8.6342128126216071</v>
      </c>
      <c r="H76" s="275">
        <v>-8.5911695076734862</v>
      </c>
      <c r="I76" s="275">
        <v>-8.5479495481767671</v>
      </c>
      <c r="J76" s="275">
        <v>-8.5045515219054195</v>
      </c>
      <c r="K76" s="275">
        <v>-8.4609744083848799</v>
      </c>
      <c r="L76" s="275">
        <v>-8.4172176131697505</v>
      </c>
      <c r="M76" s="275">
        <v>-8.3732810016767516</v>
      </c>
      <c r="N76" s="275">
        <v>-8.329164932159042</v>
      </c>
      <c r="O76" s="275">
        <v>-8.2848702873874007</v>
      </c>
      <c r="P76" s="275">
        <v>-8.2403985045913561</v>
      </c>
      <c r="Q76" s="275">
        <v>-8.1957516032107307</v>
      </c>
      <c r="R76" s="275">
        <v>-8.1509322100158776</v>
      </c>
      <c r="S76" s="275">
        <v>-8.1059435811739693</v>
      </c>
      <c r="T76" s="275">
        <v>-8.0607896208692917</v>
      </c>
      <c r="U76" s="275">
        <v>-8.015474896127369</v>
      </c>
      <c r="V76" s="275">
        <v>-7.9700046475453146</v>
      </c>
      <c r="W76" s="275">
        <v>-7.9243847956926841</v>
      </c>
      <c r="X76" s="275">
        <v>-7.8786219430169684</v>
      </c>
      <c r="Y76" s="275">
        <v>-7.8327233711635316</v>
      </c>
      <c r="Z76" s="275">
        <v>-7.7866970336989469</v>
      </c>
      <c r="AA76" s="275">
        <v>-7.7405515443068342</v>
      </c>
      <c r="AB76" s="275">
        <v>-7.6942961606037628</v>
      </c>
      <c r="AC76" s="275">
        <v>-7.6479407637971191</v>
      </c>
      <c r="AD76" s="275">
        <v>-7.6014958344741306</v>
      </c>
      <c r="AE76" s="275">
        <v>-7.5549724248700816</v>
      </c>
      <c r="AF76" s="275">
        <v>-7.5083821280113172</v>
      </c>
      <c r="AG76" s="275">
        <v>-7.4617370441643951</v>
      </c>
      <c r="AH76" s="275">
        <v>-7.4150497450449189</v>
      </c>
      <c r="AI76" s="275">
        <v>-7.3683332362482368</v>
      </c>
      <c r="AJ76" s="275">
        <v>-7.321600918359068</v>
      </c>
      <c r="AK76" s="275">
        <v>-7.2748665471784122</v>
      </c>
      <c r="AL76" s="275">
        <v>-7.2281441934749271</v>
      </c>
      <c r="AM76" s="275">
        <v>-7.1814482026255897</v>
      </c>
      <c r="AN76" s="275">
        <v>-7.134793154457749</v>
      </c>
      <c r="AO76" s="275">
        <v>-7.0881938235443327</v>
      </c>
      <c r="AP76" s="275">
        <v>-7.0416651401369617</v>
      </c>
      <c r="AQ76" s="275">
        <v>-6.9952221518511593</v>
      </c>
      <c r="AR76" s="275">
        <v>-6.948879986144898</v>
      </c>
      <c r="AS76" s="275">
        <v>-6.9026538135596391</v>
      </c>
      <c r="AT76" s="275">
        <v>-6.8565588116234686</v>
      </c>
      <c r="AU76" s="275">
        <v>-6.8106101292514056</v>
      </c>
      <c r="AV76" s="275">
        <v>-6.7648228514207531</v>
      </c>
      <c r="AW76" s="275">
        <v>-6.7192119638515404</v>
      </c>
      <c r="AX76" s="275">
        <v>-6.6737923173856446</v>
      </c>
      <c r="AY76" s="275">
        <v>-6.6285785917349349</v>
      </c>
      <c r="AZ76" s="275">
        <v>-6.583585258260622</v>
      </c>
      <c r="BA76" s="275">
        <v>-6.5388265414537834</v>
      </c>
      <c r="BB76" s="275">
        <v>-6.4943163788124112</v>
      </c>
      <c r="BC76" s="275">
        <v>-6.4500683788534916</v>
      </c>
      <c r="BD76" s="275">
        <v>-6.4060957770603686</v>
      </c>
      <c r="BE76" s="275">
        <v>-6.3624113896449366</v>
      </c>
      <c r="BF76" s="275">
        <v>-6.3190275651010186</v>
      </c>
      <c r="BG76" s="275">
        <v>-6.2759561336373499</v>
      </c>
      <c r="BH76" s="275">
        <v>-6.2332083547036943</v>
      </c>
      <c r="BI76" s="275">
        <v>-6.1907948629587004</v>
      </c>
      <c r="BJ76" s="275">
        <v>-6.1487256131683656</v>
      </c>
      <c r="BK76" s="275">
        <v>-6.1070098246648428</v>
      </c>
      <c r="BL76" s="275">
        <v>-6.0656559261302272</v>
      </c>
      <c r="BM76" s="275">
        <v>-6.0246715015926906</v>
      </c>
      <c r="BN76" s="275">
        <v>-5.9840632386252546</v>
      </c>
      <c r="BO76" s="275">
        <v>-5.9438368798139756</v>
      </c>
      <c r="BP76" s="275">
        <v>-5.9039971786055832</v>
      </c>
      <c r="BQ76" s="275">
        <v>-5.8645478606488446</v>
      </c>
      <c r="BR76" s="275">
        <v>-5.8254915917054708</v>
      </c>
      <c r="BS76" s="275">
        <v>-5.786829953123207</v>
      </c>
      <c r="BT76" s="275">
        <v>-5.7485634257361689</v>
      </c>
      <c r="BU76" s="275">
        <v>-5.7106913828893857</v>
      </c>
      <c r="BV76" s="275">
        <v>-5.6732120930811858</v>
      </c>
      <c r="BW76" s="275">
        <v>-5.6361227324875847</v>
      </c>
      <c r="BX76" s="275">
        <v>-5.5994194073873951</v>
      </c>
      <c r="BY76" s="275">
        <v>-5.5630971862566199</v>
      </c>
      <c r="BZ76" s="275">
        <v>-5.5271501410587236</v>
      </c>
      <c r="CA76" s="275">
        <v>-5.4915713970341082</v>
      </c>
      <c r="CB76" s="275">
        <v>-5.4563531900982083</v>
      </c>
      <c r="CC76" s="275">
        <v>-5.4214869308013487</v>
      </c>
      <c r="CD76" s="275">
        <v>-5.3869632736894113</v>
      </c>
      <c r="CE76" s="275">
        <v>-5.3527721908362738</v>
      </c>
      <c r="CF76" s="275">
        <v>-5.3189030482955006</v>
      </c>
      <c r="CG76" s="275">
        <v>-5.2853446842382716</v>
      </c>
      <c r="CH76" s="275">
        <v>-5.2520854876011258</v>
      </c>
      <c r="CI76" s="275">
        <v>-5.2191134761550968</v>
      </c>
      <c r="CJ76" s="275">
        <v>-5.1864163730193651</v>
      </c>
      <c r="CK76" s="275">
        <v>-5.1539816807701504</v>
      </c>
      <c r="CL76" s="275">
        <v>-5.1217967524317674</v>
      </c>
      <c r="CM76" s="275">
        <v>-5.0898488587745998</v>
      </c>
      <c r="CN76" s="275">
        <v>-5.0581252514786801</v>
      </c>
      <c r="CO76" s="275">
        <v>-5.0266132218468407</v>
      </c>
      <c r="CP76" s="275"/>
      <c r="CQ76" s="276">
        <v>-9.8530462283811868</v>
      </c>
      <c r="CR76" s="276">
        <v>-9.7982657346723325</v>
      </c>
      <c r="CS76" s="276">
        <v>-9.7435028696270329</v>
      </c>
      <c r="CT76" s="276">
        <v>-9.688762391170334</v>
      </c>
      <c r="CU76" s="276">
        <v>-9.6340491198241249</v>
      </c>
      <c r="CV76" s="276">
        <v>-9.5793679192561818</v>
      </c>
      <c r="CW76" s="276">
        <v>-9.5247236754683815</v>
      </c>
      <c r="CX76" s="276">
        <v>-9.4701212747984531</v>
      </c>
      <c r="CY76" s="276">
        <v>-9.4155655809516556</v>
      </c>
      <c r="CZ76" s="276">
        <v>-9.3610614113201631</v>
      </c>
      <c r="DA76" s="276">
        <v>-9.3066135128902161</v>
      </c>
      <c r="DB76" s="276">
        <v>-9.252226538076874</v>
      </c>
      <c r="DC76" s="276">
        <v>-9.1979050208642157</v>
      </c>
      <c r="DD76" s="276">
        <v>-9.1436533536627884</v>
      </c>
      <c r="DE76" s="276">
        <v>-9.0894757653259983</v>
      </c>
      <c r="DF76" s="276">
        <v>-9.0353763007906451</v>
      </c>
      <c r="DG76" s="276">
        <v>-8.9813588028250848</v>
      </c>
      <c r="DH76" s="276">
        <v>-8.9274268963784724</v>
      </c>
      <c r="DI76" s="276">
        <v>-8.8735839760282076</v>
      </c>
      <c r="DJ76" s="276">
        <v>-8.8198331970178359</v>
      </c>
      <c r="DK76" s="276">
        <v>-8.7661774703652533</v>
      </c>
      <c r="DL76" s="276">
        <v>-8.7126194625011362</v>
      </c>
      <c r="DM76" s="276">
        <v>-8.6591615998694014</v>
      </c>
      <c r="DN76" s="276">
        <v>-8.6058060788866424</v>
      </c>
      <c r="DO76" s="276">
        <v>-8.5525548816147907</v>
      </c>
      <c r="DP76" s="276">
        <v>-8.4994097974517882</v>
      </c>
      <c r="DQ76" s="276">
        <v>-8.446372451087683</v>
      </c>
      <c r="DR76" s="276">
        <v>-8.3934443369087841</v>
      </c>
      <c r="DS76" s="276">
        <v>-8.3406268599587605</v>
      </c>
      <c r="DT76" s="276">
        <v>-8.2879213834825336</v>
      </c>
      <c r="DU76" s="276">
        <v>-8.2353292829848375</v>
      </c>
      <c r="DV76" s="276">
        <v>-8.1828520066292825</v>
      </c>
      <c r="DW76" s="276">
        <v>-8.1304911416841623</v>
      </c>
      <c r="DX76" s="276">
        <v>-8.0782484865874444</v>
      </c>
      <c r="DY76" s="276">
        <v>-8.0261261280538569</v>
      </c>
      <c r="DZ76" s="276">
        <v>-7.9741265224826368</v>
      </c>
      <c r="EA76" s="276">
        <v>-7.9222525807459787</v>
      </c>
      <c r="EB76" s="276">
        <v>-7.8705077552472309</v>
      </c>
      <c r="EC76" s="276">
        <v>-7.8188961279390927</v>
      </c>
      <c r="ED76" s="276">
        <v>-7.767422497789223</v>
      </c>
      <c r="EE76" s="276">
        <v>-7.7160924659819692</v>
      </c>
      <c r="EF76" s="276">
        <v>-7.6649125169569254</v>
      </c>
      <c r="EG76" s="276">
        <v>-7.6138900932187159</v>
      </c>
      <c r="EH76" s="276">
        <v>-7.5630336617169167</v>
      </c>
      <c r="EI76" s="276">
        <v>-7.5123527695018977</v>
      </c>
      <c r="EJ76" s="276">
        <v>-7.4618580863213131</v>
      </c>
      <c r="EK76" s="276">
        <v>-7.4115614318436833</v>
      </c>
      <c r="EL76" s="276">
        <v>-7.3614757852866592</v>
      </c>
      <c r="EM76" s="276">
        <v>-7.3116152753944847</v>
      </c>
      <c r="EN76" s="276">
        <v>-7.2619951489552683</v>
      </c>
      <c r="EO76" s="276">
        <v>-7.2126317163718587</v>
      </c>
      <c r="EP76" s="276">
        <v>-7.1635422731986766</v>
      </c>
      <c r="EQ76" s="276">
        <v>-7.1147449970219743</v>
      </c>
      <c r="ER76" s="276">
        <v>-7.0662588195837133</v>
      </c>
      <c r="ES76" s="276">
        <v>-7.0181032746164336</v>
      </c>
      <c r="ET76" s="276">
        <v>-6.9702983224529369</v>
      </c>
      <c r="EU76" s="276">
        <v>-6.9228641530857704</v>
      </c>
      <c r="EV76" s="276">
        <v>-6.875820969958129</v>
      </c>
      <c r="EW76" s="276">
        <v>-6.8291887573550376</v>
      </c>
      <c r="EX76" s="276">
        <v>-6.7829870348121082</v>
      </c>
      <c r="EY76" s="276">
        <v>-6.7372346024534844</v>
      </c>
      <c r="EZ76" s="276">
        <v>-6.691949281593069</v>
      </c>
      <c r="FA76" s="276">
        <v>-6.6471476552690092</v>
      </c>
      <c r="FB76" s="276">
        <v>-6.6028448136152562</v>
      </c>
      <c r="FC76" s="276">
        <v>-6.5590541090933936</v>
      </c>
      <c r="FD76" s="276">
        <v>-6.5157869266017503</v>
      </c>
      <c r="FE76" s="276">
        <v>-6.4730524733385524</v>
      </c>
      <c r="FF76" s="276">
        <v>-6.4308575930192582</v>
      </c>
      <c r="FG76" s="276">
        <v>-6.3892066086337156</v>
      </c>
      <c r="FH76" s="276">
        <v>-6.3481011973853514</v>
      </c>
      <c r="FI76" s="276">
        <v>-6.3075403007926027</v>
      </c>
      <c r="FJ76" s="272">
        <v>-6.2675200721715294</v>
      </c>
      <c r="FK76" s="272">
        <v>-6.2280338628814684</v>
      </c>
      <c r="FL76" s="272">
        <v>-6.1890722478304641</v>
      </c>
      <c r="FM76" s="272">
        <v>-6.1506230898345704</v>
      </c>
      <c r="FN76" s="272">
        <v>-6.1126716415374238</v>
      </c>
      <c r="FO76" s="272">
        <v>-6.0752006827529499</v>
      </c>
      <c r="FP76" s="272">
        <v>-6.0381906903239688</v>
      </c>
      <c r="FQ76" s="272">
        <v>-6.0016200369158117</v>
      </c>
      <c r="FR76" s="272">
        <v>-5.9654652146049028</v>
      </c>
      <c r="FS76" s="272">
        <v>-5.9297010786911111</v>
      </c>
      <c r="FT76" s="272">
        <v>-5.8943011068655018</v>
      </c>
      <c r="FU76" s="272">
        <v>-5.8592376687039049</v>
      </c>
      <c r="FV76" s="272">
        <v>-5.8244823004287714</v>
      </c>
      <c r="FW76" s="272">
        <v>-5.7900059799793846</v>
      </c>
      <c r="FX76" s="272">
        <v>-5.7557793976453873</v>
      </c>
      <c r="FY76" s="272">
        <v>-5.7217732178376952</v>
      </c>
      <c r="FZ76" s="272">
        <v>-5.6879583279818178</v>
      </c>
      <c r="GA76" s="272">
        <v>-5.6543060710060473</v>
      </c>
      <c r="GB76" s="272">
        <v>-5.6207884584449106</v>
      </c>
      <c r="GC76" s="272">
        <v>-5.5873783617710853</v>
      </c>
    </row>
    <row r="77" spans="2:185" ht="15" thickBot="1" x14ac:dyDescent="0.4">
      <c r="B77" s="298">
        <v>71</v>
      </c>
      <c r="C77" s="275">
        <v>-9.0171483832735184</v>
      </c>
      <c r="D77" s="275">
        <v>-8.9747679119120995</v>
      </c>
      <c r="E77" s="275">
        <v>-8.9322229219434419</v>
      </c>
      <c r="F77" s="275">
        <v>-8.889511034694813</v>
      </c>
      <c r="G77" s="275">
        <v>-8.8466301295906771</v>
      </c>
      <c r="H77" s="275">
        <v>-8.8035783746397485</v>
      </c>
      <c r="I77" s="275">
        <v>-8.7603542576280553</v>
      </c>
      <c r="J77" s="275">
        <v>-8.7169566177593687</v>
      </c>
      <c r="K77" s="275">
        <v>-8.6733846774508105</v>
      </c>
      <c r="L77" s="275">
        <v>-8.6296380739606029</v>
      </c>
      <c r="M77" s="275">
        <v>-8.5857168904977268</v>
      </c>
      <c r="N77" s="275">
        <v>-8.5416216864410224</v>
      </c>
      <c r="O77" s="275">
        <v>-8.4973535262792783</v>
      </c>
      <c r="P77" s="275">
        <v>-8.4529140068752877</v>
      </c>
      <c r="Q77" s="275">
        <v>-8.4083052826564266</v>
      </c>
      <c r="R77" s="275">
        <v>-8.3635300883432144</v>
      </c>
      <c r="S77" s="275">
        <v>-8.3185917588454554</v>
      </c>
      <c r="T77" s="275">
        <v>-8.2734942459838159</v>
      </c>
      <c r="U77" s="275">
        <v>-8.2282421317320242</v>
      </c>
      <c r="V77" s="275">
        <v>-8.182840637721231</v>
      </c>
      <c r="W77" s="275">
        <v>-8.1372956308023614</v>
      </c>
      <c r="X77" s="275">
        <v>-8.0916136245227399</v>
      </c>
      <c r="Y77" s="275">
        <v>-8.0458017764388732</v>
      </c>
      <c r="Z77" s="275">
        <v>-7.9998678812552182</v>
      </c>
      <c r="AA77" s="275">
        <v>-7.9538203598479376</v>
      </c>
      <c r="AB77" s="275">
        <v>-7.9076682442998614</v>
      </c>
      <c r="AC77" s="275">
        <v>-7.8614211591366843</v>
      </c>
      <c r="AD77" s="275">
        <v>-7.8150892990125067</v>
      </c>
      <c r="AE77" s="275">
        <v>-7.7686834031432186</v>
      </c>
      <c r="AF77" s="275">
        <v>-7.7222147268276231</v>
      </c>
      <c r="AG77" s="275">
        <v>-7.6756950104271713</v>
      </c>
      <c r="AH77" s="275">
        <v>-7.629136446194857</v>
      </c>
      <c r="AI77" s="275">
        <v>-7.5825516433519589</v>
      </c>
      <c r="AJ77" s="275">
        <v>-7.5359535918075622</v>
      </c>
      <c r="AK77" s="275">
        <v>-7.4893556249006261</v>
      </c>
      <c r="AL77" s="275">
        <v>-7.4427713815185026</v>
      </c>
      <c r="AM77" s="275">
        <v>-7.3962147679099957</v>
      </c>
      <c r="AN77" s="275">
        <v>-7.3496999194669792</v>
      </c>
      <c r="AO77" s="275">
        <v>-7.3032411626972067</v>
      </c>
      <c r="AP77" s="275">
        <v>-7.2568529775545896</v>
      </c>
      <c r="AQ77" s="275">
        <v>-7.2105499602331182</v>
      </c>
      <c r="AR77" s="275">
        <v>-7.1643467864691956</v>
      </c>
      <c r="AS77" s="275">
        <v>-7.1182581753360754</v>
      </c>
      <c r="AT77" s="275">
        <v>-7.072298853455723</v>
      </c>
      <c r="AU77" s="275">
        <v>-7.0264835194993083</v>
      </c>
      <c r="AV77" s="275">
        <v>-6.9808268088002814</v>
      </c>
      <c r="AW77" s="275">
        <v>-6.9353432578647256</v>
      </c>
      <c r="AX77" s="275">
        <v>-6.8900472685347376</v>
      </c>
      <c r="AY77" s="275">
        <v>-6.8449530715433546</v>
      </c>
      <c r="AZ77" s="275">
        <v>-6.8000746891951804</v>
      </c>
      <c r="BA77" s="275">
        <v>-6.7554258969168677</v>
      </c>
      <c r="BB77" s="275">
        <v>-6.7110201834465446</v>
      </c>
      <c r="BC77" s="275">
        <v>-6.666870709471544</v>
      </c>
      <c r="BD77" s="275">
        <v>-6.6229902645798253</v>
      </c>
      <c r="BE77" s="275">
        <v>-6.5793912224612496</v>
      </c>
      <c r="BF77" s="275">
        <v>-6.5360854943800044</v>
      </c>
      <c r="BG77" s="275">
        <v>-6.4930844810366901</v>
      </c>
      <c r="BH77" s="275">
        <v>-6.4503990230462822</v>
      </c>
      <c r="BI77" s="275">
        <v>-6.4080393503725608</v>
      </c>
      <c r="BJ77" s="275">
        <v>-6.3660150311775778</v>
      </c>
      <c r="BK77" s="275">
        <v>-6.3243349206611716</v>
      </c>
      <c r="BL77" s="275">
        <v>-6.2830071105758654</v>
      </c>
      <c r="BM77" s="275">
        <v>-6.2420388802008118</v>
      </c>
      <c r="BN77" s="275">
        <v>-6.2014366496390601</v>
      </c>
      <c r="BO77" s="275">
        <v>-6.1612059363599743</v>
      </c>
      <c r="BP77" s="275">
        <v>-6.1213513159375532</v>
      </c>
      <c r="BQ77" s="275">
        <v>-6.0818763879319224</v>
      </c>
      <c r="BR77" s="275">
        <v>-6.0427837478222459</v>
      </c>
      <c r="BS77" s="275">
        <v>-6.0040749658238379</v>
      </c>
      <c r="BT77" s="275">
        <v>-5.9657505733106921</v>
      </c>
      <c r="BU77" s="275">
        <v>-5.9278100574206274</v>
      </c>
      <c r="BV77" s="275">
        <v>-5.890251864248147</v>
      </c>
      <c r="BW77" s="275">
        <v>-5.8530734108369904</v>
      </c>
      <c r="BX77" s="275">
        <v>-5.8162711059788554</v>
      </c>
      <c r="BY77" s="275">
        <v>-5.7798403796155906</v>
      </c>
      <c r="BZ77" s="275">
        <v>-5.7437757204392597</v>
      </c>
      <c r="CA77" s="275">
        <v>-5.7080707210968553</v>
      </c>
      <c r="CB77" s="275">
        <v>-5.6727181302420906</v>
      </c>
      <c r="CC77" s="275">
        <v>-5.637709910542207</v>
      </c>
      <c r="CD77" s="275">
        <v>-5.6030373016477339</v>
      </c>
      <c r="CE77" s="275">
        <v>-5.5686908870697618</v>
      </c>
      <c r="CF77" s="275">
        <v>-5.5346606638829323</v>
      </c>
      <c r="CG77" s="275">
        <v>-5.5009361141811652</v>
      </c>
      <c r="CH77" s="275">
        <v>-5.4675062772532161</v>
      </c>
      <c r="CI77" s="275">
        <v>-5.4343598215123547</v>
      </c>
      <c r="CJ77" s="275">
        <v>-5.4014851153021626</v>
      </c>
      <c r="CK77" s="275">
        <v>-5.3688702958035144</v>
      </c>
      <c r="CL77" s="275">
        <v>-5.3365033353794384</v>
      </c>
      <c r="CM77" s="275">
        <v>-5.304372104809949</v>
      </c>
      <c r="CN77" s="275">
        <v>-5.2724644329825372</v>
      </c>
      <c r="CO77" s="275">
        <v>-5.2407681627122829</v>
      </c>
      <c r="CP77" s="275"/>
      <c r="CQ77" s="276">
        <v>-10.084118440585071</v>
      </c>
      <c r="CR77" s="276">
        <v>-10.02944654666681</v>
      </c>
      <c r="CS77" s="276">
        <v>-9.9747936985065735</v>
      </c>
      <c r="CT77" s="276">
        <v>-9.9201644889078615</v>
      </c>
      <c r="CU77" s="276">
        <v>-9.8655635657097189</v>
      </c>
      <c r="CV77" s="276">
        <v>-9.8109956137532084</v>
      </c>
      <c r="CW77" s="276">
        <v>-9.75646533570918</v>
      </c>
      <c r="CX77" s="276">
        <v>-9.7019774319387526</v>
      </c>
      <c r="CY77" s="276">
        <v>-9.6475365795942487</v>
      </c>
      <c r="CZ77" s="276">
        <v>-9.5931474112053419</v>
      </c>
      <c r="DA77" s="276">
        <v>-9.5388144930313281</v>
      </c>
      <c r="DB77" s="276">
        <v>-9.4845423034950702</v>
      </c>
      <c r="DC77" s="276">
        <v>-9.4303352120465576</v>
      </c>
      <c r="DD77" s="276">
        <v>-9.3761974588331309</v>
      </c>
      <c r="DE77" s="276">
        <v>-9.3221331355779284</v>
      </c>
      <c r="DF77" s="276">
        <v>-9.268146168088121</v>
      </c>
      <c r="DG77" s="276">
        <v>-9.2142403008284504</v>
      </c>
      <c r="DH77" s="276">
        <v>-9.1604190840033368</v>
      </c>
      <c r="DI77" s="276">
        <v>-9.1066858635917267</v>
      </c>
      <c r="DJ77" s="276">
        <v>-9.0530437747732275</v>
      </c>
      <c r="DK77" s="276">
        <v>-8.9994957391704116</v>
      </c>
      <c r="DL77" s="276">
        <v>-8.9460444663123244</v>
      </c>
      <c r="DM77" s="276">
        <v>-8.8926924596965176</v>
      </c>
      <c r="DN77" s="276">
        <v>-8.8394420277924066</v>
      </c>
      <c r="DO77" s="276">
        <v>-8.7862953002870903</v>
      </c>
      <c r="DP77" s="276">
        <v>-8.7332542498260093</v>
      </c>
      <c r="DQ77" s="276">
        <v>-8.6803207194446408</v>
      </c>
      <c r="DR77" s="276">
        <v>-8.6274964558236071</v>
      </c>
      <c r="DS77" s="276">
        <v>-8.574783148427354</v>
      </c>
      <c r="DT77" s="276">
        <v>-8.5221824745054597</v>
      </c>
      <c r="DU77" s="276">
        <v>-8.4696961498446139</v>
      </c>
      <c r="DV77" s="276">
        <v>-8.4173259850576372</v>
      </c>
      <c r="DW77" s="276">
        <v>-8.3650739470827702</v>
      </c>
      <c r="DX77" s="276">
        <v>-8.3129422254412155</v>
      </c>
      <c r="DY77" s="276">
        <v>-8.26093330266397</v>
      </c>
      <c r="DZ77" s="276">
        <v>-8.2090500281499246</v>
      </c>
      <c r="EA77" s="276">
        <v>-8.1572956945586945</v>
      </c>
      <c r="EB77" s="276">
        <v>-8.105674115674665</v>
      </c>
      <c r="EC77" s="276">
        <v>-8.054189704508012</v>
      </c>
      <c r="ED77" s="276">
        <v>-8.0028475502276333</v>
      </c>
      <c r="EE77" s="276">
        <v>-7.9516534923568702</v>
      </c>
      <c r="EF77" s="276">
        <v>-7.9006141905116518</v>
      </c>
      <c r="EG77" s="276">
        <v>-7.8497371878310798</v>
      </c>
      <c r="EH77" s="276">
        <v>-7.7990309661502657</v>
      </c>
      <c r="EI77" s="276">
        <v>-7.7485049909035153</v>
      </c>
      <c r="EJ77" s="276">
        <v>-7.6981697437309053</v>
      </c>
      <c r="EK77" s="276">
        <v>-7.6480367408004017</v>
      </c>
      <c r="EL77" s="276">
        <v>-7.5981185349570204</v>
      </c>
      <c r="EM77" s="276">
        <v>-7.548428699974445</v>
      </c>
      <c r="EN77" s="276">
        <v>-7.4989817954143048</v>
      </c>
      <c r="EO77" s="276">
        <v>-7.4497933108940817</v>
      </c>
      <c r="EP77" s="276">
        <v>-7.400879588922022</v>
      </c>
      <c r="EQ77" s="276">
        <v>-7.3522577258704702</v>
      </c>
      <c r="ER77" s="276">
        <v>-7.3039454511198718</v>
      </c>
      <c r="ES77" s="276">
        <v>-7.2559609849017761</v>
      </c>
      <c r="ET77" s="276">
        <v>-7.2083228758897961</v>
      </c>
      <c r="EU77" s="276">
        <v>-7.1610498201173556</v>
      </c>
      <c r="EV77" s="276">
        <v>-7.1141604633263684</v>
      </c>
      <c r="EW77" s="276">
        <v>-7.067673189356162</v>
      </c>
      <c r="EX77" s="276">
        <v>-7.021605897652317</v>
      </c>
      <c r="EY77" s="276">
        <v>-6.9759757733951364</v>
      </c>
      <c r="EZ77" s="276">
        <v>-6.9307990541036908</v>
      </c>
      <c r="FA77" s="276">
        <v>-6.8860907968495457</v>
      </c>
      <c r="FB77" s="276">
        <v>-6.8418646504023473</v>
      </c>
      <c r="FC77" s="276">
        <v>-6.7981326367167636</v>
      </c>
      <c r="FD77" s="276">
        <v>-6.7549049461487201</v>
      </c>
      <c r="FE77" s="276">
        <v>-6.7121897506511496</v>
      </c>
      <c r="FF77" s="276">
        <v>-6.6699930389458029</v>
      </c>
      <c r="FG77" s="276">
        <v>-6.6283184772974666</v>
      </c>
      <c r="FH77" s="276">
        <v>-6.5871672990379508</v>
      </c>
      <c r="FI77" s="276">
        <v>-6.5465382254099111</v>
      </c>
      <c r="FJ77" s="272">
        <v>-6.5064274196413061</v>
      </c>
      <c r="FK77" s="272">
        <v>-6.4668284754382714</v>
      </c>
      <c r="FL77" s="272">
        <v>-6.4277324403234468</v>
      </c>
      <c r="FM77" s="272">
        <v>-6.3891278734696337</v>
      </c>
      <c r="FN77" s="272">
        <v>-6.3510009369148461</v>
      </c>
      <c r="FO77" s="272">
        <v>-6.3133355183170838</v>
      </c>
      <c r="FP77" s="272">
        <v>-6.2761133827390543</v>
      </c>
      <c r="FQ77" s="272">
        <v>-6.2393143503658042</v>
      </c>
      <c r="FR77" s="272">
        <v>-6.2029164965655879</v>
      </c>
      <c r="FS77" s="272">
        <v>-6.166896370319674</v>
      </c>
      <c r="FT77" s="272">
        <v>-6.1312292267753996</v>
      </c>
      <c r="FU77" s="272">
        <v>-6.0958892695221429</v>
      </c>
      <c r="FV77" s="272">
        <v>-6.0608498981493728</v>
      </c>
      <c r="FW77" s="272">
        <v>-6.0260839567164819</v>
      </c>
      <c r="FX77" s="272">
        <v>-5.9915639789356199</v>
      </c>
      <c r="FY77" s="272">
        <v>-5.9572624261348599</v>
      </c>
      <c r="FZ77" s="272">
        <v>-5.923151914414305</v>
      </c>
      <c r="GA77" s="272">
        <v>-5.8892054278238462</v>
      </c>
      <c r="GB77" s="272">
        <v>-5.8553965148599589</v>
      </c>
      <c r="GC77" s="272">
        <v>-5.8216994660886412</v>
      </c>
    </row>
    <row r="78" spans="2:185" ht="15" thickBot="1" x14ac:dyDescent="0.4">
      <c r="B78" s="298">
        <v>72</v>
      </c>
      <c r="C78" s="275">
        <v>-9.2296061480888589</v>
      </c>
      <c r="D78" s="275">
        <v>-9.1872054313830169</v>
      </c>
      <c r="E78" s="275">
        <v>-9.14464346622667</v>
      </c>
      <c r="F78" s="275">
        <v>-9.101918121512993</v>
      </c>
      <c r="G78" s="275">
        <v>-9.0590275240352263</v>
      </c>
      <c r="H78" s="275">
        <v>-9.0159700870393795</v>
      </c>
      <c r="I78" s="275">
        <v>-8.9727445393271417</v>
      </c>
      <c r="J78" s="275">
        <v>-8.9293499546681367</v>
      </c>
      <c r="K78" s="275">
        <v>-8.8857857812519416</v>
      </c>
      <c r="L78" s="275">
        <v>-8.8420518708848004</v>
      </c>
      <c r="M78" s="275">
        <v>-8.7981485076133179</v>
      </c>
      <c r="N78" s="275">
        <v>-8.7540764354398437</v>
      </c>
      <c r="O78" s="275">
        <v>-8.7098368847817866</v>
      </c>
      <c r="P78" s="275">
        <v>-8.6654315973215787</v>
      </c>
      <c r="Q78" s="275">
        <v>-8.6208628488951824</v>
      </c>
      <c r="R78" s="275">
        <v>-8.5761334700764937</v>
      </c>
      <c r="S78" s="275">
        <v>-8.531246864132223</v>
      </c>
      <c r="T78" s="275">
        <v>-8.486207022047525</v>
      </c>
      <c r="U78" s="275">
        <v>-8.4410185343561857</v>
      </c>
      <c r="V78" s="275">
        <v>-8.395686599550011</v>
      </c>
      <c r="W78" s="275">
        <v>-8.3502170288895812</v>
      </c>
      <c r="X78" s="275">
        <v>-8.304616247491273</v>
      </c>
      <c r="Y78" s="275">
        <v>-8.25889129162206</v>
      </c>
      <c r="Z78" s="275">
        <v>-8.2130498021924563</v>
      </c>
      <c r="AA78" s="275">
        <v>-8.1671000144975263</v>
      </c>
      <c r="AB78" s="275">
        <v>-8.121050744313667</v>
      </c>
      <c r="AC78" s="275">
        <v>-8.0749113705139628</v>
      </c>
      <c r="AD78" s="275">
        <v>-8.0286918144148078</v>
      </c>
      <c r="AE78" s="275">
        <v>-7.9824025161101346</v>
      </c>
      <c r="AF78" s="275">
        <v>-7.9360544080853561</v>
      </c>
      <c r="AG78" s="275">
        <v>-7.8896588864301922</v>
      </c>
      <c r="AH78" s="275">
        <v>-7.8432277799871297</v>
      </c>
      <c r="AI78" s="275">
        <v>-7.7967733177796594</v>
      </c>
      <c r="AJ78" s="275">
        <v>-7.7503080950620786</v>
      </c>
      <c r="AK78" s="275">
        <v>-7.7038450383203756</v>
      </c>
      <c r="AL78" s="275">
        <v>-7.6573973695322044</v>
      </c>
      <c r="AM78" s="275">
        <v>-7.6109785699642041</v>
      </c>
      <c r="AN78" s="275">
        <v>-7.5646023437476844</v>
      </c>
      <c r="AO78" s="275">
        <v>-7.5182825814306611</v>
      </c>
      <c r="AP78" s="275">
        <v>-7.4720333236565324</v>
      </c>
      <c r="AQ78" s="275">
        <v>-7.42586872506911</v>
      </c>
      <c r="AR78" s="275">
        <v>-7.3798030184919678</v>
      </c>
      <c r="AS78" s="275">
        <v>-7.3338504793788077</v>
      </c>
      <c r="AT78" s="275">
        <v>-7.2880253904825123</v>
      </c>
      <c r="AU78" s="275">
        <v>-7.2423420066458082</v>
      </c>
      <c r="AV78" s="275">
        <v>-7.1968145195773143</v>
      </c>
      <c r="AW78" s="275">
        <v>-7.1514570224450038</v>
      </c>
      <c r="AX78" s="275">
        <v>-7.1062834740964247</v>
      </c>
      <c r="AY78" s="275">
        <v>-7.0613076627024736</v>
      </c>
      <c r="AZ78" s="275">
        <v>-7.0165431686203332</v>
      </c>
      <c r="BA78" s="275">
        <v>-6.9720033262823637</v>
      </c>
      <c r="BB78" s="275">
        <v>-6.9277011849418546</v>
      </c>
      <c r="BC78" s="275">
        <v>-6.8836494681436529</v>
      </c>
      <c r="BD78" s="275">
        <v>-6.8398605318381556</v>
      </c>
      <c r="BE78" s="275">
        <v>-6.7963463211198452</v>
      </c>
      <c r="BF78" s="275">
        <v>-6.7531183256459899</v>
      </c>
      <c r="BG78" s="275">
        <v>-6.710187533875196</v>
      </c>
      <c r="BH78" s="275">
        <v>-6.6675643863576113</v>
      </c>
      <c r="BI78" s="275">
        <v>-6.6252587284052638</v>
      </c>
      <c r="BJ78" s="275">
        <v>-6.5832797625698731</v>
      </c>
      <c r="BK78" s="275">
        <v>-6.5416360014513746</v>
      </c>
      <c r="BL78" s="275">
        <v>-6.5003352214505679</v>
      </c>
      <c r="BM78" s="275">
        <v>-6.4593844181576312</v>
      </c>
      <c r="BN78" s="275">
        <v>-6.4187897641312839</v>
      </c>
      <c r="BO78" s="275">
        <v>-6.3785565698659497</v>
      </c>
      <c r="BP78" s="275">
        <v>-6.3386892487627566</v>
      </c>
      <c r="BQ78" s="275">
        <v>-6.2991912869113538</v>
      </c>
      <c r="BR78" s="275">
        <v>-6.2600652184512429</v>
      </c>
      <c r="BS78" s="275">
        <v>-6.2213126072130631</v>
      </c>
      <c r="BT78" s="275">
        <v>-6.1829340352430169</v>
      </c>
      <c r="BU78" s="275">
        <v>-6.1449290986894978</v>
      </c>
      <c r="BV78" s="275">
        <v>-6.1072964113850707</v>
      </c>
      <c r="BW78" s="275">
        <v>-6.0700336162936797</v>
      </c>
      <c r="BX78" s="275">
        <v>-6.0331374048200113</v>
      </c>
      <c r="BY78" s="275">
        <v>-5.9966035438022409</v>
      </c>
      <c r="BZ78" s="275">
        <v>-5.9604269098386622</v>
      </c>
      <c r="CA78" s="275">
        <v>-5.9246015304399444</v>
      </c>
      <c r="CB78" s="275">
        <v>-5.8891206313592734</v>
      </c>
      <c r="CC78" s="275">
        <v>-5.8539766893365073</v>
      </c>
      <c r="CD78" s="275">
        <v>-5.8191614894048076</v>
      </c>
      <c r="CE78" s="275">
        <v>-5.7846661858497832</v>
      </c>
      <c r="CF78" s="275">
        <v>-5.7504813658837479</v>
      </c>
      <c r="CG78" s="275">
        <v>-5.7165971150987822</v>
      </c>
      <c r="CH78" s="275">
        <v>-5.6830030837902639</v>
      </c>
      <c r="CI78" s="275">
        <v>-5.6496885532932408</v>
      </c>
      <c r="CJ78" s="275">
        <v>-5.6166425015431951</v>
      </c>
      <c r="CK78" s="275">
        <v>-5.5838536671557026</v>
      </c>
      <c r="CL78" s="275">
        <v>-5.5513106114113686</v>
      </c>
      <c r="CM78" s="275">
        <v>-5.5190017776283931</v>
      </c>
      <c r="CN78" s="275">
        <v>-5.4869155475019538</v>
      </c>
      <c r="CO78" s="275">
        <v>-5.4550402940827611</v>
      </c>
      <c r="CP78" s="275"/>
      <c r="CQ78" s="276">
        <v>-10.315254651813079</v>
      </c>
      <c r="CR78" s="276">
        <v>-10.260689853064299</v>
      </c>
      <c r="CS78" s="276">
        <v>-10.206145443636521</v>
      </c>
      <c r="CT78" s="276">
        <v>-10.15162586179134</v>
      </c>
      <c r="CU78" s="276">
        <v>-10.097135594528771</v>
      </c>
      <c r="CV78" s="276">
        <v>-10.042679160915631</v>
      </c>
      <c r="CW78" s="276">
        <v>-9.9882610944707455</v>
      </c>
      <c r="CX78" s="276">
        <v>-9.9338859247735503</v>
      </c>
      <c r="CY78" s="276">
        <v>-9.8795581584947261</v>
      </c>
      <c r="CZ78" s="276">
        <v>-9.8252822600801242</v>
      </c>
      <c r="DA78" s="276">
        <v>-9.7710626323500538</v>
      </c>
      <c r="DB78" s="276">
        <v>-9.716903597306656</v>
      </c>
      <c r="DC78" s="276">
        <v>-9.662809377468859</v>
      </c>
      <c r="DD78" s="276">
        <v>-9.6087840780797702</v>
      </c>
      <c r="DE78" s="276">
        <v>-9.5548316705510423</v>
      </c>
      <c r="DF78" s="276">
        <v>-9.5009559775256314</v>
      </c>
      <c r="DG78" s="276">
        <v>-9.4471606599506988</v>
      </c>
      <c r="DH78" s="276">
        <v>-9.3934492065577473</v>
      </c>
      <c r="DI78" s="276">
        <v>-9.3398249261462691</v>
      </c>
      <c r="DJ78" s="276">
        <v>-9.2862909430596421</v>
      </c>
      <c r="DK78" s="276">
        <v>-9.2328501962284637</v>
      </c>
      <c r="DL78" s="276">
        <v>-9.1795054421356692</v>
      </c>
      <c r="DM78" s="276">
        <v>-9.1262592620308602</v>
      </c>
      <c r="DN78" s="276">
        <v>-9.07311407368692</v>
      </c>
      <c r="DO78" s="276">
        <v>-9.0200721479516943</v>
      </c>
      <c r="DP78" s="276">
        <v>-8.9671356302994614</v>
      </c>
      <c r="DQ78" s="276">
        <v>-8.914306567532341</v>
      </c>
      <c r="DR78" s="276">
        <v>-8.8615869397197393</v>
      </c>
      <c r="DS78" s="276">
        <v>-8.8089786973939255</v>
      </c>
      <c r="DT78" s="276">
        <v>-8.75648380394159</v>
      </c>
      <c r="DU78" s="276">
        <v>-8.7041042830444209</v>
      </c>
      <c r="DV78" s="276">
        <v>-8.651842270925334</v>
      </c>
      <c r="DW78" s="276">
        <v>-8.5997000730510393</v>
      </c>
      <c r="DX78" s="276">
        <v>-8.5476802248262427</v>
      </c>
      <c r="DY78" s="276">
        <v>-8.4957855556895314</v>
      </c>
      <c r="DZ78" s="276">
        <v>-8.4440192558877865</v>
      </c>
      <c r="EA78" s="276">
        <v>-8.3923849450653361</v>
      </c>
      <c r="EB78" s="276">
        <v>-8.3408867416595687</v>
      </c>
      <c r="EC78" s="276">
        <v>-8.2895293319482732</v>
      </c>
      <c r="ED78" s="276">
        <v>-8.2383180374512985</v>
      </c>
      <c r="EE78" s="276">
        <v>-8.1872588792542267</v>
      </c>
      <c r="EF78" s="276">
        <v>-8.1363586377012282</v>
      </c>
      <c r="EG78" s="276">
        <v>-8.0856249058046981</v>
      </c>
      <c r="EH78" s="276">
        <v>-8.0350661346471348</v>
      </c>
      <c r="EI78" s="276">
        <v>-7.9846916690138841</v>
      </c>
      <c r="EJ78" s="276">
        <v>-7.9345117714995013</v>
      </c>
      <c r="EK78" s="276">
        <v>-7.8845376333822248</v>
      </c>
      <c r="EL78" s="276">
        <v>-7.834781370664369</v>
      </c>
      <c r="EM78" s="276">
        <v>-7.7852560038349408</v>
      </c>
      <c r="EN78" s="276">
        <v>-7.7359754201250066</v>
      </c>
      <c r="EO78" s="276">
        <v>-7.6869543172956867</v>
      </c>
      <c r="EP78" s="276">
        <v>-7.6382081283195511</v>
      </c>
      <c r="EQ78" s="276">
        <v>-7.5897529266832438</v>
      </c>
      <c r="ER78" s="276">
        <v>-7.5416053124452134</v>
      </c>
      <c r="ES78" s="276">
        <v>-7.4937822796171218</v>
      </c>
      <c r="ET78" s="276">
        <v>-7.4463010658913804</v>
      </c>
      <c r="EU78" s="276">
        <v>-7.3991789861973363</v>
      </c>
      <c r="EV78" s="276">
        <v>-7.3524332520223519</v>
      </c>
      <c r="EW78" s="276">
        <v>-7.3060807788691573</v>
      </c>
      <c r="EX78" s="276">
        <v>-7.2601379846227596</v>
      </c>
      <c r="EY78" s="276">
        <v>-7.2146205819574476</v>
      </c>
      <c r="EZ78" s="276">
        <v>-7.1695433682138283</v>
      </c>
      <c r="FA78" s="276">
        <v>-7.1249200164057074</v>
      </c>
      <c r="FB78" s="276">
        <v>-7.0807628711676172</v>
      </c>
      <c r="FC78" s="276">
        <v>-7.0370827535158824</v>
      </c>
      <c r="FD78" s="276">
        <v>-6.9938887782638401</v>
      </c>
      <c r="FE78" s="276">
        <v>-6.9511881878000148</v>
      </c>
      <c r="FF78" s="276">
        <v>-6.9089862057061264</v>
      </c>
      <c r="FG78" s="276">
        <v>-6.8672859133623687</v>
      </c>
      <c r="FH78" s="276">
        <v>-6.8260881522650401</v>
      </c>
      <c r="FI78" s="276">
        <v>-6.7853914542781366</v>
      </c>
      <c r="FJ78" s="272">
        <v>-6.7451920014677214</v>
      </c>
      <c r="FK78" s="272">
        <v>-6.7054836165433267</v>
      </c>
      <c r="FL78" s="272">
        <v>-6.6662577842731539</v>
      </c>
      <c r="FM78" s="272">
        <v>-6.6275037035706994</v>
      </c>
      <c r="FN78" s="272">
        <v>-6.5892083692906338</v>
      </c>
      <c r="FO78" s="272">
        <v>-6.5513566821422167</v>
      </c>
      <c r="FP78" s="272">
        <v>-6.5139315845490424</v>
      </c>
      <c r="FQ78" s="272">
        <v>-6.4769142197703129</v>
      </c>
      <c r="FR78" s="272">
        <v>-6.4402841111663696</v>
      </c>
      <c r="FS78" s="272">
        <v>-6.404019358147564</v>
      </c>
      <c r="FT78" s="272">
        <v>-6.3680968451003119</v>
      </c>
      <c r="FU78" s="272">
        <v>-6.3324924594368666</v>
      </c>
      <c r="FV78" s="272">
        <v>-6.2971813148682472</v>
      </c>
      <c r="FW78" s="272">
        <v>-6.2621379760473603</v>
      </c>
      <c r="FX78" s="272">
        <v>-6.2273366808675377</v>
      </c>
      <c r="FY78" s="272">
        <v>-6.1927515569207898</v>
      </c>
      <c r="FZ78" s="272">
        <v>-6.1583568289117938</v>
      </c>
      <c r="GA78" s="272">
        <v>-6.1241270141763531</v>
      </c>
      <c r="GB78" s="272">
        <v>-6.0900371038541516</v>
      </c>
      <c r="GC78" s="272">
        <v>-6.0560627277038863</v>
      </c>
    </row>
    <row r="79" spans="2:185" ht="15" thickBot="1" x14ac:dyDescent="0.4">
      <c r="B79" s="298">
        <v>73</v>
      </c>
      <c r="C79" s="275">
        <v>-9.4420366544546219</v>
      </c>
      <c r="D79" s="275">
        <v>-9.3996183831950955</v>
      </c>
      <c r="E79" s="275">
        <v>-9.3570421455410155</v>
      </c>
      <c r="F79" s="275">
        <v>-9.31430604442372</v>
      </c>
      <c r="G79" s="275">
        <v>-9.2714084397062102</v>
      </c>
      <c r="H79" s="275">
        <v>-9.2283479749178774</v>
      </c>
      <c r="I79" s="275">
        <v>-9.1851236044062912</v>
      </c>
      <c r="J79" s="275">
        <v>-9.1417346206820511</v>
      </c>
      <c r="K79" s="275">
        <v>-9.0981806817085129</v>
      </c>
      <c r="L79" s="275">
        <v>-9.0544618378667945</v>
      </c>
      <c r="M79" s="275">
        <v>-9.0105785583078539</v>
      </c>
      <c r="N79" s="275">
        <v>-8.9665317563894877</v>
      </c>
      <c r="O79" s="275">
        <v>-8.9223228138867103</v>
      </c>
      <c r="P79" s="275">
        <v>-8.877953603660302</v>
      </c>
      <c r="Q79" s="275">
        <v>-8.8334265104712326</v>
      </c>
      <c r="R79" s="275">
        <v>-8.7887444496378979</v>
      </c>
      <c r="S79" s="275">
        <v>-8.7439108832493364</v>
      </c>
      <c r="T79" s="275">
        <v>-8.6989298336713077</v>
      </c>
      <c r="U79" s="275">
        <v>-8.6538058941115885</v>
      </c>
      <c r="V79" s="275">
        <v>-8.6085442360474644</v>
      </c>
      <c r="W79" s="275">
        <v>-8.5631506133595821</v>
      </c>
      <c r="X79" s="275">
        <v>-8.5176313630626925</v>
      </c>
      <c r="Y79" s="275">
        <v>-8.4719934025726591</v>
      </c>
      <c r="Z79" s="275">
        <v>-8.4262442235002997</v>
      </c>
      <c r="AA79" s="275">
        <v>-8.3803918820137699</v>
      </c>
      <c r="AB79" s="275">
        <v>-8.3344449858614524</v>
      </c>
      <c r="AC79" s="275">
        <v>-8.2884126781944918</v>
      </c>
      <c r="AD79" s="275">
        <v>-8.242304618371497</v>
      </c>
      <c r="AE79" s="275">
        <v>-8.1961309599655312</v>
      </c>
      <c r="AF79" s="275">
        <v>-8.1499023262246961</v>
      </c>
      <c r="AG79" s="275">
        <v>-8.1036297832612885</v>
      </c>
      <c r="AH79" s="275">
        <v>-8.0573248112601146</v>
      </c>
      <c r="AI79" s="275">
        <v>-8.0109992740035221</v>
      </c>
      <c r="AJ79" s="275">
        <v>-7.9646653870093802</v>
      </c>
      <c r="AK79" s="275">
        <v>-7.9183356845684409</v>
      </c>
      <c r="AL79" s="275">
        <v>-7.8720229859497763</v>
      </c>
      <c r="AM79" s="275">
        <v>-7.8257403610183216</v>
      </c>
      <c r="AN79" s="275">
        <v>-7.7795010954773991</v>
      </c>
      <c r="AO79" s="275">
        <v>-7.7333186559129574</v>
      </c>
      <c r="AP79" s="275">
        <v>-7.6872066547763849</v>
      </c>
      <c r="AQ79" s="275">
        <v>-7.6411788154001181</v>
      </c>
      <c r="AR79" s="275">
        <v>-7.5952489370970708</v>
      </c>
      <c r="AS79" s="275">
        <v>-7.5494308603518414</v>
      </c>
      <c r="AT79" s="275">
        <v>-7.5037384320710796</v>
      </c>
      <c r="AU79" s="275">
        <v>-7.4581854708231869</v>
      </c>
      <c r="AV79" s="275">
        <v>-7.4127857319656263</v>
      </c>
      <c r="AW79" s="275">
        <v>-7.3675528725325536</v>
      </c>
      <c r="AX79" s="275">
        <v>-7.3225004157380242</v>
      </c>
      <c r="AY79" s="275">
        <v>-7.277641714941141</v>
      </c>
      <c r="AZ79" s="275">
        <v>-7.232989916920868</v>
      </c>
      <c r="BA79" s="275">
        <v>-7.1885579243199382</v>
      </c>
      <c r="BB79" s="275">
        <v>-7.1443583571401268</v>
      </c>
      <c r="BC79" s="275">
        <v>-7.1004035132052481</v>
      </c>
      <c r="BD79" s="275">
        <v>-7.0567053275531606</v>
      </c>
      <c r="BE79" s="275">
        <v>-7.013275330773423</v>
      </c>
      <c r="BF79" s="275">
        <v>-6.9701246063719102</v>
      </c>
      <c r="BG79" s="275">
        <v>-6.9272637473162497</v>
      </c>
      <c r="BH79" s="275">
        <v>-6.8847028119941571</v>
      </c>
      <c r="BI79" s="275">
        <v>-6.8424512798985617</v>
      </c>
      <c r="BJ79" s="275">
        <v>-6.8005180074354739</v>
      </c>
      <c r="BK79" s="275">
        <v>-6.7589111843300032</v>
      </c>
      <c r="BL79" s="275">
        <v>-6.7176382911787291</v>
      </c>
      <c r="BM79" s="275">
        <v>-6.6767060587592644</v>
      </c>
      <c r="BN79" s="275">
        <v>-6.6361204297566161</v>
      </c>
      <c r="BO79" s="275">
        <v>-6.5958865235970032</v>
      </c>
      <c r="BP79" s="275">
        <v>-6.5560086050905158</v>
      </c>
      <c r="BQ79" s="275">
        <v>-6.5164900575713922</v>
      </c>
      <c r="BR79" s="275">
        <v>-6.4773333611882844</v>
      </c>
      <c r="BS79" s="275">
        <v>-6.4385400769350829</v>
      </c>
      <c r="BT79" s="275">
        <v>-6.4001108369279782</v>
      </c>
      <c r="BU79" s="275">
        <v>-6.3620453413275451</v>
      </c>
      <c r="BV79" s="275">
        <v>-6.3243423621799169</v>
      </c>
      <c r="BW79" s="275">
        <v>-6.2869997543130003</v>
      </c>
      <c r="BX79" s="275">
        <v>-6.2500144732772807</v>
      </c>
      <c r="BY79" s="275">
        <v>-6.213382600172511</v>
      </c>
      <c r="BZ79" s="275">
        <v>-6.177099373057179</v>
      </c>
      <c r="CA79" s="275">
        <v>-6.1411592245031619</v>
      </c>
      <c r="CB79" s="275">
        <v>-6.1055558247386186</v>
      </c>
      <c r="CC79" s="275">
        <v>-6.0702821297220764</v>
      </c>
      <c r="CD79" s="275">
        <v>-6.0353304334134723</v>
      </c>
      <c r="CE79" s="275">
        <v>-6.000692423454856</v>
      </c>
      <c r="CF79" s="275">
        <v>-5.9663592394454712</v>
      </c>
      <c r="CG79" s="275">
        <v>-5.9323215329922219</v>
      </c>
      <c r="CH79" s="275">
        <v>-5.8985695287350666</v>
      </c>
      <c r="CI79" s="275">
        <v>-5.8650930855850767</v>
      </c>
      <c r="CJ79" s="275">
        <v>-5.831881757467233</v>
      </c>
      <c r="CK79" s="275">
        <v>-5.7989248529268203</v>
      </c>
      <c r="CL79" s="275">
        <v>-5.7662114930338157</v>
      </c>
      <c r="CM79" s="275">
        <v>-5.7337306670997954</v>
      </c>
      <c r="CN79" s="275">
        <v>-5.7014712858038452</v>
      </c>
      <c r="CO79" s="275">
        <v>-5.6694222314043321</v>
      </c>
      <c r="CP79" s="275"/>
      <c r="CQ79" s="276">
        <v>-10.546453247075849</v>
      </c>
      <c r="CR79" s="276">
        <v>-10.49199410083488</v>
      </c>
      <c r="CS79" s="276">
        <v>-10.437556622481731</v>
      </c>
      <c r="CT79" s="276">
        <v>-10.383145105821789</v>
      </c>
      <c r="CU79" s="276">
        <v>-10.3287638882057</v>
      </c>
      <c r="CV79" s="276">
        <v>-10.274417335158869</v>
      </c>
      <c r="CW79" s="276">
        <v>-10.220109824238779</v>
      </c>
      <c r="CX79" s="276">
        <v>-10.16584572828126</v>
      </c>
      <c r="CY79" s="276">
        <v>-10.111629398224469</v>
      </c>
      <c r="CZ79" s="276">
        <v>-10.057465145728081</v>
      </c>
      <c r="DA79" s="276">
        <v>-10.00335722583211</v>
      </c>
      <c r="DB79" s="276">
        <v>-9.9493098199253662</v>
      </c>
      <c r="DC79" s="276">
        <v>-9.895327019317353</v>
      </c>
      <c r="DD79" s="276">
        <v>-9.8414128097274407</v>
      </c>
      <c r="DE79" s="276">
        <v>-9.7875710570228023</v>
      </c>
      <c r="DF79" s="276">
        <v>-9.7338054945486761</v>
      </c>
      <c r="DG79" s="276">
        <v>-9.6801197124030516</v>
      </c>
      <c r="DH79" s="276">
        <v>-9.6265171490107626</v>
      </c>
      <c r="DI79" s="276">
        <v>-9.5730010853489684</v>
      </c>
      <c r="DJ79" s="276">
        <v>-9.5195746421681005</v>
      </c>
      <c r="DK79" s="276">
        <v>-9.4662407805371949</v>
      </c>
      <c r="DL79" s="276">
        <v>-9.4130023060223706</v>
      </c>
      <c r="DM79" s="276">
        <v>-9.3598618767799771</v>
      </c>
      <c r="DN79" s="276">
        <v>-9.306822015812628</v>
      </c>
      <c r="DO79" s="276">
        <v>-9.2538851275967833</v>
      </c>
      <c r="DP79" s="276">
        <v>-9.2010535192440717</v>
      </c>
      <c r="DQ79" s="276">
        <v>-9.1483294263057697</v>
      </c>
      <c r="DR79" s="276">
        <v>-9.0957150432697791</v>
      </c>
      <c r="DS79" s="276">
        <v>-9.0432125587326926</v>
      </c>
      <c r="DT79" s="276">
        <v>-8.9908241951546017</v>
      </c>
      <c r="DU79" s="276">
        <v>-8.9385522530225625</v>
      </c>
      <c r="DV79" s="276">
        <v>-8.8863991591578362</v>
      </c>
      <c r="DW79" s="276">
        <v>-8.8343675188044415</v>
      </c>
      <c r="DX79" s="276">
        <v>-8.7824601710302375</v>
      </c>
      <c r="DY79" s="276">
        <v>-8.7306802468591425</v>
      </c>
      <c r="DZ79" s="276">
        <v>-8.6790312294336989</v>
      </c>
      <c r="EA79" s="276">
        <v>-8.6275170153845622</v>
      </c>
      <c r="EB79" s="276">
        <v>-8.5761419764574551</v>
      </c>
      <c r="EC79" s="276">
        <v>-8.5249110203247156</v>
      </c>
      <c r="ED79" s="276">
        <v>-8.4738296493889802</v>
      </c>
      <c r="EE79" s="276">
        <v>-8.4229040162768918</v>
      </c>
      <c r="EF79" s="276">
        <v>-8.3721409746256157</v>
      </c>
      <c r="EG79" s="276">
        <v>-8.3215481236895616</v>
      </c>
      <c r="EH79" s="276">
        <v>-8.2711338452455632</v>
      </c>
      <c r="EI79" s="276">
        <v>-8.2209073312565444</v>
      </c>
      <c r="EJ79" s="276">
        <v>-8.1708786007727667</v>
      </c>
      <c r="EK79" s="276">
        <v>-8.1210585046091506</v>
      </c>
      <c r="EL79" s="276">
        <v>-8.0714587164423843</v>
      </c>
      <c r="EM79" s="276">
        <v>-8.0220917091224884</v>
      </c>
      <c r="EN79" s="276">
        <v>-7.9729707151926261</v>
      </c>
      <c r="EO79" s="276">
        <v>-7.9241096708557519</v>
      </c>
      <c r="EP79" s="276">
        <v>-7.8755231429145676</v>
      </c>
      <c r="EQ79" s="276">
        <v>-7.8272262385378841</v>
      </c>
      <c r="ER79" s="276">
        <v>-7.7792344980637722</v>
      </c>
      <c r="ES79" s="276">
        <v>-7.7315637714315644</v>
      </c>
      <c r="ET79" s="276">
        <v>-7.6842300792300531</v>
      </c>
      <c r="EU79" s="276">
        <v>-7.6372494597488769</v>
      </c>
      <c r="EV79" s="276">
        <v>-7.5906378038118199</v>
      </c>
      <c r="EW79" s="276">
        <v>-7.5444106795450709</v>
      </c>
      <c r="EX79" s="276">
        <v>-7.4985831495768389</v>
      </c>
      <c r="EY79" s="276">
        <v>-7.4531695834681839</v>
      </c>
      <c r="EZ79" s="276">
        <v>-7.4081834684259844</v>
      </c>
      <c r="FA79" s="276">
        <v>-7.3636372215389194</v>
      </c>
      <c r="FB79" s="276">
        <v>-7.3195420068976951</v>
      </c>
      <c r="FC79" s="276">
        <v>-7.2759075610033923</v>
      </c>
      <c r="FD79" s="276">
        <v>-7.2327420298286267</v>
      </c>
      <c r="FE79" s="276">
        <v>-7.190051820771199</v>
      </c>
      <c r="FF79" s="276">
        <v>-7.1478414725299517</v>
      </c>
      <c r="FG79" s="276">
        <v>-7.1061135456383493</v>
      </c>
      <c r="FH79" s="276">
        <v>-7.0648685360201986</v>
      </c>
      <c r="FI79" s="276">
        <v>-7.02410481349159</v>
      </c>
      <c r="FJ79" s="272">
        <v>-6.9838185866348343</v>
      </c>
      <c r="FK79" s="272">
        <v>-6.94400389492953</v>
      </c>
      <c r="FL79" s="272">
        <v>-6.9046526284563834</v>
      </c>
      <c r="FM79" s="272">
        <v>-6.8657545749117741</v>
      </c>
      <c r="FN79" s="272">
        <v>-6.827297493099449</v>
      </c>
      <c r="FO79" s="272">
        <v>-6.7892672115209241</v>
      </c>
      <c r="FP79" s="272">
        <v>-6.7516477501815846</v>
      </c>
      <c r="FQ79" s="272">
        <v>-6.714421463281063</v>
      </c>
      <c r="FR79" s="272">
        <v>-6.6775692000757312</v>
      </c>
      <c r="FS79" s="272">
        <v>-6.6410704808959942</v>
      </c>
      <c r="FT79" s="272">
        <v>-6.6049036850786393</v>
      </c>
      <c r="FU79" s="272">
        <v>-6.569046247437524</v>
      </c>
      <c r="FV79" s="272">
        <v>-6.5334748598434622</v>
      </c>
      <c r="FW79" s="272">
        <v>-6.4981656745158052</v>
      </c>
      <c r="FX79" s="272">
        <v>-6.4630945057370752</v>
      </c>
      <c r="FY79" s="272">
        <v>-6.4282370268835587</v>
      </c>
      <c r="FZ79" s="272">
        <v>-6.3935689599096523</v>
      </c>
      <c r="GA79" s="272">
        <v>-6.3590662547228192</v>
      </c>
      <c r="GB79" s="272">
        <v>-6.3247052562287678</v>
      </c>
      <c r="GC79" s="272">
        <v>-6.290462857203047</v>
      </c>
    </row>
    <row r="80" spans="2:185" ht="15" thickBot="1" x14ac:dyDescent="0.4">
      <c r="B80" s="298">
        <v>74</v>
      </c>
      <c r="C80" s="275">
        <v>-9.6544434793832306</v>
      </c>
      <c r="D80" s="275">
        <v>-9.6120102582248794</v>
      </c>
      <c r="E80" s="275">
        <v>-9.5694223571219403</v>
      </c>
      <c r="F80" s="275">
        <v>-9.5266781001024921</v>
      </c>
      <c r="G80" s="275">
        <v>-9.4837760664940163</v>
      </c>
      <c r="H80" s="275">
        <v>-9.4407151159513063</v>
      </c>
      <c r="I80" s="275">
        <v>-9.3974944137878271</v>
      </c>
      <c r="J80" s="275">
        <v>-9.3541134564025299</v>
      </c>
      <c r="K80" s="275">
        <v>-9.3105720965738321</v>
      </c>
      <c r="L80" s="275">
        <v>-9.2668705683742942</v>
      </c>
      <c r="M80" s="275">
        <v>-9.2230095114447614</v>
      </c>
      <c r="N80" s="275">
        <v>-9.1789899943551578</v>
      </c>
      <c r="O80" s="275">
        <v>-9.1348135367724677</v>
      </c>
      <c r="P80" s="275">
        <v>-9.0904821301544185</v>
      </c>
      <c r="Q80" s="275">
        <v>-9.0459982566909716</v>
      </c>
      <c r="R80" s="275">
        <v>-9.0013649062249428</v>
      </c>
      <c r="S80" s="275">
        <v>-8.9565855908985395</v>
      </c>
      <c r="T80" s="275">
        <v>-8.9116643572936045</v>
      </c>
      <c r="U80" s="275">
        <v>-8.8666057958601616</v>
      </c>
      <c r="V80" s="275">
        <v>-8.8214150474599737</v>
      </c>
      <c r="W80" s="275">
        <v>-8.7760978068882487</v>
      </c>
      <c r="X80" s="275">
        <v>-8.7306603232767781</v>
      </c>
      <c r="Y80" s="275">
        <v>-8.6851093973246414</v>
      </c>
      <c r="Z80" s="275">
        <v>-8.6394523753467247</v>
      </c>
      <c r="AA80" s="275">
        <v>-8.5936971401748661</v>
      </c>
      <c r="AB80" s="275">
        <v>-8.5478520989895923</v>
      </c>
      <c r="AC80" s="275">
        <v>-8.5019261682016083</v>
      </c>
      <c r="AD80" s="275">
        <v>-8.4559287555394427</v>
      </c>
      <c r="AE80" s="275">
        <v>-8.4098697395324749</v>
      </c>
      <c r="AF80" s="275">
        <v>-8.3637594466057585</v>
      </c>
      <c r="AG80" s="275">
        <v>-8.3176086260237536</v>
      </c>
      <c r="AH80" s="275">
        <v>-8.2714284229340596</v>
      </c>
      <c r="AI80" s="275">
        <v>-8.2252303497689212</v>
      </c>
      <c r="AJ80" s="275">
        <v>-8.1790262562616274</v>
      </c>
      <c r="AK80" s="275">
        <v>-8.1328282983274143</v>
      </c>
      <c r="AL80" s="275">
        <v>-8.08664890604385</v>
      </c>
      <c r="AM80" s="275">
        <v>-8.0405007509454283</v>
      </c>
      <c r="AN80" s="275">
        <v>-7.9943967128211169</v>
      </c>
      <c r="AO80" s="275">
        <v>-7.9483498461735458</v>
      </c>
      <c r="AP80" s="275">
        <v>-7.9023733464650716</v>
      </c>
      <c r="AQ80" s="275">
        <v>-7.8564805162405786</v>
      </c>
      <c r="AR80" s="275">
        <v>-7.8106847311805057</v>
      </c>
      <c r="AS80" s="275">
        <v>-7.7649994061022234</v>
      </c>
      <c r="AT80" s="275">
        <v>-7.7194379608938704</v>
      </c>
      <c r="AU80" s="275">
        <v>-7.6740137863344451</v>
      </c>
      <c r="AV80" s="275">
        <v>-7.6287402097280328</v>
      </c>
      <c r="AW80" s="275">
        <v>-7.5836304602596458</v>
      </c>
      <c r="AX80" s="275">
        <v>-7.5386976339669269</v>
      </c>
      <c r="AY80" s="275">
        <v>-7.4939546582162349</v>
      </c>
      <c r="AZ80" s="275">
        <v>-7.4494142555744887</v>
      </c>
      <c r="BA80" s="275">
        <v>-7.4050889069803096</v>
      </c>
      <c r="BB80" s="275">
        <v>-7.3609908141391074</v>
      </c>
      <c r="BC80" s="275">
        <v>-7.3171318610979208</v>
      </c>
      <c r="BD80" s="275">
        <v>-7.2735235749954779</v>
      </c>
      <c r="BE80" s="275">
        <v>-7.2301770860317633</v>
      </c>
      <c r="BF80" s="275">
        <v>-7.1871030867571104</v>
      </c>
      <c r="BG80" s="275">
        <v>-7.1443117908432132</v>
      </c>
      <c r="BH80" s="275">
        <v>-7.1018128915648546</v>
      </c>
      <c r="BI80" s="275">
        <v>-7.0596155202898263</v>
      </c>
      <c r="BJ80" s="275">
        <v>-7.0177282053428049</v>
      </c>
      <c r="BK80" s="275">
        <v>-6.9761588316742467</v>
      </c>
      <c r="BL80" s="275">
        <v>-6.9349146018240519</v>
      </c>
      <c r="BM80" s="275">
        <v>-6.8940019987197898</v>
      </c>
      <c r="BN80" s="275">
        <v>-6.8534267508863653</v>
      </c>
      <c r="BO80" s="275">
        <v>-6.8131938006663377</v>
      </c>
      <c r="BP80" s="275">
        <v>-6.7733072760549646</v>
      </c>
      <c r="BQ80" s="275">
        <v>-6.7337704667393528</v>
      </c>
      <c r="BR80" s="275">
        <v>-6.6945858048963229</v>
      </c>
      <c r="BS80" s="275">
        <v>-6.6557548512485267</v>
      </c>
      <c r="BT80" s="275">
        <v>-6.6172782868035096</v>
      </c>
      <c r="BU80" s="275">
        <v>-6.5791559106084403</v>
      </c>
      <c r="BV80" s="275">
        <v>-6.5413866437462902</v>
      </c>
      <c r="BW80" s="275">
        <v>-6.5039685396816349</v>
      </c>
      <c r="BX80" s="275">
        <v>-6.4668988009400943</v>
      </c>
      <c r="BY80" s="275">
        <v>-6.4301738019796826</v>
      </c>
      <c r="BZ80" s="275">
        <v>-6.3937891179896544</v>
      </c>
      <c r="CA80" s="275">
        <v>-6.357739559238075</v>
      </c>
      <c r="CB80" s="275">
        <v>-6.3220192104868387</v>
      </c>
      <c r="CC80" s="275">
        <v>-6.286621474906477</v>
      </c>
      <c r="CD80" s="275">
        <v>-6.2515391218549299</v>
      </c>
      <c r="CE80" s="275">
        <v>-6.2167643378364987</v>
      </c>
      <c r="CF80" s="275">
        <v>-6.1822887799297463</v>
      </c>
      <c r="CG80" s="275">
        <v>-6.1481036309659238</v>
      </c>
      <c r="CH80" s="275">
        <v>-6.1141996557511833</v>
      </c>
      <c r="CI80" s="275">
        <v>-6.0805672576542618</v>
      </c>
      <c r="CJ80" s="275">
        <v>-6.0471965349238763</v>
      </c>
      <c r="CK80" s="275">
        <v>-6.0140773361540436</v>
      </c>
      <c r="CL80" s="275">
        <v>-5.9811993143772302</v>
      </c>
      <c r="CM80" s="275">
        <v>-5.9485519793325183</v>
      </c>
      <c r="CN80" s="275">
        <v>-5.9161247475251182</v>
      </c>
      <c r="CO80" s="275">
        <v>-5.883906989762818</v>
      </c>
      <c r="CP80" s="275"/>
      <c r="CQ80" s="276">
        <v>-10.777712680486401</v>
      </c>
      <c r="CR80" s="276">
        <v>-10.72335780259437</v>
      </c>
      <c r="CS80" s="276">
        <v>-10.669025813597059</v>
      </c>
      <c r="CT80" s="276">
        <v>-10.614720872406959</v>
      </c>
      <c r="CU80" s="276">
        <v>-10.56044717724796</v>
      </c>
      <c r="CV80" s="276">
        <v>-10.506208951520859</v>
      </c>
      <c r="CW80" s="276">
        <v>-10.45201042904629</v>
      </c>
      <c r="CX80" s="276">
        <v>-10.397855838839121</v>
      </c>
      <c r="CY80" s="276">
        <v>-10.34374938959373</v>
      </c>
      <c r="CZ80" s="276">
        <v>-10.28969525408325</v>
      </c>
      <c r="DA80" s="276">
        <v>-10.23569755370046</v>
      </c>
      <c r="DB80" s="276">
        <v>-10.181760343388801</v>
      </c>
      <c r="DC80" s="276">
        <v>-10.127887597232849</v>
      </c>
      <c r="DD80" s="276">
        <v>-10.07408319499406</v>
      </c>
      <c r="DE80" s="276">
        <v>-10.0203509098915</v>
      </c>
      <c r="DF80" s="276">
        <v>-9.9666943979374594</v>
      </c>
      <c r="DG80" s="276">
        <v>-9.9131171891431862</v>
      </c>
      <c r="DH80" s="276">
        <v>-9.85962268091113</v>
      </c>
      <c r="DI80" s="276">
        <v>-9.8062141339257956</v>
      </c>
      <c r="DJ80" s="276">
        <v>-9.7528946708457838</v>
      </c>
      <c r="DK80" s="276">
        <v>-9.6996672780846822</v>
      </c>
      <c r="DL80" s="276">
        <v>-9.6465348109475499</v>
      </c>
      <c r="DM80" s="276">
        <v>-9.5935000023632178</v>
      </c>
      <c r="DN80" s="276">
        <v>-9.5405654754200135</v>
      </c>
      <c r="DO80" s="276">
        <v>-9.4877337598741267</v>
      </c>
      <c r="DP80" s="276">
        <v>-9.4350073127550562</v>
      </c>
      <c r="DQ80" s="276">
        <v>-9.3823885431417544</v>
      </c>
      <c r="DR80" s="276">
        <v>-9.3298798411259014</v>
      </c>
      <c r="DS80" s="276">
        <v>-9.2774836109148939</v>
      </c>
      <c r="DT80" s="276">
        <v>-9.2252023079568861</v>
      </c>
      <c r="DU80" s="276">
        <v>-9.1730384798930089</v>
      </c>
      <c r="DV80" s="276">
        <v>-9.1209948110582708</v>
      </c>
      <c r="DW80" s="276">
        <v>-9.0690741701622244</v>
      </c>
      <c r="DX80" s="276">
        <v>-9.0172796606844567</v>
      </c>
      <c r="DY80" s="276">
        <v>-8.9656146734184254</v>
      </c>
      <c r="DZ80" s="276">
        <v>-8.9140829404916939</v>
      </c>
      <c r="EA80" s="276">
        <v>-8.8626885900830636</v>
      </c>
      <c r="EB80" s="276">
        <v>-8.8114362009492613</v>
      </c>
      <c r="EC80" s="276">
        <v>-8.760330855768931</v>
      </c>
      <c r="ED80" s="276">
        <v>-8.7093781922130482</v>
      </c>
      <c r="EE80" s="276">
        <v>-8.658584450561964</v>
      </c>
      <c r="EF80" s="276">
        <v>-8.6079565166153387</v>
      </c>
      <c r="EG80" s="276">
        <v>-8.5575019585856644</v>
      </c>
      <c r="EH80" s="276">
        <v>-8.5072290566349196</v>
      </c>
      <c r="EI80" s="276">
        <v>-8.45714682371006</v>
      </c>
      <c r="EJ80" s="276">
        <v>-8.4072650163630147</v>
      </c>
      <c r="EK80" s="276">
        <v>-8.3575941343049465</v>
      </c>
      <c r="EL80" s="276">
        <v>-8.3081454075490715</v>
      </c>
      <c r="EM80" s="276">
        <v>-8.2589307701392407</v>
      </c>
      <c r="EN80" s="276">
        <v>-8.209962819645515</v>
      </c>
      <c r="EO80" s="276">
        <v>-8.1612547618303122</v>
      </c>
      <c r="EP80" s="276">
        <v>-8.1128203401468557</v>
      </c>
      <c r="EQ80" s="276">
        <v>-8.0646737500218748</v>
      </c>
      <c r="ER80" s="276">
        <v>-8.0168295381894961</v>
      </c>
      <c r="ES80" s="276">
        <v>-7.9693024876782799</v>
      </c>
      <c r="ET80" s="276">
        <v>-7.9221074893975318</v>
      </c>
      <c r="EU80" s="276">
        <v>-7.8752594016161064</v>
      </c>
      <c r="EV80" s="276">
        <v>-7.8287728989654886</v>
      </c>
      <c r="EW80" s="276">
        <v>-7.7826623129201566</v>
      </c>
      <c r="EX80" s="276">
        <v>-7.7369414660019142</v>
      </c>
      <c r="EY80" s="276">
        <v>-7.6916235022120798</v>
      </c>
      <c r="EZ80" s="276">
        <v>-7.646720716405663</v>
      </c>
      <c r="FA80" s="276">
        <v>-7.6022443854788211</v>
      </c>
      <c r="FB80" s="276">
        <v>-7.5582046043355273</v>
      </c>
      <c r="FC80" s="276">
        <v>-7.5146101296275409</v>
      </c>
      <c r="FD80" s="276">
        <v>-7.4714682342180554</v>
      </c>
      <c r="FE80" s="276">
        <v>-7.4287845752026183</v>
      </c>
      <c r="FF80" s="276">
        <v>-7.3865630781302807</v>
      </c>
      <c r="FG80" s="276">
        <v>-7.34480583980692</v>
      </c>
      <c r="FH80" s="276">
        <v>-7.3035130517353917</v>
      </c>
      <c r="FI80" s="276">
        <v>-7.2626829458619611</v>
      </c>
      <c r="FJ80" s="272">
        <v>-7.2223117638648109</v>
      </c>
      <c r="FK80" s="272">
        <v>-7.1823937507502258</v>
      </c>
      <c r="FL80" s="272">
        <v>-7.1429211730294293</v>
      </c>
      <c r="FM80" s="272">
        <v>-7.1038843612473723</v>
      </c>
      <c r="FN80" s="272">
        <v>-7.0652717761403867</v>
      </c>
      <c r="FO80" s="272">
        <v>-7.0270700972256064</v>
      </c>
      <c r="FP80" s="272">
        <v>-6.9892643321862504</v>
      </c>
      <c r="FQ80" s="272">
        <v>-6.9518379450244661</v>
      </c>
      <c r="FR80" s="272">
        <v>-6.9147730006181813</v>
      </c>
      <c r="FS80" s="272">
        <v>-6.8780503230474963</v>
      </c>
      <c r="FT80" s="272">
        <v>-6.8416496648558676</v>
      </c>
      <c r="FU80" s="272">
        <v>-6.8055498842836126</v>
      </c>
      <c r="FV80" s="272">
        <v>-6.7697291274573672</v>
      </c>
      <c r="FW80" s="272">
        <v>-6.7341650125370869</v>
      </c>
      <c r="FX80" s="272">
        <v>-6.6988348129083972</v>
      </c>
      <c r="FY80" s="272">
        <v>-6.6637156366577379</v>
      </c>
      <c r="FZ80" s="272">
        <v>-6.6287845997721941</v>
      </c>
      <c r="GA80" s="272">
        <v>-6.5940189907608033</v>
      </c>
      <c r="GB80" s="272">
        <v>-6.5593964246854579</v>
      </c>
      <c r="GC80" s="272">
        <v>-6.5248949849131517</v>
      </c>
    </row>
    <row r="81" spans="2:185" ht="15" thickBot="1" x14ac:dyDescent="0.4">
      <c r="B81" s="298">
        <v>75</v>
      </c>
      <c r="C81" s="275">
        <v>-9.866829961282388</v>
      </c>
      <c r="D81" s="275">
        <v>-9.8243843077602087</v>
      </c>
      <c r="E81" s="275">
        <v>-9.7817872583529812</v>
      </c>
      <c r="F81" s="275">
        <v>-9.7390373458196784</v>
      </c>
      <c r="G81" s="275">
        <v>-9.6961333560168885</v>
      </c>
      <c r="H81" s="275">
        <v>-9.6530743513256336</v>
      </c>
      <c r="I81" s="275">
        <v>-9.6098596942848626</v>
      </c>
      <c r="J81" s="275">
        <v>-9.5664890712386335</v>
      </c>
      <c r="K81" s="275">
        <v>-9.5229625157870927</v>
      </c>
      <c r="L81" s="275">
        <v>-9.4792804318161572</v>
      </c>
      <c r="M81" s="275">
        <v>-9.4354436158685591</v>
      </c>
      <c r="N81" s="275">
        <v>-9.3914532786100828</v>
      </c>
      <c r="O81" s="275">
        <v>-9.3473110651396993</v>
      </c>
      <c r="P81" s="275">
        <v>-9.3030190738917753</v>
      </c>
      <c r="Q81" s="275">
        <v>-9.2585798738825975</v>
      </c>
      <c r="R81" s="275">
        <v>-9.2139965200625387</v>
      </c>
      <c r="S81" s="275">
        <v>-9.1692725665493597</v>
      </c>
      <c r="T81" s="275">
        <v>-9.1244120775373911</v>
      </c>
      <c r="U81" s="275">
        <v>-9.0794196357012478</v>
      </c>
      <c r="V81" s="275">
        <v>-9.0343003479410164</v>
      </c>
      <c r="W81" s="275">
        <v>-8.989059848348143</v>
      </c>
      <c r="X81" s="275">
        <v>-8.9437042983061783</v>
      </c>
      <c r="Y81" s="275">
        <v>-8.898240383677976</v>
      </c>
      <c r="Z81" s="275">
        <v>-8.8526753090692587</v>
      </c>
      <c r="AA81" s="275">
        <v>-8.8070167891972417</v>
      </c>
      <c r="AB81" s="275">
        <v>-8.7612730374303087</v>
      </c>
      <c r="AC81" s="275">
        <v>-8.7154527516006048</v>
      </c>
      <c r="AD81" s="275">
        <v>-8.66956509722365</v>
      </c>
      <c r="AE81" s="275">
        <v>-8.6236196882877518</v>
      </c>
      <c r="AF81" s="275">
        <v>-8.5776265657996937</v>
      </c>
      <c r="AG81" s="275">
        <v>-8.5315961742915079</v>
      </c>
      <c r="AH81" s="275">
        <v>-8.4855393365056493</v>
      </c>
      <c r="AI81" s="275">
        <v>-8.4394672264821686</v>
      </c>
      <c r="AJ81" s="275">
        <v>-8.393391341271748</v>
      </c>
      <c r="AK81" s="275">
        <v>-8.3473234714924374</v>
      </c>
      <c r="AL81" s="275">
        <v>-8.3012756709364091</v>
      </c>
      <c r="AM81" s="275">
        <v>-8.2552602254162846</v>
      </c>
      <c r="AN81" s="275">
        <v>-8.2092896210191224</v>
      </c>
      <c r="AO81" s="275">
        <v>-8.16337651191132</v>
      </c>
      <c r="AP81" s="275">
        <v>-8.1175336878098001</v>
      </c>
      <c r="AQ81" s="275">
        <v>-8.0717740412055505</v>
      </c>
      <c r="AR81" s="275">
        <v>-8.0261105343953982</v>
      </c>
      <c r="AS81" s="275">
        <v>-7.9805561663485909</v>
      </c>
      <c r="AT81" s="275">
        <v>-7.9351239394069202</v>
      </c>
      <c r="AU81" s="275">
        <v>-7.8898268257923014</v>
      </c>
      <c r="AV81" s="275">
        <v>-7.8446777338748603</v>
      </c>
      <c r="AW81" s="275">
        <v>-7.7996894741386518</v>
      </c>
      <c r="AX81" s="275">
        <v>-7.7548747247721863</v>
      </c>
      <c r="AY81" s="275">
        <v>-7.7102459968077497</v>
      </c>
      <c r="AZ81" s="275">
        <v>-7.6658155987374563</v>
      </c>
      <c r="BA81" s="275">
        <v>-7.6215956005460139</v>
      </c>
      <c r="BB81" s="275">
        <v>-7.5775977971198136</v>
      </c>
      <c r="BC81" s="275">
        <v>-7.5338336710197717</v>
      </c>
      <c r="BD81" s="275">
        <v>-7.4903143546407884</v>
      </c>
      <c r="BE81" s="275">
        <v>-7.4470505918228236</v>
      </c>
      <c r="BF81" s="275">
        <v>-7.4040526990270603</v>
      </c>
      <c r="BG81" s="275">
        <v>-7.3613305262437496</v>
      </c>
      <c r="BH81" s="275">
        <v>-7.3188934178544658</v>
      </c>
      <c r="BI81" s="275">
        <v>-7.2767501737292068</v>
      </c>
      <c r="BJ81" s="275">
        <v>-7.2349090108952163</v>
      </c>
      <c r="BK81" s="275">
        <v>-7.1933775261679598</v>
      </c>
      <c r="BL81" s="275">
        <v>-7.1521626601819692</v>
      </c>
      <c r="BM81" s="275">
        <v>-7.1112706632986633</v>
      </c>
      <c r="BN81" s="275">
        <v>-7.0707070638964904</v>
      </c>
      <c r="BO81" s="275">
        <v>-7.0304766395641352</v>
      </c>
      <c r="BP81" s="275">
        <v>-6.9905833917179878</v>
      </c>
      <c r="BQ81" s="275">
        <v>-6.9510305241493056</v>
      </c>
      <c r="BR81" s="275">
        <v>-6.9118204259738203</v>
      </c>
      <c r="BS81" s="275">
        <v>-6.8729546594071023</v>
      </c>
      <c r="BT81" s="275">
        <v>-6.8344339527233782</v>
      </c>
      <c r="BU81" s="275">
        <v>-6.7962581986757993</v>
      </c>
      <c r="BV81" s="275">
        <v>-6.7584264585642062</v>
      </c>
      <c r="BW81" s="275">
        <v>-6.7209369720360979</v>
      </c>
      <c r="BX81" s="275">
        <v>-6.6837871726005362</v>
      </c>
      <c r="BY81" s="275">
        <v>-6.6469737087276304</v>
      </c>
      <c r="BZ81" s="275">
        <v>-6.6104924703019723</v>
      </c>
      <c r="CA81" s="275">
        <v>-6.5743386201000904</v>
      </c>
      <c r="CB81" s="275">
        <v>-6.5385066298743908</v>
      </c>
      <c r="CC81" s="275">
        <v>-6.5029903205507704</v>
      </c>
      <c r="CD81" s="275">
        <v>-6.4677829059871694</v>
      </c>
      <c r="CE81" s="275">
        <v>-6.4328770396969341</v>
      </c>
      <c r="CF81" s="275">
        <v>-6.3982648639146191</v>
      </c>
      <c r="CG81" s="275">
        <v>-6.3639380603722504</v>
      </c>
      <c r="CH81" s="275">
        <v>-6.3298879021608432</v>
      </c>
      <c r="CI81" s="275">
        <v>-6.2961053060727519</v>
      </c>
      <c r="CJ81" s="275">
        <v>-6.2625808848537128</v>
      </c>
      <c r="CK81" s="275">
        <v>-6.2293049988368256</v>
      </c>
      <c r="CL81" s="275">
        <v>-6.1962678064815462</v>
      </c>
      <c r="CM81" s="275">
        <v>-6.1634593133967126</v>
      </c>
      <c r="CN81" s="275">
        <v>-6.1308694194853892</v>
      </c>
      <c r="CO81" s="275">
        <v>-6.0984879639087426</v>
      </c>
      <c r="CP81" s="275"/>
      <c r="CQ81" s="276">
        <v>-11.00903146690964</v>
      </c>
      <c r="CR81" s="276">
        <v>-10.954779528064011</v>
      </c>
      <c r="CS81" s="276">
        <v>-10.900551648002139</v>
      </c>
      <c r="CT81" s="276">
        <v>-10.846351859767539</v>
      </c>
      <c r="CU81" s="276">
        <v>-10.792184232309561</v>
      </c>
      <c r="CV81" s="276">
        <v>-10.73805285751779</v>
      </c>
      <c r="CW81" s="276">
        <v>-10.68396183676335</v>
      </c>
      <c r="CX81" s="276">
        <v>-10.62991526709464</v>
      </c>
      <c r="CY81" s="276">
        <v>-10.57591722725609</v>
      </c>
      <c r="CZ81" s="276">
        <v>-10.521971763720209</v>
      </c>
      <c r="DA81" s="276">
        <v>-10.46808287694315</v>
      </c>
      <c r="DB81" s="276">
        <v>-10.41425450807307</v>
      </c>
      <c r="DC81" s="276">
        <v>-10.360490526356861</v>
      </c>
      <c r="DD81" s="276">
        <v>-10.30679471750528</v>
      </c>
      <c r="DE81" s="276">
        <v>-10.25317077328712</v>
      </c>
      <c r="DF81" s="276">
        <v>-10.199622282630861</v>
      </c>
      <c r="DG81" s="276">
        <v>-10.146152724515799</v>
      </c>
      <c r="DH81" s="276">
        <v>-10.09276546293345</v>
      </c>
      <c r="DI81" s="276">
        <v>-10.03946374419511</v>
      </c>
      <c r="DJ81" s="276">
        <v>-9.9862506968506022</v>
      </c>
      <c r="DK81" s="276">
        <v>-9.9331293344682123</v>
      </c>
      <c r="DL81" s="276">
        <v>-9.8801025615046125</v>
      </c>
      <c r="DM81" s="276">
        <v>-9.8271731824680231</v>
      </c>
      <c r="DN81" s="276">
        <v>-9.7743439145455397</v>
      </c>
      <c r="DO81" s="276">
        <v>-9.721617403829093</v>
      </c>
      <c r="DP81" s="276">
        <v>-9.6689962452310461</v>
      </c>
      <c r="DQ81" s="276">
        <v>-9.6164830061324515</v>
      </c>
      <c r="DR81" s="276">
        <v>-9.5640802537521381</v>
      </c>
      <c r="DS81" s="276">
        <v>-9.5117905861651408</v>
      </c>
      <c r="DT81" s="276">
        <v>-9.4596166668328117</v>
      </c>
      <c r="DU81" s="276">
        <v>-9.4075612624352605</v>
      </c>
      <c r="DV81" s="276">
        <v>-9.3556272837197554</v>
      </c>
      <c r="DW81" s="276">
        <v>-9.3038178289960243</v>
      </c>
      <c r="DX81" s="276">
        <v>-9.2521362298230443</v>
      </c>
      <c r="DY81" s="276">
        <v>-9.2005860983406897</v>
      </c>
      <c r="DZ81" s="276">
        <v>-9.1491713756072919</v>
      </c>
      <c r="EA81" s="276">
        <v>-9.0978963802102903</v>
      </c>
      <c r="EB81" s="276">
        <v>-9.046765856324873</v>
      </c>
      <c r="EC81" s="276">
        <v>-8.9957850203076255</v>
      </c>
      <c r="ED81" s="276">
        <v>-8.9449596048305029</v>
      </c>
      <c r="EE81" s="276">
        <v>-8.8942958994898635</v>
      </c>
      <c r="EF81" s="276">
        <v>-8.843800786768055</v>
      </c>
      <c r="EG81" s="276">
        <v>-8.7934817721862899</v>
      </c>
      <c r="EH81" s="276">
        <v>-8.7433470074695059</v>
      </c>
      <c r="EI81" s="276">
        <v>-8.6934053055523854</v>
      </c>
      <c r="EJ81" s="276">
        <v>-8.6436661462917943</v>
      </c>
      <c r="EK81" s="276">
        <v>-8.59413967181872</v>
      </c>
      <c r="EL81" s="276">
        <v>-8.5448366705639884</v>
      </c>
      <c r="EM81" s="276">
        <v>-8.4957685491270123</v>
      </c>
      <c r="EN81" s="276">
        <v>-8.4469472913259374</v>
      </c>
      <c r="EO81" s="276">
        <v>-8.3983854039692947</v>
      </c>
      <c r="EP81" s="276">
        <v>-8.3500958491208213</v>
      </c>
      <c r="EQ81" s="276">
        <v>-8.3020919628863297</v>
      </c>
      <c r="ER81" s="276">
        <v>-8.2543873610303944</v>
      </c>
      <c r="ES81" s="276">
        <v>-8.2069958320231002</v>
      </c>
      <c r="ET81" s="276">
        <v>-8.1599312184184765</v>
      </c>
      <c r="EU81" s="276">
        <v>-8.1132072877666399</v>
      </c>
      <c r="EV81" s="276">
        <v>-8.0668375945544071</v>
      </c>
      <c r="EW81" s="276">
        <v>-8.020835334945021</v>
      </c>
      <c r="EX81" s="276">
        <v>-7.9752131963384851</v>
      </c>
      <c r="EY81" s="276">
        <v>-7.9299832039916334</v>
      </c>
      <c r="EZ81" s="276">
        <v>-7.8851565671135901</v>
      </c>
      <c r="FA81" s="276">
        <v>-7.8407435269811394</v>
      </c>
      <c r="FB81" s="276">
        <v>-7.7967532096931391</v>
      </c>
      <c r="FC81" s="276">
        <v>-7.7531934861996712</v>
      </c>
      <c r="FD81" s="276">
        <v>-7.7100708421954423</v>
      </c>
      <c r="FE81" s="276">
        <v>-7.6673902603588324</v>
      </c>
      <c r="FF81" s="276">
        <v>-7.625155117245213</v>
      </c>
      <c r="FG81" s="276">
        <v>-7.583367096911787</v>
      </c>
      <c r="FH81" s="276">
        <v>-7.5420261230620698</v>
      </c>
      <c r="FI81" s="276">
        <v>-7.5011303111614707</v>
      </c>
      <c r="FJ81" s="272">
        <v>-7.4606759415965458</v>
      </c>
      <c r="FK81" s="272">
        <v>-7.4206574545418631</v>
      </c>
      <c r="FL81" s="272">
        <v>-7.3810674667703511</v>
      </c>
      <c r="FM81" s="272">
        <v>-7.3418968102073237</v>
      </c>
      <c r="FN81" s="272">
        <v>-7.3031345915993828</v>
      </c>
      <c r="FO81" s="272">
        <v>-7.2647682722565481</v>
      </c>
      <c r="FP81" s="272">
        <v>-7.2267837664436456</v>
      </c>
      <c r="FQ81" s="272">
        <v>-7.1891655566532924</v>
      </c>
      <c r="FR81" s="272">
        <v>-7.1518968236975136</v>
      </c>
      <c r="FS81" s="272">
        <v>-7.1149595893148536</v>
      </c>
      <c r="FT81" s="272">
        <v>-7.078334868809268</v>
      </c>
      <c r="FU81" s="272">
        <v>-7.0420028311194454</v>
      </c>
      <c r="FV81" s="272">
        <v>-7.0059429636627071</v>
      </c>
      <c r="FW81" s="272">
        <v>-6.9701342393056036</v>
      </c>
      <c r="FX81" s="272">
        <v>-6.9345552828810844</v>
      </c>
      <c r="FY81" s="272">
        <v>-6.8991845347940624</v>
      </c>
      <c r="FZ81" s="272">
        <v>-6.8640004094298126</v>
      </c>
      <c r="GA81" s="272">
        <v>-6.8289814462940184</v>
      </c>
      <c r="GB81" s="272">
        <v>-6.7941064520628949</v>
      </c>
      <c r="GC81" s="272">
        <v>-6.7593546319987103</v>
      </c>
    </row>
    <row r="82" spans="2:185" ht="15" thickBot="1" x14ac:dyDescent="0.4">
      <c r="B82" s="298">
        <v>76</v>
      </c>
      <c r="C82" s="275">
        <v>-10.07919921307192</v>
      </c>
      <c r="D82" s="275">
        <v>-10.036743557107989</v>
      </c>
      <c r="E82" s="275">
        <v>-9.9941397808051349</v>
      </c>
      <c r="F82" s="275">
        <v>-9.9513866138491061</v>
      </c>
      <c r="G82" s="275">
        <v>-9.9084830363348768</v>
      </c>
      <c r="H82" s="275">
        <v>-9.8654283006925745</v>
      </c>
      <c r="I82" s="275">
        <v>-9.8222219537375501</v>
      </c>
      <c r="J82" s="275">
        <v>-9.7788638586660852</v>
      </c>
      <c r="K82" s="275">
        <v>-9.7353542168035681</v>
      </c>
      <c r="L82" s="275">
        <v>-9.6916935888995663</v>
      </c>
      <c r="M82" s="275">
        <v>-9.6478829157540744</v>
      </c>
      <c r="N82" s="275">
        <v>-9.6039235379524275</v>
      </c>
      <c r="O82" s="275">
        <v>-9.5598172144826794</v>
      </c>
      <c r="P82" s="275">
        <v>-9.5155661400097138</v>
      </c>
      <c r="Q82" s="275">
        <v>-9.4711729605846937</v>
      </c>
      <c r="R82" s="275">
        <v>-9.426640787577238</v>
      </c>
      <c r="S82" s="275">
        <v>-9.3819732096308961</v>
      </c>
      <c r="T82" s="275">
        <v>-9.3371743024597293</v>
      </c>
      <c r="U82" s="275">
        <v>-9.2922486363254002</v>
      </c>
      <c r="V82" s="275">
        <v>-9.2472012810590822</v>
      </c>
      <c r="W82" s="275">
        <v>-9.2020378085210819</v>
      </c>
      <c r="X82" s="275">
        <v>-9.1567642924215313</v>
      </c>
      <c r="Y82" s="275">
        <v>-9.1113873054583703</v>
      </c>
      <c r="Z82" s="275">
        <v>-9.0659139137621487</v>
      </c>
      <c r="AA82" s="275">
        <v>-9.020351668670898</v>
      </c>
      <c r="AB82" s="275">
        <v>-8.9747085958909611</v>
      </c>
      <c r="AC82" s="275">
        <v>-8.9289931821305206</v>
      </c>
      <c r="AD82" s="275">
        <v>-8.8832143593210908</v>
      </c>
      <c r="AE82" s="275">
        <v>-8.8373814865669456</v>
      </c>
      <c r="AF82" s="275">
        <v>-8.7915043299833844</v>
      </c>
      <c r="AG82" s="275">
        <v>-8.7455930406010491</v>
      </c>
      <c r="AH82" s="275">
        <v>-8.6996581305246696</v>
      </c>
      <c r="AI82" s="275">
        <v>-8.6537104475406661</v>
      </c>
      <c r="AJ82" s="275">
        <v>-8.6077611483689012</v>
      </c>
      <c r="AK82" s="275">
        <v>-8.5618216707493886</v>
      </c>
      <c r="AL82" s="275">
        <v>-8.5159037045456234</v>
      </c>
      <c r="AM82" s="275">
        <v>-8.4700191620325374</v>
      </c>
      <c r="AN82" s="275">
        <v>-8.4241801475195803</v>
      </c>
      <c r="AO82" s="275">
        <v>-8.3783989264388286</v>
      </c>
      <c r="AP82" s="275">
        <v>-8.3326878940052147</v>
      </c>
      <c r="AQ82" s="275">
        <v>-8.2870595435315302</v>
      </c>
      <c r="AR82" s="275">
        <v>-8.2415264344562438</v>
      </c>
      <c r="AS82" s="275">
        <v>-8.1961011601178502</v>
      </c>
      <c r="AT82" s="275">
        <v>-8.1507963152869607</v>
      </c>
      <c r="AU82" s="275">
        <v>-8.1056244634471</v>
      </c>
      <c r="AV82" s="275">
        <v>-8.0605981037985988</v>
      </c>
      <c r="AW82" s="275">
        <v>-8.015729637947711</v>
      </c>
      <c r="AX82" s="275">
        <v>-7.9710313362358596</v>
      </c>
      <c r="AY82" s="275">
        <v>-7.92651530366253</v>
      </c>
      <c r="AZ82" s="275">
        <v>-7.8821934453602092</v>
      </c>
      <c r="BA82" s="275">
        <v>-7.8380774315913042</v>
      </c>
      <c r="BB82" s="275">
        <v>-7.79417866225499</v>
      </c>
      <c r="BC82" s="275">
        <v>-7.7505082309169868</v>
      </c>
      <c r="BD82" s="275">
        <v>-7.7070768884061751</v>
      </c>
      <c r="BE82" s="275">
        <v>-7.6638950060587598</v>
      </c>
      <c r="BF82" s="275">
        <v>-7.6209725387323637</v>
      </c>
      <c r="BG82" s="275">
        <v>-7.5783189877575001</v>
      </c>
      <c r="BH82" s="275">
        <v>-7.5359433640414233</v>
      </c>
      <c r="BI82" s="275">
        <v>-7.4938541515873922</v>
      </c>
      <c r="BJ82" s="275">
        <v>-7.4520592717391603</v>
      </c>
      <c r="BK82" s="275">
        <v>-7.4105660485040143</v>
      </c>
      <c r="BL82" s="275">
        <v>-7.3693811753457306</v>
      </c>
      <c r="BM82" s="275">
        <v>-7.3285106838696992</v>
      </c>
      <c r="BN82" s="275">
        <v>-7.2879599148433591</v>
      </c>
      <c r="BO82" s="275">
        <v>-7.2477334920054277</v>
      </c>
      <c r="BP82" s="275">
        <v>-7.2078352991144454</v>
      </c>
      <c r="BQ82" s="275">
        <v>-7.1682684606711122</v>
      </c>
      <c r="BR82" s="275">
        <v>-7.1290353267182933</v>
      </c>
      <c r="BS82" s="275">
        <v>-7.0901374620781867</v>
      </c>
      <c r="BT82" s="275">
        <v>-7.0515756403286494</v>
      </c>
      <c r="BU82" s="275">
        <v>-7.01334984275121</v>
      </c>
      <c r="BV82" s="275">
        <v>-6.9754592624042102</v>
      </c>
      <c r="BW82" s="275">
        <v>-6.9379023133883289</v>
      </c>
      <c r="BX82" s="275">
        <v>-6.9006766452810639</v>
      </c>
      <c r="BY82" s="275">
        <v>-6.8637791626253</v>
      </c>
      <c r="BZ82" s="275">
        <v>-6.8272060492677227</v>
      </c>
      <c r="CA82" s="275">
        <v>-6.7909527972585932</v>
      </c>
      <c r="CB82" s="275">
        <v>-6.7550142399487312</v>
      </c>
      <c r="CC82" s="275">
        <v>-6.7193845888542176</v>
      </c>
      <c r="CD82" s="275">
        <v>-6.6840574738062966</v>
      </c>
      <c r="CE82" s="275">
        <v>-6.6490259858651024</v>
      </c>
      <c r="CF82" s="275">
        <v>-6.6142827224505618</v>
      </c>
      <c r="CG82" s="275">
        <v>-6.5798198341335299</v>
      </c>
      <c r="CH82" s="275">
        <v>-6.5456290725324786</v>
      </c>
      <c r="CI82" s="275">
        <v>-6.5117018387766326</v>
      </c>
      <c r="CJ82" s="275">
        <v>-6.4780292320220694</v>
      </c>
      <c r="CK82" s="275">
        <v>-6.4446020975422176</v>
      </c>
      <c r="CL82" s="275">
        <v>-6.4114110739560557</v>
      </c>
      <c r="CM82" s="275">
        <v>-6.3784466392037524</v>
      </c>
      <c r="CN82" s="275">
        <v>-6.3456991549297763</v>
      </c>
      <c r="CO82" s="275">
        <v>-6.3131589089837679</v>
      </c>
      <c r="CP82" s="275"/>
      <c r="CQ82" s="276">
        <v>-11.240408174509639</v>
      </c>
      <c r="CR82" s="276">
        <v>-11.186257896512529</v>
      </c>
      <c r="CS82" s="276">
        <v>-11.132132801617621</v>
      </c>
      <c r="CT82" s="276">
        <v>-11.078036805475779</v>
      </c>
      <c r="CU82" s="276">
        <v>-11.02397385694904</v>
      </c>
      <c r="CV82" s="276">
        <v>-10.969947926245039</v>
      </c>
      <c r="CW82" s="276">
        <v>-10.91596299267079</v>
      </c>
      <c r="CX82" s="276">
        <v>-10.862023032145389</v>
      </c>
      <c r="CY82" s="276">
        <v>-10.808132004630311</v>
      </c>
      <c r="CZ82" s="276">
        <v>-10.754293841654119</v>
      </c>
      <c r="DA82" s="276">
        <v>-10.70051243412629</v>
      </c>
      <c r="DB82" s="276">
        <v>-10.646791620649999</v>
      </c>
      <c r="DC82" s="276">
        <v>-10.59313517655821</v>
      </c>
      <c r="DD82" s="276">
        <v>-10.539546803908539</v>
      </c>
      <c r="DE82" s="276">
        <v>-10.4860301226811</v>
      </c>
      <c r="DF82" s="276">
        <v>-10.432588663428749</v>
      </c>
      <c r="DG82" s="276">
        <v>-10.379225861631159</v>
      </c>
      <c r="DH82" s="276">
        <v>-10.325945054001419</v>
      </c>
      <c r="DI82" s="276">
        <v>-10.27274947698775</v>
      </c>
      <c r="DJ82" s="276">
        <v>-10.21964226770177</v>
      </c>
      <c r="DK82" s="276">
        <v>-10.16662646748874</v>
      </c>
      <c r="DL82" s="276">
        <v>-10.11370502833509</v>
      </c>
      <c r="DM82" s="276">
        <v>-10.060880822282799</v>
      </c>
      <c r="DN82" s="276">
        <v>-10.00815665398938</v>
      </c>
      <c r="DO82" s="276">
        <v>-9.9555352765369793</v>
      </c>
      <c r="DP82" s="276">
        <v>-9.9030194105529805</v>
      </c>
      <c r="DQ82" s="276">
        <v>-9.850611766658341</v>
      </c>
      <c r="DR82" s="276">
        <v>-9.7983150712091014</v>
      </c>
      <c r="DS82" s="276">
        <v>-9.7461320952398314</v>
      </c>
      <c r="DT82" s="276">
        <v>-9.6940656864564794</v>
      </c>
      <c r="DU82" s="276">
        <v>-9.6421188040600931</v>
      </c>
      <c r="DV82" s="276">
        <v>-9.5902945561120205</v>
      </c>
      <c r="DW82" s="276">
        <v>-9.5385962390764512</v>
      </c>
      <c r="DX82" s="276">
        <v>-9.4870273790984303</v>
      </c>
      <c r="DY82" s="276">
        <v>-9.4355917744946751</v>
      </c>
      <c r="DZ82" s="276">
        <v>-9.3842935388535107</v>
      </c>
      <c r="EA82" s="276">
        <v>-9.3331371440589397</v>
      </c>
      <c r="EB82" s="276">
        <v>-9.2821274624755628</v>
      </c>
      <c r="EC82" s="276">
        <v>-9.231269807457128</v>
      </c>
      <c r="ED82" s="276">
        <v>-9.1805699712754762</v>
      </c>
      <c r="EE82" s="276">
        <v>-9.130034259510019</v>
      </c>
      <c r="EF82" s="276">
        <v>-9.0796695208956688</v>
      </c>
      <c r="EG82" s="276">
        <v>-9.0294831716005639</v>
      </c>
      <c r="EH82" s="276">
        <v>-8.979483212898721</v>
      </c>
      <c r="EI82" s="276">
        <v>-8.9296782412187987</v>
      </c>
      <c r="EJ82" s="276">
        <v>-8.8800774495913544</v>
      </c>
      <c r="EK82" s="276">
        <v>-8.8306906195859938</v>
      </c>
      <c r="EL82" s="276">
        <v>-8.7815281029267371</v>
      </c>
      <c r="EM82" s="276">
        <v>-8.7326007921006106</v>
      </c>
      <c r="EN82" s="276">
        <v>-8.6839200794294644</v>
      </c>
      <c r="EO82" s="276">
        <v>-8.6354978042578789</v>
      </c>
      <c r="EP82" s="276">
        <v>-8.5873461881170527</v>
      </c>
      <c r="EQ82" s="276">
        <v>-8.5394777579536036</v>
      </c>
      <c r="ER82" s="276">
        <v>-8.4919052577575886</v>
      </c>
      <c r="ES82" s="276">
        <v>-8.4446415491810889</v>
      </c>
      <c r="ET82" s="276">
        <v>-8.3976995020012488</v>
      </c>
      <c r="EU82" s="276">
        <v>-8.3510918755425614</v>
      </c>
      <c r="EV82" s="276">
        <v>-8.3048311924257483</v>
      </c>
      <c r="EW82" s="276">
        <v>-8.2589296062480084</v>
      </c>
      <c r="EX82" s="276">
        <v>-8.2133987650129185</v>
      </c>
      <c r="EY82" s="276">
        <v>-8.1682496723131255</v>
      </c>
      <c r="EZ82" s="276">
        <v>-8.1234925484161522</v>
      </c>
      <c r="FA82" s="276">
        <v>-8.0791366935098647</v>
      </c>
      <c r="FB82" s="276">
        <v>-8.0351903554219497</v>
      </c>
      <c r="FC82" s="276">
        <v>-7.9916606041355136</v>
      </c>
      <c r="FD82" s="276">
        <v>-7.9485532153761067</v>
      </c>
      <c r="FE82" s="276">
        <v>-7.9058725654454154</v>
      </c>
      <c r="FF82" s="276">
        <v>-7.863621539321187</v>
      </c>
      <c r="FG82" s="276">
        <v>-7.8218014538368958</v>
      </c>
      <c r="FH82" s="276">
        <v>-7.7804119975006429</v>
      </c>
      <c r="FI82" s="276">
        <v>-7.7394511882162753</v>
      </c>
      <c r="FJ82" s="272">
        <v>-7.6989153498400746</v>
      </c>
      <c r="FK82" s="272">
        <v>-7.6587991081491316</v>
      </c>
      <c r="FL82" s="272">
        <v>-7.6190954064256262</v>
      </c>
      <c r="FM82" s="272">
        <v>-7.5797955404822428</v>
      </c>
      <c r="FN82" s="272">
        <v>-7.5408892125804901</v>
      </c>
      <c r="FO82" s="272">
        <v>-7.5023646033337688</v>
      </c>
      <c r="FP82" s="272">
        <v>-7.4642084603538352</v>
      </c>
      <c r="FQ82" s="272">
        <v>-7.4264062020971426</v>
      </c>
      <c r="FR82" s="272">
        <v>-7.3889420351080553</v>
      </c>
      <c r="FS82" s="272">
        <v>-7.3517990826425716</v>
      </c>
      <c r="FT82" s="272">
        <v>-7.314959522493897</v>
      </c>
      <c r="FU82" s="272">
        <v>-7.2784047317329259</v>
      </c>
      <c r="FV82" s="272">
        <v>-7.2421154360233428</v>
      </c>
      <c r="FW82" s="272">
        <v>-7.2060718611712424</v>
      </c>
      <c r="FX82" s="272">
        <v>-7.1702538846208954</v>
      </c>
      <c r="FY82" s="272">
        <v>-7.1346411847098619</v>
      </c>
      <c r="FZ82" s="272">
        <v>-7.0992133856389312</v>
      </c>
      <c r="GA82" s="272">
        <v>-7.0639501962951217</v>
      </c>
      <c r="GB82" s="272">
        <v>-7.0288315412785973</v>
      </c>
      <c r="GC82" s="272">
        <v>-6.9938376827210984</v>
      </c>
    </row>
    <row r="83" spans="2:185" ht="15" thickBot="1" x14ac:dyDescent="0.4">
      <c r="B83" s="298">
        <v>77</v>
      </c>
      <c r="C83" s="275">
        <v>-10.291554134703791</v>
      </c>
      <c r="D83" s="275">
        <v>-10.24909081853925</v>
      </c>
      <c r="E83" s="275">
        <v>-10.206482643552389</v>
      </c>
      <c r="F83" s="275">
        <v>-10.163728525097399</v>
      </c>
      <c r="G83" s="275">
        <v>-10.1208276258356</v>
      </c>
      <c r="H83" s="275">
        <v>-10.077779376254901</v>
      </c>
      <c r="I83" s="275">
        <v>-10.03458349524346</v>
      </c>
      <c r="J83" s="275">
        <v>-9.9912400105522163</v>
      </c>
      <c r="K83" s="275">
        <v>-9.9477492789689457</v>
      </c>
      <c r="L83" s="275">
        <v>-9.904112006015696</v>
      </c>
      <c r="M83" s="275">
        <v>-9.8603292649734744</v>
      </c>
      <c r="N83" s="275">
        <v>-9.8164025150329177</v>
      </c>
      <c r="O83" s="275">
        <v>-9.7723336183668383</v>
      </c>
      <c r="P83" s="275">
        <v>-9.7281248559220277</v>
      </c>
      <c r="Q83" s="275">
        <v>-9.6837789417320117</v>
      </c>
      <c r="R83" s="275">
        <v>-9.6392990355609882</v>
      </c>
      <c r="S83" s="275">
        <v>-9.5946887537010781</v>
      </c>
      <c r="T83" s="275">
        <v>-9.5499521777609466</v>
      </c>
      <c r="U83" s="275">
        <v>-9.5050938613028713</v>
      </c>
      <c r="V83" s="275">
        <v>-9.4601188342076536</v>
      </c>
      <c r="W83" s="275">
        <v>-9.4150326046718043</v>
      </c>
      <c r="X83" s="275">
        <v>-9.3698411587684323</v>
      </c>
      <c r="Y83" s="275">
        <v>-9.3245509575316934</v>
      </c>
      <c r="Z83" s="275">
        <v>-9.2791689315542278</v>
      </c>
      <c r="AA83" s="275">
        <v>-9.233702473115919</v>
      </c>
      <c r="AB83" s="275">
        <v>-9.1881594258911861</v>
      </c>
      <c r="AC83" s="275">
        <v>-9.142548072308827</v>
      </c>
      <c r="AD83" s="275">
        <v>-9.0968771186631621</v>
      </c>
      <c r="AE83" s="275">
        <v>-9.0511556780972171</v>
      </c>
      <c r="AF83" s="275">
        <v>-9.0053932515969048</v>
      </c>
      <c r="AG83" s="275">
        <v>-8.9595997071497777</v>
      </c>
      <c r="AH83" s="275">
        <v>-8.913785257231952</v>
      </c>
      <c r="AI83" s="275">
        <v>-8.8679604347928223</v>
      </c>
      <c r="AJ83" s="275">
        <v>-8.8221360679082412</v>
      </c>
      <c r="AK83" s="275">
        <v>-8.7763232532699416</v>
      </c>
      <c r="AL83" s="275">
        <v>-8.730533328671779</v>
      </c>
      <c r="AM83" s="275">
        <v>-8.6847778446422161</v>
      </c>
      <c r="AN83" s="275">
        <v>-8.639068535358609</v>
      </c>
      <c r="AO83" s="275">
        <v>-8.5934172889617404</v>
      </c>
      <c r="AP83" s="275">
        <v>-8.5478361173704211</v>
      </c>
      <c r="AQ83" s="275">
        <v>-8.5023371256760374</v>
      </c>
      <c r="AR83" s="275">
        <v>-8.456932481176711</v>
      </c>
      <c r="AS83" s="275">
        <v>-8.4116343820908988</v>
      </c>
      <c r="AT83" s="275">
        <v>-8.3664550259720603</v>
      </c>
      <c r="AU83" s="275">
        <v>-8.3214065778298014</v>
      </c>
      <c r="AV83" s="275">
        <v>-8.2765011379497633</v>
      </c>
      <c r="AW83" s="275">
        <v>-8.2317507093954347</v>
      </c>
      <c r="AX83" s="275">
        <v>-8.1871671651697078</v>
      </c>
      <c r="AY83" s="275">
        <v>-8.1427622150144483</v>
      </c>
      <c r="AZ83" s="275">
        <v>-8.0985473718314545</v>
      </c>
      <c r="BA83" s="275">
        <v>-8.0545339177190822</v>
      </c>
      <c r="BB83" s="275">
        <v>-8.0107328696355857</v>
      </c>
      <c r="BC83" s="275">
        <v>-7.967154944722064</v>
      </c>
      <c r="BD83" s="275">
        <v>-7.9238105253453126</v>
      </c>
      <c r="BE83" s="275">
        <v>-7.880709623952586</v>
      </c>
      <c r="BF83" s="275">
        <v>-7.8378618478659972</v>
      </c>
      <c r="BG83" s="275">
        <v>-7.7952763641824987</v>
      </c>
      <c r="BH83" s="275">
        <v>-7.7529618649854886</v>
      </c>
      <c r="BI83" s="275">
        <v>-7.7109265331139003</v>
      </c>
      <c r="BJ83" s="275">
        <v>-7.6691780087732822</v>
      </c>
      <c r="BK83" s="275">
        <v>-7.6277233573086018</v>
      </c>
      <c r="BL83" s="275">
        <v>-7.5865690384890154</v>
      </c>
      <c r="BM83" s="275">
        <v>-7.5457208776785061</v>
      </c>
      <c r="BN83" s="275">
        <v>-7.5051840392819686</v>
      </c>
      <c r="BO83" s="275">
        <v>-7.464963002861996</v>
      </c>
      <c r="BP83" s="275">
        <v>-7.4250615423170041</v>
      </c>
      <c r="BQ83" s="275">
        <v>-7.3854827084946626</v>
      </c>
      <c r="BR83" s="275">
        <v>-7.3462288155867199</v>
      </c>
      <c r="BS83" s="275">
        <v>-7.3073014316110054</v>
      </c>
      <c r="BT83" s="275">
        <v>-7.2687013732362598</v>
      </c>
      <c r="BU83" s="275">
        <v>-7.230428705144381</v>
      </c>
      <c r="BV83" s="275">
        <v>-7.1924827440567611</v>
      </c>
      <c r="BW83" s="275">
        <v>-7.1548620674766932</v>
      </c>
      <c r="BX83" s="275">
        <v>-7.1175645271224264</v>
      </c>
      <c r="BY83" s="275">
        <v>-7.0805872669465506</v>
      </c>
      <c r="BZ83" s="275">
        <v>-7.0439267455608254</v>
      </c>
      <c r="CA83" s="275">
        <v>-7.0075787628130506</v>
      </c>
      <c r="CB83" s="275">
        <v>-6.9715384901970152</v>
      </c>
      <c r="CC83" s="275">
        <v>-6.9358005047195066</v>
      </c>
      <c r="CD83" s="275">
        <v>-6.9003588258018604</v>
      </c>
      <c r="CE83" s="275">
        <v>-6.8652069547580954</v>
      </c>
      <c r="CF83" s="275">
        <v>-6.830337916368574</v>
      </c>
      <c r="CG83" s="275">
        <v>-6.7957443020563462</v>
      </c>
      <c r="CH83" s="275">
        <v>-6.7614183141737714</v>
      </c>
      <c r="CI83" s="275">
        <v>-6.7273518109173027</v>
      </c>
      <c r="CJ83" s="275">
        <v>-6.6935363514087447</v>
      </c>
      <c r="CK83" s="275">
        <v>-6.6599632405087723</v>
      </c>
      <c r="CL83" s="275">
        <v>-6.6266235729634113</v>
      </c>
      <c r="CM83" s="275">
        <v>-6.5935082765226491</v>
      </c>
      <c r="CN83" s="275">
        <v>-6.560608153712896</v>
      </c>
      <c r="CO83" s="275">
        <v>-6.5279139219884659</v>
      </c>
      <c r="CP83" s="275"/>
      <c r="CQ83" s="276">
        <v>-11.471841418136851</v>
      </c>
      <c r="CR83" s="276">
        <v>-11.41779157010906</v>
      </c>
      <c r="CS83" s="276">
        <v>-11.36376798867691</v>
      </c>
      <c r="CT83" s="276">
        <v>-11.309774480027009</v>
      </c>
      <c r="CU83" s="276">
        <v>-11.25581488146808</v>
      </c>
      <c r="CV83" s="276">
        <v>-11.201893050596381</v>
      </c>
      <c r="CW83" s="276">
        <v>-11.14801285417734</v>
      </c>
      <c r="CX83" s="276">
        <v>-11.094178156874721</v>
      </c>
      <c r="CY83" s="276">
        <v>-11.04039280997581</v>
      </c>
      <c r="CZ83" s="276">
        <v>-10.98666064027725</v>
      </c>
      <c r="DA83" s="276">
        <v>-10.93298543931011</v>
      </c>
      <c r="DB83" s="276">
        <v>-10.879370953097</v>
      </c>
      <c r="DC83" s="276">
        <v>-10.82582087264498</v>
      </c>
      <c r="DD83" s="276">
        <v>-10.77233882538723</v>
      </c>
      <c r="DE83" s="276">
        <v>-10.71892836779328</v>
      </c>
      <c r="DF83" s="276">
        <v>-10.66559297937064</v>
      </c>
      <c r="DG83" s="276">
        <v>-10.61233605828123</v>
      </c>
      <c r="DH83" s="276">
        <v>-10.559160918792321</v>
      </c>
      <c r="DI83" s="276">
        <v>-10.506070790774331</v>
      </c>
      <c r="DJ83" s="276">
        <v>-10.45306882144614</v>
      </c>
      <c r="DK83" s="276">
        <v>-10.400158079553041</v>
      </c>
      <c r="DL83" s="276">
        <v>-10.347341562142059</v>
      </c>
      <c r="DM83" s="276">
        <v>-10.294622204074241</v>
      </c>
      <c r="DN83" s="276">
        <v>-10.24200289038464</v>
      </c>
      <c r="DO83" s="276">
        <v>-10.1894864715662</v>
      </c>
      <c r="DP83" s="276">
        <v>-10.137075781815151</v>
      </c>
      <c r="DQ83" s="276">
        <v>-10.08477366023218</v>
      </c>
      <c r="DR83" s="276">
        <v>-10.03258297492555</v>
      </c>
      <c r="DS83" s="276">
        <v>-9.9805066499098931</v>
      </c>
      <c r="DT83" s="276">
        <v>-9.9285476946378459</v>
      </c>
      <c r="DU83" s="276">
        <v>-9.8767092359407052</v>
      </c>
      <c r="DV83" s="276">
        <v>-9.8249945520899971</v>
      </c>
      <c r="DW83" s="276">
        <v>-9.7734071086247933</v>
      </c>
      <c r="DX83" s="276">
        <v>-9.7219505955191998</v>
      </c>
      <c r="DY83" s="276">
        <v>-9.6706289651942825</v>
      </c>
      <c r="DZ83" s="276">
        <v>-9.6194464708071497</v>
      </c>
      <c r="EA83" s="276">
        <v>-9.568407704179986</v>
      </c>
      <c r="EB83" s="276">
        <v>-9.5175176326661788</v>
      </c>
      <c r="EC83" s="276">
        <v>-9.4667816341884663</v>
      </c>
      <c r="ED83" s="276">
        <v>-9.4162055296309415</v>
      </c>
      <c r="EE83" s="276">
        <v>-9.3657956117228682</v>
      </c>
      <c r="EF83" s="276">
        <v>-9.3155586695210264</v>
      </c>
      <c r="EG83" s="276">
        <v>-9.2655020075816346</v>
      </c>
      <c r="EH83" s="276">
        <v>-9.2156334589148514</v>
      </c>
      <c r="EI83" s="276">
        <v>-9.1659613908371043</v>
      </c>
      <c r="EJ83" s="276">
        <v>-9.1164947028804271</v>
      </c>
      <c r="EK83" s="276">
        <v>-9.06724281598696</v>
      </c>
      <c r="EL83" s="276">
        <v>-9.0182156523085517</v>
      </c>
      <c r="EM83" s="276">
        <v>-8.9694236050499363</v>
      </c>
      <c r="EN83" s="276">
        <v>-8.9208774979355479</v>
      </c>
      <c r="EO83" s="276">
        <v>-8.8725885340452475</v>
      </c>
      <c r="EP83" s="276">
        <v>-8.8245682339498721</v>
      </c>
      <c r="EQ83" s="276">
        <v>-8.7768283632806092</v>
      </c>
      <c r="ER83" s="276">
        <v>-8.7293808500828103</v>
      </c>
      <c r="ES83" s="276">
        <v>-8.6822376925303519</v>
      </c>
      <c r="ET83" s="276">
        <v>-8.6354108578055335</v>
      </c>
      <c r="EU83" s="276">
        <v>-8.5889121731760767</v>
      </c>
      <c r="EV83" s="276">
        <v>-8.542753210518935</v>
      </c>
      <c r="EW83" s="276">
        <v>-8.49694516574435</v>
      </c>
      <c r="EX83" s="276">
        <v>-8.4514987347560737</v>
      </c>
      <c r="EY83" s="276">
        <v>-8.4064239877397213</v>
      </c>
      <c r="EZ83" s="276">
        <v>-8.3617302436948133</v>
      </c>
      <c r="FA83" s="276">
        <v>-8.3174259472123016</v>
      </c>
      <c r="FB83" s="276">
        <v>-8.2735185495446526</v>
      </c>
      <c r="FC83" s="276">
        <v>-8.2300143960156227</v>
      </c>
      <c r="FD83" s="276">
        <v>-8.1869186217717864</v>
      </c>
      <c r="FE83" s="276">
        <v>-8.1442350577839111</v>
      </c>
      <c r="FF83" s="276">
        <v>-8.1019661488679109</v>
      </c>
      <c r="FG83" s="276">
        <v>-8.0601128853106552</v>
      </c>
      <c r="FH83" s="276">
        <v>-8.0186747494622033</v>
      </c>
      <c r="FI83" s="276">
        <v>-7.9776496783961894</v>
      </c>
      <c r="FJ83" s="272">
        <v>-7.937034043450633</v>
      </c>
      <c r="FK83" s="272">
        <v>-7.8968226471507981</v>
      </c>
      <c r="FL83" s="272">
        <v>-7.857008737690709</v>
      </c>
      <c r="FM83" s="272">
        <v>-7.8175840408200896</v>
      </c>
      <c r="FN83" s="272">
        <v>-7.7785388086576281</v>
      </c>
      <c r="FO83" s="272">
        <v>-7.7398618846380698</v>
      </c>
      <c r="FP83" s="272">
        <v>-7.7015407835079532</v>
      </c>
      <c r="FQ83" s="272">
        <v>-7.6635617850212139</v>
      </c>
      <c r="FR83" s="272">
        <v>-7.625910039755845</v>
      </c>
      <c r="FS83" s="272">
        <v>-7.5885696852839963</v>
      </c>
      <c r="FT83" s="272">
        <v>-7.5515239707823438</v>
      </c>
      <c r="FU83" s="272">
        <v>-7.5147553880698146</v>
      </c>
      <c r="FV83" s="272">
        <v>-7.4782458070085074</v>
      </c>
      <c r="FW83" s="272">
        <v>-7.4419766131975447</v>
      </c>
      <c r="FX83" s="272">
        <v>-7.4059288459298322</v>
      </c>
      <c r="FY83" s="272">
        <v>-7.3700833344636818</v>
      </c>
      <c r="FZ83" s="272">
        <v>-7.3344208307807568</v>
      </c>
      <c r="GA83" s="272">
        <v>-7.2989221371561968</v>
      </c>
      <c r="GB83" s="272">
        <v>-7.2635682270475259</v>
      </c>
      <c r="GC83" s="272">
        <v>-7.2283403580126704</v>
      </c>
    </row>
    <row r="84" spans="2:185" ht="15" thickBot="1" x14ac:dyDescent="0.4">
      <c r="B84" s="298">
        <v>78</v>
      </c>
      <c r="C84" s="275">
        <v>-10.50389742509959</v>
      </c>
      <c r="D84" s="275">
        <v>-10.46142870359381</v>
      </c>
      <c r="E84" s="275">
        <v>-10.418818365793561</v>
      </c>
      <c r="F84" s="275">
        <v>-10.37606550199145</v>
      </c>
      <c r="G84" s="275">
        <v>-10.333169446335461</v>
      </c>
      <c r="H84" s="275">
        <v>-10.29012979603079</v>
      </c>
      <c r="I84" s="275">
        <v>-10.246946430536649</v>
      </c>
      <c r="J84" s="275">
        <v>-10.20361953060519</v>
      </c>
      <c r="K84" s="275">
        <v>-10.16014959699927</v>
      </c>
      <c r="L84" s="275">
        <v>-10.116537468717089</v>
      </c>
      <c r="M84" s="275">
        <v>-10.07278434054529</v>
      </c>
      <c r="N84" s="275">
        <v>-10.02889177975786</v>
      </c>
      <c r="O84" s="275">
        <v>-9.9848617417767009</v>
      </c>
      <c r="P84" s="275">
        <v>-9.9406965846115831</v>
      </c>
      <c r="Q84" s="275">
        <v>-9.8963990819013716</v>
      </c>
      <c r="R84" s="275">
        <v>-9.851972434386763</v>
      </c>
      <c r="S84" s="275">
        <v>-9.8074202796556218</v>
      </c>
      <c r="T84" s="275">
        <v>-9.7627467000162529</v>
      </c>
      <c r="U84" s="275">
        <v>-9.7179562283712482</v>
      </c>
      <c r="V84" s="275">
        <v>-9.6730538519841396</v>
      </c>
      <c r="W84" s="275">
        <v>-9.6280450140534022</v>
      </c>
      <c r="X84" s="275">
        <v>-9.5829356130318999</v>
      </c>
      <c r="Y84" s="275">
        <v>-9.5377319996551027</v>
      </c>
      <c r="Z84" s="275">
        <v>-9.4924409716669711</v>
      </c>
      <c r="AA84" s="275">
        <v>-9.4470697662580374</v>
      </c>
      <c r="AB84" s="275">
        <v>-9.4016260502551905</v>
      </c>
      <c r="AC84" s="275">
        <v>-9.3561179081262633</v>
      </c>
      <c r="AD84" s="275">
        <v>-9.3105538278843234</v>
      </c>
      <c r="AE84" s="275">
        <v>-9.264942684995594</v>
      </c>
      <c r="AF84" s="275">
        <v>-9.2192937244114681</v>
      </c>
      <c r="AG84" s="275">
        <v>-9.1736165408578323</v>
      </c>
      <c r="AH84" s="275">
        <v>-9.1279210575241922</v>
      </c>
      <c r="AI84" s="275">
        <v>-9.0822175033008801</v>
      </c>
      <c r="AJ84" s="275">
        <v>-9.0365163887141318</v>
      </c>
      <c r="AK84" s="275">
        <v>-8.9908284807069521</v>
      </c>
      <c r="AL84" s="275">
        <v>-8.9451647764082534</v>
      </c>
      <c r="AM84" s="275">
        <v>-8.8995364760240037</v>
      </c>
      <c r="AN84" s="275">
        <v>-8.8539549549728207</v>
      </c>
      <c r="AO84" s="275">
        <v>-8.8084317353747608</v>
      </c>
      <c r="AP84" s="275">
        <v>-8.7629784569868274</v>
      </c>
      <c r="AQ84" s="275">
        <v>-8.717606847662573</v>
      </c>
      <c r="AR84" s="275">
        <v>-8.6723286933967163</v>
      </c>
      <c r="AS84" s="275">
        <v>-8.6271558079996868</v>
      </c>
      <c r="AT84" s="275">
        <v>-8.5821000024323659</v>
      </c>
      <c r="AU84" s="275">
        <v>-8.537173053818556</v>
      </c>
      <c r="AV84" s="275">
        <v>-8.4923866741423328</v>
      </c>
      <c r="AW84" s="275">
        <v>-8.4477524786307754</v>
      </c>
      <c r="AX84" s="275">
        <v>-8.4032819538192349</v>
      </c>
      <c r="AY84" s="275">
        <v>-8.35898642529739</v>
      </c>
      <c r="AZ84" s="275">
        <v>-8.3148770251400403</v>
      </c>
      <c r="BA84" s="275">
        <v>-8.2709646590366663</v>
      </c>
      <c r="BB84" s="275">
        <v>-8.2272599731489695</v>
      </c>
      <c r="BC84" s="275">
        <v>-8.1837733207449901</v>
      </c>
      <c r="BD84" s="275">
        <v>-8.1405147286823034</v>
      </c>
      <c r="BE84" s="275">
        <v>-8.0974938638401426</v>
      </c>
      <c r="BF84" s="275">
        <v>-8.0547199996306702</v>
      </c>
      <c r="BG84" s="275">
        <v>-8.012201982752293</v>
      </c>
      <c r="BH84" s="275">
        <v>-7.9699482003810029</v>
      </c>
      <c r="BI84" s="275">
        <v>-7.9279665480293051</v>
      </c>
      <c r="BJ84" s="275">
        <v>-7.8862643983335019</v>
      </c>
      <c r="BK84" s="275">
        <v>-7.8448485710589546</v>
      </c>
      <c r="BL84" s="275">
        <v>-7.803725304636802</v>
      </c>
      <c r="BM84" s="275">
        <v>-7.7629002295639404</v>
      </c>
      <c r="BN84" s="275">
        <v>-7.7223783440090488</v>
      </c>
      <c r="BO84" s="275">
        <v>-7.6821639919701754</v>
      </c>
      <c r="BP84" s="275">
        <v>-7.6422608443230002</v>
      </c>
      <c r="BQ84" s="275">
        <v>-7.6026718830826656</v>
      </c>
      <c r="BR84" s="275">
        <v>-7.563399389176098</v>
      </c>
      <c r="BS84" s="275">
        <v>-7.5244449339859276</v>
      </c>
      <c r="BT84" s="275">
        <v>-7.4858093748822911</v>
      </c>
      <c r="BU84" s="275">
        <v>-7.4474928549060309</v>
      </c>
      <c r="BV84" s="275">
        <v>-7.4094948067074631</v>
      </c>
      <c r="BW84" s="275">
        <v>-7.3718139607804272</v>
      </c>
      <c r="BX84" s="275">
        <v>-7.3344483579647246</v>
      </c>
      <c r="BY84" s="275">
        <v>-7.297395366121906</v>
      </c>
      <c r="BZ84" s="275">
        <v>-7.2606517008234794</v>
      </c>
      <c r="CA84" s="275">
        <v>-7.2242134498279356</v>
      </c>
      <c r="CB84" s="275">
        <v>-7.1880761010659926</v>
      </c>
      <c r="CC84" s="275">
        <v>-7.1522345738037281</v>
      </c>
      <c r="CD84" s="275">
        <v>-7.1166832526119697</v>
      </c>
      <c r="CE84" s="275">
        <v>-7.0814160237387744</v>
      </c>
      <c r="CF84" s="275">
        <v>-7.0464263134598539</v>
      </c>
      <c r="CG84" s="275">
        <v>-7.0117071279702934</v>
      </c>
      <c r="CH84" s="275">
        <v>-6.9772510943790262</v>
      </c>
      <c r="CI84" s="275">
        <v>-6.9430505023745566</v>
      </c>
      <c r="CJ84" s="275">
        <v>-6.9090973461461314</v>
      </c>
      <c r="CK84" s="275">
        <v>-6.8753833661666306</v>
      </c>
      <c r="CL84" s="275">
        <v>-6.8419000904719924</v>
      </c>
      <c r="CM84" s="275">
        <v>-6.8086388751042959</v>
      </c>
      <c r="CN84" s="275">
        <v>-6.7755909434214949</v>
      </c>
      <c r="CO84" s="275">
        <v>-6.742747424014162</v>
      </c>
      <c r="CP84" s="275"/>
      <c r="CQ84" s="276">
        <v>-11.70332985349593</v>
      </c>
      <c r="CR84" s="276">
        <v>-11.64937924811527</v>
      </c>
      <c r="CS84" s="276">
        <v>-11.59545595602938</v>
      </c>
      <c r="CT84" s="276">
        <v>-11.54156368134735</v>
      </c>
      <c r="CU84" s="276">
        <v>-11.487706157722631</v>
      </c>
      <c r="CV84" s="276">
        <v>-11.43388713848147</v>
      </c>
      <c r="CW84" s="276">
        <v>-11.380110386549831</v>
      </c>
      <c r="CX84" s="276">
        <v>-11.32637966430233</v>
      </c>
      <c r="CY84" s="276">
        <v>-11.27269872347223</v>
      </c>
      <c r="CZ84" s="276">
        <v>-11.21907129527399</v>
      </c>
      <c r="DA84" s="276">
        <v>-11.165501080903169</v>
      </c>
      <c r="DB84" s="276">
        <v>-11.111991742589421</v>
      </c>
      <c r="DC84" s="276">
        <v>-11.05854689538754</v>
      </c>
      <c r="DD84" s="276">
        <v>-11.00517009989877</v>
      </c>
      <c r="DE84" s="276">
        <v>-10.95186485611937</v>
      </c>
      <c r="DF84" s="276">
        <v>-10.89863459861547</v>
      </c>
      <c r="DG84" s="276">
        <v>-10.84548269322163</v>
      </c>
      <c r="DH84" s="276">
        <v>-10.792412435456651</v>
      </c>
      <c r="DI84" s="276">
        <v>-10.739427050841559</v>
      </c>
      <c r="DJ84" s="276">
        <v>-10.68652969729307</v>
      </c>
      <c r="DK84" s="276">
        <v>-10.633723469750031</v>
      </c>
      <c r="DL84" s="276">
        <v>-10.58101140717042</v>
      </c>
      <c r="DM84" s="276">
        <v>-10.528396502012431</v>
      </c>
      <c r="DN84" s="276">
        <v>-10.475881712285259</v>
      </c>
      <c r="DO84" s="276">
        <v>-10.423469976222441</v>
      </c>
      <c r="DP84" s="276">
        <v>-10.37116422959431</v>
      </c>
      <c r="DQ84" s="276">
        <v>-10.31896742563532</v>
      </c>
      <c r="DR84" s="276">
        <v>-10.266882557517309</v>
      </c>
      <c r="DS84" s="276">
        <v>-10.21491268325105</v>
      </c>
      <c r="DT84" s="276">
        <v>-10.163060952846561</v>
      </c>
      <c r="DU84" s="276">
        <v>-10.111330637506869</v>
      </c>
      <c r="DV84" s="276">
        <v>-10.05972516057178</v>
      </c>
      <c r="DW84" s="276">
        <v>-10.00824812986777</v>
      </c>
      <c r="DX84" s="276">
        <v>-9.9569033710581856</v>
      </c>
      <c r="DY84" s="276">
        <v>-9.9056949615252652</v>
      </c>
      <c r="DZ84" s="276">
        <v>-9.8546272642541908</v>
      </c>
      <c r="EA84" s="276">
        <v>-9.8037049611292133</v>
      </c>
      <c r="EB84" s="276">
        <v>-9.7529330849963127</v>
      </c>
      <c r="EC84" s="276">
        <v>-9.7023170497960987</v>
      </c>
      <c r="ED84" s="276">
        <v>-9.6518626780276193</v>
      </c>
      <c r="EE84" s="276">
        <v>-9.6015762247705165</v>
      </c>
      <c r="EF84" s="276">
        <v>-9.5514643974711024</v>
      </c>
      <c r="EG84" s="276">
        <v>-9.5015343706905409</v>
      </c>
      <c r="EH84" s="276">
        <v>-9.4517937950214357</v>
      </c>
      <c r="EI84" s="276">
        <v>-9.4022507994059694</v>
      </c>
      <c r="EJ84" s="276">
        <v>-9.3529139861341655</v>
      </c>
      <c r="EK84" s="276">
        <v>-9.303792417867621</v>
      </c>
      <c r="EL84" s="276">
        <v>-9.2548955961220187</v>
      </c>
      <c r="EM84" s="276">
        <v>-9.2062334307504567</v>
      </c>
      <c r="EN84" s="276">
        <v>-9.1578162000998198</v>
      </c>
      <c r="EO84" s="276">
        <v>-9.1096545016610406</v>
      </c>
      <c r="EP84" s="276">
        <v>-9.0617591932003343</v>
      </c>
      <c r="EQ84" s="276">
        <v>-9.0141413245388566</v>
      </c>
      <c r="ER84" s="276">
        <v>-8.9668120603392882</v>
      </c>
      <c r="ES84" s="276">
        <v>-8.9197825944556737</v>
      </c>
      <c r="ET84" s="276">
        <v>-8.8730640566022867</v>
      </c>
      <c r="EU84" s="276">
        <v>-8.826667412294622</v>
      </c>
      <c r="EV84" s="276">
        <v>-8.7806033572032067</v>
      </c>
      <c r="EW84" s="276">
        <v>-8.7348822072365842</v>
      </c>
      <c r="EX84" s="276">
        <v>-8.6895137858251292</v>
      </c>
      <c r="EY84" s="276">
        <v>-8.6445073100094731</v>
      </c>
      <c r="EZ84" s="276">
        <v>-8.5998712770404566</v>
      </c>
      <c r="FA84" s="276">
        <v>-8.5556133532680985</v>
      </c>
      <c r="FB84" s="276">
        <v>-8.5117402671310742</v>
      </c>
      <c r="FC84" s="276">
        <v>-8.4682577080538781</v>
      </c>
      <c r="FD84" s="276">
        <v>-8.4251702330139686</v>
      </c>
      <c r="FE84" s="276">
        <v>-8.382481182456031</v>
      </c>
      <c r="FF84" s="276">
        <v>-8.3401926071047807</v>
      </c>
      <c r="FG84" s="276">
        <v>-8.2983052070647361</v>
      </c>
      <c r="FH84" s="276">
        <v>-8.2568182843973066</v>
      </c>
      <c r="FI84" s="276">
        <v>-8.2157297101371434</v>
      </c>
      <c r="FJ84" s="272">
        <v>-8.1750359064565608</v>
      </c>
      <c r="FK84" s="272">
        <v>-8.1347318444146648</v>
      </c>
      <c r="FL84" s="272">
        <v>-8.0948110574444083</v>
      </c>
      <c r="FM84" s="272">
        <v>-8.0552656704429193</v>
      </c>
      <c r="FN84" s="272">
        <v>-8.0160864440456709</v>
      </c>
      <c r="FO84" s="272">
        <v>-7.9772628333911886</v>
      </c>
      <c r="FP84" s="272">
        <v>-7.938783060427113</v>
      </c>
      <c r="FQ84" s="272">
        <v>-7.9006341985760233</v>
      </c>
      <c r="FR84" s="272">
        <v>-7.8628022683773251</v>
      </c>
      <c r="FS84" s="272">
        <v>-7.825272342553351</v>
      </c>
      <c r="FT84" s="272">
        <v>-7.7880286588172636</v>
      </c>
      <c r="FU84" s="272">
        <v>-7.7510547386496498</v>
      </c>
      <c r="FV84" s="272">
        <v>-7.7143335102206079</v>
      </c>
      <c r="FW84" s="272">
        <v>-7.6778474336248781</v>
      </c>
      <c r="FX84" s="272">
        <v>-7.6415786266271173</v>
      </c>
      <c r="FY84" s="272">
        <v>-7.6055089891811427</v>
      </c>
      <c r="FZ84" s="272">
        <v>-7.5696203250870617</v>
      </c>
      <c r="GA84" s="272">
        <v>-7.5338944592800718</v>
      </c>
      <c r="GB84" s="272">
        <v>-7.4983133493989964</v>
      </c>
      <c r="GC84" s="272">
        <v>-7.46285919045736</v>
      </c>
    </row>
    <row r="85" spans="2:185" ht="15" thickBot="1" x14ac:dyDescent="0.4">
      <c r="B85" s="298">
        <v>79</v>
      </c>
      <c r="C85" s="275">
        <v>-10.716231593521879</v>
      </c>
      <c r="D85" s="275">
        <v>-10.673759634768</v>
      </c>
      <c r="E85" s="275">
        <v>-10.63114927881044</v>
      </c>
      <c r="F85" s="275">
        <v>-10.588399780660209</v>
      </c>
      <c r="G85" s="275">
        <v>-10.545510635438401</v>
      </c>
      <c r="H85" s="275">
        <v>-10.50248159634392</v>
      </c>
      <c r="I85" s="275">
        <v>-10.45931269256622</v>
      </c>
      <c r="J85" s="275">
        <v>-10.416004247001551</v>
      </c>
      <c r="K85" s="275">
        <v>-10.372556893622701</v>
      </c>
      <c r="L85" s="275">
        <v>-10.32897159434477</v>
      </c>
      <c r="M85" s="275">
        <v>-10.285249655224391</v>
      </c>
      <c r="N85" s="275">
        <v>-10.241392741826649</v>
      </c>
      <c r="O85" s="275">
        <v>-10.197402893593271</v>
      </c>
      <c r="P85" s="275">
        <v>-10.15328253704752</v>
      </c>
      <c r="Q85" s="275">
        <v>-10.109034497675889</v>
      </c>
      <c r="R85" s="275">
        <v>-10.06466201033408</v>
      </c>
      <c r="S85" s="275">
        <v>-10.020168728034941</v>
      </c>
      <c r="T85" s="275">
        <v>-9.9755587289888954</v>
      </c>
      <c r="U85" s="275">
        <v>-9.9308365217828563</v>
      </c>
      <c r="V85" s="275">
        <v>-9.8860070486011509</v>
      </c>
      <c r="W85" s="275">
        <v>-9.8410756864115019</v>
      </c>
      <c r="X85" s="275">
        <v>-9.7960482460601881</v>
      </c>
      <c r="Y85" s="275">
        <v>-9.7509309692425141</v>
      </c>
      <c r="Z85" s="275">
        <v>-9.7057305233371753</v>
      </c>
      <c r="AA85" s="275">
        <v>-9.6604539941156879</v>
      </c>
      <c r="AB85" s="275">
        <v>-9.6151088763599315</v>
      </c>
      <c r="AC85" s="275">
        <v>-9.5697030624414925</v>
      </c>
      <c r="AD85" s="275">
        <v>-9.5242448289358084</v>
      </c>
      <c r="AE85" s="275">
        <v>-9.4787428213608678</v>
      </c>
      <c r="AF85" s="275">
        <v>-9.4332060371448936</v>
      </c>
      <c r="AG85" s="275">
        <v>-9.3876438069389021</v>
      </c>
      <c r="AH85" s="275">
        <v>-9.3420657743986713</v>
      </c>
      <c r="AI85" s="275">
        <v>-9.2964818745660267</v>
      </c>
      <c r="AJ85" s="275">
        <v>-9.2509023109813242</v>
      </c>
      <c r="AK85" s="275">
        <v>-9.2053375316582073</v>
      </c>
      <c r="AL85" s="275">
        <v>-9.1597982040474868</v>
      </c>
      <c r="AM85" s="275">
        <v>-9.1142951891103596</v>
      </c>
      <c r="AN85" s="275">
        <v>-9.0688395146123177</v>
      </c>
      <c r="AO85" s="275">
        <v>-9.0234423477378982</v>
      </c>
      <c r="AP85" s="275">
        <v>-8.978114967114486</v>
      </c>
      <c r="AQ85" s="275">
        <v>-8.9328687343201132</v>
      </c>
      <c r="AR85" s="275">
        <v>-8.8877150649371934</v>
      </c>
      <c r="AS85" s="275">
        <v>-8.8426653992011595</v>
      </c>
      <c r="AT85" s="275">
        <v>-8.7977311722814662</v>
      </c>
      <c r="AU85" s="275">
        <v>-8.7529237842223448</v>
      </c>
      <c r="AV85" s="275">
        <v>-8.7082545695629197</v>
      </c>
      <c r="AW85" s="275">
        <v>-8.6637347666513627</v>
      </c>
      <c r="AX85" s="275">
        <v>-8.6193754866660477</v>
      </c>
      <c r="AY85" s="275">
        <v>-8.5751876823583864</v>
      </c>
      <c r="AZ85" s="275">
        <v>-8.5311821165377797</v>
      </c>
      <c r="BA85" s="275">
        <v>-8.4873693303285425</v>
      </c>
      <c r="BB85" s="275">
        <v>-8.4437596112422835</v>
      </c>
      <c r="BC85" s="275">
        <v>-8.4003629611263992</v>
      </c>
      <c r="BD85" s="275">
        <v>-8.3571890640699067</v>
      </c>
      <c r="BE85" s="275">
        <v>-8.3142472543716188</v>
      </c>
      <c r="BF85" s="275">
        <v>-8.2715464847013482</v>
      </c>
      <c r="BG85" s="275">
        <v>-8.2290952946122893</v>
      </c>
      <c r="BH85" s="275">
        <v>-8.1869017795907144</v>
      </c>
      <c r="BI85" s="275">
        <v>-8.1449735608563625</v>
      </c>
      <c r="BJ85" s="275">
        <v>-8.1033177561528618</v>
      </c>
      <c r="BK85" s="275">
        <v>-8.0619409517903353</v>
      </c>
      <c r="BL85" s="275">
        <v>-8.0208491762212031</v>
      </c>
      <c r="BM85" s="275">
        <v>-7.9800478754441224</v>
      </c>
      <c r="BN85" s="275">
        <v>-7.9395418905381296</v>
      </c>
      <c r="BO85" s="275">
        <v>-7.899335437629655</v>
      </c>
      <c r="BP85" s="275">
        <v>-7.8594320905875206</v>
      </c>
      <c r="BQ85" s="275">
        <v>-7.8198347667252319</v>
      </c>
      <c r="BR85" s="275">
        <v>-7.7805457157660021</v>
      </c>
      <c r="BS85" s="275">
        <v>-7.7415665122937742</v>
      </c>
      <c r="BT85" s="275">
        <v>-7.7028980518737917</v>
      </c>
      <c r="BU85" s="275">
        <v>-7.6645405509800177</v>
      </c>
      <c r="BV85" s="275">
        <v>-7.6264935508150353</v>
      </c>
      <c r="BW85" s="275">
        <v>-7.5887559250522774</v>
      </c>
      <c r="BX85" s="275">
        <v>-7.5513258914724704</v>
      </c>
      <c r="BY85" s="275">
        <v>-7.514201027407716</v>
      </c>
      <c r="BZ85" s="275">
        <v>-7.4773782888492191</v>
      </c>
      <c r="CA85" s="275">
        <v>-7.4408540330206128</v>
      </c>
      <c r="CB85" s="275">
        <v>-7.404624044169017</v>
      </c>
      <c r="CC85" s="275">
        <v>-7.3686835622825297</v>
      </c>
      <c r="CD85" s="275">
        <v>-7.3330273144062534</v>
      </c>
      <c r="CE85" s="275">
        <v>-7.2976495482005204</v>
      </c>
      <c r="CF85" s="275">
        <v>-7.2625440673648196</v>
      </c>
      <c r="CG85" s="275">
        <v>-7.2277042685393607</v>
      </c>
      <c r="CH85" s="275">
        <v>-7.1931231792928907</v>
      </c>
      <c r="CI85" s="275">
        <v>-7.1587934968100786</v>
      </c>
      <c r="CJ85" s="275">
        <v>-7.1247076269034224</v>
      </c>
      <c r="CK85" s="275">
        <v>-7.0908577229926282</v>
      </c>
      <c r="CL85" s="275">
        <v>-7.0572357247174713</v>
      </c>
      <c r="CM85" s="275">
        <v>-7.0238333958775803</v>
      </c>
      <c r="CN85" s="275">
        <v>-6.9906423614224709</v>
      </c>
      <c r="CO85" s="275">
        <v>-6.9576541432477761</v>
      </c>
      <c r="CP85" s="275"/>
      <c r="CQ85" s="276">
        <v>-11.934872172034471</v>
      </c>
      <c r="CR85" s="276">
        <v>-11.88101966184642</v>
      </c>
      <c r="CS85" s="276">
        <v>-11.827195478254639</v>
      </c>
      <c r="CT85" s="276">
        <v>-11.77340323014665</v>
      </c>
      <c r="CU85" s="276">
        <v>-11.719646554804759</v>
      </c>
      <c r="CV85" s="276">
        <v>-11.66592910893015</v>
      </c>
      <c r="CW85" s="276">
        <v>-11.612254559535289</v>
      </c>
      <c r="CX85" s="276">
        <v>-11.558626574820879</v>
      </c>
      <c r="CY85" s="276">
        <v>-11.505048815165949</v>
      </c>
      <c r="CZ85" s="276">
        <v>-11.451524924371199</v>
      </c>
      <c r="DA85" s="276">
        <v>-11.39805852130671</v>
      </c>
      <c r="DB85" s="276">
        <v>-11.3446531921239</v>
      </c>
      <c r="DC85" s="276">
        <v>-11.291312483199089</v>
      </c>
      <c r="DD85" s="276">
        <v>-11.238039894982091</v>
      </c>
      <c r="DE85" s="276">
        <v>-11.184838876925539</v>
      </c>
      <c r="DF85" s="276">
        <v>-11.13171282367213</v>
      </c>
      <c r="DG85" s="276">
        <v>-11.078665072674101</v>
      </c>
      <c r="DH85" s="276">
        <v>-11.025698903414121</v>
      </c>
      <c r="DI85" s="276">
        <v>-10.972817538388369</v>
      </c>
      <c r="DJ85" s="276">
        <v>-10.920024146000239</v>
      </c>
      <c r="DK85" s="276">
        <v>-10.867321845497599</v>
      </c>
      <c r="DL85" s="276">
        <v>-10.814713714067191</v>
      </c>
      <c r="DM85" s="276">
        <v>-10.762202796176711</v>
      </c>
      <c r="DN85" s="276">
        <v>-10.7097921152283</v>
      </c>
      <c r="DO85" s="276">
        <v>-10.65748468755638</v>
      </c>
      <c r="DP85" s="276">
        <v>-10.60528353876858</v>
      </c>
      <c r="DQ85" s="276">
        <v>-10.553191722390491</v>
      </c>
      <c r="DR85" s="276">
        <v>-10.501212340733421</v>
      </c>
      <c r="DS85" s="276">
        <v>-10.4493485678596</v>
      </c>
      <c r="DT85" s="276">
        <v>-10.397603674471579</v>
      </c>
      <c r="DU85" s="276">
        <v>-10.34598105450217</v>
      </c>
      <c r="DV85" s="276">
        <v>-10.29448425312847</v>
      </c>
      <c r="DW85" s="276">
        <v>-10.24311699588017</v>
      </c>
      <c r="DX85" s="276">
        <v>-10.191883218456571</v>
      </c>
      <c r="DY85" s="276">
        <v>-10.14078709681297</v>
      </c>
      <c r="DZ85" s="276">
        <v>-10.089833077023201</v>
      </c>
      <c r="EA85" s="276">
        <v>-10.039025904374251</v>
      </c>
      <c r="EB85" s="276">
        <v>-9.9883706511024233</v>
      </c>
      <c r="EC85" s="276">
        <v>-9.9378727421384987</v>
      </c>
      <c r="ED85" s="276">
        <v>-9.8875379781960593</v>
      </c>
      <c r="EE85" s="276">
        <v>-9.8373725555117062</v>
      </c>
      <c r="EF85" s="276">
        <v>-9.7873830815322371</v>
      </c>
      <c r="EG85" s="276">
        <v>-9.7375765858425112</v>
      </c>
      <c r="EH85" s="276">
        <v>-9.6879605256409373</v>
      </c>
      <c r="EI85" s="276">
        <v>-9.6385427850989682</v>
      </c>
      <c r="EJ85" s="276">
        <v>-9.5893316679868228</v>
      </c>
      <c r="EK85" s="276">
        <v>-9.5403358830123839</v>
      </c>
      <c r="EL85" s="276">
        <v>-9.4915645214024842</v>
      </c>
      <c r="EM85" s="276">
        <v>-9.4430270263567522</v>
      </c>
      <c r="EN85" s="276">
        <v>-9.3947331541222479</v>
      </c>
      <c r="EO85" s="276">
        <v>-9.3466929265715972</v>
      </c>
      <c r="EP85" s="276">
        <v>-9.2989165753157792</v>
      </c>
      <c r="EQ85" s="276">
        <v>-9.25141447754274</v>
      </c>
      <c r="ER85" s="276">
        <v>-9.20419708394164</v>
      </c>
      <c r="ES85" s="276">
        <v>-9.1572748392461847</v>
      </c>
      <c r="ET85" s="276">
        <v>-9.1106580961044727</v>
      </c>
      <c r="EU85" s="276">
        <v>-9.0643570231538</v>
      </c>
      <c r="EV85" s="276">
        <v>-9.0183815083417844</v>
      </c>
      <c r="EW85" s="276">
        <v>-8.9727410586848073</v>
      </c>
      <c r="EX85" s="276">
        <v>-8.92744469778855</v>
      </c>
      <c r="EY85" s="276">
        <v>-8.8825008625660065</v>
      </c>
      <c r="EZ85" s="276">
        <v>-8.8379173006751088</v>
      </c>
      <c r="FA85" s="276">
        <v>-8.7937009702552071</v>
      </c>
      <c r="FB85" s="276">
        <v>-8.7498579435668766</v>
      </c>
      <c r="FC85" s="276">
        <v>-8.706393316131674</v>
      </c>
      <c r="FD85" s="276">
        <v>-8.6633111229252098</v>
      </c>
      <c r="FE85" s="276">
        <v>-8.6206142630986609</v>
      </c>
      <c r="FF85" s="276">
        <v>-8.5783044345909492</v>
      </c>
      <c r="FG85" s="276">
        <v>-8.5363820798491385</v>
      </c>
      <c r="FH85" s="276">
        <v>-8.4948463436987733</v>
      </c>
      <c r="FI85" s="276">
        <v>-8.4536950442058352</v>
      </c>
      <c r="FJ85" s="272">
        <v>-8.4129246571491372</v>
      </c>
      <c r="FK85" s="272">
        <v>-8.3725303144839902</v>
      </c>
      <c r="FL85" s="272">
        <v>-8.3325058169304427</v>
      </c>
      <c r="FM85" s="272">
        <v>-8.2928436605668683</v>
      </c>
      <c r="FN85" s="272">
        <v>-8.253535077061585</v>
      </c>
      <c r="FO85" s="272">
        <v>-8.2145700869348826</v>
      </c>
      <c r="FP85" s="272">
        <v>-8.175937565019531</v>
      </c>
      <c r="FQ85" s="272">
        <v>-8.1376253170835042</v>
      </c>
      <c r="FR85" s="272">
        <v>-8.0996201664002747</v>
      </c>
      <c r="FS85" s="272">
        <v>-8.0619080489024686</v>
      </c>
      <c r="FT85" s="272">
        <v>-8.0244741154376005</v>
      </c>
      <c r="FU85" s="272">
        <v>-7.9873028395621146</v>
      </c>
      <c r="FV85" s="272">
        <v>-7.9503781292618223</v>
      </c>
      <c r="FW85" s="272">
        <v>-7.9136834409751602</v>
      </c>
      <c r="FX85" s="272">
        <v>-7.8772018943166904</v>
      </c>
      <c r="FY85" s="272">
        <v>-7.8409163859526334</v>
      </c>
      <c r="FZ85" s="272">
        <v>-7.8048097011634363</v>
      </c>
      <c r="GA85" s="272">
        <v>-7.7688646217380626</v>
      </c>
      <c r="GB85" s="272">
        <v>-7.733064028975952</v>
      </c>
      <c r="GC85" s="272">
        <v>-7.6973910007228019</v>
      </c>
    </row>
    <row r="86" spans="2:185" ht="15" thickBot="1" x14ac:dyDescent="0.4">
      <c r="B86" s="298">
        <v>80</v>
      </c>
      <c r="C86" s="275">
        <v>-10.928558970396899</v>
      </c>
      <c r="D86" s="275">
        <v>-10.88608585660894</v>
      </c>
      <c r="E86" s="275">
        <v>-10.843477537291641</v>
      </c>
      <c r="F86" s="275">
        <v>-10.80073342244542</v>
      </c>
      <c r="G86" s="275">
        <v>-10.75785315819132</v>
      </c>
      <c r="H86" s="275">
        <v>-10.714836643582959</v>
      </c>
      <c r="I86" s="275">
        <v>-10.671684047321341</v>
      </c>
      <c r="J86" s="275">
        <v>-10.628395824241849</v>
      </c>
      <c r="K86" s="275">
        <v>-10.58497273143522</v>
      </c>
      <c r="L86" s="275">
        <v>-10.54141584385841</v>
      </c>
      <c r="M86" s="275">
        <v>-10.497726569286961</v>
      </c>
      <c r="N86" s="275">
        <v>-10.453906662458319</v>
      </c>
      <c r="O86" s="275">
        <v>-10.40995823825533</v>
      </c>
      <c r="P86" s="275">
        <v>-10.36588378378117</v>
      </c>
      <c r="Q86" s="275">
        <v>-10.321686169181829</v>
      </c>
      <c r="R86" s="275">
        <v>-10.277368657078719</v>
      </c>
      <c r="S86" s="275">
        <v>-10.23293491048374</v>
      </c>
      <c r="T86" s="275">
        <v>-10.188388999080511</v>
      </c>
      <c r="U86" s="275">
        <v>-10.143735403769471</v>
      </c>
      <c r="V86" s="275">
        <v>-10.098979019390111</v>
      </c>
      <c r="W86" s="275">
        <v>-10.05412515555083</v>
      </c>
      <c r="X86" s="275">
        <v>-10.009179535515919</v>
      </c>
      <c r="Y86" s="275">
        <v>-9.9641482931179102</v>
      </c>
      <c r="Z86" s="275">
        <v>-9.9190379676840834</v>
      </c>
      <c r="AA86" s="275">
        <v>-9.873855496985124</v>
      </c>
      <c r="AB86" s="275">
        <v>-9.8286082082336019</v>
      </c>
      <c r="AC86" s="275">
        <v>-9.7833038071780223</v>
      </c>
      <c r="AD86" s="275">
        <v>-9.7379503653551094</v>
      </c>
      <c r="AE86" s="275">
        <v>-9.6925563055780533</v>
      </c>
      <c r="AF86" s="275">
        <v>-9.6471303857514741</v>
      </c>
      <c r="AG86" s="275">
        <v>-9.6016816811141474</v>
      </c>
      <c r="AH86" s="275">
        <v>-9.5562195650186457</v>
      </c>
      <c r="AI86" s="275">
        <v>-9.5107536883620778</v>
      </c>
      <c r="AJ86" s="275">
        <v>-9.4652939577846169</v>
      </c>
      <c r="AK86" s="275">
        <v>-9.4198505127521504</v>
      </c>
      <c r="AL86" s="275">
        <v>-9.3744337016367929</v>
      </c>
      <c r="AM86" s="275">
        <v>-9.3290540569037557</v>
      </c>
      <c r="AN86" s="275">
        <v>-9.2837222695061605</v>
      </c>
      <c r="AO86" s="275">
        <v>-9.2384491625808618</v>
      </c>
      <c r="AP86" s="275">
        <v>-9.1932456645284155</v>
      </c>
      <c r="AQ86" s="275">
        <v>-9.1481227815502262</v>
      </c>
      <c r="AR86" s="275">
        <v>-9.1030915697052226</v>
      </c>
      <c r="AS86" s="275">
        <v>-9.0581631065383768</v>
      </c>
      <c r="AT86" s="275">
        <v>-9.0133484623242861</v>
      </c>
      <c r="AU86" s="275">
        <v>-8.9686586709612612</v>
      </c>
      <c r="AV86" s="275">
        <v>-8.9241047005456995</v>
      </c>
      <c r="AW86" s="275">
        <v>-8.8796974236529795</v>
      </c>
      <c r="AX86" s="275">
        <v>-8.8354475873506129</v>
      </c>
      <c r="AY86" s="275">
        <v>-8.7913657829716172</v>
      </c>
      <c r="AZ86" s="275">
        <v>-8.7474624156816425</v>
      </c>
      <c r="BA86" s="275">
        <v>-8.703747673882317</v>
      </c>
      <c r="BB86" s="275">
        <v>-8.6602314985051372</v>
      </c>
      <c r="BC86" s="275">
        <v>-8.6169235522655736</v>
      </c>
      <c r="BD86" s="275">
        <v>-8.5738331889648354</v>
      </c>
      <c r="BE86" s="275">
        <v>-8.5309694229468871</v>
      </c>
      <c r="BF86" s="275">
        <v>-8.4883408988405389</v>
      </c>
      <c r="BG86" s="275">
        <v>-8.4459558617389536</v>
      </c>
      <c r="BH86" s="275">
        <v>-8.4038221279926901</v>
      </c>
      <c r="BI86" s="275">
        <v>-8.3619470568145768</v>
      </c>
      <c r="BJ86" s="275">
        <v>-8.3203375229156933</v>
      </c>
      <c r="BK86" s="275">
        <v>-8.2789998904101658</v>
      </c>
      <c r="BL86" s="275">
        <v>-8.2379399882410311</v>
      </c>
      <c r="BM86" s="275">
        <v>-8.1971630873894856</v>
      </c>
      <c r="BN86" s="275">
        <v>-8.1566738801344822</v>
      </c>
      <c r="BO86" s="275">
        <v>-8.1164764616283342</v>
      </c>
      <c r="BP86" s="275">
        <v>-8.0765743140455246</v>
      </c>
      <c r="BQ86" s="275">
        <v>-8.0369702935471494</v>
      </c>
      <c r="BR86" s="275">
        <v>-7.997666620281092</v>
      </c>
      <c r="BS86" s="275">
        <v>-7.9586648716091926</v>
      </c>
      <c r="BT86" s="275">
        <v>-7.9199659787176024</v>
      </c>
      <c r="BU86" s="275">
        <v>-7.8815702267255654</v>
      </c>
      <c r="BV86" s="275">
        <v>-7.8434772583630394</v>
      </c>
      <c r="BW86" s="275">
        <v>-7.8056860812386768</v>
      </c>
      <c r="BX86" s="275">
        <v>-7.768195078669768</v>
      </c>
      <c r="BY86" s="275">
        <v>-7.7310020239945603</v>
      </c>
      <c r="BZ86" s="275">
        <v>-7.694104098238058</v>
      </c>
      <c r="CA86" s="275">
        <v>-7.6574979109547403</v>
      </c>
      <c r="CB86" s="275">
        <v>-7.621179524028836</v>
      </c>
      <c r="CC86" s="275">
        <v>-7.5851444781740973</v>
      </c>
      <c r="CD86" s="275">
        <v>-7.5493878218427808</v>
      </c>
      <c r="CE86" s="275">
        <v>-7.5139041422281414</v>
      </c>
      <c r="CF86" s="275">
        <v>-7.478687598025811</v>
      </c>
      <c r="CG86" s="275">
        <v>-7.4437319536084523</v>
      </c>
      <c r="CH86" s="275">
        <v>-7.4090306142637399</v>
      </c>
      <c r="CI86" s="275">
        <v>-7.3745766621484172</v>
      </c>
      <c r="CJ86" s="275">
        <v>-7.340362892619817</v>
      </c>
      <c r="CK86" s="275">
        <v>-7.3063818506209053</v>
      </c>
      <c r="CL86" s="275">
        <v>-7.2726258668133568</v>
      </c>
      <c r="CM86" s="275">
        <v>-7.239087093176547</v>
      </c>
      <c r="CN86" s="275">
        <v>-7.2057575378154652</v>
      </c>
      <c r="CO86" s="275">
        <v>-7.1726290987483692</v>
      </c>
      <c r="CP86" s="275"/>
      <c r="CQ86" s="276">
        <v>-12.16646709649444</v>
      </c>
      <c r="CR86" s="276">
        <v>-12.11271157033346</v>
      </c>
      <c r="CS86" s="276">
        <v>-12.058985353509531</v>
      </c>
      <c r="CT86" s="276">
        <v>-12.00529196602951</v>
      </c>
      <c r="CU86" s="276">
        <v>-11.95163495549955</v>
      </c>
      <c r="CV86" s="276">
        <v>-11.89801788897932</v>
      </c>
      <c r="CW86" s="276">
        <v>-11.844444344763721</v>
      </c>
      <c r="CX86" s="276">
        <v>-11.790917904200001</v>
      </c>
      <c r="CY86" s="276">
        <v>-11.73744214365985</v>
      </c>
      <c r="CZ86" s="276">
        <v>-11.684020626795419</v>
      </c>
      <c r="DA86" s="276">
        <v>-11.630656897217021</v>
      </c>
      <c r="DB86" s="276">
        <v>-11.577354471737969</v>
      </c>
      <c r="DC86" s="276">
        <v>-11.52411683433793</v>
      </c>
      <c r="DD86" s="276">
        <v>-11.470947430999839</v>
      </c>
      <c r="DE86" s="276">
        <v>-11.41784966557778</v>
      </c>
      <c r="DF86" s="276">
        <v>-11.364826896852311</v>
      </c>
      <c r="DG86" s="276">
        <v>-11.31188243692662</v>
      </c>
      <c r="DH86" s="276">
        <v>-11.259019551111461</v>
      </c>
      <c r="DI86" s="276">
        <v>-11.206241459436759</v>
      </c>
      <c r="DJ86" s="276">
        <v>-11.153551339917019</v>
      </c>
      <c r="DK86" s="276">
        <v>-11.100952333681301</v>
      </c>
      <c r="DL86" s="276">
        <v>-11.048447552060191</v>
      </c>
      <c r="DM86" s="276">
        <v>-10.996040085700271</v>
      </c>
      <c r="DN86" s="276">
        <v>-10.94373301575088</v>
      </c>
      <c r="DO86" s="276">
        <v>-10.89152942713921</v>
      </c>
      <c r="DP86" s="276">
        <v>-10.83943242391771</v>
      </c>
      <c r="DQ86" s="276">
        <v>-10.7874451466324</v>
      </c>
      <c r="DR86" s="276">
        <v>-10.73557079162252</v>
      </c>
      <c r="DS86" s="276">
        <v>-10.683812632120601</v>
      </c>
      <c r="DT86" s="276">
        <v>-10.63217404097891</v>
      </c>
      <c r="DU86" s="276">
        <v>-10.580658514802259</v>
      </c>
      <c r="DV86" s="276">
        <v>-10.52926969922042</v>
      </c>
      <c r="DW86" s="276">
        <v>-10.478011414984911</v>
      </c>
      <c r="DX86" s="276">
        <v>-10.426887684526861</v>
      </c>
      <c r="DY86" s="276">
        <v>-10.3759027585651</v>
      </c>
      <c r="DZ86" s="276">
        <v>-10.325061142307369</v>
      </c>
      <c r="EA86" s="276">
        <v>-10.27436762074487</v>
      </c>
      <c r="EB86" s="276">
        <v>-10.223827282500761</v>
      </c>
      <c r="EC86" s="276">
        <v>-10.17344554166052</v>
      </c>
      <c r="ED86" s="276">
        <v>-10.123228156985</v>
      </c>
      <c r="EE86" s="276">
        <v>-10.073181247889281</v>
      </c>
      <c r="EF86" s="276">
        <v>-10.02331130656297</v>
      </c>
      <c r="EG86" s="276">
        <v>-9.9736252056107144</v>
      </c>
      <c r="EH86" s="276">
        <v>-9.924130200609147</v>
      </c>
      <c r="EI86" s="276">
        <v>-9.874833927006712</v>
      </c>
      <c r="EJ86" s="276">
        <v>-9.8257443908390272</v>
      </c>
      <c r="EK86" s="276">
        <v>-9.7768699527938416</v>
      </c>
      <c r="EL86" s="276">
        <v>-9.7282193052368466</v>
      </c>
      <c r="EM86" s="276">
        <v>-9.6798014419021978</v>
      </c>
      <c r="EN86" s="276">
        <v>-9.6316256200596584</v>
      </c>
      <c r="EO86" s="276">
        <v>-9.5837013150905239</v>
      </c>
      <c r="EP86" s="276">
        <v>-9.5360381675377646</v>
      </c>
      <c r="EQ86" s="276">
        <v>-9.4886459228377475</v>
      </c>
      <c r="ER86" s="276">
        <v>-9.4415343640894154</v>
      </c>
      <c r="ES86" s="276">
        <v>-9.3947132383693521</v>
      </c>
      <c r="ET86" s="276">
        <v>-9.3481921772530967</v>
      </c>
      <c r="EU86" s="276">
        <v>-9.3019806123513273</v>
      </c>
      <c r="EV86" s="276">
        <v>-9.256087686810508</v>
      </c>
      <c r="EW86" s="276">
        <v>-9.2105221638562611</v>
      </c>
      <c r="EX86" s="276">
        <v>-9.1652923335711733</v>
      </c>
      <c r="EY86" s="276">
        <v>-9.1204059191931535</v>
      </c>
      <c r="EZ86" s="276">
        <v>-9.0758699842920691</v>
      </c>
      <c r="FA86" s="276">
        <v>-9.0316908422287252</v>
      </c>
      <c r="FB86" s="276">
        <v>-8.9878739693187466</v>
      </c>
      <c r="FC86" s="276">
        <v>-8.944423923113165</v>
      </c>
      <c r="FD86" s="276">
        <v>-8.901344267166273</v>
      </c>
      <c r="FE86" s="276">
        <v>-8.8586375035898222</v>
      </c>
      <c r="FF86" s="276">
        <v>-8.8163050145912454</v>
      </c>
      <c r="FG86" s="276">
        <v>-8.7743470140642366</v>
      </c>
      <c r="FH86" s="276">
        <v>-8.7327625101457844</v>
      </c>
      <c r="FI86" s="276">
        <v>-8.6915492794758045</v>
      </c>
      <c r="FJ86" s="272">
        <v>-8.6507038537012217</v>
      </c>
      <c r="FK86" s="272">
        <v>-8.6102215185569655</v>
      </c>
      <c r="FL86" s="272">
        <v>-8.5700963256393283</v>
      </c>
      <c r="FM86" s="272">
        <v>-8.5303211167668227</v>
      </c>
      <c r="FN86" s="272">
        <v>-8.49088756060568</v>
      </c>
      <c r="FO86" s="272">
        <v>-8.4517862010265432</v>
      </c>
      <c r="FP86" s="272">
        <v>-8.4130065164624952</v>
      </c>
      <c r="FQ86" s="272">
        <v>-8.3745369893579529</v>
      </c>
      <c r="FR86" s="272">
        <v>-8.3363651846406182</v>
      </c>
      <c r="FS86" s="272">
        <v>-8.2984778360158629</v>
      </c>
      <c r="FT86" s="272">
        <v>-8.2608609387776006</v>
      </c>
      <c r="FU86" s="272">
        <v>-8.2234998477547663</v>
      </c>
      <c r="FV86" s="272">
        <v>-8.1863793789672066</v>
      </c>
      <c r="FW86" s="272">
        <v>-8.1494839135504229</v>
      </c>
      <c r="FX86" s="272">
        <v>-8.112797502523927</v>
      </c>
      <c r="FY86" s="272">
        <v>-8.076303971021531</v>
      </c>
      <c r="FZ86" s="272">
        <v>-8.039987020670603</v>
      </c>
      <c r="GA86" s="272">
        <v>-8.0038303289007491</v>
      </c>
      <c r="GB86" s="272">
        <v>-7.9678176440734561</v>
      </c>
      <c r="GC86" s="272">
        <v>-7.9319328754533638</v>
      </c>
    </row>
    <row r="87" spans="2:185" ht="15" thickBot="1" x14ac:dyDescent="0.4">
      <c r="B87" s="298">
        <v>81</v>
      </c>
      <c r="C87" s="275">
        <v>-11.140881717607289</v>
      </c>
      <c r="D87" s="275">
        <v>-11.09840944623947</v>
      </c>
      <c r="E87" s="275">
        <v>-11.05580513005112</v>
      </c>
      <c r="F87" s="275">
        <v>-11.01306832477499</v>
      </c>
      <c r="G87" s="275">
        <v>-10.9701988180742</v>
      </c>
      <c r="H87" s="275">
        <v>-10.92719664527163</v>
      </c>
      <c r="I87" s="275">
        <v>-10.88406210494705</v>
      </c>
      <c r="J87" s="275">
        <v>-10.840795774281061</v>
      </c>
      <c r="K87" s="275">
        <v>-10.79739852401841</v>
      </c>
      <c r="L87" s="275">
        <v>-10.75387153291901</v>
      </c>
      <c r="M87" s="275">
        <v>-10.71021630156079</v>
      </c>
      <c r="N87" s="275">
        <v>-10.66643466535761</v>
      </c>
      <c r="O87" s="275">
        <v>-10.6225288066553</v>
      </c>
      <c r="P87" s="275">
        <v>-10.578501265771431</v>
      </c>
      <c r="Q87" s="275">
        <v>-10.534354950848559</v>
      </c>
      <c r="R87" s="275">
        <v>-10.49009314639739</v>
      </c>
      <c r="S87" s="275">
        <v>-10.4457195204147</v>
      </c>
      <c r="T87" s="275">
        <v>-10.401238129971439</v>
      </c>
      <c r="U87" s="275">
        <v>-10.35665342517882</v>
      </c>
      <c r="V87" s="275">
        <v>-10.3119702514543</v>
      </c>
      <c r="W87" s="275">
        <v>-10.267193850024549</v>
      </c>
      <c r="X87" s="275">
        <v>-10.22232985661917</v>
      </c>
      <c r="Y87" s="275">
        <v>-10.17738429832599</v>
      </c>
      <c r="Z87" s="275">
        <v>-10.13236358859619</v>
      </c>
      <c r="AA87" s="275">
        <v>-10.087274520405339</v>
      </c>
      <c r="AB87" s="275">
        <v>-10.04212425759285</v>
      </c>
      <c r="AC87" s="275">
        <v>-9.9969203244191274</v>
      </c>
      <c r="AD87" s="275">
        <v>-9.9516705933942262</v>
      </c>
      <c r="AE87" s="275">
        <v>-9.906383271445554</v>
      </c>
      <c r="AF87" s="275">
        <v>-9.8610668845033711</v>
      </c>
      <c r="AG87" s="275">
        <v>-9.8157302605928969</v>
      </c>
      <c r="AH87" s="275">
        <v>-9.7703825115286413</v>
      </c>
      <c r="AI87" s="275">
        <v>-9.7250330133118883</v>
      </c>
      <c r="AJ87" s="275">
        <v>-9.6796913853348556</v>
      </c>
      <c r="AK87" s="275">
        <v>-9.6343674684954497</v>
      </c>
      <c r="AL87" s="275">
        <v>-9.589071302324772</v>
      </c>
      <c r="AM87" s="275">
        <v>-9.5438131012259699</v>
      </c>
      <c r="AN87" s="275">
        <v>-9.4986032299176699</v>
      </c>
      <c r="AO87" s="275">
        <v>-9.4534521781684404</v>
      </c>
      <c r="AP87" s="275">
        <v>-9.4083705349014952</v>
      </c>
      <c r="AQ87" s="275">
        <v>-9.3633689617403668</v>
      </c>
      <c r="AR87" s="275">
        <v>-9.3184581660582069</v>
      </c>
      <c r="AS87" s="275">
        <v>-9.2736488735856408</v>
      </c>
      <c r="AT87" s="275">
        <v>-9.2289518006248237</v>
      </c>
      <c r="AU87" s="275">
        <v>-9.184377625911754</v>
      </c>
      <c r="AV87" s="275">
        <v>-9.139936962164656</v>
      </c>
      <c r="AW87" s="275">
        <v>-9.0956403273540758</v>
      </c>
      <c r="AX87" s="275">
        <v>-9.0514981157306256</v>
      </c>
      <c r="AY87" s="275">
        <v>-9.007520568648852</v>
      </c>
      <c r="AZ87" s="275">
        <v>-8.9637177452311683</v>
      </c>
      <c r="BA87" s="275">
        <v>-8.9200994929238817</v>
      </c>
      <c r="BB87" s="275">
        <v>-8.8766754180080234</v>
      </c>
      <c r="BC87" s="275">
        <v>-8.8334548561409534</v>
      </c>
      <c r="BD87" s="275">
        <v>-8.7904468430202698</v>
      </c>
      <c r="BE87" s="275">
        <v>-8.747660085278584</v>
      </c>
      <c r="BF87" s="275">
        <v>-8.7051029317364801</v>
      </c>
      <c r="BG87" s="275">
        <v>-8.6627833451601539</v>
      </c>
      <c r="BH87" s="275">
        <v>-8.6207088746894716</v>
      </c>
      <c r="BI87" s="275">
        <v>-8.5788866291206194</v>
      </c>
      <c r="BJ87" s="275">
        <v>-8.5373232512445245</v>
      </c>
      <c r="BK87" s="275">
        <v>-8.4960248934564451</v>
      </c>
      <c r="BL87" s="275">
        <v>-8.4549971948635871</v>
      </c>
      <c r="BM87" s="275">
        <v>-8.4142452601245008</v>
      </c>
      <c r="BN87" s="275">
        <v>-8.3737736402567222</v>
      </c>
      <c r="BO87" s="275">
        <v>-8.3335863156460679</v>
      </c>
      <c r="BP87" s="275">
        <v>-8.2936866814826011</v>
      </c>
      <c r="BQ87" s="275">
        <v>-8.2540775358339378</v>
      </c>
      <c r="BR87" s="275">
        <v>-8.2147610705459844</v>
      </c>
      <c r="BS87" s="275">
        <v>-8.175738865135477</v>
      </c>
      <c r="BT87" s="275">
        <v>-8.1370118838071654</v>
      </c>
      <c r="BU87" s="275">
        <v>-8.0985804756927315</v>
      </c>
      <c r="BV87" s="275">
        <v>-8.0604443783689206</v>
      </c>
      <c r="BW87" s="275">
        <v>-8.0226027246699552</v>
      </c>
      <c r="BX87" s="275">
        <v>-7.9850540527654976</v>
      </c>
      <c r="BY87" s="275">
        <v>-7.9477963194312924</v>
      </c>
      <c r="BZ87" s="275">
        <v>-7.9108269163960951</v>
      </c>
      <c r="CA87" s="275">
        <v>-7.8741426896075266</v>
      </c>
      <c r="CB87" s="275">
        <v>-7.8377399612215104</v>
      </c>
      <c r="CC87" s="275">
        <v>-7.801614554086151</v>
      </c>
      <c r="CD87" s="275">
        <v>-7.765761818462269</v>
      </c>
      <c r="CE87" s="275">
        <v>-7.7301766606998346</v>
      </c>
      <c r="CF87" s="275">
        <v>-7.6948535735723462</v>
      </c>
      <c r="CG87" s="275">
        <v>-7.6597866679604376</v>
      </c>
      <c r="CH87" s="275">
        <v>-7.6249697055712469</v>
      </c>
      <c r="CI87" s="275">
        <v>-7.5903961323811009</v>
      </c>
      <c r="CJ87" s="275">
        <v>-7.5560591124956273</v>
      </c>
      <c r="CK87" s="275">
        <v>-7.5219515621328261</v>
      </c>
      <c r="CL87" s="275">
        <v>-7.4880661834500657</v>
      </c>
      <c r="CM87" s="275">
        <v>-7.4543954979552192</v>
      </c>
      <c r="CN87" s="275">
        <v>-7.4209318792635566</v>
      </c>
      <c r="CO87" s="275">
        <v>-7.3876675849860547</v>
      </c>
      <c r="CP87" s="275"/>
      <c r="CQ87" s="276">
        <v>-12.39811337706864</v>
      </c>
      <c r="CR87" s="276">
        <v>-12.34445375662041</v>
      </c>
      <c r="CS87" s="276">
        <v>-12.290824400035129</v>
      </c>
      <c r="CT87" s="276">
        <v>-12.237228744283311</v>
      </c>
      <c r="CU87" s="276">
        <v>-12.183670253428289</v>
      </c>
      <c r="CV87" s="276">
        <v>-12.13015241124744</v>
      </c>
      <c r="CW87" s="276">
        <v>-12.07667871382974</v>
      </c>
      <c r="CX87" s="276">
        <v>-12.023252662250711</v>
      </c>
      <c r="CY87" s="276">
        <v>-11.96987775543449</v>
      </c>
      <c r="CZ87" s="276">
        <v>-11.916557483321521</v>
      </c>
      <c r="DA87" s="276">
        <v>-11.86329532046792</v>
      </c>
      <c r="DB87" s="276">
        <v>-11.81009472020753</v>
      </c>
      <c r="DC87" s="276">
        <v>-11.756959109513661</v>
      </c>
      <c r="DD87" s="276">
        <v>-11.703891884698839</v>
      </c>
      <c r="DE87" s="276">
        <v>-11.65089640809293</v>
      </c>
      <c r="DF87" s="276">
        <v>-11.59797600583723</v>
      </c>
      <c r="DG87" s="276">
        <v>-11.54513396692967</v>
      </c>
      <c r="DH87" s="276">
        <v>-11.49237354364868</v>
      </c>
      <c r="DI87" s="276">
        <v>-11.439697953474489</v>
      </c>
      <c r="DJ87" s="276">
        <v>-11.38711038261515</v>
      </c>
      <c r="DK87" s="276">
        <v>-11.334613991228609</v>
      </c>
      <c r="DL87" s="276">
        <v>-11.282211920414939</v>
      </c>
      <c r="DM87" s="276">
        <v>-11.2299073010316</v>
      </c>
      <c r="DN87" s="276">
        <v>-11.177703264360369</v>
      </c>
      <c r="DO87" s="276">
        <v>-11.125602954627871</v>
      </c>
      <c r="DP87" s="276">
        <v>-11.073609543351489</v>
      </c>
      <c r="DQ87" s="276">
        <v>-11.0217262454498</v>
      </c>
      <c r="DR87" s="276">
        <v>-10.96995633702163</v>
      </c>
      <c r="DS87" s="276">
        <v>-10.918303174660251</v>
      </c>
      <c r="DT87" s="276">
        <v>-10.86677021612938</v>
      </c>
      <c r="DU87" s="276">
        <v>-10.815361042187311</v>
      </c>
      <c r="DV87" s="276">
        <v>-10.76407937930257</v>
      </c>
      <c r="DW87" s="276">
        <v>-10.7129291229627</v>
      </c>
      <c r="DX87" s="276">
        <v>-10.661914361234491</v>
      </c>
      <c r="DY87" s="276">
        <v>-10.611039398193469</v>
      </c>
      <c r="DZ87" s="276">
        <v>-10.560308776800619</v>
      </c>
      <c r="EA87" s="276">
        <v>-10.50972730076807</v>
      </c>
      <c r="EB87" s="276">
        <v>-10.45930005492338</v>
      </c>
      <c r="EC87" s="276">
        <v>-10.409032423555081</v>
      </c>
      <c r="ED87" s="276">
        <v>-10.358930106202299</v>
      </c>
      <c r="EE87" s="276">
        <v>-10.30899913033875</v>
      </c>
      <c r="EF87" s="276">
        <v>-10.25924586039884</v>
      </c>
      <c r="EG87" s="276">
        <v>-10.209677002600911</v>
      </c>
      <c r="EH87" s="276">
        <v>-10.160299605042029</v>
      </c>
      <c r="EI87" s="276">
        <v>-10.11112105257013</v>
      </c>
      <c r="EJ87" s="276">
        <v>-10.06214905598441</v>
      </c>
      <c r="EK87" s="276">
        <v>-10.01339163517283</v>
      </c>
      <c r="EL87" s="276">
        <v>-9.9648570958677514</v>
      </c>
      <c r="EM87" s="276">
        <v>-9.9165539997860339</v>
      </c>
      <c r="EN87" s="276">
        <v>-9.8684911280169345</v>
      </c>
      <c r="EO87" s="276">
        <v>-9.8206774376308736</v>
      </c>
      <c r="EP87" s="276">
        <v>-9.7731220115998649</v>
      </c>
      <c r="EQ87" s="276">
        <v>-9.7258340022470566</v>
      </c>
      <c r="ER87" s="276">
        <v>-9.6788225685736613</v>
      </c>
      <c r="ES87" s="276">
        <v>-9.6320968079454161</v>
      </c>
      <c r="ET87" s="276">
        <v>-9.5856656827532802</v>
      </c>
      <c r="EU87" s="276">
        <v>-9.5395379427921672</v>
      </c>
      <c r="EV87" s="276">
        <v>-9.4937220442228831</v>
      </c>
      <c r="EW87" s="276">
        <v>-9.4482260660933086</v>
      </c>
      <c r="EX87" s="276">
        <v>-9.4030576254916181</v>
      </c>
      <c r="EY87" s="276">
        <v>-9.3582237924838356</v>
      </c>
      <c r="EZ87" s="276">
        <v>-9.3137310060477958</v>
      </c>
      <c r="FA87" s="276">
        <v>-9.2695849922528293</v>
      </c>
      <c r="FB87" s="276">
        <v>-9.2257906859474605</v>
      </c>
      <c r="FC87" s="276">
        <v>-9.1823521572046811</v>
      </c>
      <c r="FD87" s="276">
        <v>-9.139272543735272</v>
      </c>
      <c r="FE87" s="276">
        <v>-9.0965539904147583</v>
      </c>
      <c r="FF87" s="276">
        <v>-9.0541975969777617</v>
      </c>
      <c r="FG87" s="276">
        <v>-9.0122033748191441</v>
      </c>
      <c r="FH87" s="276">
        <v>-8.9705702137039331</v>
      </c>
      <c r="FI87" s="276">
        <v>-8.9292958590318179</v>
      </c>
      <c r="FJ87" s="272">
        <v>-8.8883769001306554</v>
      </c>
      <c r="FK87" s="272">
        <v>-8.8478087698696299</v>
      </c>
      <c r="FL87" s="272">
        <v>-8.8075857556923829</v>
      </c>
      <c r="FM87" s="272">
        <v>-8.7677010219774338</v>
      </c>
      <c r="FN87" s="272">
        <v>-8.7281466434414892</v>
      </c>
      <c r="FO87" s="272">
        <v>-8.6889136491171453</v>
      </c>
      <c r="FP87" s="272">
        <v>-8.6499920762629685</v>
      </c>
      <c r="FQ87" s="272">
        <v>-8.611371033405268</v>
      </c>
      <c r="FR87" s="272">
        <v>-8.5730387715714844</v>
      </c>
      <c r="FS87" s="272">
        <v>-8.5349827626569734</v>
      </c>
      <c r="FT87" s="272">
        <v>-8.49718978377261</v>
      </c>
      <c r="FU87" s="272">
        <v>-8.4596460063522763</v>
      </c>
      <c r="FV87" s="272">
        <v>-8.4223370887567803</v>
      </c>
      <c r="FW87" s="272">
        <v>-8.3852482710952287</v>
      </c>
      <c r="FX87" s="272">
        <v>-8.3483644709949587</v>
      </c>
      <c r="FY87" s="272">
        <v>-8.3116703790855055</v>
      </c>
      <c r="FZ87" s="272">
        <v>-8.2751505530203087</v>
      </c>
      <c r="GA87" s="272">
        <v>-8.238789508937149</v>
      </c>
      <c r="GB87" s="272">
        <v>-8.2025718093540441</v>
      </c>
      <c r="GC87" s="272">
        <v>-8.166482146607688</v>
      </c>
    </row>
    <row r="88" spans="2:185" ht="15" thickBot="1" x14ac:dyDescent="0.4">
      <c r="B88" s="298">
        <v>82</v>
      </c>
      <c r="C88" s="275">
        <v>-11.353201838273661</v>
      </c>
      <c r="D88" s="275">
        <v>-11.31073232333706</v>
      </c>
      <c r="E88" s="275">
        <v>-11.268133890169141</v>
      </c>
      <c r="F88" s="275">
        <v>-11.22540623143076</v>
      </c>
      <c r="G88" s="275">
        <v>-11.18254926736001</v>
      </c>
      <c r="H88" s="275">
        <v>-11.1395631604878</v>
      </c>
      <c r="I88" s="275">
        <v>-11.096448330191761</v>
      </c>
      <c r="J88" s="275">
        <v>-11.05320546697663</v>
      </c>
      <c r="K88" s="275">
        <v>-11.009835546363909</v>
      </c>
      <c r="L88" s="275">
        <v>-10.96633984226977</v>
      </c>
      <c r="M88" s="275">
        <v>-10.92271993974712</v>
      </c>
      <c r="N88" s="275">
        <v>-10.87897774696725</v>
      </c>
      <c r="O88" s="275">
        <v>-10.83511550631659</v>
      </c>
      <c r="P88" s="275">
        <v>-10.79113580448657</v>
      </c>
      <c r="Q88" s="275">
        <v>-10.747041581439021</v>
      </c>
      <c r="R88" s="275">
        <v>-10.702836138135259</v>
      </c>
      <c r="S88" s="275">
        <v>-10.658523142925031</v>
      </c>
      <c r="T88" s="275">
        <v>-10.614106636500811</v>
      </c>
      <c r="U88" s="275">
        <v>-10.569591035334479</v>
      </c>
      <c r="V88" s="275">
        <v>-10.5249811335255</v>
      </c>
      <c r="W88" s="275">
        <v>-10.48028210300358</v>
      </c>
      <c r="X88" s="275">
        <v>-10.435499492043659</v>
      </c>
      <c r="Y88" s="275">
        <v>-10.390639222065801</v>
      </c>
      <c r="Z88" s="275">
        <v>-10.345707582708521</v>
      </c>
      <c r="AA88" s="275">
        <v>-10.300711225179359</v>
      </c>
      <c r="AB88" s="275">
        <v>-10.255657153901501</v>
      </c>
      <c r="AC88" s="275">
        <v>-10.210552716489721</v>
      </c>
      <c r="AD88" s="275">
        <v>-10.165405592102241</v>
      </c>
      <c r="AE88" s="275">
        <v>-10.120223778227031</v>
      </c>
      <c r="AF88" s="275">
        <v>-10.07501557597155</v>
      </c>
      <c r="AG88" s="275">
        <v>-10.029789573933661</v>
      </c>
      <c r="AH88" s="275">
        <v>-9.9845546307382325</v>
      </c>
      <c r="AI88" s="275">
        <v>-9.9393198563287939</v>
      </c>
      <c r="AJ88" s="275">
        <v>-9.8940945921064838</v>
      </c>
      <c r="AK88" s="275">
        <v>-9.8488883900095203</v>
      </c>
      <c r="AL88" s="275">
        <v>-9.8037109906255377</v>
      </c>
      <c r="AM88" s="275">
        <v>-9.7585723004265983</v>
      </c>
      <c r="AN88" s="275">
        <v>-9.7134823682128566</v>
      </c>
      <c r="AO88" s="275">
        <v>-9.6684513608459213</v>
      </c>
      <c r="AP88" s="275">
        <v>-9.6234895383469521</v>
      </c>
      <c r="AQ88" s="275">
        <v>-9.5786072284284991</v>
      </c>
      <c r="AR88" s="275">
        <v>-9.5338148005226557</v>
      </c>
      <c r="AS88" s="275">
        <v>-9.4891226393621491</v>
      </c>
      <c r="AT88" s="275">
        <v>-9.4445411181657146</v>
      </c>
      <c r="AU88" s="275">
        <v>-9.4000805714748346</v>
      </c>
      <c r="AV88" s="275">
        <v>-9.3557512676859993</v>
      </c>
      <c r="AW88" s="275">
        <v>-9.3115633813217542</v>
      </c>
      <c r="AX88" s="275">
        <v>-9.2675269650842473</v>
      </c>
      <c r="AY88" s="275">
        <v>-9.2236519217382114</v>
      </c>
      <c r="AZ88" s="275">
        <v>-9.1799479758751428</v>
      </c>
      <c r="BA88" s="275">
        <v>-9.1364246456180531</v>
      </c>
      <c r="BB88" s="275">
        <v>-9.0930912143355798</v>
      </c>
      <c r="BC88" s="275">
        <v>-9.0499567024457033</v>
      </c>
      <c r="BD88" s="275">
        <v>-9.007029839402831</v>
      </c>
      <c r="BE88" s="275">
        <v>-8.9643190359764855</v>
      </c>
      <c r="BF88" s="275">
        <v>-8.9218323569455631</v>
      </c>
      <c r="BG88" s="275">
        <v>-8.879577494348176</v>
      </c>
      <c r="BH88" s="275">
        <v>-8.8375617414429666</v>
      </c>
      <c r="BI88" s="275">
        <v>-8.7957919675527716</v>
      </c>
      <c r="BJ88" s="275">
        <v>-8.7542745939750652</v>
      </c>
      <c r="BK88" s="275">
        <v>-8.7130155711548571</v>
      </c>
      <c r="BL88" s="275">
        <v>-8.6720203573241239</v>
      </c>
      <c r="BM88" s="275">
        <v>-8.6312938988166259</v>
      </c>
      <c r="BN88" s="275">
        <v>-8.5908406122677761</v>
      </c>
      <c r="BO88" s="275">
        <v>-8.5506643689053377</v>
      </c>
      <c r="BP88" s="275">
        <v>-8.5107684811281565</v>
      </c>
      <c r="BQ88" s="275">
        <v>-8.4711556915562483</v>
      </c>
      <c r="BR88" s="275">
        <v>-8.4318281647172082</v>
      </c>
      <c r="BS88" s="275">
        <v>-8.3927874815100267</v>
      </c>
      <c r="BT88" s="275">
        <v>-8.3540346365598168</v>
      </c>
      <c r="BU88" s="275">
        <v>-8.3155700385451823</v>
      </c>
      <c r="BV88" s="275">
        <v>-8.277393513544915</v>
      </c>
      <c r="BW88" s="275">
        <v>-8.2395043114139597</v>
      </c>
      <c r="BX88" s="275">
        <v>-8.2019011151599308</v>
      </c>
      <c r="BY88" s="275">
        <v>-8.1645820532531204</v>
      </c>
      <c r="BZ88" s="275">
        <v>-8.1275447147648059</v>
      </c>
      <c r="CA88" s="275">
        <v>-8.0907861671929044</v>
      </c>
      <c r="CB88" s="275">
        <v>-8.0543029768005763</v>
      </c>
      <c r="CC88" s="275">
        <v>-8.0180912312635133</v>
      </c>
      <c r="CD88" s="275">
        <v>-7.9821465643964764</v>
      </c>
      <c r="CE88" s="275">
        <v>-7.9464641827084463</v>
      </c>
      <c r="CF88" s="275">
        <v>-7.9110388935206259</v>
      </c>
      <c r="CG88" s="275">
        <v>-7.8758651343707369</v>
      </c>
      <c r="CH88" s="275">
        <v>-7.8409370034223231</v>
      </c>
      <c r="CI88" s="275">
        <v>-7.8062482905973587</v>
      </c>
      <c r="CJ88" s="275">
        <v>-7.7717925091556443</v>
      </c>
      <c r="CK88" s="275">
        <v>-7.7375629274529896</v>
      </c>
      <c r="CL88" s="275">
        <v>-7.7035526006232216</v>
      </c>
      <c r="CM88" s="275">
        <v>-7.6697544019448953</v>
      </c>
      <c r="CN88" s="275">
        <v>-7.6361610536719136</v>
      </c>
      <c r="CO88" s="275">
        <v>-7.6027651571277914</v>
      </c>
      <c r="CP88" s="275"/>
      <c r="CQ88" s="276">
        <v>-12.62980978810706</v>
      </c>
      <c r="CR88" s="276">
        <v>-12.576245024634749</v>
      </c>
      <c r="CS88" s="276">
        <v>-12.52271145325358</v>
      </c>
      <c r="CT88" s="276">
        <v>-12.46921243326674</v>
      </c>
      <c r="CU88" s="276">
        <v>-12.41575135079575</v>
      </c>
      <c r="CV88" s="276">
        <v>-12.36233161210771</v>
      </c>
      <c r="CW88" s="276">
        <v>-12.308956636959641</v>
      </c>
      <c r="CX88" s="276">
        <v>-12.255629852053</v>
      </c>
      <c r="CY88" s="276">
        <v>-12.202354684700021</v>
      </c>
      <c r="CZ88" s="276">
        <v>-12.14913455680996</v>
      </c>
      <c r="DA88" s="276">
        <v>-12.09597287930977</v>
      </c>
      <c r="DB88" s="276">
        <v>-12.042873047117959</v>
      </c>
      <c r="DC88" s="276">
        <v>-11.989838434794169</v>
      </c>
      <c r="DD88" s="276">
        <v>-11.93687239298862</v>
      </c>
      <c r="DE88" s="276">
        <v>-11.88397824581488</v>
      </c>
      <c r="DF88" s="276">
        <v>-11.83115928926795</v>
      </c>
      <c r="DG88" s="276">
        <v>-11.778418790805</v>
      </c>
      <c r="DH88" s="276">
        <v>-11.725759990198689</v>
      </c>
      <c r="DI88" s="276">
        <v>-11.67318610176493</v>
      </c>
      <c r="DJ88" s="276">
        <v>-11.62070031805402</v>
      </c>
      <c r="DK88" s="276">
        <v>-11.568305815080169</v>
      </c>
      <c r="DL88" s="276">
        <v>-11.516005759147211</v>
      </c>
      <c r="DM88" s="276">
        <v>-11.46380331530793</v>
      </c>
      <c r="DN88" s="276">
        <v>-11.41170165747247</v>
      </c>
      <c r="DO88" s="276">
        <v>-11.359703980155521</v>
      </c>
      <c r="DP88" s="276">
        <v>-11.307813511824531</v>
      </c>
      <c r="DQ88" s="276">
        <v>-11.25603352978095</v>
      </c>
      <c r="DR88" s="276">
        <v>-11.20436737647441</v>
      </c>
      <c r="DS88" s="276">
        <v>-11.152818477115311</v>
      </c>
      <c r="DT88" s="276">
        <v>-11.10139035841607</v>
      </c>
      <c r="DU88" s="276">
        <v>-11.050086668253719</v>
      </c>
      <c r="DV88" s="276">
        <v>-10.998911196009971</v>
      </c>
      <c r="DW88" s="276">
        <v>-10.947867893306171</v>
      </c>
      <c r="DX88" s="276">
        <v>-10.89696089481447</v>
      </c>
      <c r="DY88" s="276">
        <v>-10.84619453879038</v>
      </c>
      <c r="DZ88" s="276">
        <v>-10.795573386938139</v>
      </c>
      <c r="EA88" s="276">
        <v>-10.74510224319034</v>
      </c>
      <c r="EB88" s="276">
        <v>-10.69478617095662</v>
      </c>
      <c r="EC88" s="276">
        <v>-10.6446305083751</v>
      </c>
      <c r="ED88" s="276">
        <v>-10.59464088108551</v>
      </c>
      <c r="EE88" s="276">
        <v>-10.5448232120353</v>
      </c>
      <c r="EF88" s="276">
        <v>-10.495183727830989</v>
      </c>
      <c r="EG88" s="276">
        <v>-10.44572896115765</v>
      </c>
      <c r="EH88" s="276">
        <v>-10.396465748809661</v>
      </c>
      <c r="EI88" s="276">
        <v>-10.347401224908319</v>
      </c>
      <c r="EJ88" s="276">
        <v>-10.298542808924321</v>
      </c>
      <c r="EK88" s="276">
        <v>-10.249898188178859</v>
      </c>
      <c r="EL88" s="276">
        <v>-10.201475294563419</v>
      </c>
      <c r="EM88" s="276">
        <v>-10.15328227529643</v>
      </c>
      <c r="EN88" s="276">
        <v>-10.1053274576233</v>
      </c>
      <c r="EO88" s="276">
        <v>-10.057619307464551</v>
      </c>
      <c r="EP88" s="276">
        <v>-10.01016638212233</v>
      </c>
      <c r="EQ88" s="276">
        <v>-9.9629772772673348</v>
      </c>
      <c r="ER88" s="276">
        <v>-9.9160605685444665</v>
      </c>
      <c r="ES88" s="276">
        <v>-9.8694247482520421</v>
      </c>
      <c r="ET88" s="276">
        <v>-9.8230781576659858</v>
      </c>
      <c r="EU88" s="276">
        <v>-9.7770289156921493</v>
      </c>
      <c r="EV88" s="276">
        <v>-9.7312848446348053</v>
      </c>
      <c r="EW88" s="276">
        <v>-9.6858533939649742</v>
      </c>
      <c r="EX88" s="276">
        <v>-9.6407415630542044</v>
      </c>
      <c r="EY88" s="276">
        <v>-9.5959558239071452</v>
      </c>
      <c r="EZ88" s="276">
        <v>-9.5515020449752797</v>
      </c>
      <c r="FA88" s="276">
        <v>-9.5073854171647216</v>
      </c>
      <c r="FB88" s="276">
        <v>-9.463610383158553</v>
      </c>
      <c r="FC88" s="276">
        <v>-9.4201805711612092</v>
      </c>
      <c r="FD88" s="276">
        <v>-9.3770987341351884</v>
      </c>
      <c r="FE88" s="276">
        <v>-9.3343666955406963</v>
      </c>
      <c r="FF88" s="276">
        <v>-9.2919853025074417</v>
      </c>
      <c r="FG88" s="276">
        <v>-9.2499543872647934</v>
      </c>
      <c r="FH88" s="276">
        <v>-9.2082727375353439</v>
      </c>
      <c r="FI88" s="276">
        <v>-9.166938076458873</v>
      </c>
      <c r="FJ88" s="272">
        <v>-9.12594705246247</v>
      </c>
      <c r="FK88" s="272">
        <v>-9.0852952393316873</v>
      </c>
      <c r="FL88" s="272">
        <v>-9.0449771465694155</v>
      </c>
      <c r="FM88" s="272">
        <v>-9.0049862399608145</v>
      </c>
      <c r="FN88" s="272">
        <v>-8.9653149720929513</v>
      </c>
      <c r="FO88" s="272">
        <v>-8.9259548224174097</v>
      </c>
      <c r="FP88" s="272">
        <v>-8.8868963462899018</v>
      </c>
      <c r="FQ88" s="272">
        <v>-8.8481292322821297</v>
      </c>
      <c r="FR88" s="272">
        <v>-8.8096423669367923</v>
      </c>
      <c r="FS88" s="272">
        <v>-8.7714239060319628</v>
      </c>
      <c r="FT88" s="272">
        <v>-8.7334613513362829</v>
      </c>
      <c r="FU88" s="272">
        <v>-8.695741631774224</v>
      </c>
      <c r="FV88" s="272">
        <v>-8.6582511878810386</v>
      </c>
      <c r="FW88" s="272">
        <v>-8.6209760584102941</v>
      </c>
      <c r="FX88" s="272">
        <v>-8.5839019679636035</v>
      </c>
      <c r="FY88" s="272">
        <v>-8.5470144145389408</v>
      </c>
      <c r="FZ88" s="272">
        <v>-8.5102987559419994</v>
      </c>
      <c r="GA88" s="272">
        <v>-8.47374029407076</v>
      </c>
      <c r="GB88" s="272">
        <v>-8.4373243561646554</v>
      </c>
      <c r="GC88" s="272">
        <v>-8.4010363722039418</v>
      </c>
    </row>
    <row r="89" spans="2:185" ht="15" thickBot="1" x14ac:dyDescent="0.4">
      <c r="B89" s="298">
        <v>83</v>
      </c>
      <c r="C89" s="275">
        <v>-11.56552118604453</v>
      </c>
      <c r="D89" s="275">
        <v>-11.52305625959041</v>
      </c>
      <c r="E89" s="275">
        <v>-11.48046550458317</v>
      </c>
      <c r="F89" s="275">
        <v>-11.43774874224137</v>
      </c>
      <c r="G89" s="275">
        <v>-11.394906016878361</v>
      </c>
      <c r="H89" s="275">
        <v>-11.3519376096681</v>
      </c>
      <c r="I89" s="275">
        <v>-11.30884405222505</v>
      </c>
      <c r="J89" s="275">
        <v>-11.26562613989465</v>
      </c>
      <c r="K89" s="275">
        <v>-11.22228494464629</v>
      </c>
      <c r="L89" s="275">
        <v>-11.178821827457719</v>
      </c>
      <c r="M89" s="275">
        <v>-11.135238450077271</v>
      </c>
      <c r="N89" s="275">
        <v>-11.091536786050289</v>
      </c>
      <c r="O89" s="275">
        <v>-11.047719130896359</v>
      </c>
      <c r="P89" s="275">
        <v>-11.003788111326759</v>
      </c>
      <c r="Q89" s="275">
        <v>-10.959746693395299</v>
      </c>
      <c r="R89" s="275">
        <v>-10.91559818948142</v>
      </c>
      <c r="S89" s="275">
        <v>-10.87134626401158</v>
      </c>
      <c r="T89" s="275">
        <v>-10.82699493783354</v>
      </c>
      <c r="U89" s="275">
        <v>-10.782548591168281</v>
      </c>
      <c r="V89" s="275">
        <v>-10.73801196507544</v>
      </c>
      <c r="W89" s="275">
        <v>-10.693390161380339</v>
      </c>
      <c r="X89" s="275">
        <v>-10.64868864102381</v>
      </c>
      <c r="Y89" s="275">
        <v>-10.603913220809529</v>
      </c>
      <c r="Z89" s="275">
        <v>-10.559070068537141</v>
      </c>
      <c r="AA89" s="275">
        <v>-10.51416569652358</v>
      </c>
      <c r="AB89" s="275">
        <v>-10.4692069535279</v>
      </c>
      <c r="AC89" s="275">
        <v>-10.424201015108199</v>
      </c>
      <c r="AD89" s="275">
        <v>-10.379155372450709</v>
      </c>
      <c r="AE89" s="275">
        <v>-10.33407781972212</v>
      </c>
      <c r="AF89" s="275">
        <v>-10.28897644000573</v>
      </c>
      <c r="AG89" s="275">
        <v>-10.24385958988975</v>
      </c>
      <c r="AH89" s="275">
        <v>-10.19873588278263</v>
      </c>
      <c r="AI89" s="275">
        <v>-10.153614171035009</v>
      </c>
      <c r="AJ89" s="275">
        <v>-10.108503526950781</v>
      </c>
      <c r="AK89" s="275">
        <v>-10.063413222771249</v>
      </c>
      <c r="AL89" s="275">
        <v>-10.01835270971625</v>
      </c>
      <c r="AM89" s="275">
        <v>-9.9733315961645417</v>
      </c>
      <c r="AN89" s="275">
        <v>-9.9283596250530746</v>
      </c>
      <c r="AO89" s="275">
        <v>-9.8834466505711109</v>
      </c>
      <c r="AP89" s="275">
        <v>-9.8386026142209619</v>
      </c>
      <c r="AQ89" s="275">
        <v>-9.7938375203122217</v>
      </c>
      <c r="AR89" s="275">
        <v>-9.7491614109518867</v>
      </c>
      <c r="AS89" s="275">
        <v>-9.7045843405881609</v>
      </c>
      <c r="AT89" s="275">
        <v>-9.6601163501618643</v>
      </c>
      <c r="AU89" s="275">
        <v>-9.6157674409164766</v>
      </c>
      <c r="AV89" s="275">
        <v>-9.571547547916067</v>
      </c>
      <c r="AW89" s="275">
        <v>-9.5274665133198564</v>
      </c>
      <c r="AX89" s="275">
        <v>-9.4835340594635689</v>
      </c>
      <c r="AY89" s="275">
        <v>-9.4397597618006017</v>
      </c>
      <c r="AZ89" s="275">
        <v>-9.3961530217609361</v>
      </c>
      <c r="BA89" s="275">
        <v>-9.3527230395923873</v>
      </c>
      <c r="BB89" s="275">
        <v>-9.3094787872571167</v>
      </c>
      <c r="BC89" s="275">
        <v>-9.2664289814665004</v>
      </c>
      <c r="BD89" s="275">
        <v>-9.2235820569487199</v>
      </c>
      <c r="BE89" s="275">
        <v>-9.1809461400560171</v>
      </c>
      <c r="BF89" s="275">
        <v>-9.1385290228315466</v>
      </c>
      <c r="BG89" s="275">
        <v>-9.0963381376691785</v>
      </c>
      <c r="BH89" s="275">
        <v>-9.054380532712635</v>
      </c>
      <c r="BI89" s="275">
        <v>-9.0126628481523685</v>
      </c>
      <c r="BJ89" s="275">
        <v>-8.9711912935894507</v>
      </c>
      <c r="BK89" s="275">
        <v>-8.9299716266442566</v>
      </c>
      <c r="BL89" s="275">
        <v>-8.8890091329940013</v>
      </c>
      <c r="BM89" s="275">
        <v>-8.8483086080259294</v>
      </c>
      <c r="BN89" s="275">
        <v>-8.8078743402925479</v>
      </c>
      <c r="BO89" s="275">
        <v>-8.7677100969507062</v>
      </c>
      <c r="BP89" s="275">
        <v>-8.727819111357638</v>
      </c>
      <c r="BQ89" s="275">
        <v>-8.6882040729841723</v>
      </c>
      <c r="BR89" s="275">
        <v>-8.6488671197881875</v>
      </c>
      <c r="BS89" s="275">
        <v>-8.6098098331700061</v>
      </c>
      <c r="BT89" s="275">
        <v>-8.5710332356067465</v>
      </c>
      <c r="BU89" s="275">
        <v>-8.5325377910343221</v>
      </c>
      <c r="BV89" s="275">
        <v>-8.4943234080151324</v>
      </c>
      <c r="BW89" s="275">
        <v>-8.4563894456969475</v>
      </c>
      <c r="BX89" s="275">
        <v>-8.4187347225347473</v>
      </c>
      <c r="BY89" s="275">
        <v>-8.3813575277135222</v>
      </c>
      <c r="BZ89" s="275">
        <v>-8.3442556351769248</v>
      </c>
      <c r="CA89" s="275">
        <v>-8.3074263201347698</v>
      </c>
      <c r="CB89" s="275">
        <v>-8.270866377893423</v>
      </c>
      <c r="CC89" s="275">
        <v>-8.2345721448264761</v>
      </c>
      <c r="CD89" s="275">
        <v>-8.1985395212806473</v>
      </c>
      <c r="CE89" s="275">
        <v>-8.1627639961928118</v>
      </c>
      <c r="CF89" s="275">
        <v>-8.1272406731803848</v>
      </c>
      <c r="CG89" s="275">
        <v>-8.0919642978567374</v>
      </c>
      <c r="CH89" s="275">
        <v>-8.0569292861187574</v>
      </c>
      <c r="CI89" s="275">
        <v>-8.0221297531523348</v>
      </c>
      <c r="CJ89" s="275">
        <v>-7.9875595429049726</v>
      </c>
      <c r="CK89" s="275">
        <v>-7.9532122577820559</v>
      </c>
      <c r="CL89" s="275">
        <v>-7.9190812883331159</v>
      </c>
      <c r="CM89" s="275">
        <v>-7.8851598427084628</v>
      </c>
      <c r="CN89" s="275">
        <v>-7.8514409756815997</v>
      </c>
      <c r="CO89" s="275">
        <v>-7.8179176170504494</v>
      </c>
      <c r="CP89" s="275"/>
      <c r="CQ89" s="276">
        <v>-12.861555125320439</v>
      </c>
      <c r="CR89" s="276">
        <v>-12.808084196571681</v>
      </c>
      <c r="CS89" s="276">
        <v>-12.754645363390249</v>
      </c>
      <c r="CT89" s="276">
        <v>-12.701241912328721</v>
      </c>
      <c r="CU89" s="276">
        <v>-12.647877156665549</v>
      </c>
      <c r="CV89" s="276">
        <v>-12.59455443038059</v>
      </c>
      <c r="CW89" s="276">
        <v>-12.541277082180249</v>
      </c>
      <c r="CX89" s="276">
        <v>-12.488048469658899</v>
      </c>
      <c r="CY89" s="276">
        <v>-12.434871953689431</v>
      </c>
      <c r="CZ89" s="276">
        <v>-12.38175089314182</v>
      </c>
      <c r="DA89" s="276">
        <v>-12.3286886400335</v>
      </c>
      <c r="DB89" s="276">
        <v>-12.27568853521854</v>
      </c>
      <c r="DC89" s="276">
        <v>-12.222753904725209</v>
      </c>
      <c r="DD89" s="276">
        <v>-12.169888056852651</v>
      </c>
      <c r="DE89" s="276">
        <v>-12.117094280135619</v>
      </c>
      <c r="DF89" s="276">
        <v>-12.064375842284081</v>
      </c>
      <c r="DG89" s="276">
        <v>-12.01173599019941</v>
      </c>
      <c r="DH89" s="276">
        <v>-11.959177951162051</v>
      </c>
      <c r="DI89" s="276">
        <v>-11.906704935275989</v>
      </c>
      <c r="DJ89" s="276">
        <v>-11.85432013924423</v>
      </c>
      <c r="DK89" s="276">
        <v>-11.802026751535079</v>
      </c>
      <c r="DL89" s="276">
        <v>-11.74982795898301</v>
      </c>
      <c r="DM89" s="276">
        <v>-11.697726954848919</v>
      </c>
      <c r="DN89" s="276">
        <v>-11.64572694834326</v>
      </c>
      <c r="DO89" s="276">
        <v>-11.593831175592429</v>
      </c>
      <c r="DP89" s="276">
        <v>-11.5420429120029</v>
      </c>
      <c r="DQ89" s="276">
        <v>-11.4903654859499</v>
      </c>
      <c r="DR89" s="276">
        <v>-11.43880229368823</v>
      </c>
      <c r="DS89" s="276">
        <v>-11.38735681535165</v>
      </c>
      <c r="DT89" s="276">
        <v>-11.33603263187516</v>
      </c>
      <c r="DU89" s="276">
        <v>-11.28483344264156</v>
      </c>
      <c r="DV89" s="276">
        <v>-11.233763083620509</v>
      </c>
      <c r="DW89" s="276">
        <v>-11.18282554573479</v>
      </c>
      <c r="DX89" s="276">
        <v>-11.132024993156939</v>
      </c>
      <c r="DY89" s="276">
        <v>-11.081365781208</v>
      </c>
      <c r="DZ89" s="276">
        <v>-11.030852473502049</v>
      </c>
      <c r="EA89" s="276">
        <v>-10.98048985795473</v>
      </c>
      <c r="EB89" s="276">
        <v>-10.930282961252811</v>
      </c>
      <c r="EC89" s="276">
        <v>-10.880237061365181</v>
      </c>
      <c r="ED89" s="276">
        <v>-10.83035769766531</v>
      </c>
      <c r="EE89" s="276">
        <v>-10.78065067823138</v>
      </c>
      <c r="EF89" s="276">
        <v>-10.731122083894491</v>
      </c>
      <c r="EG89" s="276">
        <v>-10.681778268617309</v>
      </c>
      <c r="EH89" s="276">
        <v>-10.632625855807699</v>
      </c>
      <c r="EI89" s="276">
        <v>-10.583671730202671</v>
      </c>
      <c r="EJ89" s="276">
        <v>-10.53492302500015</v>
      </c>
      <c r="EK89" s="276">
        <v>-10.486387103966759</v>
      </c>
      <c r="EL89" s="276">
        <v>-10.43807153831229</v>
      </c>
      <c r="EM89" s="276">
        <v>-10.38998407819226</v>
      </c>
      <c r="EN89" s="276">
        <v>-10.342132618780299</v>
      </c>
      <c r="EO89" s="276">
        <v>-10.294525160940159</v>
      </c>
      <c r="EP89" s="276">
        <v>-10.24716976662121</v>
      </c>
      <c r="EQ89" s="276">
        <v>-10.200074509200871</v>
      </c>
      <c r="ER89" s="276">
        <v>-10.153247419099531</v>
      </c>
      <c r="ES89" s="276">
        <v>-10.106696425096009</v>
      </c>
      <c r="ET89" s="276">
        <v>-10.060429291873691</v>
      </c>
      <c r="EU89" s="276">
        <v>-10.014453554423779</v>
      </c>
      <c r="EV89" s="276">
        <v>-9.9687764500241176</v>
      </c>
      <c r="EW89" s="276">
        <v>-9.9234048485926127</v>
      </c>
      <c r="EX89" s="276">
        <v>-9.8783451822856065</v>
      </c>
      <c r="EY89" s="276">
        <v>-9.8336033752676038</v>
      </c>
      <c r="EZ89" s="276">
        <v>-9.7891847746202441</v>
      </c>
      <c r="FA89" s="276">
        <v>-9.7450940833818507</v>
      </c>
      <c r="FB89" s="276">
        <v>-9.7013352967138591</v>
      </c>
      <c r="FC89" s="276">
        <v>-9.6579116421762041</v>
      </c>
      <c r="FD89" s="276">
        <v>-9.6148255250587429</v>
      </c>
      <c r="FE89" s="276">
        <v>-9.5720784796620944</v>
      </c>
      <c r="FF89" s="276">
        <v>-9.5296711273472177</v>
      </c>
      <c r="FG89" s="276">
        <v>-9.4876031420818983</v>
      </c>
      <c r="FH89" s="276">
        <v>-9.4458732241044672</v>
      </c>
      <c r="FI89" s="276">
        <v>-9.4044790822032365</v>
      </c>
      <c r="FJ89" s="272">
        <v>-9.3634174249765465</v>
      </c>
      <c r="FK89" s="272">
        <v>-9.3226839612967396</v>
      </c>
      <c r="FL89" s="272">
        <v>-9.2822734100537279</v>
      </c>
      <c r="FM89" s="272">
        <v>-9.2421795191050009</v>
      </c>
      <c r="FN89" s="272">
        <v>-9.2023950932108693</v>
      </c>
      <c r="FO89" s="272">
        <v>-9.1629120305910927</v>
      </c>
      <c r="FP89" s="272">
        <v>-9.1237213676045421</v>
      </c>
      <c r="FQ89" s="272">
        <v>-9.0848133309296255</v>
      </c>
      <c r="FR89" s="272">
        <v>-9.0461773965140022</v>
      </c>
      <c r="FS89" s="272">
        <v>-9.0078023544681276</v>
      </c>
      <c r="FT89" s="272">
        <v>-8.9696763790014824</v>
      </c>
      <c r="FU89" s="272">
        <v>-8.9317871024437654</v>
      </c>
      <c r="FV89" s="272">
        <v>-8.8941216923562436</v>
      </c>
      <c r="FW89" s="272">
        <v>-8.856666930721742</v>
      </c>
      <c r="FX89" s="272">
        <v>-8.8194092942044975</v>
      </c>
      <c r="FY89" s="272">
        <v>-8.7823350344932614</v>
      </c>
      <c r="FZ89" s="272">
        <v>-8.7454302577794323</v>
      </c>
      <c r="GA89" s="272">
        <v>-8.708681002478496</v>
      </c>
      <c r="GB89" s="272">
        <v>-8.6720733143712927</v>
      </c>
      <c r="GC89" s="272">
        <v>-8.6355933184229752</v>
      </c>
    </row>
    <row r="90" spans="2:185" ht="15" thickBot="1" x14ac:dyDescent="0.4">
      <c r="B90" s="298">
        <v>84</v>
      </c>
      <c r="C90" s="275">
        <v>-11.77784147391375</v>
      </c>
      <c r="D90" s="275">
        <v>-11.73538288765651</v>
      </c>
      <c r="E90" s="275">
        <v>-11.692801523154669</v>
      </c>
      <c r="F90" s="275">
        <v>-11.65009732222957</v>
      </c>
      <c r="G90" s="275">
        <v>-11.60727044521477</v>
      </c>
      <c r="H90" s="275">
        <v>-11.564321283832101</v>
      </c>
      <c r="I90" s="275">
        <v>-11.52125047386191</v>
      </c>
      <c r="J90" s="275">
        <v>-11.47805890751162</v>
      </c>
      <c r="K90" s="275">
        <v>-11.434747745382969</v>
      </c>
      <c r="L90" s="275">
        <v>-11.391318427935831</v>
      </c>
      <c r="M90" s="275">
        <v>-11.34777268634455</v>
      </c>
      <c r="N90" s="275">
        <v>-11.304112552642991</v>
      </c>
      <c r="O90" s="275">
        <v>-11.260340369054839</v>
      </c>
      <c r="P90" s="275">
        <v>-11.21645879640878</v>
      </c>
      <c r="Q90" s="275">
        <v>-11.17247082154115</v>
      </c>
      <c r="R90" s="275">
        <v>-11.12837976359474</v>
      </c>
      <c r="S90" s="275">
        <v>-11.084189279128269</v>
      </c>
      <c r="T90" s="275">
        <v>-11.039903365959191</v>
      </c>
      <c r="U90" s="275">
        <v>-10.99552636567161</v>
      </c>
      <c r="V90" s="275">
        <v>-10.95106296473096</v>
      </c>
      <c r="W90" s="275">
        <v>-10.90651819415816</v>
      </c>
      <c r="X90" s="275">
        <v>-10.86189742772749</v>
      </c>
      <c r="Y90" s="275">
        <v>-10.817206378664659</v>
      </c>
      <c r="Z90" s="275">
        <v>-10.77245109483354</v>
      </c>
      <c r="AA90" s="275">
        <v>-10.72763795241249</v>
      </c>
      <c r="AB90" s="275">
        <v>-10.68277364807305</v>
      </c>
      <c r="AC90" s="275">
        <v>-10.63786518968519</v>
      </c>
      <c r="AD90" s="275">
        <v>-10.5929198855841</v>
      </c>
      <c r="AE90" s="275">
        <v>-10.54794533244289</v>
      </c>
      <c r="AF90" s="275">
        <v>-10.50294940180479</v>
      </c>
      <c r="AG90" s="275">
        <v>-10.457940225335021</v>
      </c>
      <c r="AH90" s="275">
        <v>-10.412926178859079</v>
      </c>
      <c r="AI90" s="275">
        <v>-10.36791586525853</v>
      </c>
      <c r="AJ90" s="275">
        <v>-10.32291809629835</v>
      </c>
      <c r="AK90" s="275">
        <v>-10.27794187346217</v>
      </c>
      <c r="AL90" s="275">
        <v>-10.232996367871481</v>
      </c>
      <c r="AM90" s="275">
        <v>-10.18809089936483</v>
      </c>
      <c r="AN90" s="275">
        <v>-10.143234914811069</v>
      </c>
      <c r="AO90" s="275">
        <v>-10.098437965727941</v>
      </c>
      <c r="AP90" s="275">
        <v>-10.05370968527485</v>
      </c>
      <c r="AQ90" s="275">
        <v>-10.009059764684711</v>
      </c>
      <c r="AR90" s="275">
        <v>-9.964497929196666</v>
      </c>
      <c r="AS90" s="275">
        <v>-9.9200339135480444</v>
      </c>
      <c r="AT90" s="275">
        <v>-9.8756774370816611</v>
      </c>
      <c r="AU90" s="275">
        <v>-9.8314381785220526</v>
      </c>
      <c r="AV90" s="275">
        <v>-9.7873257504737694</v>
      </c>
      <c r="AW90" s="275">
        <v>-9.7433496736947962</v>
      </c>
      <c r="AX90" s="275">
        <v>-9.6995193511998519</v>
      </c>
      <c r="AY90" s="275">
        <v>-9.6558440422512888</v>
      </c>
      <c r="AZ90" s="275">
        <v>-9.6123328362998635</v>
      </c>
      <c r="BA90" s="275">
        <v>-9.568994626943585</v>
      </c>
      <c r="BB90" s="275">
        <v>-9.525838085980352</v>
      </c>
      <c r="BC90" s="275">
        <v>-9.4828716376386932</v>
      </c>
      <c r="BD90" s="275">
        <v>-9.4401034330807398</v>
      </c>
      <c r="BE90" s="275">
        <v>-9.3975413252820381</v>
      </c>
      <c r="BF90" s="275">
        <v>-9.3551928444038506</v>
      </c>
      <c r="BG90" s="275">
        <v>-9.3130651737843806</v>
      </c>
      <c r="BH90" s="275">
        <v>-9.2711651266864141</v>
      </c>
      <c r="BI90" s="275">
        <v>-9.2294991239479724</v>
      </c>
      <c r="BJ90" s="275">
        <v>-9.1880731726915794</v>
      </c>
      <c r="BK90" s="275">
        <v>-9.1468928462538965</v>
      </c>
      <c r="BL90" s="275">
        <v>-9.1059632655017033</v>
      </c>
      <c r="BM90" s="275">
        <v>-9.0652890817020246</v>
      </c>
      <c r="BN90" s="275">
        <v>-9.0248744611121499</v>
      </c>
      <c r="BO90" s="275">
        <v>-8.9847230714506665</v>
      </c>
      <c r="BP90" s="275">
        <v>-8.9448380704017847</v>
      </c>
      <c r="BQ90" s="275">
        <v>-8.9052220962933948</v>
      </c>
      <c r="BR90" s="275">
        <v>-8.8658772610730345</v>
      </c>
      <c r="BS90" s="275">
        <v>-8.8268051456872154</v>
      </c>
      <c r="BT90" s="275">
        <v>-8.7880067979469274</v>
      </c>
      <c r="BU90" s="275">
        <v>-8.7494827329372473</v>
      </c>
      <c r="BV90" s="275">
        <v>-8.711232936001764</v>
      </c>
      <c r="BW90" s="275">
        <v>-8.6732568683039055</v>
      </c>
      <c r="BX90" s="275">
        <v>-8.6355534749374439</v>
      </c>
      <c r="BY90" s="275">
        <v>-8.5981211955289751</v>
      </c>
      <c r="BZ90" s="275">
        <v>-8.5609579772457831</v>
      </c>
      <c r="CA90" s="275">
        <v>-8.5240612900947816</v>
      </c>
      <c r="CB90" s="275">
        <v>-8.4874281443723003</v>
      </c>
      <c r="CC90" s="275">
        <v>-8.4510551101010503</v>
      </c>
      <c r="CD90" s="275">
        <v>-8.4149383382706091</v>
      </c>
      <c r="CE90" s="275">
        <v>-8.3790735836805084</v>
      </c>
      <c r="CF90" s="275">
        <v>-8.343456229172487</v>
      </c>
      <c r="CG90" s="275">
        <v>-8.3080813110287508</v>
      </c>
      <c r="CH90" s="275">
        <v>-8.2729435453081823</v>
      </c>
      <c r="CI90" s="275">
        <v>-8.2380373548907873</v>
      </c>
      <c r="CJ90" s="275">
        <v>-8.2033568970027861</v>
      </c>
      <c r="CK90" s="275">
        <v>-8.168896091000537</v>
      </c>
      <c r="CL90" s="275">
        <v>-8.134648646199544</v>
      </c>
      <c r="CM90" s="275">
        <v>-8.1006080895463874</v>
      </c>
      <c r="CN90" s="275">
        <v>-8.066767792944276</v>
      </c>
      <c r="CO90" s="275">
        <v>-8.0331210000581006</v>
      </c>
      <c r="CP90" s="275"/>
      <c r="CQ90" s="276">
        <v>-13.09334820343055</v>
      </c>
      <c r="CR90" s="276">
        <v>-13.03997011073689</v>
      </c>
      <c r="CS90" s="276">
        <v>-12.986624993560641</v>
      </c>
      <c r="CT90" s="276">
        <v>-12.9333160701922</v>
      </c>
      <c r="CU90" s="276">
        <v>-12.88004658569457</v>
      </c>
      <c r="CV90" s="276">
        <v>-12.82681980647178</v>
      </c>
      <c r="CW90" s="276">
        <v>-12.773639014913099</v>
      </c>
      <c r="CX90" s="276">
        <v>-12.720507504193259</v>
      </c>
      <c r="CY90" s="276">
        <v>-12.66742857331305</v>
      </c>
      <c r="CZ90" s="276">
        <v>-12.61440552247107</v>
      </c>
      <c r="DA90" s="276">
        <v>-12.56144164885969</v>
      </c>
      <c r="DB90" s="276">
        <v>-12.5085402429818</v>
      </c>
      <c r="DC90" s="276">
        <v>-12.455704585586391</v>
      </c>
      <c r="DD90" s="276">
        <v>-12.40293794532047</v>
      </c>
      <c r="DE90" s="276">
        <v>-12.35024357719398</v>
      </c>
      <c r="DF90" s="276">
        <v>-12.29762472195026</v>
      </c>
      <c r="DG90" s="276">
        <v>-12.245084606430391</v>
      </c>
      <c r="DH90" s="276">
        <v>-12.19262644501185</v>
      </c>
      <c r="DI90" s="276">
        <v>-12.140253442193419</v>
      </c>
      <c r="DJ90" s="276">
        <v>-12.087968796386431</v>
      </c>
      <c r="DK90" s="276">
        <v>-12.035775704959709</v>
      </c>
      <c r="DL90" s="276">
        <v>-11.983677370569749</v>
      </c>
      <c r="DM90" s="276">
        <v>-11.931677008789491</v>
      </c>
      <c r="DN90" s="276">
        <v>-11.879777857030501</v>
      </c>
      <c r="DO90" s="276">
        <v>-11.82798318473032</v>
      </c>
      <c r="DP90" s="276">
        <v>-11.77629630475397</v>
      </c>
      <c r="DQ90" s="276">
        <v>-11.724720585933101</v>
      </c>
      <c r="DR90" s="276">
        <v>-11.67325946663928</v>
      </c>
      <c r="DS90" s="276">
        <v>-11.62191646926016</v>
      </c>
      <c r="DT90" s="276">
        <v>-11.57069521541835</v>
      </c>
      <c r="DU90" s="276">
        <v>-11.51959944174344</v>
      </c>
      <c r="DV90" s="276">
        <v>-11.468633015977961</v>
      </c>
      <c r="DW90" s="276">
        <v>-11.41779995316976</v>
      </c>
      <c r="DX90" s="276">
        <v>-11.367104431674131</v>
      </c>
      <c r="DY90" s="276">
        <v>-11.31655080866417</v>
      </c>
      <c r="DZ90" s="276">
        <v>-11.26614363482261</v>
      </c>
      <c r="EA90" s="276">
        <v>-11.215887667868021</v>
      </c>
      <c r="EB90" s="276">
        <v>-11.165787884551319</v>
      </c>
      <c r="EC90" s="276">
        <v>-11.115849490745751</v>
      </c>
      <c r="ED90" s="276">
        <v>-11.06607792924687</v>
      </c>
      <c r="EE90" s="276">
        <v>-11.01647888489809</v>
      </c>
      <c r="EF90" s="276">
        <v>-10.967058286663811</v>
      </c>
      <c r="EG90" s="276">
        <v>-10.91782230628565</v>
      </c>
      <c r="EH90" s="276">
        <v>-10.868777353179899</v>
      </c>
      <c r="EI90" s="276">
        <v>-10.81993006526417</v>
      </c>
      <c r="EJ90" s="276">
        <v>-10.771287295441249</v>
      </c>
      <c r="EK90" s="276">
        <v>-10.722856093515929</v>
      </c>
      <c r="EL90" s="276">
        <v>-10.674643683377569</v>
      </c>
      <c r="EM90" s="276">
        <v>-10.62665743534621</v>
      </c>
      <c r="EN90" s="276">
        <v>-10.5789048336524</v>
      </c>
      <c r="EO90" s="276">
        <v>-10.53139343909983</v>
      </c>
      <c r="EP90" s="276">
        <v>-10.48413084704436</v>
      </c>
      <c r="EQ90" s="276">
        <v>-10.437124640910589</v>
      </c>
      <c r="ER90" s="276">
        <v>-10.39038234155792</v>
      </c>
      <c r="ES90" s="276">
        <v>-10.34391135289744</v>
      </c>
      <c r="ET90" s="276">
        <v>-10.29771890425079</v>
      </c>
      <c r="EU90" s="276">
        <v>-10.251811990025249</v>
      </c>
      <c r="EV90" s="276">
        <v>-10.20619730735933</v>
      </c>
      <c r="EW90" s="276">
        <v>-10.160881192462149</v>
      </c>
      <c r="EX90" s="276">
        <v>-10.11586955643072</v>
      </c>
      <c r="EY90" s="276">
        <v>-10.071167821376751</v>
      </c>
      <c r="EZ90" s="276">
        <v>-10.02678085772841</v>
      </c>
      <c r="FA90" s="276">
        <v>-9.9827129235913734</v>
      </c>
      <c r="FB90" s="276">
        <v>-9.9389676070554422</v>
      </c>
      <c r="FC90" s="276">
        <v>-9.8955477723185936</v>
      </c>
      <c r="FD90" s="276">
        <v>-9.8524555104674594</v>
      </c>
      <c r="FE90" s="276">
        <v>-9.8096920957045075</v>
      </c>
      <c r="FF90" s="276">
        <v>-9.7672579477455823</v>
      </c>
      <c r="FG90" s="276">
        <v>-9.7251526010301017</v>
      </c>
      <c r="FH90" s="276">
        <v>-9.683374681290271</v>
      </c>
      <c r="FI90" s="276">
        <v>-9.6419218899182564</v>
      </c>
      <c r="FJ90" s="272">
        <v>-9.6007909964517548</v>
      </c>
      <c r="FK90" s="272">
        <v>-9.5599778393740742</v>
      </c>
      <c r="FL90" s="272">
        <v>-9.5194773352944448</v>
      </c>
      <c r="FM90" s="272">
        <v>-9.4792834964434132</v>
      </c>
      <c r="FN90" s="272">
        <v>-9.4393894562875236</v>
      </c>
      <c r="FO90" s="272">
        <v>-9.3997875029422762</v>
      </c>
      <c r="FP90" s="272">
        <v>-9.3604691199428292</v>
      </c>
      <c r="FQ90" s="272">
        <v>-9.3214250338232265</v>
      </c>
      <c r="FR90" s="272">
        <v>-9.2826452678570419</v>
      </c>
      <c r="FS90" s="272">
        <v>-9.2441192012294771</v>
      </c>
      <c r="FT90" s="272">
        <v>-9.205835632842259</v>
      </c>
      <c r="FU90" s="272">
        <v>-9.1677828489016751</v>
      </c>
      <c r="FV90" s="272">
        <v>-9.1299486934055984</v>
      </c>
      <c r="FW90" s="272">
        <v>-9.0923206406285217</v>
      </c>
      <c r="FX90" s="272">
        <v>-9.0548858687039431</v>
      </c>
      <c r="FY90" s="272">
        <v>-9.0176313334206384</v>
      </c>
      <c r="FZ90" s="272">
        <v>-8.9805438413812571</v>
      </c>
      <c r="GA90" s="272">
        <v>-8.9436101217185957</v>
      </c>
      <c r="GB90" s="272">
        <v>-8.9068168956237628</v>
      </c>
      <c r="GC90" s="272">
        <v>-8.8701509430096834</v>
      </c>
    </row>
    <row r="91" spans="2:185" ht="15" thickBot="1" x14ac:dyDescent="0.4">
      <c r="B91" s="298">
        <v>85</v>
      </c>
      <c r="C91" s="275">
        <v>-11.990164282584789</v>
      </c>
      <c r="D91" s="275">
        <v>-11.947713709640389</v>
      </c>
      <c r="E91" s="275">
        <v>-11.905143367237221</v>
      </c>
      <c r="F91" s="275">
        <v>-11.862453310241699</v>
      </c>
      <c r="G91" s="275">
        <v>-11.819643807375609</v>
      </c>
      <c r="H91" s="275">
        <v>-11.7767153532583</v>
      </c>
      <c r="I91" s="275">
        <v>-11.73366868022719</v>
      </c>
      <c r="J91" s="275">
        <v>-11.690504769847189</v>
      </c>
      <c r="K91" s="275">
        <v>-11.6472248640177</v>
      </c>
      <c r="L91" s="275">
        <v>-11.603830475582679</v>
      </c>
      <c r="M91" s="275">
        <v>-11.56032339834884</v>
      </c>
      <c r="N91" s="275">
        <v>-11.51670571641661</v>
      </c>
      <c r="O91" s="275">
        <v>-11.472979812729751</v>
      </c>
      <c r="P91" s="275">
        <v>-11.42914837675173</v>
      </c>
      <c r="Q91" s="275">
        <v>-11.38521441118082</v>
      </c>
      <c r="R91" s="275">
        <v>-11.34118123762034</v>
      </c>
      <c r="S91" s="275">
        <v>-11.29705250112668</v>
      </c>
      <c r="T91" s="275">
        <v>-11.252832173564901</v>
      </c>
      <c r="U91" s="275">
        <v>-11.208524555709751</v>
      </c>
      <c r="V91" s="275">
        <v>-11.16413427803886</v>
      </c>
      <c r="W91" s="275">
        <v>-11.11966630017529</v>
      </c>
      <c r="X91" s="275">
        <v>-11.07512590894601</v>
      </c>
      <c r="Y91" s="275">
        <v>-11.030518715034731</v>
      </c>
      <c r="Z91" s="275">
        <v>-10.985850648217561</v>
      </c>
      <c r="AA91" s="275">
        <v>-10.941127951181549</v>
      </c>
      <c r="AB91" s="275">
        <v>-10.896357171936479</v>
      </c>
      <c r="AC91" s="275">
        <v>-10.85154515484059</v>
      </c>
      <c r="AD91" s="275">
        <v>-10.80669903027071</v>
      </c>
      <c r="AE91" s="275">
        <v>-10.761826202975859</v>
      </c>
      <c r="AF91" s="275">
        <v>-10.71693433916135</v>
      </c>
      <c r="AG91" s="275">
        <v>-10.672031352357029</v>
      </c>
      <c r="AH91" s="275">
        <v>-10.627125388129389</v>
      </c>
      <c r="AI91" s="275">
        <v>-10.582224807700969</v>
      </c>
      <c r="AJ91" s="275">
        <v>-10.53733817054445</v>
      </c>
      <c r="AK91" s="275">
        <v>-10.492474216020319</v>
      </c>
      <c r="AL91" s="275">
        <v>-10.447641844128301</v>
      </c>
      <c r="AM91" s="275">
        <v>-10.40285009544249</v>
      </c>
      <c r="AN91" s="275">
        <v>-10.35810813029939</v>
      </c>
      <c r="AO91" s="275">
        <v>-10.313425207306359</v>
      </c>
      <c r="AP91" s="275">
        <v>-10.26881066123611</v>
      </c>
      <c r="AQ91" s="275">
        <v>-10.224273880370349</v>
      </c>
      <c r="AR91" s="275">
        <v>-10.17982428335365</v>
      </c>
      <c r="AS91" s="275">
        <v>-10.135471295616121</v>
      </c>
      <c r="AT91" s="275">
        <v>-10.09122432542201</v>
      </c>
      <c r="AU91" s="275">
        <v>-10.04709273960006</v>
      </c>
      <c r="AV91" s="275">
        <v>-10.00308583901135</v>
      </c>
      <c r="AW91" s="275">
        <v>-9.9592128338106605</v>
      </c>
      <c r="AX91" s="275">
        <v>-9.9154828185597221</v>
      </c>
      <c r="AY91" s="275">
        <v>-9.8719047472531436</v>
      </c>
      <c r="AZ91" s="275">
        <v>-9.828487408322319</v>
      </c>
      <c r="BA91" s="275">
        <v>-9.7852393996879048</v>
      </c>
      <c r="BB91" s="275">
        <v>-9.7421691039379681</v>
      </c>
      <c r="BC91" s="275">
        <v>-9.6992846637163836</v>
      </c>
      <c r="BD91" s="275">
        <v>-9.6565939574144384</v>
      </c>
      <c r="BE91" s="275">
        <v>-9.6141045752673548</v>
      </c>
      <c r="BF91" s="275">
        <v>-9.5718237959666528</v>
      </c>
      <c r="BG91" s="275">
        <v>-9.5297585639083113</v>
      </c>
      <c r="BH91" s="275">
        <v>-9.4879154672051325</v>
      </c>
      <c r="BI91" s="275">
        <v>-9.4463007165996604</v>
      </c>
      <c r="BJ91" s="275">
        <v>-9.4049201254202437</v>
      </c>
      <c r="BK91" s="275">
        <v>-9.363779090727764</v>
      </c>
      <c r="BL91" s="275">
        <v>-9.3228825758032308</v>
      </c>
      <c r="BM91" s="275">
        <v>-9.28223509412671</v>
      </c>
      <c r="BN91" s="275">
        <v>-9.2418406949957763</v>
      </c>
      <c r="BO91" s="275">
        <v>-9.2017029509264354</v>
      </c>
      <c r="BP91" s="275">
        <v>-9.1618249469707731</v>
      </c>
      <c r="BQ91" s="275">
        <v>-9.1222092720746488</v>
      </c>
      <c r="BR91" s="275">
        <v>-9.0828580125837721</v>
      </c>
      <c r="BS91" s="275">
        <v>-9.0437727479893333</v>
      </c>
      <c r="BT91" s="275">
        <v>-9.004954548984303</v>
      </c>
      <c r="BU91" s="275">
        <v>-8.9664039778790912</v>
      </c>
      <c r="BV91" s="275">
        <v>-8.9281210914012963</v>
      </c>
      <c r="BW91" s="275">
        <v>-8.8901054458788504</v>
      </c>
      <c r="BX91" s="275">
        <v>-8.8523561047795685</v>
      </c>
      <c r="BY91" s="275">
        <v>-8.8148716485541261</v>
      </c>
      <c r="BZ91" s="275">
        <v>-8.7776501867036512</v>
      </c>
      <c r="CA91" s="275">
        <v>-8.7406893719685179</v>
      </c>
      <c r="CB91" s="275">
        <v>-8.7039864165120306</v>
      </c>
      <c r="CC91" s="275">
        <v>-8.6675381099519786</v>
      </c>
      <c r="CD91" s="275">
        <v>-8.631340839074868</v>
      </c>
      <c r="CE91" s="275">
        <v>-8.5953906090526431</v>
      </c>
      <c r="CF91" s="275">
        <v>-8.5596830659694128</v>
      </c>
      <c r="CG91" s="275">
        <v>-8.5242135204575895</v>
      </c>
      <c r="CH91" s="275">
        <v>-8.4889769722371877</v>
      </c>
      <c r="CI91" s="275">
        <v>-8.4539681353503742</v>
      </c>
      <c r="CJ91" s="275">
        <v>-8.419181463884593</v>
      </c>
      <c r="CK91" s="275">
        <v>-8.3846111779818671</v>
      </c>
      <c r="CL91" s="275">
        <v>-8.3502512899385977</v>
      </c>
      <c r="CM91" s="275">
        <v>-8.316095630209853</v>
      </c>
      <c r="CN91" s="275">
        <v>-8.2821378731430038</v>
      </c>
      <c r="CO91" s="275">
        <v>-8.2483715622785301</v>
      </c>
      <c r="CP91" s="275"/>
      <c r="CQ91" s="276">
        <v>-13.325187854220159</v>
      </c>
      <c r="CR91" s="276">
        <v>-13.271901619795941</v>
      </c>
      <c r="CS91" s="276">
        <v>-13.21864921826578</v>
      </c>
      <c r="CT91" s="276">
        <v>-13.16543380374322</v>
      </c>
      <c r="CU91" s="276">
        <v>-13.112258557263029</v>
      </c>
      <c r="CV91" s="276">
        <v>-13.05912668189028</v>
      </c>
      <c r="CW91" s="276">
        <v>-13.00604139792592</v>
      </c>
      <c r="CX91" s="276">
        <v>-12.95300593828194</v>
      </c>
      <c r="CY91" s="276">
        <v>-12.90002354410421</v>
      </c>
      <c r="CZ91" s="276">
        <v>-12.84709746072406</v>
      </c>
      <c r="DA91" s="276">
        <v>-12.79423093402349</v>
      </c>
      <c r="DB91" s="276">
        <v>-12.74142720730023</v>
      </c>
      <c r="DC91" s="276">
        <v>-12.68868951871964</v>
      </c>
      <c r="DD91" s="276">
        <v>-12.63602109944016</v>
      </c>
      <c r="DE91" s="276">
        <v>-12.58342517249652</v>
      </c>
      <c r="DF91" s="276">
        <v>-12.530904952521499</v>
      </c>
      <c r="DG91" s="276">
        <v>-12.478463646381829</v>
      </c>
      <c r="DH91" s="276">
        <v>-12.426104454796279</v>
      </c>
      <c r="DI91" s="276">
        <v>-12.37383057499566</v>
      </c>
      <c r="DJ91" s="276">
        <v>-12.321645204473061</v>
      </c>
      <c r="DK91" s="276">
        <v>-12.26955154586026</v>
      </c>
      <c r="DL91" s="276">
        <v>-12.217552812951441</v>
      </c>
      <c r="DM91" s="276">
        <v>-12.16565223787876</v>
      </c>
      <c r="DN91" s="276">
        <v>-12.11385307942615</v>
      </c>
      <c r="DO91" s="276">
        <v>-12.06215863244741</v>
      </c>
      <c r="DP91" s="276">
        <v>-12.010572238333021</v>
      </c>
      <c r="DQ91" s="276">
        <v>-11.95909729644729</v>
      </c>
      <c r="DR91" s="276">
        <v>-11.90773727643279</v>
      </c>
      <c r="DS91" s="276">
        <v>-11.85649573125399</v>
      </c>
      <c r="DT91" s="276">
        <v>-11.80537631082627</v>
      </c>
      <c r="DU91" s="276">
        <v>-11.7543827760501</v>
      </c>
      <c r="DV91" s="276">
        <v>-11.703519013044771</v>
      </c>
      <c r="DW91" s="276">
        <v>-11.65278904735001</v>
      </c>
      <c r="DX91" s="276">
        <v>-11.602197057840341</v>
      </c>
      <c r="DY91" s="276">
        <v>-11.55174739007429</v>
      </c>
      <c r="DZ91" s="276">
        <v>-11.50144456878043</v>
      </c>
      <c r="EA91" s="276">
        <v>-11.45129330916526</v>
      </c>
      <c r="EB91" s="276">
        <v>-11.401298526714481</v>
      </c>
      <c r="EC91" s="276">
        <v>-11.351465345149981</v>
      </c>
      <c r="ED91" s="276">
        <v>-11.301799102201089</v>
      </c>
      <c r="EE91" s="276">
        <v>-11.25230535284992</v>
      </c>
      <c r="EF91" s="276">
        <v>-11.20298986971901</v>
      </c>
      <c r="EG91" s="276">
        <v>-11.153858640283721</v>
      </c>
      <c r="EH91" s="276">
        <v>-11.104917860614369</v>
      </c>
      <c r="EI91" s="276">
        <v>-11.056173925382099</v>
      </c>
      <c r="EJ91" s="276">
        <v>-11.00763341390013</v>
      </c>
      <c r="EK91" s="276">
        <v>-10.959303072016549</v>
      </c>
      <c r="EL91" s="276">
        <v>-10.911189789727249</v>
      </c>
      <c r="EM91" s="276">
        <v>-10.863300574436719</v>
      </c>
      <c r="EN91" s="276">
        <v>-10.815642519859811</v>
      </c>
      <c r="EO91" s="276">
        <v>-10.76822277062865</v>
      </c>
      <c r="EP91" s="276">
        <v>-10.72104848274364</v>
      </c>
      <c r="EQ91" s="276">
        <v>-10.67412678008605</v>
      </c>
      <c r="ER91" s="276">
        <v>-10.62746470728875</v>
      </c>
      <c r="ES91" s="276">
        <v>-10.581069179341229</v>
      </c>
      <c r="ET91" s="276">
        <v>-10.534946928382441</v>
      </c>
      <c r="EU91" s="276">
        <v>-10.48910444820854</v>
      </c>
      <c r="EV91" s="276">
        <v>-10.44354793709029</v>
      </c>
      <c r="EW91" s="276">
        <v>-10.39828323955569</v>
      </c>
      <c r="EX91" s="276">
        <v>-10.353315787844281</v>
      </c>
      <c r="EY91" s="276">
        <v>-10.308650543779789</v>
      </c>
      <c r="EZ91" s="276">
        <v>-10.26429194183596</v>
      </c>
      <c r="FA91" s="276">
        <v>-10.22024383418475</v>
      </c>
      <c r="FB91" s="276">
        <v>-10.1765094385162</v>
      </c>
      <c r="FC91" s="276">
        <v>-10.13309128940443</v>
      </c>
      <c r="FD91" s="276">
        <v>-10.08999119396416</v>
      </c>
      <c r="FE91" s="276">
        <v>-10.04721019249736</v>
      </c>
      <c r="FF91" s="276">
        <v>-10.00474852476983</v>
      </c>
      <c r="FG91" s="276">
        <v>-9.9626056024849738</v>
      </c>
      <c r="FH91" s="276">
        <v>-9.9207799884368537</v>
      </c>
      <c r="FI91" s="276">
        <v>-9.8792693827286229</v>
      </c>
      <c r="FJ91" s="272">
        <v>-9.8380706163393015</v>
      </c>
      <c r="FK91" s="272">
        <v>-9.7971796522100227</v>
      </c>
      <c r="FL91" s="272">
        <v>-9.7565915939077428</v>
      </c>
      <c r="FM91" s="272">
        <v>-9.7163007018076577</v>
      </c>
      <c r="FN91" s="272">
        <v>-9.6763004166213911</v>
      </c>
      <c r="FO91" s="272">
        <v>-9.6365833899863915</v>
      </c>
      <c r="FP91" s="272">
        <v>-9.5971415217276199</v>
      </c>
      <c r="FQ91" s="272">
        <v>-9.5579660033050278</v>
      </c>
      <c r="FR91" s="272">
        <v>-9.5190473668745454</v>
      </c>
      <c r="FS91" s="272">
        <v>-9.4803755393154159</v>
      </c>
      <c r="FT91" s="272">
        <v>-9.4419399005157238</v>
      </c>
      <c r="FU91" s="272">
        <v>-9.4037293451612509</v>
      </c>
      <c r="FV91" s="272">
        <v>-9.3657323472408098</v>
      </c>
      <c r="FW91" s="272">
        <v>-9.3279370264649835</v>
      </c>
      <c r="FX91" s="272">
        <v>-9.2903312157931488</v>
      </c>
      <c r="FY91" s="272">
        <v>-9.2529025292771898</v>
      </c>
      <c r="FZ91" s="272">
        <v>-9.2156384294562237</v>
      </c>
      <c r="GA91" s="272">
        <v>-9.1785262935765317</v>
      </c>
      <c r="GB91" s="272">
        <v>-9.1415534779603043</v>
      </c>
      <c r="GC91" s="272">
        <v>-9.1047073799068645</v>
      </c>
    </row>
    <row r="92" spans="2:185" ht="15" thickBot="1" x14ac:dyDescent="0.4">
      <c r="B92" s="298">
        <v>86</v>
      </c>
      <c r="C92" s="275">
        <v>-12.202491068400841</v>
      </c>
      <c r="D92" s="275">
        <v>-12.16005010511963</v>
      </c>
      <c r="E92" s="275">
        <v>-12.117492337770139</v>
      </c>
      <c r="F92" s="275">
        <v>-12.074817927086031</v>
      </c>
      <c r="G92" s="275">
        <v>-12.032027242947519</v>
      </c>
      <c r="H92" s="275">
        <v>-11.989120875642429</v>
      </c>
      <c r="I92" s="275">
        <v>-11.946099646892231</v>
      </c>
      <c r="J92" s="275">
        <v>-11.90296462056086</v>
      </c>
      <c r="K92" s="275">
        <v>-11.85971711296146</v>
      </c>
      <c r="L92" s="275">
        <v>-11.81635870267446</v>
      </c>
      <c r="M92" s="275">
        <v>-11.772891239789489</v>
      </c>
      <c r="N92" s="275">
        <v>-11.72931685448394</v>
      </c>
      <c r="O92" s="275">
        <v>-11.68563796485202</v>
      </c>
      <c r="P92" s="275">
        <v>-11.641857283900681</v>
      </c>
      <c r="Q92" s="275">
        <v>-11.59797782563175</v>
      </c>
      <c r="R92" s="275">
        <v>-11.554002910134651</v>
      </c>
      <c r="S92" s="275">
        <v>-11.50993616761887</v>
      </c>
      <c r="T92" s="275">
        <v>-11.46578154132264</v>
      </c>
      <c r="U92" s="275">
        <v>-11.421543289240891</v>
      </c>
      <c r="V92" s="275">
        <v>-11.37722598462423</v>
      </c>
      <c r="W92" s="275">
        <v>-11.33283451520928</v>
      </c>
      <c r="X92" s="275">
        <v>-11.288374081150151</v>
      </c>
      <c r="Y92" s="275">
        <v>-11.24385019163029</v>
      </c>
      <c r="Z92" s="275">
        <v>-11.19926866014405</v>
      </c>
      <c r="AA92" s="275">
        <v>-11.15463559844682</v>
      </c>
      <c r="AB92" s="275">
        <v>-11.109957409182369</v>
      </c>
      <c r="AC92" s="275">
        <v>-11.06524077720519</v>
      </c>
      <c r="AD92" s="275">
        <v>-11.020492659624351</v>
      </c>
      <c r="AE92" s="275">
        <v>-10.975720274603329</v>
      </c>
      <c r="AF92" s="275">
        <v>-10.93093108895752</v>
      </c>
      <c r="AG92" s="275">
        <v>-10.886132804597359</v>
      </c>
      <c r="AH92" s="275">
        <v>-10.84133334387049</v>
      </c>
      <c r="AI92" s="275">
        <v>-10.796540833860369</v>
      </c>
      <c r="AJ92" s="275">
        <v>-10.751763589702261</v>
      </c>
      <c r="AK92" s="275">
        <v>-10.70701009697971</v>
      </c>
      <c r="AL92" s="275">
        <v>-10.662288993266021</v>
      </c>
      <c r="AM92" s="275">
        <v>-10.61760904887565</v>
      </c>
      <c r="AN92" s="275">
        <v>-10.572979146890351</v>
      </c>
      <c r="AO92" s="275">
        <v>-10.52840826252393</v>
      </c>
      <c r="AP92" s="275">
        <v>-10.48390544188852</v>
      </c>
      <c r="AQ92" s="275">
        <v>-10.43947978022373</v>
      </c>
      <c r="AR92" s="275">
        <v>-10.39514039964846</v>
      </c>
      <c r="AS92" s="275">
        <v>-10.350896426494071</v>
      </c>
      <c r="AT92" s="275">
        <v>-10.30675696827659</v>
      </c>
      <c r="AU92" s="275">
        <v>-10.262731090364911</v>
      </c>
      <c r="AV92" s="275">
        <v>-10.21882779240271</v>
      </c>
      <c r="AW92" s="275">
        <v>-10.17505598454207</v>
      </c>
      <c r="AX92" s="275">
        <v>-10.1314244635495</v>
      </c>
      <c r="AY92" s="275">
        <v>-10.0879418888473</v>
      </c>
      <c r="AZ92" s="275">
        <v>-10.044616758557339</v>
      </c>
      <c r="BA92" s="275">
        <v>-10.00145738561922</v>
      </c>
      <c r="BB92" s="275">
        <v>-9.9584718740601854</v>
      </c>
      <c r="BC92" s="275">
        <v>-9.9156680955008945</v>
      </c>
      <c r="BD92" s="275">
        <v>-9.8730536659881167</v>
      </c>
      <c r="BE92" s="275">
        <v>-9.830635923252693</v>
      </c>
      <c r="BF92" s="275">
        <v>-9.7884219044989642</v>
      </c>
      <c r="BG92" s="275">
        <v>-9.7464183248388672</v>
      </c>
      <c r="BH92" s="275">
        <v>-9.704631556491103</v>
      </c>
      <c r="BI92" s="275">
        <v>-9.6630676088716161</v>
      </c>
      <c r="BJ92" s="275">
        <v>-9.621732109706576</v>
      </c>
      <c r="BK92" s="275">
        <v>-9.5806302873024141</v>
      </c>
      <c r="BL92" s="275">
        <v>-9.5397669541089201</v>
      </c>
      <c r="BM92" s="275">
        <v>-9.4991464917109489</v>
      </c>
      <c r="BN92" s="275">
        <v>-9.4587728373812432</v>
      </c>
      <c r="BO92" s="275">
        <v>-9.4186494723214036</v>
      </c>
      <c r="BP92" s="275">
        <v>-9.378779411710024</v>
      </c>
      <c r="BQ92" s="275">
        <v>-9.3391651966662295</v>
      </c>
      <c r="BR92" s="275">
        <v>-9.2998088882234224</v>
      </c>
      <c r="BS92" s="275">
        <v>-9.2607120633923685</v>
      </c>
      <c r="BT92" s="275">
        <v>-9.2218758133745649</v>
      </c>
      <c r="BU92" s="275">
        <v>-9.1833007439670595</v>
      </c>
      <c r="BV92" s="275">
        <v>-9.1449869781783608</v>
      </c>
      <c r="BW92" s="275">
        <v>-9.1069341610524575</v>
      </c>
      <c r="BX92" s="275">
        <v>-9.0691414666750383</v>
      </c>
      <c r="BY92" s="275">
        <v>-9.031607607312651</v>
      </c>
      <c r="BZ92" s="275">
        <v>-8.9943308446128896</v>
      </c>
      <c r="CA92" s="275">
        <v>-8.9573090027718649</v>
      </c>
      <c r="CB92" s="275">
        <v>-8.920539483554851</v>
      </c>
      <c r="CC92" s="275">
        <v>-8.8840192830377607</v>
      </c>
      <c r="CD92" s="275">
        <v>-8.8477450099204908</v>
      </c>
      <c r="CE92" s="275">
        <v>-8.8117129052499159</v>
      </c>
      <c r="CF92" s="275">
        <v>-8.7759188633790561</v>
      </c>
      <c r="CG92" s="275">
        <v>-8.7403584539812318</v>
      </c>
      <c r="CH92" s="275">
        <v>-8.7050269449326336</v>
      </c>
      <c r="CI92" s="275">
        <v>-8.6699193258747389</v>
      </c>
      <c r="CJ92" s="275">
        <v>-8.6350303322686202</v>
      </c>
      <c r="CK92" s="275">
        <v>-8.6003544697563115</v>
      </c>
      <c r="CL92" s="275">
        <v>-8.5658860386500049</v>
      </c>
      <c r="CM92" s="275">
        <v>-8.5316191583777723</v>
      </c>
      <c r="CN92" s="275">
        <v>-8.4975477917238358</v>
      </c>
      <c r="CO92" s="275">
        <v>-8.4636657687125609</v>
      </c>
      <c r="CP92" s="275"/>
      <c r="CQ92" s="276">
        <v>-13.557072924938209</v>
      </c>
      <c r="CR92" s="276">
        <v>-13.50387758938219</v>
      </c>
      <c r="CS92" s="276">
        <v>-13.450716922244849</v>
      </c>
      <c r="CT92" s="276">
        <v>-13.397594017170309</v>
      </c>
      <c r="CU92" s="276">
        <v>-13.34451199494271</v>
      </c>
      <c r="CV92" s="276">
        <v>-13.29147399908666</v>
      </c>
      <c r="CW92" s="276">
        <v>-13.2384831915801</v>
      </c>
      <c r="CX92" s="276">
        <v>-13.18554274874594</v>
      </c>
      <c r="CY92" s="276">
        <v>-13.13265585739364</v>
      </c>
      <c r="CZ92" s="276">
        <v>-13.07982571128438</v>
      </c>
      <c r="DA92" s="276">
        <v>-13.02705550799576</v>
      </c>
      <c r="DB92" s="276">
        <v>-12.974348446263329</v>
      </c>
      <c r="DC92" s="276">
        <v>-12.921707723876001</v>
      </c>
      <c r="DD92" s="276">
        <v>-12.869136536201751</v>
      </c>
      <c r="DE92" s="276">
        <v>-12.81663807541694</v>
      </c>
      <c r="DF92" s="276">
        <v>-12.76421553050942</v>
      </c>
      <c r="DG92" s="276">
        <v>-12.71187208811949</v>
      </c>
      <c r="DH92" s="276">
        <v>-12.659610934276079</v>
      </c>
      <c r="DI92" s="276">
        <v>-12.60743525707686</v>
      </c>
      <c r="DJ92" s="276">
        <v>-12.55534825035047</v>
      </c>
      <c r="DK92" s="276">
        <v>-12.503353118326871</v>
      </c>
      <c r="DL92" s="276">
        <v>-12.45145308132842</v>
      </c>
      <c r="DM92" s="276">
        <v>-12.39965138247835</v>
      </c>
      <c r="DN92" s="276">
        <v>-12.347951295406711</v>
      </c>
      <c r="DO92" s="276">
        <v>-12.296356132915079</v>
      </c>
      <c r="DP92" s="276">
        <v>-12.244869256541749</v>
      </c>
      <c r="DQ92" s="276">
        <v>-12.19349408694773</v>
      </c>
      <c r="DR92" s="276">
        <v>-12.14223411502249</v>
      </c>
      <c r="DS92" s="276">
        <v>-12.091092913585239</v>
      </c>
      <c r="DT92" s="276">
        <v>-12.04007414953467</v>
      </c>
      <c r="DU92" s="276">
        <v>-11.989181596276991</v>
      </c>
      <c r="DV92" s="276">
        <v>-11.938419146239539</v>
      </c>
      <c r="DW92" s="276">
        <v>-11.887790823254599</v>
      </c>
      <c r="DX92" s="276">
        <v>-11.83730079457794</v>
      </c>
      <c r="DY92" s="276">
        <v>-11.786953382287461</v>
      </c>
      <c r="DZ92" s="276">
        <v>-11.736753073790069</v>
      </c>
      <c r="EA92" s="276">
        <v>-11.686704531151941</v>
      </c>
      <c r="EB92" s="276">
        <v>-11.63681259895607</v>
      </c>
      <c r="EC92" s="276">
        <v>-11.587082310385471</v>
      </c>
      <c r="ED92" s="276">
        <v>-11.537518891227959</v>
      </c>
      <c r="EE92" s="276">
        <v>-11.488127761502771</v>
      </c>
      <c r="EF92" s="276">
        <v>-11.438914534417471</v>
      </c>
      <c r="EG92" s="276">
        <v>-11.389885012379811</v>
      </c>
      <c r="EH92" s="276">
        <v>-11.34104517981007</v>
      </c>
      <c r="EI92" s="276">
        <v>-11.29240119252826</v>
      </c>
      <c r="EJ92" s="276">
        <v>-11.24395936352521</v>
      </c>
      <c r="EK92" s="276">
        <v>-11.19572614496828</v>
      </c>
      <c r="EL92" s="276">
        <v>-11.147708106340369</v>
      </c>
      <c r="EM92" s="276">
        <v>-11.09991190866449</v>
      </c>
      <c r="EN92" s="276">
        <v>-11.052344274825909</v>
      </c>
      <c r="EO92" s="276">
        <v>-11.00501195606636</v>
      </c>
      <c r="EP92" s="276">
        <v>-10.95792169479275</v>
      </c>
      <c r="EQ92" s="276">
        <v>-10.911080183911681</v>
      </c>
      <c r="ER92" s="276">
        <v>-10.86449402297111</v>
      </c>
      <c r="ES92" s="276">
        <v>-10.81816967146041</v>
      </c>
      <c r="ET92" s="276">
        <v>-10.772113399687839</v>
      </c>
      <c r="EU92" s="276">
        <v>-10.726331237717829</v>
      </c>
      <c r="EV92" s="276">
        <v>-10.68082892291009</v>
      </c>
      <c r="EW92" s="276">
        <v>-10.635611846653781</v>
      </c>
      <c r="EX92" s="276">
        <v>-10.590685000933821</v>
      </c>
      <c r="EY92" s="276">
        <v>-10.54605292540033</v>
      </c>
      <c r="EZ92" s="276">
        <v>-10.501719655635121</v>
      </c>
      <c r="FA92" s="276">
        <v>-10.457688673320209</v>
      </c>
      <c r="FB92" s="276">
        <v>-10.41396285901194</v>
      </c>
      <c r="FC92" s="276">
        <v>-10.37054444820912</v>
      </c>
      <c r="FD92" s="276">
        <v>-10.32743499137664</v>
      </c>
      <c r="FE92" s="276">
        <v>-10.28463531854416</v>
      </c>
      <c r="FF92" s="276">
        <v>-10.242145509046489</v>
      </c>
      <c r="FG92" s="276">
        <v>-10.199964866907109</v>
      </c>
      <c r="FH92" s="276">
        <v>-10.15809190229025</v>
      </c>
      <c r="FI92" s="276">
        <v>-10.11652431936264</v>
      </c>
      <c r="FJ92" s="272">
        <v>-10.07525901081358</v>
      </c>
      <c r="FK92" s="272">
        <v>-10.03429205918404</v>
      </c>
      <c r="FL92" s="272">
        <v>-9.993618745055274</v>
      </c>
      <c r="FM92" s="272">
        <v>-9.9532335620441525</v>
      </c>
      <c r="FN92" s="272">
        <v>-9.9131302384519007</v>
      </c>
      <c r="FO92" s="272">
        <v>-9.8733017653142294</v>
      </c>
      <c r="FP92" s="272">
        <v>-9.8337404305080174</v>
      </c>
      <c r="FQ92" s="272">
        <v>-9.7944378584841143</v>
      </c>
      <c r="FR92" s="272">
        <v>-9.7553850551185395</v>
      </c>
      <c r="FS92" s="272">
        <v>-9.7165724571082723</v>
      </c>
      <c r="FT92" s="272">
        <v>-9.6779899852823554</v>
      </c>
      <c r="FU92" s="272">
        <v>-9.6396271011573855</v>
      </c>
      <c r="FV92" s="272">
        <v>-9.601472866036076</v>
      </c>
      <c r="FW92" s="272">
        <v>-9.5635160019322054</v>
      </c>
      <c r="FX92" s="272">
        <v>-9.5257449536019205</v>
      </c>
      <c r="FY92" s="272">
        <v>-9.4881479509710847</v>
      </c>
      <c r="FZ92" s="272">
        <v>-9.4507130712701617</v>
      </c>
      <c r="GA92" s="272">
        <v>-9.4134283002210388</v>
      </c>
      <c r="GB92" s="272">
        <v>-9.3762815916625026</v>
      </c>
      <c r="GC92" s="272">
        <v>-9.3392609250527787</v>
      </c>
    </row>
    <row r="93" spans="2:185" ht="15" thickBot="1" x14ac:dyDescent="0.4">
      <c r="B93" s="298">
        <v>87</v>
      </c>
      <c r="C93" s="275">
        <v>-12.41482317085929</v>
      </c>
      <c r="D93" s="275">
        <v>-12.372393338734391</v>
      </c>
      <c r="E93" s="275">
        <v>-12.32984962292119</v>
      </c>
      <c r="F93" s="275">
        <v>-12.287192283205369</v>
      </c>
      <c r="G93" s="275">
        <v>-12.244421783778501</v>
      </c>
      <c r="H93" s="275">
        <v>-12.201538803766621</v>
      </c>
      <c r="I93" s="275">
        <v>-12.158544247513699</v>
      </c>
      <c r="J93" s="275">
        <v>-12.1154392545437</v>
      </c>
      <c r="K93" s="275">
        <v>-12.0722252091228</v>
      </c>
      <c r="L93" s="275">
        <v>-12.028903749341969</v>
      </c>
      <c r="M93" s="275">
        <v>-11.985476775639579</v>
      </c>
      <c r="N93" s="275">
        <v>-11.941946458683949</v>
      </c>
      <c r="O93" s="275">
        <v>-11.89831524653702</v>
      </c>
      <c r="P93" s="275">
        <v>-11.854585871022641</v>
      </c>
      <c r="Q93" s="275">
        <v>-11.81076135322599</v>
      </c>
      <c r="R93" s="275">
        <v>-11.766845008055</v>
      </c>
      <c r="S93" s="275">
        <v>-11.72284044779933</v>
      </c>
      <c r="T93" s="275">
        <v>-11.678751584628809</v>
      </c>
      <c r="U93" s="275">
        <v>-11.63458263197955</v>
      </c>
      <c r="V93" s="275">
        <v>-11.59033810478352</v>
      </c>
      <c r="W93" s="275">
        <v>-11.546022818505261</v>
      </c>
      <c r="X93" s="275">
        <v>-11.50164188695781</v>
      </c>
      <c r="Y93" s="275">
        <v>-11.457200718878561</v>
      </c>
      <c r="Z93" s="275">
        <v>-11.41270501325458</v>
      </c>
      <c r="AA93" s="275">
        <v>-11.368160753395889</v>
      </c>
      <c r="AB93" s="275">
        <v>-11.323574199763531</v>
      </c>
      <c r="AC93" s="275">
        <v>-11.27895188156797</v>
      </c>
      <c r="AD93" s="275">
        <v>-11.23430058716092</v>
      </c>
      <c r="AE93" s="275">
        <v>-11.18962735325125</v>
      </c>
      <c r="AF93" s="275">
        <v>-11.144939452982049</v>
      </c>
      <c r="AG93" s="275">
        <v>-11.100244382911811</v>
      </c>
      <c r="AH93" s="275">
        <v>-11.05554984894796</v>
      </c>
      <c r="AI93" s="275">
        <v>-11.01086375128463</v>
      </c>
      <c r="AJ93" s="275">
        <v>-10.96619416840041</v>
      </c>
      <c r="AK93" s="275">
        <v>-10.92154934017376</v>
      </c>
      <c r="AL93" s="275">
        <v>-10.87693765017594</v>
      </c>
      <c r="AM93" s="275">
        <v>-10.832367607201631</v>
      </c>
      <c r="AN93" s="275">
        <v>-10.787847826098449</v>
      </c>
      <c r="AO93" s="275">
        <v>-10.7433870079558</v>
      </c>
      <c r="AP93" s="275">
        <v>-10.69899391971337</v>
      </c>
      <c r="AQ93" s="275">
        <v>-10.6546773732488</v>
      </c>
      <c r="AR93" s="275">
        <v>-10.61044620400307</v>
      </c>
      <c r="AS93" s="275">
        <v>-10.566309249202019</v>
      </c>
      <c r="AT93" s="275">
        <v>-10.52227532573143</v>
      </c>
      <c r="AU93" s="275">
        <v>-10.478353207723799</v>
      </c>
      <c r="AV93" s="275">
        <v>-10.434551603915001</v>
      </c>
      <c r="AW93" s="275">
        <v>-10.39087913483057</v>
      </c>
      <c r="AX93" s="275">
        <v>-10.347344309863381</v>
      </c>
      <c r="AY93" s="275">
        <v>-10.303955504306909</v>
      </c>
      <c r="AZ93" s="275">
        <v>-10.260720936412239</v>
      </c>
      <c r="BA93" s="275">
        <v>-10.217648644540789</v>
      </c>
      <c r="BB93" s="275">
        <v>-10.174746464490219</v>
      </c>
      <c r="BC93" s="275">
        <v>-10.13202200707593</v>
      </c>
      <c r="BD93" s="275">
        <v>-10.08948263605709</v>
      </c>
      <c r="BE93" s="275">
        <v>-10.04713544650196</v>
      </c>
      <c r="BF93" s="275">
        <v>-10.004987243693501</v>
      </c>
      <c r="BG93" s="275">
        <v>-9.9630445226825248</v>
      </c>
      <c r="BH93" s="275">
        <v>-9.9213134486006158</v>
      </c>
      <c r="BI93" s="275">
        <v>-9.8797998378501504</v>
      </c>
      <c r="BJ93" s="275">
        <v>-9.8385091402920217</v>
      </c>
      <c r="BK93" s="275">
        <v>-9.7974464225539837</v>
      </c>
      <c r="BL93" s="275">
        <v>-9.7566163525830643</v>
      </c>
      <c r="BM93" s="275">
        <v>-9.7160231855642643</v>
      </c>
      <c r="BN93" s="275">
        <v>-9.675670751324267</v>
      </c>
      <c r="BO93" s="275">
        <v>-9.635562443333626</v>
      </c>
      <c r="BP93" s="275">
        <v>-9.5957012094126792</v>
      </c>
      <c r="BQ93" s="275">
        <v>-9.5560895442369009</v>
      </c>
      <c r="BR93" s="275">
        <v>-9.5167294837245695</v>
      </c>
      <c r="BS93" s="275">
        <v>-9.4776226013756659</v>
      </c>
      <c r="BT93" s="275">
        <v>-9.4387700066143818</v>
      </c>
      <c r="BU93" s="275">
        <v>-9.4001723451699792</v>
      </c>
      <c r="BV93" s="275">
        <v>-9.3618298015113144</v>
      </c>
      <c r="BW93" s="275">
        <v>-9.3237421033306713</v>
      </c>
      <c r="BX93" s="275">
        <v>-9.2859085280516442</v>
      </c>
      <c r="BY93" s="275">
        <v>-9.2483279113154886</v>
      </c>
      <c r="BZ93" s="275">
        <v>-9.2109986573801343</v>
      </c>
      <c r="CA93" s="275">
        <v>-9.1739187513466778</v>
      </c>
      <c r="CB93" s="275">
        <v>-9.1370857731101278</v>
      </c>
      <c r="CC93" s="275">
        <v>-9.1004969129146609</v>
      </c>
      <c r="CD93" s="275">
        <v>-9.0641489883791646</v>
      </c>
      <c r="CE93" s="275">
        <v>-9.0280384628464034</v>
      </c>
      <c r="CF93" s="275">
        <v>-8.9921614648992225</v>
      </c>
      <c r="CG93" s="275">
        <v>-8.956513808879814</v>
      </c>
      <c r="CH93" s="275">
        <v>-8.921091016242956</v>
      </c>
      <c r="CI93" s="275">
        <v>-8.8858883375719984</v>
      </c>
      <c r="CJ93" s="275">
        <v>-8.850900775086302</v>
      </c>
      <c r="CK93" s="275">
        <v>-8.8161231054712932</v>
      </c>
      <c r="CL93" s="275">
        <v>-8.7815499028667787</v>
      </c>
      <c r="CM93" s="275">
        <v>-8.7471755618557445</v>
      </c>
      <c r="CN93" s="275">
        <v>-8.7129943203037605</v>
      </c>
      <c r="CO93" s="275">
        <v>-8.6790002819088254</v>
      </c>
      <c r="CP93" s="275"/>
      <c r="CQ93" s="276">
        <v>-13.78900227701903</v>
      </c>
      <c r="CR93" s="276">
        <v>-13.735896897018909</v>
      </c>
      <c r="CS93" s="276">
        <v>-13.682826999637641</v>
      </c>
      <c r="CT93" s="276">
        <v>-13.629795621404879</v>
      </c>
      <c r="CU93" s="276">
        <v>-13.57680582625196</v>
      </c>
      <c r="CV93" s="276">
        <v>-13.52386070155827</v>
      </c>
      <c r="CW93" s="276">
        <v>-13.470963354320499</v>
      </c>
      <c r="CX93" s="276">
        <v>-13.418116907506739</v>
      </c>
      <c r="CY93" s="276">
        <v>-13.365324496658911</v>
      </c>
      <c r="CZ93" s="276">
        <v>-13.31258926681071</v>
      </c>
      <c r="DA93" s="276">
        <v>-13.259914369788801</v>
      </c>
      <c r="DB93" s="276">
        <v>-13.207302961966141</v>
      </c>
      <c r="DC93" s="276">
        <v>-13.15475820253558</v>
      </c>
      <c r="DD93" s="276">
        <v>-13.102283252370761</v>
      </c>
      <c r="DE93" s="276">
        <v>-13.04988127353815</v>
      </c>
      <c r="DF93" s="276">
        <v>-12.99755542952013</v>
      </c>
      <c r="DG93" s="276">
        <v>-12.94530888620389</v>
      </c>
      <c r="DH93" s="276">
        <v>-12.89314481368325</v>
      </c>
      <c r="DI93" s="276">
        <v>-12.841066388913131</v>
      </c>
      <c r="DJ93" s="276">
        <v>-12.789076799245469</v>
      </c>
      <c r="DK93" s="276">
        <v>-12.737179246864629</v>
      </c>
      <c r="DL93" s="276">
        <v>-12.68537695412734</v>
      </c>
      <c r="DM93" s="276">
        <v>-12.633673169797531</v>
      </c>
      <c r="DN93" s="276">
        <v>-12.58207117615105</v>
      </c>
      <c r="DO93" s="276">
        <v>-12.53057429690814</v>
      </c>
      <c r="DP93" s="276">
        <v>-12.479185905933489</v>
      </c>
      <c r="DQ93" s="276">
        <v>-12.42790943662453</v>
      </c>
      <c r="DR93" s="276">
        <v>-12.376748391889</v>
      </c>
      <c r="DS93" s="276">
        <v>-12.325706354592571</v>
      </c>
      <c r="DT93" s="276">
        <v>-12.27478699833634</v>
      </c>
      <c r="DU93" s="276">
        <v>-12.22399409840453</v>
      </c>
      <c r="DV93" s="276">
        <v>-12.17333154270171</v>
      </c>
      <c r="DW93" s="276">
        <v>-12.12280334248068</v>
      </c>
      <c r="DX93" s="276">
        <v>-12.07241364264379</v>
      </c>
      <c r="DY93" s="276">
        <v>-12.022166731384869</v>
      </c>
      <c r="DZ93" s="276">
        <v>-11.972067048924689</v>
      </c>
      <c r="EA93" s="276">
        <v>-11.92211919508231</v>
      </c>
      <c r="EB93" s="276">
        <v>-11.872327935416511</v>
      </c>
      <c r="EC93" s="276">
        <v>-11.82269820566753</v>
      </c>
      <c r="ED93" s="276">
        <v>-11.773235114229831</v>
      </c>
      <c r="EE93" s="276">
        <v>-11.72394394239091</v>
      </c>
      <c r="EF93" s="276">
        <v>-11.674830142081911</v>
      </c>
      <c r="EG93" s="276">
        <v>-11.625899330900531</v>
      </c>
      <c r="EH93" s="276">
        <v>-11.577157284188351</v>
      </c>
      <c r="EI93" s="276">
        <v>-11.528609923971221</v>
      </c>
      <c r="EJ93" s="276">
        <v>-11.48026330460446</v>
      </c>
      <c r="EK93" s="276">
        <v>-11.43212359500269</v>
      </c>
      <c r="EL93" s="276">
        <v>-11.384197057378231</v>
      </c>
      <c r="EM93" s="276">
        <v>-11.336490022460961</v>
      </c>
      <c r="EN93" s="276">
        <v>-11.289008861225501</v>
      </c>
      <c r="EO93" s="276">
        <v>-11.241759953208771</v>
      </c>
      <c r="EP93" s="276">
        <v>-11.19474965156085</v>
      </c>
      <c r="EQ93" s="276">
        <v>-11.147984245032831</v>
      </c>
      <c r="ER93" s="276">
        <v>-11.10146991716835</v>
      </c>
      <c r="ES93" s="276">
        <v>-11.05521270302544</v>
      </c>
      <c r="ET93" s="276">
        <v>-11.00921844381579</v>
      </c>
      <c r="EU93" s="276">
        <v>-10.96349273990305</v>
      </c>
      <c r="EV93" s="276">
        <v>-10.91804090265337</v>
      </c>
      <c r="EW93" s="276">
        <v>-10.8728679056758</v>
      </c>
      <c r="EX93" s="276">
        <v>-10.827978336027</v>
      </c>
      <c r="EY93" s="276">
        <v>-10.78337634598371</v>
      </c>
      <c r="EZ93" s="276">
        <v>-10.73906560600488</v>
      </c>
      <c r="FA93" s="276">
        <v>-10.695049259513571</v>
      </c>
      <c r="FB93" s="276">
        <v>-10.65132988012639</v>
      </c>
      <c r="FC93" s="276">
        <v>-10.60790943194341</v>
      </c>
      <c r="FD93" s="276">
        <v>-10.564789233486019</v>
      </c>
      <c r="FE93" s="276">
        <v>-10.521969925832931</v>
      </c>
      <c r="FF93" s="276">
        <v>-10.47945144545608</v>
      </c>
      <c r="FG93" s="276">
        <v>-10.437233002200349</v>
      </c>
      <c r="FH93" s="276">
        <v>-10.395313062783281</v>
      </c>
      <c r="FI93" s="276">
        <v>-10.353689340115711</v>
      </c>
      <c r="FJ93" s="272">
        <v>-10.312358788662729</v>
      </c>
      <c r="FK93" s="272">
        <v>-10.27131760597773</v>
      </c>
      <c r="FL93" s="272">
        <v>-10.23056124045284</v>
      </c>
      <c r="FM93" s="272">
        <v>-10.190084405239221</v>
      </c>
      <c r="FN93" s="272">
        <v>-10.149881098200151</v>
      </c>
      <c r="FO93" s="272">
        <v>-10.10994462767388</v>
      </c>
      <c r="FP93" s="272">
        <v>-10.070267643740049</v>
      </c>
      <c r="FQ93" s="272">
        <v>-10.03084217460794</v>
      </c>
      <c r="FR93" s="272">
        <v>-9.9916596676760676</v>
      </c>
      <c r="FS93" s="272">
        <v>-9.9527110347530083</v>
      </c>
      <c r="FT93" s="272">
        <v>-9.9139867008804075</v>
      </c>
      <c r="FU93" s="272">
        <v>-9.8754766561603233</v>
      </c>
      <c r="FV93" s="272">
        <v>-9.8371705099615632</v>
      </c>
      <c r="FW93" s="272">
        <v>-9.7990575468650043</v>
      </c>
      <c r="FX93" s="272">
        <v>-9.7611267837024176</v>
      </c>
      <c r="FY93" s="272">
        <v>-9.7233670270520509</v>
      </c>
      <c r="FZ93" s="272">
        <v>-9.6857669305703151</v>
      </c>
      <c r="GA93" s="272">
        <v>-9.648315051567792</v>
      </c>
      <c r="GB93" s="272">
        <v>-9.6109999062729496</v>
      </c>
      <c r="GC93" s="272">
        <v>-9.5738100232717347</v>
      </c>
    </row>
    <row r="94" spans="2:185" ht="15" thickBot="1" x14ac:dyDescent="0.4">
      <c r="B94" s="298">
        <v>88</v>
      </c>
      <c r="C94" s="275">
        <v>-12.62716181972891</v>
      </c>
      <c r="D94" s="275">
        <v>-12.58474456736362</v>
      </c>
      <c r="E94" s="275">
        <v>-12.54221630530038</v>
      </c>
      <c r="F94" s="275">
        <v>-12.49957738590809</v>
      </c>
      <c r="G94" s="275">
        <v>-12.45682836120622</v>
      </c>
      <c r="H94" s="275">
        <v>-12.413969992706679</v>
      </c>
      <c r="I94" s="275">
        <v>-12.371003261002761</v>
      </c>
      <c r="J94" s="275">
        <v>-12.32792937503446</v>
      </c>
      <c r="K94" s="275">
        <v>-12.28474978095762</v>
      </c>
      <c r="L94" s="275">
        <v>-12.241466170543161</v>
      </c>
      <c r="M94" s="275">
        <v>-12.1980804890327</v>
      </c>
      <c r="N94" s="275">
        <v>-12.15459494237672</v>
      </c>
      <c r="O94" s="275">
        <v>-12.111012003783379</v>
      </c>
      <c r="P94" s="275">
        <v>-12.067334419507651</v>
      </c>
      <c r="Q94" s="275">
        <v>-12.023565213813731</v>
      </c>
      <c r="R94" s="275">
        <v>-11.97970769304759</v>
      </c>
      <c r="S94" s="275">
        <v>-11.93576544876073</v>
      </c>
      <c r="T94" s="275">
        <v>-11.891742359832181</v>
      </c>
      <c r="U94" s="275">
        <v>-11.847642593541361</v>
      </c>
      <c r="V94" s="275">
        <v>-11.80347060555127</v>
      </c>
      <c r="W94" s="275">
        <v>-11.759231138768881</v>
      </c>
      <c r="X94" s="275">
        <v>-11.71492922105663</v>
      </c>
      <c r="Y94" s="275">
        <v>-11.67057016177734</v>
      </c>
      <c r="Z94" s="275">
        <v>-11.6261595471624</v>
      </c>
      <c r="AA94" s="275">
        <v>-11.581703234501161</v>
      </c>
      <c r="AB94" s="275">
        <v>-11.53720734515729</v>
      </c>
      <c r="AC94" s="275">
        <v>-11.492678256425551</v>
      </c>
      <c r="AD94" s="275">
        <v>-11.448122592249261</v>
      </c>
      <c r="AE94" s="275">
        <v>-11.40354721282576</v>
      </c>
      <c r="AF94" s="275">
        <v>-11.35895920313312</v>
      </c>
      <c r="AG94" s="275">
        <v>-11.314365860416849</v>
      </c>
      <c r="AH94" s="275">
        <v>-11.269774680680079</v>
      </c>
      <c r="AI94" s="275">
        <v>-11.225193344224641</v>
      </c>
      <c r="AJ94" s="275">
        <v>-11.180629700294091</v>
      </c>
      <c r="AK94" s="275">
        <v>-11.13609175087173</v>
      </c>
      <c r="AL94" s="275">
        <v>-11.091587633689119</v>
      </c>
      <c r="AM94" s="275">
        <v>-11.047125604501581</v>
      </c>
      <c r="AN94" s="275">
        <v>-11.00271401868801</v>
      </c>
      <c r="AO94" s="275">
        <v>-10.95836131223265</v>
      </c>
      <c r="AP94" s="275">
        <v>-10.914075982146731</v>
      </c>
      <c r="AQ94" s="275">
        <v>-10.86986656638731</v>
      </c>
      <c r="AR94" s="275">
        <v>-10.825741623331</v>
      </c>
      <c r="AS94" s="275">
        <v>-10.78170971085984</v>
      </c>
      <c r="AT94" s="275">
        <v>-10.73777936511676</v>
      </c>
      <c r="AU94" s="275">
        <v>-10.69395907898865</v>
      </c>
      <c r="AV94" s="275">
        <v>-10.65025728037582</v>
      </c>
      <c r="AW94" s="275">
        <v>-10.60668231030813</v>
      </c>
      <c r="AX94" s="275">
        <v>-10.563242400970131</v>
      </c>
      <c r="AY94" s="275">
        <v>-10.51994565369975</v>
      </c>
      <c r="AZ94" s="275">
        <v>-10.47680001702915</v>
      </c>
      <c r="BA94" s="275">
        <v>-10.433813264838969</v>
      </c>
      <c r="BB94" s="275">
        <v>-10.39099297470276</v>
      </c>
      <c r="BC94" s="275">
        <v>-10.34834650650204</v>
      </c>
      <c r="BD94" s="275">
        <v>-10.305880981398261</v>
      </c>
      <c r="BE94" s="275">
        <v>-10.263603261252539</v>
      </c>
      <c r="BF94" s="275">
        <v>-10.22151992858941</v>
      </c>
      <c r="BG94" s="275">
        <v>-10.179637267205511</v>
      </c>
      <c r="BH94" s="275">
        <v>-10.13796124352822</v>
      </c>
      <c r="BI94" s="275">
        <v>-10.096497488833119</v>
      </c>
      <c r="BJ94" s="275">
        <v>-10.055251282431341</v>
      </c>
      <c r="BK94" s="275">
        <v>-10.01422753593906</v>
      </c>
      <c r="BL94" s="275">
        <v>-9.9734307787416423</v>
      </c>
      <c r="BM94" s="275">
        <v>-9.9328651447626051</v>
      </c>
      <c r="BN94" s="275">
        <v>-9.8925343606442375</v>
      </c>
      <c r="BO94" s="275">
        <v>-9.8524417354411469</v>
      </c>
      <c r="BP94" s="275">
        <v>-9.8125901519204834</v>
      </c>
      <c r="BQ94" s="275">
        <v>-9.7729820595531738</v>
      </c>
      <c r="BR94" s="275">
        <v>-9.7336194692692537</v>
      </c>
      <c r="BS94" s="275">
        <v>-9.6945039500371113</v>
      </c>
      <c r="BT94" s="275">
        <v>-9.65563662731196</v>
      </c>
      <c r="BU94" s="275">
        <v>-9.6170181833827009</v>
      </c>
      <c r="BV94" s="275">
        <v>-9.578648859629153</v>
      </c>
      <c r="BW94" s="275">
        <v>-9.5405284606838858</v>
      </c>
      <c r="BX94" s="275">
        <v>-9.5026563604745942</v>
      </c>
      <c r="BY94" s="275">
        <v>-9.4650315101044544</v>
      </c>
      <c r="BZ94" s="275">
        <v>-9.4276524475103685</v>
      </c>
      <c r="CA94" s="275">
        <v>-9.3905173088213179</v>
      </c>
      <c r="CB94" s="275">
        <v>-9.3536238413234241</v>
      </c>
      <c r="CC94" s="275">
        <v>-9.3169694179230209</v>
      </c>
      <c r="CD94" s="275">
        <v>-9.2805510529865245</v>
      </c>
      <c r="CE94" s="275">
        <v>-9.2443654194242963</v>
      </c>
      <c r="CF94" s="275">
        <v>-9.2084088668768089</v>
      </c>
      <c r="CG94" s="275">
        <v>-9.1726774408543523</v>
      </c>
      <c r="CH94" s="275">
        <v>-9.1371669026770608</v>
      </c>
      <c r="CI94" s="275">
        <v>-9.1018727500591208</v>
      </c>
      <c r="CJ94" s="275">
        <v>-9.0667902381812784</v>
      </c>
      <c r="CK94" s="275">
        <v>-9.0319144010969072</v>
      </c>
      <c r="CL94" s="275">
        <v>-8.9972400733210289</v>
      </c>
      <c r="CM94" s="275">
        <v>-8.9627619114568038</v>
      </c>
      <c r="CN94" s="275">
        <v>-8.9284744157207765</v>
      </c>
      <c r="CO94" s="275">
        <v>-8.8943719512366943</v>
      </c>
      <c r="CP94" s="275"/>
      <c r="CQ94" s="276">
        <v>-14.0209747850776</v>
      </c>
      <c r="CR94" s="276">
        <v>-13.96795843131483</v>
      </c>
      <c r="CS94" s="276">
        <v>-13.914978353413851</v>
      </c>
      <c r="CT94" s="276">
        <v>-13.86203753381699</v>
      </c>
      <c r="CU94" s="276">
        <v>-13.80913898265071</v>
      </c>
      <c r="CV94" s="276">
        <v>-13.756285734174179</v>
      </c>
      <c r="CW94" s="276">
        <v>-13.703480843358969</v>
      </c>
      <c r="CX94" s="276">
        <v>-13.650727382655001</v>
      </c>
      <c r="CY94" s="276">
        <v>-13.5980284390013</v>
      </c>
      <c r="CZ94" s="276">
        <v>-13.54538711114138</v>
      </c>
      <c r="DA94" s="276">
        <v>-13.49280650730374</v>
      </c>
      <c r="DB94" s="276">
        <v>-13.44028974330913</v>
      </c>
      <c r="DC94" s="276">
        <v>-13.38783994116416</v>
      </c>
      <c r="DD94" s="276">
        <v>-13.33546022819975</v>
      </c>
      <c r="DE94" s="276">
        <v>-13.283153736810091</v>
      </c>
      <c r="DF94" s="276">
        <v>-13.230923604842859</v>
      </c>
      <c r="DG94" s="276">
        <v>-13.17877297668651</v>
      </c>
      <c r="DH94" s="276">
        <v>-13.12670500509396</v>
      </c>
      <c r="DI94" s="276">
        <v>-13.074722853773279</v>
      </c>
      <c r="DJ94" s="276">
        <v>-13.02282970076698</v>
      </c>
      <c r="DK94" s="276">
        <v>-12.97102874263096</v>
      </c>
      <c r="DL94" s="276">
        <v>-12.919323199411441</v>
      </c>
      <c r="DM94" s="276">
        <v>-12.86771632040564</v>
      </c>
      <c r="DN94" s="276">
        <v>-12.816211390677109</v>
      </c>
      <c r="DO94" s="276">
        <v>-12.764811738280979</v>
      </c>
      <c r="DP94" s="276">
        <v>-12.7135207421383</v>
      </c>
      <c r="DQ94" s="276">
        <v>-12.66234184048106</v>
      </c>
      <c r="DR94" s="276">
        <v>-12.61127853977198</v>
      </c>
      <c r="DS94" s="276">
        <v>-12.560334423984759</v>
      </c>
      <c r="DT94" s="276">
        <v>-12.50951316411259</v>
      </c>
      <c r="DU94" s="276">
        <v>-12.458818527754509</v>
      </c>
      <c r="DV94" s="276">
        <v>-12.40825438861201</v>
      </c>
      <c r="DW94" s="276">
        <v>-12.35782473571167</v>
      </c>
      <c r="DX94" s="276">
        <v>-12.307533682154819</v>
      </c>
      <c r="DY94" s="276">
        <v>-12.257385473180911</v>
      </c>
      <c r="DZ94" s="276">
        <v>-12.207384493321371</v>
      </c>
      <c r="EA94" s="276">
        <v>-12.15753527241066</v>
      </c>
      <c r="EB94" s="276">
        <v>-12.107842490216569</v>
      </c>
      <c r="EC94" s="276">
        <v>-12.05831097944921</v>
      </c>
      <c r="ED94" s="276">
        <v>-12.00894572690974</v>
      </c>
      <c r="EE94" s="276">
        <v>-11.95975187254623</v>
      </c>
      <c r="EF94" s="276">
        <v>-11.91073470619434</v>
      </c>
      <c r="EG94" s="276">
        <v>-11.861899661795521</v>
      </c>
      <c r="EH94" s="276">
        <v>-11.81325230890655</v>
      </c>
      <c r="EI94" s="276">
        <v>-11.76479834133916</v>
      </c>
      <c r="EJ94" s="276">
        <v>-11.716543562798931</v>
      </c>
      <c r="EK94" s="276">
        <v>-11.668493869428691</v>
      </c>
      <c r="EL94" s="276">
        <v>-11.620655229201169</v>
      </c>
      <c r="EM94" s="276">
        <v>-11.573033658150189</v>
      </c>
      <c r="EN94" s="276">
        <v>-11.52563519347788</v>
      </c>
      <c r="EO94" s="276">
        <v>-11.478465863626329</v>
      </c>
      <c r="EP94" s="276">
        <v>-11.43153165545499</v>
      </c>
      <c r="EQ94" s="276">
        <v>-11.384838478720329</v>
      </c>
      <c r="ER94" s="276">
        <v>-11.33839212810808</v>
      </c>
      <c r="ES94" s="276">
        <v>-11.29219824312297</v>
      </c>
      <c r="ET94" s="276">
        <v>-11.246262266192041</v>
      </c>
      <c r="EU94" s="276">
        <v>-11.20058939938624</v>
      </c>
      <c r="EV94" s="276">
        <v>-11.155184560209319</v>
      </c>
      <c r="EW94" s="276">
        <v>-11.110052336940671</v>
      </c>
      <c r="EX94" s="276">
        <v>-11.065196944051211</v>
      </c>
      <c r="EY94" s="276">
        <v>-11.020622178234531</v>
      </c>
      <c r="EZ94" s="276">
        <v>-10.976331375611471</v>
      </c>
      <c r="FA94" s="276">
        <v>-10.932327370672009</v>
      </c>
      <c r="FB94" s="276">
        <v>-10.88861245751449</v>
      </c>
      <c r="FC94" s="276">
        <v>-10.84518835392883</v>
      </c>
      <c r="FD94" s="276">
        <v>-10.80205616884597</v>
      </c>
      <c r="FE94" s="276">
        <v>-10.759216373642371</v>
      </c>
      <c r="FF94" s="276">
        <v>-10.716668777744751</v>
      </c>
      <c r="FG94" s="276">
        <v>-10.674412508928141</v>
      </c>
      <c r="FH94" s="276">
        <v>-10.632445998640261</v>
      </c>
      <c r="FI94" s="276">
        <v>-10.59076697261832</v>
      </c>
      <c r="FJ94" s="272">
        <v>-10.5493724469915</v>
      </c>
      <c r="FK94" s="272">
        <v>-10.508258729986469</v>
      </c>
      <c r="FL94" s="272">
        <v>-10.46742142927334</v>
      </c>
      <c r="FM94" s="272">
        <v>-10.426855464910091</v>
      </c>
      <c r="FN94" s="272">
        <v>-10.386555087763661</v>
      </c>
      <c r="FO94" s="272">
        <v>-10.3465139032094</v>
      </c>
      <c r="FP94" s="272">
        <v>-10.30672489983681</v>
      </c>
      <c r="FQ94" s="272">
        <v>-10.26718048282279</v>
      </c>
      <c r="FR94" s="272">
        <v>-10.227872511571521</v>
      </c>
      <c r="FS94" s="272">
        <v>-10.18879234116768</v>
      </c>
      <c r="FT94" s="272">
        <v>-10.149930867145329</v>
      </c>
      <c r="FU94" s="272">
        <v>-10.11127857303862</v>
      </c>
      <c r="FV94" s="272">
        <v>-10.07282558015754</v>
      </c>
      <c r="FW94" s="272">
        <v>-10.034561699014549</v>
      </c>
      <c r="FX94" s="272">
        <v>-9.9964764818249527</v>
      </c>
      <c r="FY94" s="272">
        <v>-9.9585592755079411</v>
      </c>
      <c r="FZ94" s="272">
        <v>-9.9207992746297595</v>
      </c>
      <c r="GA94" s="272">
        <v>-9.8831855737534902</v>
      </c>
      <c r="GB94" s="272">
        <v>-9.8457072186906238</v>
      </c>
      <c r="GC94" s="272">
        <v>-9.808353256187786</v>
      </c>
    </row>
    <row r="95" spans="2:185" ht="15" thickBot="1" x14ac:dyDescent="0.4">
      <c r="B95" s="298">
        <v>89</v>
      </c>
      <c r="C95" s="275">
        <v>-12.839508141787491</v>
      </c>
      <c r="D95" s="275">
        <v>-12.797104846907009</v>
      </c>
      <c r="E95" s="275">
        <v>-12.75459336876672</v>
      </c>
      <c r="F95" s="275">
        <v>-12.711974146180561</v>
      </c>
      <c r="G95" s="275">
        <v>-12.66924781285825</v>
      </c>
      <c r="H95" s="275">
        <v>-12.626415206603131</v>
      </c>
      <c r="I95" s="275">
        <v>-12.58347737825147</v>
      </c>
      <c r="J95" s="275">
        <v>-12.54043560028745</v>
      </c>
      <c r="K95" s="275">
        <v>-12.4972913750667</v>
      </c>
      <c r="L95" s="275">
        <v>-12.454046442580401</v>
      </c>
      <c r="M95" s="275">
        <v>-12.41070278769187</v>
      </c>
      <c r="N95" s="275">
        <v>-12.367262646778091</v>
      </c>
      <c r="O95" s="275">
        <v>-12.32372851370976</v>
      </c>
      <c r="P95" s="275">
        <v>-12.28010314510575</v>
      </c>
      <c r="Q95" s="275">
        <v>-12.236389564800421</v>
      </c>
      <c r="R95" s="275">
        <v>-12.19259106746606</v>
      </c>
      <c r="S95" s="275">
        <v>-12.148711221336621</v>
      </c>
      <c r="T95" s="275">
        <v>-12.104753869984201</v>
      </c>
      <c r="U95" s="275">
        <v>-12.06072313310495</v>
      </c>
      <c r="V95" s="275">
        <v>-12.016623406277439</v>
      </c>
      <c r="W95" s="275">
        <v>-11.97245935966259</v>
      </c>
      <c r="X95" s="275">
        <v>-11.92823593562173</v>
      </c>
      <c r="Y95" s="275">
        <v>-11.88395834523565</v>
      </c>
      <c r="Z95" s="275">
        <v>-11.839632063715399</v>
      </c>
      <c r="AA95" s="275">
        <v>-11.79526282470241</v>
      </c>
      <c r="AB95" s="275">
        <v>-11.75085661346257</v>
      </c>
      <c r="AC95" s="275">
        <v>-11.706419658986061</v>
      </c>
      <c r="AD95" s="275">
        <v>-11.66195842501094</v>
      </c>
      <c r="AE95" s="275">
        <v>-11.61747959999497</v>
      </c>
      <c r="AF95" s="275">
        <v>-11.572990086065451</v>
      </c>
      <c r="AG95" s="275">
        <v>-11.52849698698232</v>
      </c>
      <c r="AH95" s="275">
        <v>-11.48400759515393</v>
      </c>
      <c r="AI95" s="275">
        <v>-11.439529377749089</v>
      </c>
      <c r="AJ95" s="275">
        <v>-11.39506996195203</v>
      </c>
      <c r="AK95" s="275">
        <v>-11.350637119409591</v>
      </c>
      <c r="AL95" s="275">
        <v>-11.30623874992234</v>
      </c>
      <c r="AM95" s="275">
        <v>-11.261882864432399</v>
      </c>
      <c r="AN95" s="275">
        <v>-11.21757756736217</v>
      </c>
      <c r="AO95" s="275">
        <v>-11.173331038359009</v>
      </c>
      <c r="AP95" s="275">
        <v>-11.129151513501091</v>
      </c>
      <c r="AQ95" s="275">
        <v>-11.08504726602027</v>
      </c>
      <c r="AR95" s="275">
        <v>-11.04102658659798</v>
      </c>
      <c r="AS95" s="275">
        <v>-10.9970977632904</v>
      </c>
      <c r="AT95" s="275">
        <v>-10.953269061139959</v>
      </c>
      <c r="AU95" s="275">
        <v>-10.90954870153068</v>
      </c>
      <c r="AV95" s="275">
        <v>-10.86594484134606</v>
      </c>
      <c r="AW95" s="275">
        <v>-10.82246555198995</v>
      </c>
      <c r="AX95" s="275">
        <v>-10.779118798332449</v>
      </c>
      <c r="AY95" s="275">
        <v>-10.73591241764567</v>
      </c>
      <c r="AZ95" s="275">
        <v>-10.692854098596801</v>
      </c>
      <c r="BA95" s="275">
        <v>-10.649951360369631</v>
      </c>
      <c r="BB95" s="275">
        <v>-10.60721153198906</v>
      </c>
      <c r="BC95" s="275">
        <v>-10.564641731927489</v>
      </c>
      <c r="BD95" s="275">
        <v>-10.52224884807586</v>
      </c>
      <c r="BE95" s="275">
        <v>-10.480039518166681</v>
      </c>
      <c r="BF95" s="275">
        <v>-10.43802011074022</v>
      </c>
      <c r="BG95" s="275">
        <v>-10.39619670674883</v>
      </c>
      <c r="BH95" s="275">
        <v>-10.354575081897901</v>
      </c>
      <c r="BI95" s="275">
        <v>-10.31316068982407</v>
      </c>
      <c r="BJ95" s="275">
        <v>-10.271958646213269</v>
      </c>
      <c r="BK95" s="275">
        <v>-10.230973713961481</v>
      </c>
      <c r="BL95" s="275">
        <v>-10.1902102894805</v>
      </c>
      <c r="BM95" s="275">
        <v>-10.14967239024846</v>
      </c>
      <c r="BN95" s="275">
        <v>-10.10936364370145</v>
      </c>
      <c r="BO95" s="275">
        <v>-10.06928727755678</v>
      </c>
      <c r="BP95" s="275">
        <v>-10.029446111651509</v>
      </c>
      <c r="BQ95" s="275">
        <v>-9.9898425513710496</v>
      </c>
      <c r="BR95" s="275">
        <v>-9.950478582731936</v>
      </c>
      <c r="BS95" s="275">
        <v>-9.9113557691714185</v>
      </c>
      <c r="BT95" s="275">
        <v>-9.872475250082644</v>
      </c>
      <c r="BU95" s="275">
        <v>-9.8338377411200906</v>
      </c>
      <c r="BV95" s="275">
        <v>-9.7954435362846244</v>
      </c>
      <c r="BW95" s="275">
        <v>-9.7572925117811309</v>
      </c>
      <c r="BX95" s="275">
        <v>-9.7193841316259295</v>
      </c>
      <c r="BY95" s="275">
        <v>-9.6817174549643035</v>
      </c>
      <c r="BZ95" s="275">
        <v>-9.6442911450430469</v>
      </c>
      <c r="CA95" s="275">
        <v>-9.6071034797670798</v>
      </c>
      <c r="CB95" s="275">
        <v>-9.570152363755037</v>
      </c>
      <c r="CC95" s="275">
        <v>-9.5334353417954976</v>
      </c>
      <c r="CD95" s="275">
        <v>-9.4969496135937295</v>
      </c>
      <c r="CE95" s="275">
        <v>-9.4606920496885891</v>
      </c>
      <c r="CF95" s="275">
        <v>-9.4246592084111622</v>
      </c>
      <c r="CG95" s="275">
        <v>-9.3888473537499664</v>
      </c>
      <c r="CH95" s="275">
        <v>-9.3532524739834315</v>
      </c>
      <c r="CI95" s="275">
        <v>-9.3178703009373915</v>
      </c>
      <c r="CJ95" s="275">
        <v>-9.2826963297251819</v>
      </c>
      <c r="CK95" s="275">
        <v>-9.2477258388288046</v>
      </c>
      <c r="CL95" s="275">
        <v>-9.2129539103826019</v>
      </c>
      <c r="CM95" s="275">
        <v>-9.1783754505254418</v>
      </c>
      <c r="CN95" s="275">
        <v>-9.1439852096931187</v>
      </c>
      <c r="CO95" s="275">
        <v>-9.1097778027297647</v>
      </c>
      <c r="CP95" s="275"/>
      <c r="CQ95" s="276">
        <v>-14.25298933614531</v>
      </c>
      <c r="CR95" s="276">
        <v>-14.200061091395771</v>
      </c>
      <c r="CS95" s="276">
        <v>-14.147169895029871</v>
      </c>
      <c r="CT95" s="276">
        <v>-14.094318678126839</v>
      </c>
      <c r="CU95" s="276">
        <v>-14.041510399733911</v>
      </c>
      <c r="CV95" s="276">
        <v>-13.98874804367752</v>
      </c>
      <c r="CW95" s="276">
        <v>-13.93603461550984</v>
      </c>
      <c r="CX95" s="276">
        <v>-13.88337313964108</v>
      </c>
      <c r="CY95" s="276">
        <v>-13.83076665671015</v>
      </c>
      <c r="CZ95" s="276">
        <v>-13.778218221247229</v>
      </c>
      <c r="DA95" s="276">
        <v>-13.72573089968261</v>
      </c>
      <c r="DB95" s="276">
        <v>-13.673307768755571</v>
      </c>
      <c r="DC95" s="276">
        <v>-13.620951914376439</v>
      </c>
      <c r="DD95" s="276">
        <v>-13.56866643099217</v>
      </c>
      <c r="DE95" s="276">
        <v>-13.51645442150312</v>
      </c>
      <c r="DF95" s="276">
        <v>-13.46431899777469</v>
      </c>
      <c r="DG95" s="276">
        <v>-13.412263281781319</v>
      </c>
      <c r="DH95" s="276">
        <v>-13.36029040741491</v>
      </c>
      <c r="DI95" s="276">
        <v>-13.308403522980971</v>
      </c>
      <c r="DJ95" s="276">
        <v>-13.256605794397849</v>
      </c>
      <c r="DK95" s="276">
        <v>-13.204900409103571</v>
      </c>
      <c r="DL95" s="276">
        <v>-13.15329058066413</v>
      </c>
      <c r="DM95" s="276">
        <v>-13.101779554064279</v>
      </c>
      <c r="DN95" s="276">
        <v>-13.05037061164936</v>
      </c>
      <c r="DO95" s="276">
        <v>-12.999067079671519</v>
      </c>
      <c r="DP95" s="276">
        <v>-12.94787233537944</v>
      </c>
      <c r="DQ95" s="276">
        <v>-12.896789814575239</v>
      </c>
      <c r="DR95" s="276">
        <v>-12.84582301954552</v>
      </c>
      <c r="DS95" s="276">
        <v>-12.79497552725808</v>
      </c>
      <c r="DT95" s="276">
        <v>-12.744250997699799</v>
      </c>
      <c r="DU95" s="276">
        <v>-12.693653182214559</v>
      </c>
      <c r="DV95" s="276">
        <v>-12.643185931686251</v>
      </c>
      <c r="DW95" s="276">
        <v>-12.592853204396651</v>
      </c>
      <c r="DX95" s="276">
        <v>-12.54265907337566</v>
      </c>
      <c r="DY95" s="276">
        <v>-12.492607733050299</v>
      </c>
      <c r="DZ95" s="276">
        <v>-12.442703504989391</v>
      </c>
      <c r="EA95" s="276">
        <v>-12.392950842534511</v>
      </c>
      <c r="EB95" s="276">
        <v>-12.343354334103671</v>
      </c>
      <c r="EC95" s="276">
        <v>-12.29391870495396</v>
      </c>
      <c r="ED95" s="276">
        <v>-12.244648817191569</v>
      </c>
      <c r="EE95" s="276">
        <v>-12.19554966782513</v>
      </c>
      <c r="EF95" s="276">
        <v>-12.146626384668281</v>
      </c>
      <c r="EG95" s="276">
        <v>-12.097884219913119</v>
      </c>
      <c r="EH95" s="276">
        <v>-12.049328541215409</v>
      </c>
      <c r="EI95" s="276">
        <v>-12.00096482015635</v>
      </c>
      <c r="EJ95" s="276">
        <v>-11.95279861797431</v>
      </c>
      <c r="EK95" s="276">
        <v>-11.904835568492411</v>
      </c>
      <c r="EL95" s="276">
        <v>-11.85708135820434</v>
      </c>
      <c r="EM95" s="276">
        <v>-11.80954170352144</v>
      </c>
      <c r="EN95" s="276">
        <v>-11.762222325226791</v>
      </c>
      <c r="EO95" s="276">
        <v>-11.715128920227899</v>
      </c>
      <c r="EP95" s="276">
        <v>-11.66826713074747</v>
      </c>
      <c r="EQ95" s="276">
        <v>-11.62164251113936</v>
      </c>
      <c r="ER95" s="276">
        <v>-11.575260492565601</v>
      </c>
      <c r="ES95" s="276">
        <v>-11.529126345817341</v>
      </c>
      <c r="ET95" s="276">
        <v>-11.48324514260819</v>
      </c>
      <c r="EU95" s="276">
        <v>-11.43762171571019</v>
      </c>
      <c r="EV95" s="276">
        <v>-11.392260618340989</v>
      </c>
      <c r="EW95" s="276">
        <v>-11.347166083243589</v>
      </c>
      <c r="EX95" s="276">
        <v>-11.302341981927199</v>
      </c>
      <c r="EY95" s="276">
        <v>-11.2577917845574</v>
      </c>
      <c r="EZ95" s="276">
        <v>-11.21351852099642</v>
      </c>
      <c r="FA95" s="276">
        <v>-11.169524743498631</v>
      </c>
      <c r="FB95" s="276">
        <v>-11.1258124915616</v>
      </c>
      <c r="FC95" s="276">
        <v>-11.08238325942027</v>
      </c>
      <c r="FD95" s="276">
        <v>-11.0392379666494</v>
      </c>
      <c r="FE95" s="276">
        <v>-10.99637693230852</v>
      </c>
      <c r="FF95" s="276">
        <v>-10.953799853025179</v>
      </c>
      <c r="FG95" s="276">
        <v>-10.911505785364859</v>
      </c>
      <c r="FH95" s="276">
        <v>-10.86949313278244</v>
      </c>
      <c r="FI95" s="276">
        <v>-10.827759637390781</v>
      </c>
      <c r="FJ95" s="272">
        <v>-10.786302376717311</v>
      </c>
      <c r="FK95" s="272">
        <v>-10.745117765551679</v>
      </c>
      <c r="FL95" s="272">
        <v>-10.704201562917181</v>
      </c>
      <c r="FM95" s="272">
        <v>-10.66354888412803</v>
      </c>
      <c r="FN95" s="272">
        <v>-10.623154217824</v>
      </c>
      <c r="FO95" s="272">
        <v>-10.583011447805561</v>
      </c>
      <c r="FP95" s="272">
        <v>-10.54311387942807</v>
      </c>
      <c r="FQ95" s="272">
        <v>-10.503454270253039</v>
      </c>
      <c r="FR95" s="272">
        <v>-10.4640248646002</v>
      </c>
      <c r="FS95" s="272">
        <v>-10.42481743159655</v>
      </c>
      <c r="FT95" s="272">
        <v>-10.38582330627831</v>
      </c>
      <c r="FU95" s="272">
        <v>-10.34703343327023</v>
      </c>
      <c r="FV95" s="272">
        <v>-10.30843841254352</v>
      </c>
      <c r="FW95" s="272">
        <v>-10.270028546739111</v>
      </c>
      <c r="FX95" s="272">
        <v>-10.23179388953803</v>
      </c>
      <c r="FY95" s="272">
        <v>-10.1937242945638</v>
      </c>
      <c r="FZ95" s="272">
        <v>-10.15580946431287</v>
      </c>
      <c r="GA95" s="272">
        <v>-10.11803899862897</v>
      </c>
      <c r="GB95" s="272">
        <v>-10.08040244226296</v>
      </c>
      <c r="GC95" s="272">
        <v>-10.04288933109229</v>
      </c>
    </row>
    <row r="96" spans="2:185" ht="15" thickBot="1" x14ac:dyDescent="0.4">
      <c r="B96" s="298">
        <v>90</v>
      </c>
      <c r="C96" s="275">
        <v>-13.051863167197171</v>
      </c>
      <c r="D96" s="275">
        <v>-13.00947513869168</v>
      </c>
      <c r="E96" s="275">
        <v>-12.966981704848241</v>
      </c>
      <c r="F96" s="275">
        <v>-12.9243833851031</v>
      </c>
      <c r="G96" s="275">
        <v>-12.881680889047219</v>
      </c>
      <c r="H96" s="275">
        <v>-12.83887512502017</v>
      </c>
      <c r="I96" s="275">
        <v>-12.79596720844148</v>
      </c>
      <c r="J96" s="275">
        <v>-12.752958469818379</v>
      </c>
      <c r="K96" s="275">
        <v>-12.70985046236768</v>
      </c>
      <c r="L96" s="275">
        <v>-12.666644969189271</v>
      </c>
      <c r="M96" s="275">
        <v>-12.62334400992806</v>
      </c>
      <c r="N96" s="275">
        <v>-12.57994984686243</v>
      </c>
      <c r="O96" s="275">
        <v>-12.536464990358169</v>
      </c>
      <c r="P96" s="275">
        <v>-12.492892203628919</v>
      </c>
      <c r="Q96" s="275">
        <v>-12.449234506746951</v>
      </c>
      <c r="R96" s="275">
        <v>-12.405495179850959</v>
      </c>
      <c r="S96" s="275">
        <v>-12.36167776550217</v>
      </c>
      <c r="T96" s="275">
        <v>-12.31778607014366</v>
      </c>
      <c r="U96" s="275">
        <v>-12.273824164623869</v>
      </c>
      <c r="V96" s="275">
        <v>-12.22979638374964</v>
      </c>
      <c r="W96" s="275">
        <v>-12.185707324841189</v>
      </c>
      <c r="X96" s="275">
        <v>-12.141561845266651</v>
      </c>
      <c r="Y96" s="275">
        <v>-12.09736505894079</v>
      </c>
      <c r="Z96" s="275">
        <v>-12.053122331778789</v>
      </c>
      <c r="AA96" s="275">
        <v>-12.00883927610273</v>
      </c>
      <c r="AB96" s="275">
        <v>-11.96452174400445</v>
      </c>
      <c r="AC96" s="275">
        <v>-11.92017581967527</v>
      </c>
      <c r="AD96" s="275">
        <v>-11.87580781071868</v>
      </c>
      <c r="AE96" s="275">
        <v>-11.83142423846785</v>
      </c>
      <c r="AF96" s="275">
        <v>-11.787031827335101</v>
      </c>
      <c r="AG96" s="275">
        <v>-11.742637493225279</v>
      </c>
      <c r="AH96" s="275">
        <v>-11.698248331049211</v>
      </c>
      <c r="AI96" s="275">
        <v>-11.6538716013771</v>
      </c>
      <c r="AJ96" s="275">
        <v>-11.609514716275131</v>
      </c>
      <c r="AK96" s="275">
        <v>-11.56518522437104</v>
      </c>
      <c r="AL96" s="275">
        <v>-11.52089079519682</v>
      </c>
      <c r="AM96" s="275">
        <v>-11.47663920285831</v>
      </c>
      <c r="AN96" s="275">
        <v>-11.432438309083039</v>
      </c>
      <c r="AO96" s="275">
        <v>-11.38829604569848</v>
      </c>
      <c r="AP96" s="275">
        <v>-11.344220396594009</v>
      </c>
      <c r="AQ96" s="275">
        <v>-11.30021937922038</v>
      </c>
      <c r="AR96" s="275">
        <v>-11.25630102568125</v>
      </c>
      <c r="AS96" s="275">
        <v>-11.21247336347181</v>
      </c>
      <c r="AT96" s="275">
        <v>-11.168744395920729</v>
      </c>
      <c r="AU96" s="275">
        <v>-11.12512208239213</v>
      </c>
      <c r="AV96" s="275">
        <v>-11.081614318306039</v>
      </c>
      <c r="AW96" s="275">
        <v>-11.03822891503698</v>
      </c>
      <c r="AX96" s="275">
        <v>-10.99497357975244</v>
      </c>
      <c r="AY96" s="275">
        <v>-10.95185589525533</v>
      </c>
      <c r="AZ96" s="275">
        <v>-10.908883299896919</v>
      </c>
      <c r="BA96" s="275">
        <v>-10.866063067630041</v>
      </c>
      <c r="BB96" s="275">
        <v>-10.82340228827519</v>
      </c>
      <c r="BC96" s="275">
        <v>-10.78090784807606</v>
      </c>
      <c r="BD96" s="275">
        <v>-10.73858641062399</v>
      </c>
      <c r="BE96" s="275">
        <v>-10.696444398234741</v>
      </c>
      <c r="BF96" s="275">
        <v>-10.654487973864009</v>
      </c>
      <c r="BG96" s="275">
        <v>-10.612723023651171</v>
      </c>
      <c r="BH96" s="275">
        <v>-10.571155140183009</v>
      </c>
      <c r="BI96" s="275">
        <v>-10.5297896065712</v>
      </c>
      <c r="BJ96" s="275">
        <v>-10.48863138143791</v>
      </c>
      <c r="BK96" s="275">
        <v>-10.4476850849041</v>
      </c>
      <c r="BL96" s="275">
        <v>-10.40695498567349</v>
      </c>
      <c r="BM96" s="275">
        <v>-10.36644498930316</v>
      </c>
      <c r="BN96" s="275">
        <v>-10.32615862774716</v>
      </c>
      <c r="BO96" s="275">
        <v>-10.28609905025494</v>
      </c>
      <c r="BP96" s="275">
        <v>-10.246269015698889</v>
      </c>
      <c r="BQ96" s="275">
        <v>-10.20667088639776</v>
      </c>
      <c r="BR96" s="275">
        <v>-10.16730662349234</v>
      </c>
      <c r="BS96" s="275">
        <v>-10.128177783919559</v>
      </c>
      <c r="BT96" s="275">
        <v>-10.089285519018571</v>
      </c>
      <c r="BU96" s="275">
        <v>-10.05063057478969</v>
      </c>
      <c r="BV96" s="275">
        <v>-10.012213293812881</v>
      </c>
      <c r="BW96" s="275">
        <v>-9.9740336188186163</v>
      </c>
      <c r="BX96" s="275">
        <v>-9.9360910978888022</v>
      </c>
      <c r="BY96" s="275">
        <v>-9.8983848912513679</v>
      </c>
      <c r="BZ96" s="275">
        <v>-9.8609137796175137</v>
      </c>
      <c r="CA96" s="275">
        <v>-9.8236761739969243</v>
      </c>
      <c r="CB96" s="275">
        <v>-9.7866701269134726</v>
      </c>
      <c r="CC96" s="275">
        <v>-9.7498933449319498</v>
      </c>
      <c r="CD96" s="275">
        <v>-9.713343202395686</v>
      </c>
      <c r="CE96" s="275">
        <v>-9.6770167562659957</v>
      </c>
      <c r="CF96" s="275">
        <v>-9.6409107619464134</v>
      </c>
      <c r="CG96" s="275">
        <v>-9.6050216899691829</v>
      </c>
      <c r="CH96" s="275">
        <v>-9.5693457434166209</v>
      </c>
      <c r="CI96" s="275">
        <v>-9.5338788759481439</v>
      </c>
      <c r="CJ96" s="275">
        <v>-9.4986168103021988</v>
      </c>
      <c r="CK96" s="275">
        <v>-9.4635550571437026</v>
      </c>
      <c r="CL96" s="275">
        <v>-9.4286889341295019</v>
      </c>
      <c r="CM96" s="275">
        <v>-9.3940135850681283</v>
      </c>
      <c r="CN96" s="275">
        <v>-9.3595239990554422</v>
      </c>
      <c r="CO96" s="275">
        <v>-9.3252150294730036</v>
      </c>
      <c r="CP96" s="275"/>
      <c r="CQ96" s="276">
        <v>-14.485044829114431</v>
      </c>
      <c r="CR96" s="276">
        <v>-14.43220378653859</v>
      </c>
      <c r="CS96" s="276">
        <v>-14.379400544278409</v>
      </c>
      <c r="CT96" s="276">
        <v>-14.326637984494861</v>
      </c>
      <c r="CU96" s="276">
        <v>-14.27391901758684</v>
      </c>
      <c r="CV96" s="276">
        <v>-14.221246579327969</v>
      </c>
      <c r="CW96" s="276">
        <v>-14.16862362814034</v>
      </c>
      <c r="CX96" s="276">
        <v>-14.11605314255115</v>
      </c>
      <c r="CY96" s="276">
        <v>-14.063538118879221</v>
      </c>
      <c r="CZ96" s="276">
        <v>-14.011081569199719</v>
      </c>
      <c r="DA96" s="276">
        <v>-13.958686519635011</v>
      </c>
      <c r="DB96" s="276">
        <v>-13.90635600901915</v>
      </c>
      <c r="DC96" s="276">
        <v>-13.854093087982459</v>
      </c>
      <c r="DD96" s="276">
        <v>-13.80190081849965</v>
      </c>
      <c r="DE96" s="276">
        <v>-13.74978227394238</v>
      </c>
      <c r="DF96" s="276">
        <v>-13.697740539672759</v>
      </c>
      <c r="DG96" s="276">
        <v>-13.645778714208809</v>
      </c>
      <c r="DH96" s="276">
        <v>-13.593899910987</v>
      </c>
      <c r="DI96" s="276">
        <v>-13.542107260739471</v>
      </c>
      <c r="DJ96" s="276">
        <v>-13.49040391449528</v>
      </c>
      <c r="DK96" s="276">
        <v>-13.438793047205291</v>
      </c>
      <c r="DL96" s="276">
        <v>-13.387277861980641</v>
      </c>
      <c r="DM96" s="276">
        <v>-13.335861594922401</v>
      </c>
      <c r="DN96" s="276">
        <v>-13.28454752050877</v>
      </c>
      <c r="DO96" s="276">
        <v>-13.233338957492681</v>
      </c>
      <c r="DP96" s="276">
        <v>-13.18223927524943</v>
      </c>
      <c r="DQ96" s="276">
        <v>-13.131251900499951</v>
      </c>
      <c r="DR96" s="276">
        <v>-13.08038032432076</v>
      </c>
      <c r="DS96" s="276">
        <v>-13.029628109337921</v>
      </c>
      <c r="DT96" s="276">
        <v>-12.97899889698758</v>
      </c>
      <c r="DU96" s="276">
        <v>-12.92849641471215</v>
      </c>
      <c r="DV96" s="276">
        <v>-12.878124482948049</v>
      </c>
      <c r="DW96" s="276">
        <v>-12.827887021749049</v>
      </c>
      <c r="DX96" s="276">
        <v>-12.777788056877871</v>
      </c>
      <c r="DY96" s="276">
        <v>-12.72783172519034</v>
      </c>
      <c r="DZ96" s="276">
        <v>-12.67802227912823</v>
      </c>
      <c r="EA96" s="276">
        <v>-12.628364090132621</v>
      </c>
      <c r="EB96" s="276">
        <v>-12.578861650787159</v>
      </c>
      <c r="EC96" s="276">
        <v>-12.529519575500551</v>
      </c>
      <c r="ED96" s="276">
        <v>-12.480342599542359</v>
      </c>
      <c r="EE96" s="276">
        <v>-12.43133557625254</v>
      </c>
      <c r="EF96" s="276">
        <v>-12.382503472256349</v>
      </c>
      <c r="EG96" s="276">
        <v>-12.333851360531151</v>
      </c>
      <c r="EH96" s="276">
        <v>-12.285384411189771</v>
      </c>
      <c r="EI96" s="276">
        <v>-12.23710787986804</v>
      </c>
      <c r="EJ96" s="276">
        <v>-12.18902709363002</v>
      </c>
      <c r="EK96" s="276">
        <v>-12.14114743433478</v>
      </c>
      <c r="EL96" s="276">
        <v>-12.09347431944164</v>
      </c>
      <c r="EM96" s="276">
        <v>-12.04601318026754</v>
      </c>
      <c r="EN96" s="276">
        <v>-11.99876943774867</v>
      </c>
      <c r="EO96" s="276">
        <v>-11.95174847579994</v>
      </c>
      <c r="EP96" s="276">
        <v>-11.9049556124078</v>
      </c>
      <c r="EQ96" s="276">
        <v>-11.85839606863466</v>
      </c>
      <c r="ER96" s="276">
        <v>-11.812074935756501</v>
      </c>
      <c r="ES96" s="276">
        <v>-11.765997140795699</v>
      </c>
      <c r="ET96" s="276">
        <v>-11.720167410751911</v>
      </c>
      <c r="EU96" s="276">
        <v>-11.67459023586945</v>
      </c>
      <c r="EV96" s="276">
        <v>-11.62926983231354</v>
      </c>
      <c r="EW96" s="276">
        <v>-11.584210104655419</v>
      </c>
      <c r="EX96" s="276">
        <v>-11.539414608589331</v>
      </c>
      <c r="EY96" s="276">
        <v>-11.49488651432168</v>
      </c>
      <c r="EZ96" s="276">
        <v>-11.45062857108157</v>
      </c>
      <c r="FA96" s="276">
        <v>-11.40664307320591</v>
      </c>
      <c r="FB96" s="276">
        <v>-11.36293182824615</v>
      </c>
      <c r="FC96" s="276">
        <v>-11.319496127532259</v>
      </c>
      <c r="FD96" s="276">
        <v>-11.27633671960805</v>
      </c>
      <c r="FE96" s="276">
        <v>-11.23345378692505</v>
      </c>
      <c r="FF96" s="276">
        <v>-11.19084692614584</v>
      </c>
      <c r="FG96" s="276">
        <v>-11.148515132366761</v>
      </c>
      <c r="FH96" s="276">
        <v>-11.10645678752136</v>
      </c>
      <c r="FI96" s="276">
        <v>-11.06466965317297</v>
      </c>
      <c r="FJ96" s="272">
        <v>-11.02315086784777</v>
      </c>
      <c r="FK96" s="272">
        <v>-10.981896948999029</v>
      </c>
      <c r="FL96" s="272">
        <v>-10.94090379963113</v>
      </c>
      <c r="FM96" s="272">
        <v>-10.90016671954875</v>
      </c>
      <c r="FN96" s="272">
        <v>-10.85968042113465</v>
      </c>
      <c r="FO96" s="272">
        <v>-10.819439049498181</v>
      </c>
      <c r="FP96" s="272">
        <v>-10.77943620677954</v>
      </c>
      <c r="FQ96" s="272">
        <v>-10.73966498034067</v>
      </c>
      <c r="FR96" s="272">
        <v>-10.70011797452548</v>
      </c>
      <c r="FS96" s="272">
        <v>-10.66078734562919</v>
      </c>
      <c r="FT96" s="272">
        <v>-10.621664839680379</v>
      </c>
      <c r="FU96" s="272">
        <v>-10.58274183261098</v>
      </c>
      <c r="FV96" s="272">
        <v>-10.544009372367791</v>
      </c>
      <c r="FW96" s="272">
        <v>-10.505458222505389</v>
      </c>
      <c r="FX96" s="272">
        <v>-10.46707890679539</v>
      </c>
      <c r="FY96" s="272">
        <v>-10.4288617543877</v>
      </c>
      <c r="FZ96" s="272">
        <v>-10.390796945069949</v>
      </c>
      <c r="GA96" s="272">
        <v>-10.352874554185849</v>
      </c>
      <c r="GB96" s="272">
        <v>-10.315084596796989</v>
      </c>
      <c r="GC96" s="272">
        <v>-10.277417070698871</v>
      </c>
    </row>
    <row r="97" spans="2:185" ht="15" thickBot="1" x14ac:dyDescent="0.4">
      <c r="B97" s="298">
        <v>91</v>
      </c>
      <c r="C97" s="275">
        <v>-13.264227835534321</v>
      </c>
      <c r="D97" s="275">
        <v>-13.221856315521929</v>
      </c>
      <c r="E97" s="275">
        <v>-13.17938211879496</v>
      </c>
      <c r="F97" s="275">
        <v>-13.136805839890069</v>
      </c>
      <c r="G97" s="275">
        <v>-13.09412825878298</v>
      </c>
      <c r="H97" s="275">
        <v>-13.051350348915721</v>
      </c>
      <c r="I97" s="275">
        <v>-13.008473284958971</v>
      </c>
      <c r="J97" s="275">
        <v>-12.9654984502525</v>
      </c>
      <c r="K97" s="275">
        <v>-12.922427443866431</v>
      </c>
      <c r="L97" s="275">
        <v>-12.879262087224919</v>
      </c>
      <c r="M97" s="275">
        <v>-12.836004430234571</v>
      </c>
      <c r="N97" s="275">
        <v>-12.79265675686</v>
      </c>
      <c r="O97" s="275">
        <v>-12.74922159009081</v>
      </c>
      <c r="P97" s="275">
        <v>-12.70570169624556</v>
      </c>
      <c r="Q97" s="275">
        <v>-12.662100088561081</v>
      </c>
      <c r="R97" s="275">
        <v>-12.61842003001874</v>
      </c>
      <c r="S97" s="275">
        <v>-12.574665035362219</v>
      </c>
      <c r="T97" s="275">
        <v>-12.530838872266269</v>
      </c>
      <c r="U97" s="275">
        <v>-12.486945561619979</v>
      </c>
      <c r="V97" s="275">
        <v>-12.442989376893239</v>
      </c>
      <c r="W97" s="275">
        <v>-12.398974842560699</v>
      </c>
      <c r="X97" s="275">
        <v>-12.35490673156273</v>
      </c>
      <c r="Y97" s="275">
        <v>-12.31079006178904</v>
      </c>
      <c r="Z97" s="275">
        <v>-12.26663009157644</v>
      </c>
      <c r="AA97" s="275">
        <v>-12.222432314218221</v>
      </c>
      <c r="AB97" s="275">
        <v>-12.178202451488289</v>
      </c>
      <c r="AC97" s="275">
        <v>-12.133946446189331</v>
      </c>
      <c r="AD97" s="275">
        <v>-12.08967045373956</v>
      </c>
      <c r="AE97" s="275">
        <v>-12.04538083281763</v>
      </c>
      <c r="AF97" s="275">
        <v>-12.00108413509073</v>
      </c>
      <c r="AG97" s="275">
        <v>-11.95678709405477</v>
      </c>
      <c r="AH97" s="275">
        <v>-11.91249661302006</v>
      </c>
      <c r="AI97" s="275">
        <v>-11.86821975227925</v>
      </c>
      <c r="AJ97" s="275">
        <v>-11.823963715497589</v>
      </c>
      <c r="AK97" s="275">
        <v>-11.77973583536825</v>
      </c>
      <c r="AL97" s="275">
        <v>-11.735543558577771</v>
      </c>
      <c r="AM97" s="275">
        <v>-11.69139443012852</v>
      </c>
      <c r="AN97" s="275">
        <v>-11.647296077066921</v>
      </c>
      <c r="AO97" s="275">
        <v>-11.603256191667141</v>
      </c>
      <c r="AP97" s="275">
        <v>-11.55928251412141</v>
      </c>
      <c r="AQ97" s="275">
        <v>-11.51538281478892</v>
      </c>
      <c r="AR97" s="275">
        <v>-11.471564876056149</v>
      </c>
      <c r="AS97" s="275">
        <v>-11.42783647386257</v>
      </c>
      <c r="AT97" s="275">
        <v>-11.384205358946531</v>
      </c>
      <c r="AU97" s="275">
        <v>-11.34067923786735</v>
      </c>
      <c r="AV97" s="275">
        <v>-11.297265753860991</v>
      </c>
      <c r="AW97" s="275">
        <v>-11.2539724675883</v>
      </c>
      <c r="AX97" s="275">
        <v>-11.21080683783655</v>
      </c>
      <c r="AY97" s="275">
        <v>-11.167776202237359</v>
      </c>
      <c r="AZ97" s="275">
        <v>-11.124887758066169</v>
      </c>
      <c r="BA97" s="275">
        <v>-11.082148543191209</v>
      </c>
      <c r="BB97" s="275">
        <v>-11.0395654172428</v>
      </c>
      <c r="BC97" s="275">
        <v>-10.997145043076349</v>
      </c>
      <c r="BD97" s="275">
        <v>-10.954893868605719</v>
      </c>
      <c r="BE97" s="275">
        <v>-10.91281810908611</v>
      </c>
      <c r="BF97" s="275">
        <v>-10.87092372992849</v>
      </c>
      <c r="BG97" s="275">
        <v>-10.82921643012941</v>
      </c>
      <c r="BH97" s="275">
        <v>-10.78770162640237</v>
      </c>
      <c r="BI97" s="275">
        <v>-10.746384438097399</v>
      </c>
      <c r="BJ97" s="275">
        <v>-10.705269672996391</v>
      </c>
      <c r="BK97" s="275">
        <v>-10.664361814070631</v>
      </c>
      <c r="BL97" s="275">
        <v>-10.62366500728591</v>
      </c>
      <c r="BM97" s="275">
        <v>-10.58318305053751</v>
      </c>
      <c r="BN97" s="275">
        <v>-10.542919383793279</v>
      </c>
      <c r="BO97" s="275">
        <v>-10.50287708051861</v>
      </c>
      <c r="BP97" s="275">
        <v>-10.463058840449641</v>
      </c>
      <c r="BQ97" s="275">
        <v>-10.42346698377407</v>
      </c>
      <c r="BR97" s="275">
        <v>-10.384103446769799</v>
      </c>
      <c r="BS97" s="275">
        <v>-10.34496977894166</v>
      </c>
      <c r="BT97" s="275">
        <v>-10.306067141685469</v>
      </c>
      <c r="BU97" s="275">
        <v>-10.267396308496719</v>
      </c>
      <c r="BV97" s="275">
        <v>-10.22895766672932</v>
      </c>
      <c r="BW97" s="275">
        <v>-10.19075122089593</v>
      </c>
      <c r="BX97" s="275">
        <v>-10.15277659748944</v>
      </c>
      <c r="BY97" s="275">
        <v>-10.115033051291199</v>
      </c>
      <c r="BZ97" s="275">
        <v>-10.07751947311924</v>
      </c>
      <c r="CA97" s="275">
        <v>-10.04023439895732</v>
      </c>
      <c r="CB97" s="275">
        <v>-10.00317602039404</v>
      </c>
      <c r="CC97" s="275">
        <v>-9.9663421962904444</v>
      </c>
      <c r="CD97" s="275">
        <v>-9.9297304655850809</v>
      </c>
      <c r="CE97" s="275">
        <v>-9.8933380611373156</v>
      </c>
      <c r="CF97" s="275">
        <v>-9.857161924502261</v>
      </c>
      <c r="CG97" s="275">
        <v>-9.8211987215256293</v>
      </c>
      <c r="CH97" s="275">
        <v>-9.7854448586425811</v>
      </c>
      <c r="CI97" s="275">
        <v>-9.7498964997621602</v>
      </c>
      <c r="CJ97" s="275">
        <v>-9.7145495836179112</v>
      </c>
      <c r="CK97" s="275">
        <v>-9.6793998414657096</v>
      </c>
      <c r="CL97" s="275">
        <v>-9.6444428150115904</v>
      </c>
      <c r="CM97" s="275">
        <v>-9.6096738744555594</v>
      </c>
      <c r="CN97" s="275">
        <v>-9.5750882365412675</v>
      </c>
      <c r="CO97" s="275">
        <v>-9.5406809825069079</v>
      </c>
      <c r="CP97" s="275"/>
      <c r="CQ97" s="276">
        <v>-14.71714017436166</v>
      </c>
      <c r="CR97" s="276">
        <v>-14.66438543597652</v>
      </c>
      <c r="CS97" s="276">
        <v>-14.611669229298499</v>
      </c>
      <c r="CT97" s="276">
        <v>-14.558994389758469</v>
      </c>
      <c r="CU97" s="276">
        <v>-14.50636378126895</v>
      </c>
      <c r="CV97" s="276">
        <v>-14.453780293652059</v>
      </c>
      <c r="CW97" s="276">
        <v>-14.40124684020404</v>
      </c>
      <c r="CX97" s="276">
        <v>-14.34876635543789</v>
      </c>
      <c r="CY97" s="276">
        <v>-14.296341793046061</v>
      </c>
      <c r="CZ97" s="276">
        <v>-14.243976124126499</v>
      </c>
      <c r="DA97" s="276">
        <v>-14.191672335714189</v>
      </c>
      <c r="DB97" s="276">
        <v>-14.13943342966032</v>
      </c>
      <c r="DC97" s="276">
        <v>-14.08726242189881</v>
      </c>
      <c r="DD97" s="276">
        <v>-14.03516234213836</v>
      </c>
      <c r="DE97" s="276">
        <v>-13.98313623401417</v>
      </c>
      <c r="DF97" s="276">
        <v>-13.93118715572974</v>
      </c>
      <c r="DG97" s="276">
        <v>-13.87931818121422</v>
      </c>
      <c r="DH97" s="276">
        <v>-13.827532401814279</v>
      </c>
      <c r="DI97" s="276">
        <v>-13.7758329285332</v>
      </c>
      <c r="DJ97" s="276">
        <v>-13.724222894821381</v>
      </c>
      <c r="DK97" s="276">
        <v>-13.672705459914241</v>
      </c>
      <c r="DL97" s="276">
        <v>-13.621283812703449</v>
      </c>
      <c r="DM97" s="276">
        <v>-13.56996117611753</v>
      </c>
      <c r="DN97" s="276">
        <v>-13.51874081197592</v>
      </c>
      <c r="DO97" s="276">
        <v>-13.46762602626997</v>
      </c>
      <c r="DP97" s="276">
        <v>-13.41662017481114</v>
      </c>
      <c r="DQ97" s="276">
        <v>-13.365726669174609</v>
      </c>
      <c r="DR97" s="276">
        <v>-13.31494898285384</v>
      </c>
      <c r="DS97" s="276">
        <v>-13.264290657528729</v>
      </c>
      <c r="DT97" s="276">
        <v>-13.213755309337509</v>
      </c>
      <c r="DU97" s="276">
        <v>-13.1633466350309</v>
      </c>
      <c r="DV97" s="276">
        <v>-13.11306841787524</v>
      </c>
      <c r="DW97" s="276">
        <v>-13.062924533161461</v>
      </c>
      <c r="DX97" s="276">
        <v>-13.012918953167411</v>
      </c>
      <c r="DY97" s="276">
        <v>-12.96305575141375</v>
      </c>
      <c r="DZ97" s="276">
        <v>-12.91333910604777</v>
      </c>
      <c r="EA97" s="276">
        <v>-12.863773302185979</v>
      </c>
      <c r="EB97" s="276">
        <v>-12.81436273304554</v>
      </c>
      <c r="EC97" s="276">
        <v>-12.765111899695331</v>
      </c>
      <c r="ED97" s="276">
        <v>-12.716025409262761</v>
      </c>
      <c r="EE97" s="276">
        <v>-12.66710797143922</v>
      </c>
      <c r="EF97" s="276">
        <v>-12.618364393138309</v>
      </c>
      <c r="EG97" s="276">
        <v>-12.56979957117519</v>
      </c>
      <c r="EH97" s="276">
        <v>-12.52141848285247</v>
      </c>
      <c r="EI97" s="276">
        <v>-12.473226174359739</v>
      </c>
      <c r="EJ97" s="276">
        <v>-12.42522774691782</v>
      </c>
      <c r="EK97" s="276">
        <v>-12.377428340626389</v>
      </c>
      <c r="EL97" s="276">
        <v>-12.32983311600398</v>
      </c>
      <c r="EM97" s="276">
        <v>-12.2824472332423</v>
      </c>
      <c r="EN97" s="276">
        <v>-12.235275829232011</v>
      </c>
      <c r="EO97" s="276">
        <v>-12.188323992453419</v>
      </c>
      <c r="EP97" s="276">
        <v>-12.14159673586361</v>
      </c>
      <c r="EQ97" s="276">
        <v>-12.095098967949079</v>
      </c>
      <c r="ER97" s="276">
        <v>-12.04883546215115</v>
      </c>
      <c r="ES97" s="276">
        <v>-12.00281082490743</v>
      </c>
      <c r="ET97" s="276">
        <v>-11.957029462587659</v>
      </c>
      <c r="EU97" s="276">
        <v>-11.911495547633979</v>
      </c>
      <c r="EV97" s="276">
        <v>-11.86621298424453</v>
      </c>
      <c r="EW97" s="276">
        <v>-11.82118537396299</v>
      </c>
      <c r="EX97" s="276">
        <v>-11.7764159815569</v>
      </c>
      <c r="EY97" s="276">
        <v>-11.73190770158098</v>
      </c>
      <c r="EZ97" s="276">
        <v>-11.68766302602975</v>
      </c>
      <c r="FA97" s="276">
        <v>-11.64368401348551</v>
      </c>
      <c r="FB97" s="276">
        <v>-11.59997226016214</v>
      </c>
      <c r="FC97" s="276">
        <v>-11.55652887323372</v>
      </c>
      <c r="FD97" s="276">
        <v>-11.51335444681771</v>
      </c>
      <c r="FE97" s="276">
        <v>-11.470449040957069</v>
      </c>
      <c r="FF97" s="276">
        <v>-11.427812163914311</v>
      </c>
      <c r="FG97" s="276">
        <v>-11.385442758052109</v>
      </c>
      <c r="FH97" s="276">
        <v>-11.343339189533109</v>
      </c>
      <c r="FI97" s="276">
        <v>-11.301499242023141</v>
      </c>
      <c r="FJ97" s="272">
        <v>-11.259920114532241</v>
      </c>
      <c r="FK97" s="272">
        <v>-11.218598423473111</v>
      </c>
      <c r="FL97" s="272">
        <v>-11.177530208962001</v>
      </c>
      <c r="FM97" s="272">
        <v>-11.136710945330821</v>
      </c>
      <c r="FN97" s="272">
        <v>-11.096135555763439</v>
      </c>
      <c r="FO97" s="272">
        <v>-11.055798430916269</v>
      </c>
      <c r="FP97" s="272">
        <v>-11.01569345133016</v>
      </c>
      <c r="FQ97" s="272">
        <v>-10.975814013394601</v>
      </c>
      <c r="FR97" s="272">
        <v>-10.93615305858037</v>
      </c>
      <c r="FS97" s="272">
        <v>-10.896703105619499</v>
      </c>
      <c r="FT97" s="272">
        <v>-10.857456285277969</v>
      </c>
      <c r="FU97" s="272">
        <v>-10.81840437734132</v>
      </c>
      <c r="FV97" s="272">
        <v>-10.779538849413241</v>
      </c>
      <c r="FW97" s="272">
        <v>-10.740850897114161</v>
      </c>
      <c r="FX97" s="272">
        <v>-10.70233148526196</v>
      </c>
      <c r="FY97" s="272">
        <v>-10.66397138961633</v>
      </c>
      <c r="FZ97" s="272">
        <v>-10.625761238776761</v>
      </c>
      <c r="GA97" s="272">
        <v>-10.587691555837139</v>
      </c>
      <c r="GB97" s="272">
        <v>-10.549752799417741</v>
      </c>
      <c r="GC97" s="272">
        <v>-10.51193540372118</v>
      </c>
    </row>
    <row r="98" spans="2:185" ht="15" thickBot="1" x14ac:dyDescent="0.4">
      <c r="B98" s="298">
        <v>92</v>
      </c>
      <c r="C98" s="275">
        <v>-13.476603001489931</v>
      </c>
      <c r="D98" s="275">
        <v>-13.43424916738957</v>
      </c>
      <c r="E98" s="275">
        <v>-13.391795335283719</v>
      </c>
      <c r="F98" s="275">
        <v>-13.34924216957449</v>
      </c>
      <c r="G98" s="275">
        <v>-13.30659051542286</v>
      </c>
      <c r="H98" s="275">
        <v>-13.263841406244261</v>
      </c>
      <c r="I98" s="275">
        <v>-13.22099607093813</v>
      </c>
      <c r="J98" s="275">
        <v>-13.178055940798419</v>
      </c>
      <c r="K98" s="275">
        <v>-13.13502265605182</v>
      </c>
      <c r="L98" s="275">
        <v>-13.09189807196997</v>
      </c>
      <c r="M98" s="275">
        <v>-13.04868426450188</v>
      </c>
      <c r="N98" s="275">
        <v>-13.005383535373999</v>
      </c>
      <c r="O98" s="275">
        <v>-12.9619984166061</v>
      </c>
      <c r="P98" s="275">
        <v>-12.91853167439327</v>
      </c>
      <c r="Q98" s="275">
        <v>-12.874986312306531</v>
      </c>
      <c r="R98" s="275">
        <v>-12.831365573767339</v>
      </c>
      <c r="S98" s="275">
        <v>-12.787672943754719</v>
      </c>
      <c r="T98" s="275">
        <v>-12.74391214970742</v>
      </c>
      <c r="U98" s="275">
        <v>-12.700087161587961</v>
      </c>
      <c r="V98" s="275">
        <v>-12.656202191079551</v>
      </c>
      <c r="W98" s="275">
        <v>-12.61226168989235</v>
      </c>
      <c r="X98" s="275">
        <v>-12.568270347160171</v>
      </c>
      <c r="Y98" s="275">
        <v>-12.524233085914339</v>
      </c>
      <c r="Z98" s="275">
        <v>-12.48015505862668</v>
      </c>
      <c r="AA98" s="275">
        <v>-12.43604164181914</v>
      </c>
      <c r="AB98" s="275">
        <v>-12.39189842974282</v>
      </c>
      <c r="AC98" s="275">
        <v>-12.34773122713468</v>
      </c>
      <c r="AD98" s="275">
        <v>-12.303546041064861</v>
      </c>
      <c r="AE98" s="275">
        <v>-12.25934907189294</v>
      </c>
      <c r="AF98" s="275">
        <v>-12.215146703355581</v>
      </c>
      <c r="AG98" s="275">
        <v>-12.170945491812329</v>
      </c>
      <c r="AH98" s="275">
        <v>-12.126752154680441</v>
      </c>
      <c r="AI98" s="275">
        <v>-12.082573558092649</v>
      </c>
      <c r="AJ98" s="275">
        <v>-12.03841670381528</v>
      </c>
      <c r="AK98" s="275">
        <v>-11.994288715466711</v>
      </c>
      <c r="AL98" s="275">
        <v>-11.950196824078329</v>
      </c>
      <c r="AM98" s="275">
        <v>-11.90614835304258</v>
      </c>
      <c r="AN98" s="275">
        <v>-11.86215070249404</v>
      </c>
      <c r="AO98" s="275">
        <v>-11.8182113331713</v>
      </c>
      <c r="AP98" s="275">
        <v>-11.77433774980841</v>
      </c>
      <c r="AQ98" s="275">
        <v>-11.73053748410624</v>
      </c>
      <c r="AR98" s="275">
        <v>-11.6868180773349</v>
      </c>
      <c r="AS98" s="275">
        <v>-11.643187062619599</v>
      </c>
      <c r="AT98" s="275">
        <v>-11.59965194696365</v>
      </c>
      <c r="AU98" s="275">
        <v>-11.556220193063229</v>
      </c>
      <c r="AV98" s="275">
        <v>-11.512899200970351</v>
      </c>
      <c r="AW98" s="275">
        <v>-11.469696289661741</v>
      </c>
      <c r="AX98" s="275">
        <v>-11.42661867857329</v>
      </c>
      <c r="AY98" s="275">
        <v>-11.383673469161529</v>
      </c>
      <c r="AZ98" s="275">
        <v>-11.340867626555919</v>
      </c>
      <c r="BA98" s="275">
        <v>-11.29820796136786</v>
      </c>
      <c r="BB98" s="275">
        <v>-11.25570111172479</v>
      </c>
      <c r="BC98" s="275">
        <v>-11.213353525600141</v>
      </c>
      <c r="BD98" s="275">
        <v>-11.171171443512311</v>
      </c>
      <c r="BE98" s="275">
        <v>-11.12916088166808</v>
      </c>
      <c r="BF98" s="275">
        <v>-11.087327615627791</v>
      </c>
      <c r="BG98" s="275">
        <v>-11.04567716457141</v>
      </c>
      <c r="BH98" s="275">
        <v>-11.00421477624568</v>
      </c>
      <c r="BI98" s="275">
        <v>-10.96294541267309</v>
      </c>
      <c r="BJ98" s="275">
        <v>-10.92187373670359</v>
      </c>
      <c r="BK98" s="275">
        <v>-10.88100409948839</v>
      </c>
      <c r="BL98" s="275">
        <v>-10.840340528954091</v>
      </c>
      <c r="BM98" s="275">
        <v>-10.79988671935202</v>
      </c>
      <c r="BN98" s="275">
        <v>-10.75964602195382</v>
      </c>
      <c r="BO98" s="275">
        <v>-10.71962143695947</v>
      </c>
      <c r="BP98" s="275">
        <v>-10.67981560667773</v>
      </c>
      <c r="BQ98" s="275">
        <v>-10.640230810031801</v>
      </c>
      <c r="BR98" s="275">
        <v>-10.60086895843472</v>
      </c>
      <c r="BS98" s="275">
        <v>-10.561731593070141</v>
      </c>
      <c r="BT98" s="275">
        <v>-10.522819883603511</v>
      </c>
      <c r="BU98" s="275">
        <v>-10.48413462833884</v>
      </c>
      <c r="BV98" s="275">
        <v>-10.445676255824109</v>
      </c>
      <c r="BW98" s="275">
        <v>-10.407444827897431</v>
      </c>
      <c r="BX98" s="275">
        <v>-10.369440044153899</v>
      </c>
      <c r="BY98" s="275">
        <v>-10.331661247801479</v>
      </c>
      <c r="BZ98" s="275">
        <v>-10.29410743286275</v>
      </c>
      <c r="CA98" s="275">
        <v>-10.256777252668259</v>
      </c>
      <c r="CB98" s="275">
        <v>-10.219669029576821</v>
      </c>
      <c r="CC98" s="275">
        <v>-10.182780765848211</v>
      </c>
      <c r="CD98" s="275">
        <v>-10.146110155585511</v>
      </c>
      <c r="CE98" s="275">
        <v>-10.10965459765646</v>
      </c>
      <c r="CF98" s="275">
        <v>-10.073411209496539</v>
      </c>
      <c r="CG98" s="275">
        <v>-10.037376841692231</v>
      </c>
      <c r="CH98" s="275">
        <v>-10.001548093237989</v>
      </c>
      <c r="CI98" s="275">
        <v>-9.9659213273591583</v>
      </c>
      <c r="CJ98" s="275">
        <v>-9.9304926877909256</v>
      </c>
      <c r="CK98" s="275">
        <v>-9.8952581154043671</v>
      </c>
      <c r="CL98" s="275">
        <v>-9.8602133650714272</v>
      </c>
      <c r="CM98" s="275">
        <v>-9.8253540226635323</v>
      </c>
      <c r="CN98" s="275">
        <v>-9.7906755220820614</v>
      </c>
      <c r="CO98" s="275">
        <v>-9.7561731622230372</v>
      </c>
      <c r="CP98" s="275"/>
      <c r="CQ98" s="276">
        <v>-14.949274293524271</v>
      </c>
      <c r="CR98" s="276">
        <v>-14.89660496884879</v>
      </c>
      <c r="CS98" s="276">
        <v>-14.84397488671809</v>
      </c>
      <c r="CT98" s="276">
        <v>-14.791386837786691</v>
      </c>
      <c r="CU98" s="276">
        <v>-14.738843641398139</v>
      </c>
      <c r="CV98" s="276">
        <v>-14.68634814327268</v>
      </c>
      <c r="CW98" s="276">
        <v>-14.633903213329249</v>
      </c>
      <c r="CX98" s="276">
        <v>-14.58151174367919</v>
      </c>
      <c r="CY98" s="276">
        <v>-14.52917664682926</v>
      </c>
      <c r="CZ98" s="276">
        <v>-14.476900854132211</v>
      </c>
      <c r="DA98" s="276">
        <v>-14.424687314522579</v>
      </c>
      <c r="DB98" s="276">
        <v>-14.37253899357373</v>
      </c>
      <c r="DC98" s="276">
        <v>-14.32045887291128</v>
      </c>
      <c r="DD98" s="276">
        <v>-14.26844995001516</v>
      </c>
      <c r="DE98" s="276">
        <v>-14.21651523843911</v>
      </c>
      <c r="DF98" s="276">
        <v>-14.164657768472541</v>
      </c>
      <c r="DG98" s="276">
        <v>-14.112880588265289</v>
      </c>
      <c r="DH98" s="276">
        <v>-14.061186765428831</v>
      </c>
      <c r="DI98" s="276">
        <v>-14.009579389122891</v>
      </c>
      <c r="DJ98" s="276">
        <v>-13.958061572626869</v>
      </c>
      <c r="DK98" s="276">
        <v>-13.906636456389201</v>
      </c>
      <c r="DL98" s="276">
        <v>-13.85530721153782</v>
      </c>
      <c r="DM98" s="276">
        <v>-13.804077043825981</v>
      </c>
      <c r="DN98" s="276">
        <v>-13.752949197976831</v>
      </c>
      <c r="DO98" s="276">
        <v>-13.701926962380449</v>
      </c>
      <c r="DP98" s="276">
        <v>-13.651013674085339</v>
      </c>
      <c r="DQ98" s="276">
        <v>-13.60021272401535</v>
      </c>
      <c r="DR98" s="276">
        <v>-13.5495275623318</v>
      </c>
      <c r="DS98" s="276">
        <v>-13.498961703849311</v>
      </c>
      <c r="DT98" s="276">
        <v>-13.448518733402709</v>
      </c>
      <c r="DU98" s="276">
        <v>-13.39820231105247</v>
      </c>
      <c r="DV98" s="276">
        <v>-13.34801617700581</v>
      </c>
      <c r="DW98" s="276">
        <v>-13.297964156122431</v>
      </c>
      <c r="DX98" s="276">
        <v>-13.24805016186577</v>
      </c>
      <c r="DY98" s="276">
        <v>-13.198278199555491</v>
      </c>
      <c r="DZ98" s="276">
        <v>-13.148652368771369</v>
      </c>
      <c r="EA98" s="276">
        <v>-13.09917686475753</v>
      </c>
      <c r="EB98" s="276">
        <v>-13.04985597867519</v>
      </c>
      <c r="EC98" s="276">
        <v>-13.00069409655435</v>
      </c>
      <c r="ED98" s="276">
        <v>-12.951695696800201</v>
      </c>
      <c r="EE98" s="276">
        <v>-12.902865346116981</v>
      </c>
      <c r="EF98" s="276">
        <v>-12.85420769372357</v>
      </c>
      <c r="EG98" s="276">
        <v>-12.8057274637476</v>
      </c>
      <c r="EH98" s="276">
        <v>-12.75742944570241</v>
      </c>
      <c r="EI98" s="276">
        <v>-12.709318482970239</v>
      </c>
      <c r="EJ98" s="276">
        <v>-12.661399459237691</v>
      </c>
      <c r="EK98" s="276">
        <v>-12.613677282854651</v>
      </c>
      <c r="EL98" s="276">
        <v>-12.566156869115421</v>
      </c>
      <c r="EM98" s="276">
        <v>-12.51884312049085</v>
      </c>
      <c r="EN98" s="276">
        <v>-12.47174090487132</v>
      </c>
      <c r="EO98" s="276">
        <v>-12.424855031913699</v>
      </c>
      <c r="EP98" s="276">
        <v>-12.37819022761879</v>
      </c>
      <c r="EQ98" s="276">
        <v>-12.331751107299009</v>
      </c>
      <c r="ER98" s="276">
        <v>-12.285542147130521</v>
      </c>
      <c r="ES98" s="276">
        <v>-12.23956765451465</v>
      </c>
      <c r="ET98" s="276">
        <v>-12.193831737505141</v>
      </c>
      <c r="EU98" s="276">
        <v>-12.1483382735845</v>
      </c>
      <c r="EV98" s="276">
        <v>-12.10309087809831</v>
      </c>
      <c r="EW98" s="276">
        <v>-12.058092872676641</v>
      </c>
      <c r="EX98" s="276">
        <v>-12.01334725398857</v>
      </c>
      <c r="EY98" s="276">
        <v>-11.96885666318709</v>
      </c>
      <c r="EZ98" s="276">
        <v>-11.92462335640842</v>
      </c>
      <c r="FA98" s="276">
        <v>-11.880649176689669</v>
      </c>
      <c r="FB98" s="276">
        <v>-11.83693552766433</v>
      </c>
      <c r="FC98" s="276">
        <v>-11.79348334938255</v>
      </c>
      <c r="FD98" s="276">
        <v>-11.75029309658731</v>
      </c>
      <c r="FE98" s="276">
        <v>-11.70736471975292</v>
      </c>
      <c r="FF98" s="276">
        <v>-11.66469764916485</v>
      </c>
      <c r="FG98" s="276">
        <v>-11.62229078228512</v>
      </c>
      <c r="FH98" s="276">
        <v>-11.580142474610019</v>
      </c>
      <c r="FI98" s="276">
        <v>-11.53825053418344</v>
      </c>
      <c r="FJ98" s="272">
        <v>-11.496612219885129</v>
      </c>
      <c r="FK98" s="272">
        <v>-11.45522424356372</v>
      </c>
      <c r="FL98" s="272">
        <v>-11.41408277603677</v>
      </c>
      <c r="FM98" s="272">
        <v>-11.37318345692881</v>
      </c>
      <c r="FN98" s="272">
        <v>-11.332521408269979</v>
      </c>
      <c r="FO98" s="272">
        <v>-11.29209125172965</v>
      </c>
      <c r="FP98" s="272">
        <v>-11.251887129313159</v>
      </c>
      <c r="FQ98" s="272">
        <v>-11.211902727307701</v>
      </c>
      <c r="FR98" s="272">
        <v>-11.17213130322401</v>
      </c>
      <c r="FS98" s="272">
        <v>-11.13256571544672</v>
      </c>
      <c r="FT98" s="272">
        <v>-11.093198455276109</v>
      </c>
      <c r="FU98" s="272">
        <v>-11.05402168102116</v>
      </c>
      <c r="FV98" s="272">
        <v>-11.01502725378486</v>
      </c>
      <c r="FW98" s="272">
        <v>-10.976206774571491</v>
      </c>
      <c r="FX98" s="272">
        <v>-10.937551622339059</v>
      </c>
      <c r="FY98" s="272">
        <v>-10.89905299262046</v>
      </c>
      <c r="FZ98" s="272">
        <v>-10.86070193634176</v>
      </c>
      <c r="GA98" s="272">
        <v>-10.822489398478419</v>
      </c>
      <c r="GB98" s="272">
        <v>-10.78440625620463</v>
      </c>
      <c r="GC98" s="272">
        <v>-10.746443356212721</v>
      </c>
    </row>
    <row r="99" spans="2:185" ht="15" thickBot="1" x14ac:dyDescent="0.4">
      <c r="B99" s="298">
        <v>93</v>
      </c>
      <c r="C99" s="275">
        <v>-13.688989440256471</v>
      </c>
      <c r="D99" s="275">
        <v>-13.646654406861749</v>
      </c>
      <c r="E99" s="275">
        <v>-13.60422200379271</v>
      </c>
      <c r="F99" s="275">
        <v>-13.56169296035559</v>
      </c>
      <c r="G99" s="275">
        <v>-13.519068181979449</v>
      </c>
      <c r="H99" s="275">
        <v>-13.47634875721295</v>
      </c>
      <c r="I99" s="275">
        <v>-13.43353596445484</v>
      </c>
      <c r="J99" s="275">
        <v>-13.390631278369231</v>
      </c>
      <c r="K99" s="275">
        <v>-13.34763637593608</v>
      </c>
      <c r="L99" s="275">
        <v>-13.304553142086849</v>
      </c>
      <c r="M99" s="275">
        <v>-13.261383674876271</v>
      </c>
      <c r="N99" s="275">
        <v>-13.218130290140961</v>
      </c>
      <c r="O99" s="275">
        <v>-13.17479552559756</v>
      </c>
      <c r="P99" s="275">
        <v>-13.13138214433468</v>
      </c>
      <c r="Q99" s="275">
        <v>-13.087893137654589</v>
      </c>
      <c r="R99" s="275">
        <v>-13.044331727223931</v>
      </c>
      <c r="S99" s="275">
        <v>-13.00070136649525</v>
      </c>
      <c r="T99" s="275">
        <v>-12.95700574136521</v>
      </c>
      <c r="U99" s="275">
        <v>-12.913248770038431</v>
      </c>
      <c r="V99" s="275">
        <v>-12.86943460207096</v>
      </c>
      <c r="W99" s="275">
        <v>-12.82556761657129</v>
      </c>
      <c r="X99" s="275">
        <v>-12.781652419541651</v>
      </c>
      <c r="Y99" s="275">
        <v>-12.737693840347269</v>
      </c>
      <c r="Z99" s="275">
        <v>-12.69369692730619</v>
      </c>
      <c r="AA99" s="275">
        <v>-12.649666942397159</v>
      </c>
      <c r="AB99" s="275">
        <v>-12.605609355088051</v>
      </c>
      <c r="AC99" s="275">
        <v>-12.56152983529225</v>
      </c>
      <c r="AD99" s="275">
        <v>-12.51743424546498</v>
      </c>
      <c r="AE99" s="275">
        <v>-12.47332863185612</v>
      </c>
      <c r="AF99" s="275">
        <v>-12.429219214940341</v>
      </c>
      <c r="AG99" s="275">
        <v>-12.38511237904927</v>
      </c>
      <c r="AH99" s="275">
        <v>-12.34101466123424</v>
      </c>
      <c r="AI99" s="275">
        <v>-12.29693273939114</v>
      </c>
      <c r="AJ99" s="275">
        <v>-12.25287341968253</v>
      </c>
      <c r="AK99" s="275">
        <v>-12.208843623294189</v>
      </c>
      <c r="AL99" s="275">
        <v>-12.164850372566161</v>
      </c>
      <c r="AM99" s="275">
        <v>-12.120900776540161</v>
      </c>
      <c r="AN99" s="275">
        <v>-12.077002015967381</v>
      </c>
      <c r="AO99" s="275">
        <v>-12.03316132782189</v>
      </c>
      <c r="AP99" s="275">
        <v>-11.989385989366809</v>
      </c>
      <c r="AQ99" s="275">
        <v>-11.9456833018215</v>
      </c>
      <c r="AR99" s="275">
        <v>-11.90206057367933</v>
      </c>
      <c r="AS99" s="275">
        <v>-11.85852510372686</v>
      </c>
      <c r="AT99" s="275">
        <v>-11.815084163816669</v>
      </c>
      <c r="AU99" s="275">
        <v>-11.771744981447119</v>
      </c>
      <c r="AV99" s="275">
        <v>-11.72851472220418</v>
      </c>
      <c r="AW99" s="275">
        <v>-11.68540047212147</v>
      </c>
      <c r="AX99" s="275">
        <v>-11.64240922001704</v>
      </c>
      <c r="AY99" s="275">
        <v>-11.599547839866281</v>
      </c>
      <c r="AZ99" s="275">
        <v>-11.556823073273391</v>
      </c>
      <c r="BA99" s="275">
        <v>-11.51424151210472</v>
      </c>
      <c r="BB99" s="275">
        <v>-11.471809581350159</v>
      </c>
      <c r="BC99" s="275">
        <v>-11.4295335222804</v>
      </c>
      <c r="BD99" s="275">
        <v>-11.38741937596977</v>
      </c>
      <c r="BE99" s="275">
        <v>-11.34547296725639</v>
      </c>
      <c r="BF99" s="275">
        <v>-11.30369988921267</v>
      </c>
      <c r="BG99" s="275">
        <v>-11.26210548820047</v>
      </c>
      <c r="BH99" s="275">
        <v>-11.220694849585779</v>
      </c>
      <c r="BI99" s="275">
        <v>-11.17947278418823</v>
      </c>
      <c r="BJ99" s="275">
        <v>-11.138443815539979</v>
      </c>
      <c r="BK99" s="275">
        <v>-11.097612168027339</v>
      </c>
      <c r="BL99" s="275">
        <v>-11.05698175598666</v>
      </c>
      <c r="BM99" s="275">
        <v>-11.016556173822821</v>
      </c>
      <c r="BN99" s="275">
        <v>-10.97633868721481</v>
      </c>
      <c r="BO99" s="275">
        <v>-10.93633222546835</v>
      </c>
      <c r="BP99" s="275">
        <v>-10.896539375069411</v>
      </c>
      <c r="BQ99" s="275">
        <v>-10.85696237448588</v>
      </c>
      <c r="BR99" s="275">
        <v>-10.81760311025721</v>
      </c>
      <c r="BS99" s="275">
        <v>-10.77846311440304</v>
      </c>
      <c r="BT99" s="275">
        <v>-10.7395435631732</v>
      </c>
      <c r="BU99" s="275">
        <v>-10.70084527715132</v>
      </c>
      <c r="BV99" s="275">
        <v>-10.66236872271427</v>
      </c>
      <c r="BW99" s="275">
        <v>-10.62411401483932</v>
      </c>
      <c r="BX99" s="275">
        <v>-10.5860809212398</v>
      </c>
      <c r="BY99" s="275">
        <v>-10.5482688678002</v>
      </c>
      <c r="BZ99" s="275">
        <v>-10.51067694527049</v>
      </c>
      <c r="CA99" s="275">
        <v>-10.473303917170091</v>
      </c>
      <c r="CB99" s="275">
        <v>-10.43614822884213</v>
      </c>
      <c r="CC99" s="275">
        <v>-10.399208017590119</v>
      </c>
      <c r="CD99" s="275">
        <v>-10.36248112382121</v>
      </c>
      <c r="CE99" s="275">
        <v>-10.32596510311323</v>
      </c>
      <c r="CF99" s="275">
        <v>-10.28965723911719</v>
      </c>
      <c r="CG99" s="275">
        <v>-10.253554557201641</v>
      </c>
      <c r="CH99" s="275">
        <v>-10.21765383874226</v>
      </c>
      <c r="CI99" s="275">
        <v>-10.181951635957359</v>
      </c>
      <c r="CJ99" s="275">
        <v>-10.146444287188841</v>
      </c>
      <c r="CK99" s="275">
        <v>-10.11112793252819</v>
      </c>
      <c r="CL99" s="275">
        <v>-10.07599852968789</v>
      </c>
      <c r="CM99" s="275">
        <v>-10.04105187002105</v>
      </c>
      <c r="CN99" s="275">
        <v>-10.00628359459464</v>
      </c>
      <c r="CO99" s="275">
        <v>-9.9716892102258523</v>
      </c>
      <c r="CP99" s="275"/>
      <c r="CQ99" s="276">
        <v>-15.181446119404489</v>
      </c>
      <c r="CR99" s="276">
        <v>-15.12886132426892</v>
      </c>
      <c r="CS99" s="276">
        <v>-15.076316461903801</v>
      </c>
      <c r="CT99" s="276">
        <v>-15.02381427992718</v>
      </c>
      <c r="CU99" s="276">
        <v>-14.971357554809719</v>
      </c>
      <c r="CV99" s="276">
        <v>-14.918949089793101</v>
      </c>
      <c r="CW99" s="276">
        <v>-14.866591712939069</v>
      </c>
      <c r="CX99" s="276">
        <v>-14.81428827534255</v>
      </c>
      <c r="CY99" s="276">
        <v>-14.762041649542731</v>
      </c>
      <c r="CZ99" s="276">
        <v>-14.709854728165499</v>
      </c>
      <c r="DA99" s="276">
        <v>-14.65773042283047</v>
      </c>
      <c r="DB99" s="276">
        <v>-14.60567166335413</v>
      </c>
      <c r="DC99" s="276">
        <v>-14.55368139727922</v>
      </c>
      <c r="DD99" s="276">
        <v>-14.501762589757529</v>
      </c>
      <c r="DE99" s="276">
        <v>-14.44991822381048</v>
      </c>
      <c r="DF99" s="276">
        <v>-14.398151300987371</v>
      </c>
      <c r="DG99" s="276">
        <v>-14.34646484243741</v>
      </c>
      <c r="DH99" s="276">
        <v>-14.294861890405119</v>
      </c>
      <c r="DI99" s="276">
        <v>-14.2433455101535</v>
      </c>
      <c r="DJ99" s="276">
        <v>-14.191918792312199</v>
      </c>
      <c r="DK99" s="276">
        <v>-14.14058485563995</v>
      </c>
      <c r="DL99" s="276">
        <v>-14.089346850183251</v>
      </c>
      <c r="DM99" s="276">
        <v>-14.038207960803851</v>
      </c>
      <c r="DN99" s="276">
        <v>-13.9871714110387</v>
      </c>
      <c r="DO99" s="276">
        <v>-13.93624046724619</v>
      </c>
      <c r="DP99" s="276">
        <v>-13.88541844298323</v>
      </c>
      <c r="DQ99" s="276">
        <v>-13.834708703546641</v>
      </c>
      <c r="DR99" s="276">
        <v>-13.784114670603399</v>
      </c>
      <c r="DS99" s="276">
        <v>-13.733639826823801</v>
      </c>
      <c r="DT99" s="276">
        <v>-13.68328772042193</v>
      </c>
      <c r="DU99" s="276">
        <v>-13.633061969499369</v>
      </c>
      <c r="DV99" s="276">
        <v>-13.58296626607938</v>
      </c>
      <c r="DW99" s="276">
        <v>-13.533004379711389</v>
      </c>
      <c r="DX99" s="276">
        <v>-13.48318016051986</v>
      </c>
      <c r="DY99" s="276">
        <v>-13.433497541566391</v>
      </c>
      <c r="DZ99" s="276">
        <v>-13.383960540390721</v>
      </c>
      <c r="EA99" s="276">
        <v>-13.33457325959554</v>
      </c>
      <c r="EB99" s="276">
        <v>-13.285339886339621</v>
      </c>
      <c r="EC99" s="276">
        <v>-13.23626469060741</v>
      </c>
      <c r="ED99" s="276">
        <v>-13.18735202212847</v>
      </c>
      <c r="EE99" s="276">
        <v>-13.13860630582716</v>
      </c>
      <c r="EF99" s="276">
        <v>-13.09003203569393</v>
      </c>
      <c r="EG99" s="276">
        <v>-13.04163376698239</v>
      </c>
      <c r="EH99" s="276">
        <v>-12.99341610665171</v>
      </c>
      <c r="EI99" s="276">
        <v>-12.94538370199237</v>
      </c>
      <c r="EJ99" s="276">
        <v>-12.8975412273939</v>
      </c>
      <c r="EK99" s="276">
        <v>-12.849893369236041</v>
      </c>
      <c r="EL99" s="276">
        <v>-12.802444808910369</v>
      </c>
      <c r="EM99" s="276">
        <v>-12.75520020400605</v>
      </c>
      <c r="EN99" s="276">
        <v>-12.70816416772127</v>
      </c>
      <c r="EO99" s="276">
        <v>-12.661341246592441</v>
      </c>
      <c r="EP99" s="276">
        <v>-12.61473589666182</v>
      </c>
      <c r="EQ99" s="276">
        <v>-12.568352458235029</v>
      </c>
      <c r="ER99" s="276">
        <v>-12.522195129408971</v>
      </c>
      <c r="ES99" s="276">
        <v>-12.47626793857906</v>
      </c>
      <c r="ET99" s="276">
        <v>-12.430574716160899</v>
      </c>
      <c r="EU99" s="276">
        <v>-12.38511906578643</v>
      </c>
      <c r="EV99" s="276">
        <v>-12.339904335255319</v>
      </c>
      <c r="EW99" s="276">
        <v>-12.29493358754055</v>
      </c>
      <c r="EX99" s="276">
        <v>-12.25020957216134</v>
      </c>
      <c r="EY99" s="276">
        <v>-12.205734697245809</v>
      </c>
      <c r="EZ99" s="276">
        <v>-12.16151100261081</v>
      </c>
      <c r="FA99" s="276">
        <v>-12.117540134186321</v>
      </c>
      <c r="FB99" s="276">
        <v>-12.07382332010622</v>
      </c>
      <c r="FC99" s="276">
        <v>-12.030361348776299</v>
      </c>
      <c r="FD99" s="276">
        <v>-11.98715454921553</v>
      </c>
      <c r="FE99" s="276">
        <v>-11.94420277394368</v>
      </c>
      <c r="FF99" s="276">
        <v>-11.901505384664461</v>
      </c>
      <c r="FG99" s="276">
        <v>-11.859061240961431</v>
      </c>
      <c r="FH99" s="276">
        <v>-11.816868692190329</v>
      </c>
      <c r="FI99" s="276">
        <v>-11.77492557271348</v>
      </c>
      <c r="FJ99" s="272">
        <v>-11.73322920058119</v>
      </c>
      <c r="FK99" s="272">
        <v>-11.69177637972251</v>
      </c>
      <c r="FL99" s="272">
        <v>-11.650563405664229</v>
      </c>
      <c r="FM99" s="272">
        <v>-11.60958607475184</v>
      </c>
      <c r="FN99" s="272">
        <v>-11.568839696802931</v>
      </c>
      <c r="FO99" s="272">
        <v>-11.528319111080471</v>
      </c>
      <c r="FP99" s="272">
        <v>-11.488018705432401</v>
      </c>
      <c r="FQ99" s="272">
        <v>-11.44793243840587</v>
      </c>
      <c r="FR99" s="272">
        <v>-11.408053864109849</v>
      </c>
      <c r="FS99" s="272">
        <v>-11.368376159568641</v>
      </c>
      <c r="FT99" s="272">
        <v>-11.328892154282579</v>
      </c>
      <c r="FU99" s="272">
        <v>-11.289594361690529</v>
      </c>
      <c r="FV99" s="272">
        <v>-11.250475012212011</v>
      </c>
      <c r="FW99" s="272">
        <v>-11.21152608753602</v>
      </c>
      <c r="FX99" s="272">
        <v>-11.172739355817191</v>
      </c>
      <c r="FY99" s="272">
        <v>-11.13410640743912</v>
      </c>
      <c r="FZ99" s="272">
        <v>-11.095618691009671</v>
      </c>
      <c r="GA99" s="272">
        <v>-11.057267549261169</v>
      </c>
      <c r="GB99" s="272">
        <v>-11.01904425454301</v>
      </c>
      <c r="GC99" s="272">
        <v>-10.980940043610611</v>
      </c>
    </row>
    <row r="100" spans="2:185" ht="15" thickBot="1" x14ac:dyDescent="0.4">
      <c r="B100" s="298">
        <v>94</v>
      </c>
      <c r="C100" s="275">
        <v>-13.90138785261613</v>
      </c>
      <c r="D100" s="275">
        <v>-13.85907267416234</v>
      </c>
      <c r="E100" s="275">
        <v>-13.816662703663001</v>
      </c>
      <c r="F100" s="275">
        <v>-13.77415873062788</v>
      </c>
      <c r="G100" s="275">
        <v>-13.731561716105359</v>
      </c>
      <c r="H100" s="275">
        <v>-13.688872799210939</v>
      </c>
      <c r="I100" s="275">
        <v>-13.646093303390369</v>
      </c>
      <c r="J100" s="275">
        <v>-13.603224742372021</v>
      </c>
      <c r="K100" s="275">
        <v>-13.560268825762</v>
      </c>
      <c r="L100" s="275">
        <v>-13.51722746423636</v>
      </c>
      <c r="M100" s="275">
        <v>-13.474102774284219</v>
      </c>
      <c r="N100" s="275">
        <v>-13.430897082456831</v>
      </c>
      <c r="O100" s="275">
        <v>-13.387612929078831</v>
      </c>
      <c r="P100" s="275">
        <v>-13.344253071379219</v>
      </c>
      <c r="Q100" s="275">
        <v>-13.300820486002021</v>
      </c>
      <c r="R100" s="275">
        <v>-13.257318370858719</v>
      </c>
      <c r="S100" s="275">
        <v>-13.21375014628773</v>
      </c>
      <c r="T100" s="275">
        <v>-13.170119455489001</v>
      </c>
      <c r="U100" s="275">
        <v>-13.126430164205891</v>
      </c>
      <c r="V100" s="275">
        <v>-13.082686359629889</v>
      </c>
      <c r="W100" s="275">
        <v>-13.038892348508019</v>
      </c>
      <c r="X100" s="275">
        <v>-12.99505265443722</v>
      </c>
      <c r="Y100" s="275">
        <v>-12.951172014334</v>
      </c>
      <c r="Z100" s="275">
        <v>-12.90725537407288</v>
      </c>
      <c r="AA100" s="275">
        <v>-12.863307883291</v>
      </c>
      <c r="AB100" s="275">
        <v>-12.81933488936121</v>
      </c>
      <c r="AC100" s="275">
        <v>-12.77534193054049</v>
      </c>
      <c r="AD100" s="275">
        <v>-12.73133472830467</v>
      </c>
      <c r="AE100" s="275">
        <v>-12.687319178884669</v>
      </c>
      <c r="AF100" s="275">
        <v>-12.643301344023589</v>
      </c>
      <c r="AG100" s="275">
        <v>-12.59928744097758</v>
      </c>
      <c r="AH100" s="275">
        <v>-12.555283831786999</v>
      </c>
      <c r="AI100" s="275">
        <v>-12.51129701184742</v>
      </c>
      <c r="AJ100" s="275">
        <v>-12.46733359781329</v>
      </c>
      <c r="AK100" s="275">
        <v>-12.42340031486931</v>
      </c>
      <c r="AL100" s="275">
        <v>-12.37950398340727</v>
      </c>
      <c r="AM100" s="275">
        <v>-12.33565150514816</v>
      </c>
      <c r="AN100" s="275">
        <v>-12.291849848751269</v>
      </c>
      <c r="AO100" s="275">
        <v>-12.24810603495358</v>
      </c>
      <c r="AP100" s="275">
        <v>-12.20442712128475</v>
      </c>
      <c r="AQ100" s="275">
        <v>-12.16082018640393</v>
      </c>
      <c r="AR100" s="275">
        <v>-12.117292314106439</v>
      </c>
      <c r="AS100" s="275">
        <v>-12.073850577049489</v>
      </c>
      <c r="AT100" s="275">
        <v>-12.0305020202475</v>
      </c>
      <c r="AU100" s="275">
        <v>-11.987253644389121</v>
      </c>
      <c r="AV100" s="275">
        <v>-11.944112389029129</v>
      </c>
      <c r="AW100" s="275">
        <v>-11.90108511571021</v>
      </c>
      <c r="AX100" s="275">
        <v>-11.8581785910712</v>
      </c>
      <c r="AY100" s="275">
        <v>-11.815399469999649</v>
      </c>
      <c r="AZ100" s="275">
        <v>-11.772754278888719</v>
      </c>
      <c r="BA100" s="275">
        <v>-11.73024939905998</v>
      </c>
      <c r="BB100" s="275">
        <v>-11.687891050415249</v>
      </c>
      <c r="BC100" s="275">
        <v>-11.645685275382609</v>
      </c>
      <c r="BD100" s="275">
        <v>-11.60363792322298</v>
      </c>
      <c r="BE100" s="275">
        <v>-11.561754634765331</v>
      </c>
      <c r="BF100" s="275">
        <v>-11.520040827639191</v>
      </c>
      <c r="BG100" s="275">
        <v>-11.47850168207469</v>
      </c>
      <c r="BH100" s="275">
        <v>-11.437142127339721</v>
      </c>
      <c r="BI100" s="275">
        <v>-11.395966828884511</v>
      </c>
      <c r="BJ100" s="275">
        <v>-11.354980176262551</v>
      </c>
      <c r="BK100" s="275">
        <v>-11.314186271895499</v>
      </c>
      <c r="BL100" s="275">
        <v>-11.27358892074786</v>
      </c>
      <c r="BM100" s="275">
        <v>-11.23319162097348</v>
      </c>
      <c r="BN100" s="275">
        <v>-11.192997555593269</v>
      </c>
      <c r="BO100" s="275">
        <v>-11.153009585257641</v>
      </c>
      <c r="BP100" s="275">
        <v>-11.11323024214281</v>
      </c>
      <c r="BQ100" s="275">
        <v>-11.073661725023239</v>
      </c>
      <c r="BR100" s="275">
        <v>-11.034305895555519</v>
      </c>
      <c r="BS100" s="275">
        <v>-10.99516427580151</v>
      </c>
      <c r="BT100" s="275">
        <v>-10.95623804700999</v>
      </c>
      <c r="BU100" s="275">
        <v>-10.917528049667199</v>
      </c>
      <c r="BV100" s="275">
        <v>-10.879034784817589</v>
      </c>
      <c r="BW100" s="275">
        <v>-10.84075841664653</v>
      </c>
      <c r="BX100" s="275">
        <v>-10.802698776306871</v>
      </c>
      <c r="BY100" s="275">
        <v>-10.764855366962299</v>
      </c>
      <c r="BZ100" s="275">
        <v>-10.727227370010301</v>
      </c>
      <c r="CA100" s="275">
        <v>-10.68981365243924</v>
      </c>
      <c r="CB100" s="275">
        <v>-10.65261277526513</v>
      </c>
      <c r="CC100" s="275">
        <v>-10.61562300298592</v>
      </c>
      <c r="CD100" s="275">
        <v>-10.578842313983911</v>
      </c>
      <c r="CE100" s="275">
        <v>-10.54226841180078</v>
      </c>
      <c r="CF100" s="275">
        <v>-10.505898737204131</v>
      </c>
      <c r="CG100" s="275">
        <v>-10.469730480960211</v>
      </c>
      <c r="CH100" s="275">
        <v>-10.433760597224079</v>
      </c>
      <c r="CI100" s="275">
        <v>-10.39798581745613</v>
      </c>
      <c r="CJ100" s="275">
        <v>-10.362402664772871</v>
      </c>
      <c r="CK100" s="275">
        <v>-10.32700746863927</v>
      </c>
      <c r="CL100" s="275">
        <v>-10.29179637981091</v>
      </c>
      <c r="CM100" s="275">
        <v>-10.25676538543609</v>
      </c>
      <c r="CN100" s="275">
        <v>-10.22191032423</v>
      </c>
      <c r="CO100" s="275">
        <v>-10.187226901636951</v>
      </c>
      <c r="CP100" s="275"/>
      <c r="CQ100" s="276">
        <v>-15.41365459598101</v>
      </c>
      <c r="CR100" s="276">
        <v>-15.361153451490511</v>
      </c>
      <c r="CS100" s="276">
        <v>-15.308692909295489</v>
      </c>
      <c r="CT100" s="276">
        <v>-15.256275675523421</v>
      </c>
      <c r="CU100" s="276">
        <v>-15.203904485268559</v>
      </c>
      <c r="CV100" s="276">
        <v>-15.15158210071448</v>
      </c>
      <c r="CW100" s="276">
        <v>-15.099311309382591</v>
      </c>
      <c r="CX100" s="276">
        <v>-15.04709492253623</v>
      </c>
      <c r="CY100" s="276">
        <v>-14.99493577377052</v>
      </c>
      <c r="CZ100" s="276">
        <v>-14.94283671781753</v>
      </c>
      <c r="DA100" s="276">
        <v>-14.890800629595789</v>
      </c>
      <c r="DB100" s="276">
        <v>-14.838830403531221</v>
      </c>
      <c r="DC100" s="276">
        <v>-14.786928953175581</v>
      </c>
      <c r="DD100" s="276">
        <v>-14.73509921114511</v>
      </c>
      <c r="DE100" s="276">
        <v>-14.683344129399391</v>
      </c>
      <c r="DF100" s="276">
        <v>-14.631666679876581</v>
      </c>
      <c r="DG100" s="276">
        <v>-14.5800698554965</v>
      </c>
      <c r="DH100" s="276">
        <v>-14.528556671538469</v>
      </c>
      <c r="DI100" s="276">
        <v>-14.47713016739428</v>
      </c>
      <c r="DJ100" s="276">
        <v>-14.42579340869143</v>
      </c>
      <c r="DK100" s="276">
        <v>-14.3745494897731</v>
      </c>
      <c r="DL100" s="276">
        <v>-14.32340153651629</v>
      </c>
      <c r="DM100" s="276">
        <v>-14.272352709458991</v>
      </c>
      <c r="DN100" s="276">
        <v>-14.22140620720084</v>
      </c>
      <c r="DO100" s="276">
        <v>-14.170565270032199</v>
      </c>
      <c r="DP100" s="276">
        <v>-14.1198331837378</v>
      </c>
      <c r="DQ100" s="276">
        <v>-14.06921328351231</v>
      </c>
      <c r="DR100" s="276">
        <v>-14.018708957916409</v>
      </c>
      <c r="DS100" s="276">
        <v>-13.968323652792909</v>
      </c>
      <c r="DT100" s="276">
        <v>-13.918060875054451</v>
      </c>
      <c r="DU100" s="276">
        <v>-13.867924196246429</v>
      </c>
      <c r="DV100" s="276">
        <v>-13.817917255782</v>
      </c>
      <c r="DW100" s="276">
        <v>-13.768043763739319</v>
      </c>
      <c r="DX100" s="276">
        <v>-13.71830750310661</v>
      </c>
      <c r="DY100" s="276">
        <v>-13.668712331357071</v>
      </c>
      <c r="DZ100" s="276">
        <v>-13.61926218123252</v>
      </c>
      <c r="EA100" s="276">
        <v>-13.56996106061534</v>
      </c>
      <c r="EB100" s="276">
        <v>-13.52081305136837</v>
      </c>
      <c r="EC100" s="276">
        <v>-13.471822307026629</v>
      </c>
      <c r="ED100" s="276">
        <v>-13.422993049229341</v>
      </c>
      <c r="EE100" s="276">
        <v>-13.374329562789111</v>
      </c>
      <c r="EF100" s="276">
        <v>-13.32583618930458</v>
      </c>
      <c r="EG100" s="276">
        <v>-13.277517319235089</v>
      </c>
      <c r="EH100" s="276">
        <v>-13.22937738237129</v>
      </c>
      <c r="EI100" s="276">
        <v>-13.18142083665118</v>
      </c>
      <c r="EJ100" s="276">
        <v>-13.133652155291569</v>
      </c>
      <c r="EK100" s="276">
        <v>-13.08607581222487</v>
      </c>
      <c r="EL100" s="276">
        <v>-13.03869626585451</v>
      </c>
      <c r="EM100" s="276">
        <v>-12.99151794116632</v>
      </c>
      <c r="EN100" s="276">
        <v>-12.94454521025901</v>
      </c>
      <c r="EO100" s="276">
        <v>-12.8977823713827</v>
      </c>
      <c r="EP100" s="276">
        <v>-12.851233626601349</v>
      </c>
      <c r="EQ100" s="276">
        <v>-12.804903058221679</v>
      </c>
      <c r="ER100" s="276">
        <v>-12.758794604156559</v>
      </c>
      <c r="ES100" s="276">
        <v>-12.712912032416471</v>
      </c>
      <c r="ET100" s="276">
        <v>-12.66725891494519</v>
      </c>
      <c r="EU100" s="276">
        <v>-12.621838601037309</v>
      </c>
      <c r="EV100" s="276">
        <v>-12.576654190593979</v>
      </c>
      <c r="EW100" s="276">
        <v>-12.531708507487989</v>
      </c>
      <c r="EX100" s="276">
        <v>-12.487004073321589</v>
      </c>
      <c r="EY100" s="276">
        <v>-12.44254308186863</v>
      </c>
      <c r="EZ100" s="276">
        <v>-12.398327374495519</v>
      </c>
      <c r="FA100" s="276">
        <v>-12.354358416855479</v>
      </c>
      <c r="FB100" s="276">
        <v>-12.31063727714495</v>
      </c>
      <c r="FC100" s="276">
        <v>-12.267164606200691</v>
      </c>
      <c r="FD100" s="276">
        <v>-12.223940619702001</v>
      </c>
      <c r="FE100" s="276">
        <v>-12.1809650827227</v>
      </c>
      <c r="FF100" s="276">
        <v>-12.13823729685439</v>
      </c>
      <c r="FG100" s="276">
        <v>-12.09575609009536</v>
      </c>
      <c r="FH100" s="276">
        <v>-12.053519809668121</v>
      </c>
      <c r="FI100" s="276">
        <v>-12.011526317895161</v>
      </c>
      <c r="FJ100" s="272">
        <v>-11.96977299122597</v>
      </c>
      <c r="FK100" s="272">
        <v>-11.92825672247074</v>
      </c>
      <c r="FL100" s="272">
        <v>-11.886973926256291</v>
      </c>
      <c r="FM100" s="272">
        <v>-11.84592054768107</v>
      </c>
      <c r="FN100" s="272">
        <v>-11.8050920741062</v>
      </c>
      <c r="FO100" s="272">
        <v>-11.76448354998176</v>
      </c>
      <c r="FP100" s="272">
        <v>-11.72408959457081</v>
      </c>
      <c r="FQ100" s="272">
        <v>-11.683904422399189</v>
      </c>
      <c r="FR100" s="272">
        <v>-11.643921866228901</v>
      </c>
      <c r="FS100" s="272">
        <v>-11.604135402323861</v>
      </c>
      <c r="FT100" s="272">
        <v>-11.564538177753731</v>
      </c>
      <c r="FU100" s="272">
        <v>-11.5251230394617</v>
      </c>
      <c r="FV100" s="272">
        <v>-11.485882564806699</v>
      </c>
      <c r="FW100" s="272">
        <v>-11.44680909328021</v>
      </c>
      <c r="FX100" s="272">
        <v>-11.40789475909175</v>
      </c>
      <c r="FY100" s="272">
        <v>-11.36913152431587</v>
      </c>
      <c r="FZ100" s="272">
        <v>-11.33051121229704</v>
      </c>
      <c r="GA100" s="272">
        <v>-11.2920255410158</v>
      </c>
      <c r="GB100" s="272">
        <v>-11.25366615613104</v>
      </c>
      <c r="GC100" s="272">
        <v>-11.21542466342912</v>
      </c>
    </row>
    <row r="101" spans="2:185" ht="15" thickBot="1" x14ac:dyDescent="0.4">
      <c r="B101" s="298">
        <v>95</v>
      </c>
      <c r="C101" s="275">
        <v>-14.113798869744929</v>
      </c>
      <c r="D101" s="275">
        <v>-14.07150454196262</v>
      </c>
      <c r="E101" s="275">
        <v>-14.029117948863391</v>
      </c>
      <c r="F101" s="275">
        <v>-13.986639935708601</v>
      </c>
      <c r="G101" s="275">
        <v>-13.944071514772229</v>
      </c>
      <c r="H101" s="275">
        <v>-13.901413871429961</v>
      </c>
      <c r="I101" s="275">
        <v>-13.858668369984469</v>
      </c>
      <c r="J101" s="275">
        <v>-13.81583655918484</v>
      </c>
      <c r="K101" s="275">
        <v>-13.772920177396999</v>
      </c>
      <c r="L101" s="275">
        <v>-13.72992115738246</v>
      </c>
      <c r="M101" s="275">
        <v>-13.686841630643061</v>
      </c>
      <c r="N101" s="275">
        <v>-13.64368393128983</v>
      </c>
      <c r="O101" s="275">
        <v>-13.600450599395661</v>
      </c>
      <c r="P101" s="275">
        <v>-13.55714438379264</v>
      </c>
      <c r="Q101" s="275">
        <v>-13.513768244277131</v>
      </c>
      <c r="R101" s="275">
        <v>-13.47032535318772</v>
      </c>
      <c r="S101" s="275">
        <v>-13.42681909632403</v>
      </c>
      <c r="T101" s="275">
        <v>-13.38325307317711</v>
      </c>
      <c r="U101" s="275">
        <v>-13.33963109644583</v>
      </c>
      <c r="V101" s="275">
        <v>-13.29595719081661</v>
      </c>
      <c r="W101" s="275">
        <v>-13.25223559098829</v>
      </c>
      <c r="X101" s="275">
        <v>-13.20847073892735</v>
      </c>
      <c r="Y101" s="275">
        <v>-13.16466728034308</v>
      </c>
      <c r="Z101" s="275">
        <v>-13.120830060376299</v>
      </c>
      <c r="AA101" s="275">
        <v>-13.07696411849961</v>
      </c>
      <c r="AB101" s="275">
        <v>-13.033074682631129</v>
      </c>
      <c r="AC101" s="275">
        <v>-12.98916716246811</v>
      </c>
      <c r="AD101" s="275">
        <v>-12.94524714205046</v>
      </c>
      <c r="AE101" s="275">
        <v>-12.901320371568501</v>
      </c>
      <c r="AF101" s="275">
        <v>-12.857392758432891</v>
      </c>
      <c r="AG101" s="275">
        <v>-12.81347035762788</v>
      </c>
      <c r="AH101" s="275">
        <v>-12.769559361372959</v>
      </c>
      <c r="AI101" s="275">
        <v>-12.725666088120439</v>
      </c>
      <c r="AJ101" s="275">
        <v>-12.6817969709197</v>
      </c>
      <c r="AK101" s="275">
        <v>-12.63795854518149</v>
      </c>
      <c r="AL101" s="275">
        <v>-12.59415743587761</v>
      </c>
      <c r="AM101" s="275">
        <v>-12.550400344214051</v>
      </c>
      <c r="AN101" s="275">
        <v>-12.506694033817039</v>
      </c>
      <c r="AO101" s="275">
        <v>-12.46304531647378</v>
      </c>
      <c r="AP101" s="275">
        <v>-12.41946103747085</v>
      </c>
      <c r="AQ101" s="275">
        <v>-12.375948060575061</v>
      </c>
      <c r="AR101" s="275">
        <v>-12.332513252702901</v>
      </c>
      <c r="AS101" s="275">
        <v>-12.289163468326249</v>
      </c>
      <c r="AT101" s="275">
        <v>-12.24590553366312</v>
      </c>
      <c r="AU101" s="275">
        <v>-12.202746230703999</v>
      </c>
      <c r="AV101" s="275">
        <v>-12.15969228112534</v>
      </c>
      <c r="AW101" s="275">
        <v>-12.116750330143651</v>
      </c>
      <c r="AX101" s="275">
        <v>-12.07392693036455</v>
      </c>
      <c r="AY101" s="275">
        <v>-12.031228525683311</v>
      </c>
      <c r="AZ101" s="275">
        <v>-11.988661435294199</v>
      </c>
      <c r="BA101" s="275">
        <v>-11.946231837868339</v>
      </c>
      <c r="BB101" s="275">
        <v>-11.90394575596012</v>
      </c>
      <c r="BC101" s="275">
        <v>-11.86180904070485</v>
      </c>
      <c r="BD101" s="275">
        <v>-11.81982735687045</v>
      </c>
      <c r="BE101" s="275">
        <v>-11.778006168327799</v>
      </c>
      <c r="BF101" s="275">
        <v>-11.736350724004589</v>
      </c>
      <c r="BG101" s="275">
        <v>-11.6948660443884</v>
      </c>
      <c r="BH101" s="275">
        <v>-11.65355690864436</v>
      </c>
      <c r="BI101" s="275">
        <v>-11.6124278424126</v>
      </c>
      <c r="BJ101" s="275">
        <v>-11.571483106349421</v>
      </c>
      <c r="BK101" s="275">
        <v>-11.530726685474781</v>
      </c>
      <c r="BL101" s="275">
        <v>-11.49016227938627</v>
      </c>
      <c r="BM101" s="275">
        <v>-11.449793293396841</v>
      </c>
      <c r="BN101" s="275">
        <v>-11.409622830649781</v>
      </c>
      <c r="BO101" s="275">
        <v>-11.369653685260239</v>
      </c>
      <c r="BP101" s="275">
        <v>-11.32988833652729</v>
      </c>
      <c r="BQ101" s="275">
        <v>-11.290328944254529</v>
      </c>
      <c r="BR101" s="275">
        <v>-11.250977345211171</v>
      </c>
      <c r="BS101" s="275">
        <v>-11.21183505075793</v>
      </c>
      <c r="BT101" s="275">
        <v>-11.172903245654741</v>
      </c>
      <c r="BU101" s="275">
        <v>-11.134182788059039</v>
      </c>
      <c r="BV101" s="275">
        <v>-11.09567421071511</v>
      </c>
      <c r="BW101" s="275">
        <v>-11.057377723326219</v>
      </c>
      <c r="BX101" s="275">
        <v>-11.01929321609278</v>
      </c>
      <c r="BY101" s="275">
        <v>-10.98142026439084</v>
      </c>
      <c r="BZ101" s="275">
        <v>-10.943758134557079</v>
      </c>
      <c r="CA101" s="275">
        <v>-10.906305790738109</v>
      </c>
      <c r="CB101" s="275">
        <v>-10.86906190275414</v>
      </c>
      <c r="CC101" s="275">
        <v>-10.832024854920149</v>
      </c>
      <c r="CD101" s="275">
        <v>-10.795192755760979</v>
      </c>
      <c r="CE101" s="275">
        <v>-10.758563448551151</v>
      </c>
      <c r="CF101" s="275">
        <v>-10.722134522605041</v>
      </c>
      <c r="CG101" s="275">
        <v>-10.685903325239501</v>
      </c>
      <c r="CH101" s="275">
        <v>-10.64986697432715</v>
      </c>
      <c r="CI101" s="275">
        <v>-10.61402237135704</v>
      </c>
      <c r="CJ101" s="275">
        <v>-10.57836621491778</v>
      </c>
      <c r="CK101" s="275">
        <v>-10.542895014517599</v>
      </c>
      <c r="CL101" s="275">
        <v>-10.50760510465715</v>
      </c>
      <c r="CM101" s="275">
        <v>-10.47249265907112</v>
      </c>
      <c r="CN101" s="275">
        <v>-10.437553705057869</v>
      </c>
      <c r="CO101" s="275">
        <v>-10.402784137818401</v>
      </c>
      <c r="CP101" s="275"/>
      <c r="CQ101" s="276">
        <v>-15.64589867850761</v>
      </c>
      <c r="CR101" s="276">
        <v>-15.59348031015014</v>
      </c>
      <c r="CS101" s="276">
        <v>-15.54110319280603</v>
      </c>
      <c r="CT101" s="276">
        <v>-15.488769992482769</v>
      </c>
      <c r="CU101" s="276">
        <v>-15.43648340421524</v>
      </c>
      <c r="CV101" s="276">
        <v>-15.38424615036852</v>
      </c>
      <c r="CW101" s="276">
        <v>-15.332060979060589</v>
      </c>
      <c r="CX101" s="276">
        <v>-15.27993066273185</v>
      </c>
      <c r="CY101" s="276">
        <v>-15.22785799688767</v>
      </c>
      <c r="CZ101" s="276">
        <v>-15.175845799040401</v>
      </c>
      <c r="DA101" s="276">
        <v>-15.12389690787573</v>
      </c>
      <c r="DB101" s="276">
        <v>-15.07201418266691</v>
      </c>
      <c r="DC101" s="276">
        <v>-15.02020050295916</v>
      </c>
      <c r="DD101" s="276">
        <v>-14.968458768542551</v>
      </c>
      <c r="DE101" s="276">
        <v>-14.916791899730461</v>
      </c>
      <c r="DF101" s="276">
        <v>-14.865202837955451</v>
      </c>
      <c r="DG101" s="276">
        <v>-14.8136945466913</v>
      </c>
      <c r="DH101" s="276">
        <v>-14.76227001270421</v>
      </c>
      <c r="DI101" s="276">
        <v>-14.71093224763217</v>
      </c>
      <c r="DJ101" s="276">
        <v>-14.659684289883749</v>
      </c>
      <c r="DK101" s="276">
        <v>-14.60852920684302</v>
      </c>
      <c r="DL101" s="276">
        <v>-14.557470097359211</v>
      </c>
      <c r="DM101" s="276">
        <v>-14.506510094493089</v>
      </c>
      <c r="DN101" s="276">
        <v>-14.45565236848423</v>
      </c>
      <c r="DO101" s="276">
        <v>-14.404900129895751</v>
      </c>
      <c r="DP101" s="276">
        <v>-14.354256632884841</v>
      </c>
      <c r="DQ101" s="276">
        <v>-14.303725178540081</v>
      </c>
      <c r="DR101" s="276">
        <v>-14.253309118217921</v>
      </c>
      <c r="DS101" s="276">
        <v>-14.20301185680378</v>
      </c>
      <c r="DT101" s="276">
        <v>-14.152836855815609</v>
      </c>
      <c r="DU101" s="276">
        <v>-14.10278763626132</v>
      </c>
      <c r="DV101" s="276">
        <v>-14.052867781155291</v>
      </c>
      <c r="DW101" s="276">
        <v>-14.00308093759441</v>
      </c>
      <c r="DX101" s="276">
        <v>-13.953430818289609</v>
      </c>
      <c r="DY101" s="276">
        <v>-13.903921202446661</v>
      </c>
      <c r="DZ101" s="276">
        <v>-13.85455593588769</v>
      </c>
      <c r="EA101" s="276">
        <v>-13.805338930305849</v>
      </c>
      <c r="EB101" s="276">
        <v>-13.756274161546861</v>
      </c>
      <c r="EC101" s="276">
        <v>-13.7073656668145</v>
      </c>
      <c r="ED101" s="276">
        <v>-13.65861754070341</v>
      </c>
      <c r="EE101" s="276">
        <v>-13.610033929969109</v>
      </c>
      <c r="EF101" s="276">
        <v>-13.56161902695556</v>
      </c>
      <c r="EG101" s="276">
        <v>-13.51337706161137</v>
      </c>
      <c r="EH101" s="276">
        <v>-13.46531229204027</v>
      </c>
      <c r="EI101" s="276">
        <v>-13.417428993546331</v>
      </c>
      <c r="EJ101" s="276">
        <v>-13.369731446152279</v>
      </c>
      <c r="EK101" s="276">
        <v>-13.322223920588719</v>
      </c>
      <c r="EL101" s="276">
        <v>-13.27491066277182</v>
      </c>
      <c r="EM101" s="276">
        <v>-13.22779587681036</v>
      </c>
      <c r="EN101" s="276">
        <v>-13.18088370660452</v>
      </c>
      <c r="EO101" s="276">
        <v>-13.13417821612334</v>
      </c>
      <c r="EP101" s="276">
        <v>-13.087683368471</v>
      </c>
      <c r="EQ101" s="276">
        <v>-13.04140300387567</v>
      </c>
      <c r="ER101" s="276">
        <v>-12.995340816757819</v>
      </c>
      <c r="ES101" s="276">
        <v>-12.94950033205656</v>
      </c>
      <c r="ET101" s="276">
        <v>-12.903884881013081</v>
      </c>
      <c r="EU101" s="276">
        <v>-12.85849757662856</v>
      </c>
      <c r="EV101" s="276">
        <v>-12.813341289030079</v>
      </c>
      <c r="EW101" s="276">
        <v>-12.76841862099104</v>
      </c>
      <c r="EX101" s="276">
        <v>-12.723731883862779</v>
      </c>
      <c r="EY101" s="276">
        <v>-12.67928307418072</v>
      </c>
      <c r="EZ101" s="276">
        <v>-12.63507385121053</v>
      </c>
      <c r="FA101" s="276">
        <v>-12.591105515699541</v>
      </c>
      <c r="FB101" s="276">
        <v>-12.547378990092261</v>
      </c>
      <c r="FC101" s="276">
        <v>-12.50389480046047</v>
      </c>
      <c r="FD101" s="276">
        <v>-12.460653060383949</v>
      </c>
      <c r="FE101" s="276">
        <v>-12.417653457001061</v>
      </c>
      <c r="FF101" s="276">
        <v>-12.37489523942685</v>
      </c>
      <c r="FG101" s="276">
        <v>-12.33237720971208</v>
      </c>
      <c r="FH101" s="276">
        <v>-12.290097716488241</v>
      </c>
      <c r="FI101" s="276">
        <v>-12.24805465141405</v>
      </c>
      <c r="FJ101" s="272">
        <v>-12.20624544850606</v>
      </c>
      <c r="FK101" s="272">
        <v>-12.16466708640178</v>
      </c>
      <c r="FL101" s="272">
        <v>-12.12331609356958</v>
      </c>
      <c r="FM101" s="272">
        <v>-12.082188556443439</v>
      </c>
      <c r="FN101" s="272">
        <v>-12.04128013042603</v>
      </c>
      <c r="FO101" s="272">
        <v>-12.00058605366968</v>
      </c>
      <c r="FP101" s="272">
        <v>-11.96010116351165</v>
      </c>
      <c r="FQ101" s="272">
        <v>-11.91981991540977</v>
      </c>
      <c r="FR101" s="272">
        <v>-11.879736404196629</v>
      </c>
      <c r="FS101" s="272">
        <v>-11.839844387445501</v>
      </c>
      <c r="FT101" s="272">
        <v>-11.80013731071897</v>
      </c>
      <c r="FU101" s="272">
        <v>-11.760608334454339</v>
      </c>
      <c r="FV101" s="272">
        <v>-11.721250362225209</v>
      </c>
      <c r="FW101" s="272">
        <v>-11.68205607010889</v>
      </c>
      <c r="FX101" s="272">
        <v>-11.643017936883799</v>
      </c>
      <c r="FY101" s="272">
        <v>-11.60412827477901</v>
      </c>
      <c r="FZ101" s="272">
        <v>-11.565379260500739</v>
      </c>
      <c r="GA101" s="272">
        <v>-11.526762966266521</v>
      </c>
      <c r="GB101" s="272">
        <v>-11.488271390587419</v>
      </c>
      <c r="GC101" s="272">
        <v>-11.44989648855171</v>
      </c>
    </row>
    <row r="102" spans="2:185" ht="15" thickBot="1" x14ac:dyDescent="0.4">
      <c r="B102" s="298">
        <v>96</v>
      </c>
      <c r="C102" s="275">
        <v>-14.32622305774691</v>
      </c>
      <c r="D102" s="275">
        <v>-14.28395051989577</v>
      </c>
      <c r="E102" s="275">
        <v>-14.24158819247422</v>
      </c>
      <c r="F102" s="275">
        <v>-14.19913697228003</v>
      </c>
      <c r="G102" s="275">
        <v>-14.15659791866157</v>
      </c>
      <c r="H102" s="275">
        <v>-14.11397225919424</v>
      </c>
      <c r="I102" s="275">
        <v>-14.071261395095689</v>
      </c>
      <c r="J102" s="275">
        <v>-14.028466906340251</v>
      </c>
      <c r="K102" s="275">
        <v>-13.985590556432889</v>
      </c>
      <c r="L102" s="275">
        <v>-13.9426342968029</v>
      </c>
      <c r="M102" s="275">
        <v>-13.899600270777899</v>
      </c>
      <c r="N102" s="275">
        <v>-13.85649081709987</v>
      </c>
      <c r="O102" s="275">
        <v>-13.813308472945479</v>
      </c>
      <c r="P102" s="275">
        <v>-13.77005597641498</v>
      </c>
      <c r="Q102" s="275">
        <v>-13.7267362684553</v>
      </c>
      <c r="R102" s="275">
        <v>-13.68335249418544</v>
      </c>
      <c r="S102" s="275">
        <v>-13.63990800359459</v>
      </c>
      <c r="T102" s="275">
        <v>-13.596406351586131</v>
      </c>
      <c r="U102" s="275">
        <v>-13.552851297343819</v>
      </c>
      <c r="V102" s="275">
        <v>-13.509246802999529</v>
      </c>
      <c r="W102" s="275">
        <v>-13.465597031585739</v>
      </c>
      <c r="X102" s="275">
        <v>-13.42190634425909</v>
      </c>
      <c r="Y102" s="275">
        <v>-13.378179296785699</v>
      </c>
      <c r="Z102" s="275">
        <v>-13.334420635282161</v>
      </c>
      <c r="AA102" s="275">
        <v>-13.29063529121056</v>
      </c>
      <c r="AB102" s="275">
        <v>-13.246828375629271</v>
      </c>
      <c r="AC102" s="275">
        <v>-13.20300517270562</v>
      </c>
      <c r="AD102" s="275">
        <v>-13.159171132499701</v>
      </c>
      <c r="AE102" s="275">
        <v>-13.11533186303269</v>
      </c>
      <c r="AF102" s="275">
        <v>-13.07149312165653</v>
      </c>
      <c r="AG102" s="275">
        <v>-13.027660805744659</v>
      </c>
      <c r="AH102" s="275">
        <v>-12.98384094272741</v>
      </c>
      <c r="AI102" s="275">
        <v>-12.940039679497829</v>
      </c>
      <c r="AJ102" s="275">
        <v>-12.89626327121711</v>
      </c>
      <c r="AK102" s="275">
        <v>-12.85251806955079</v>
      </c>
      <c r="AL102" s="275">
        <v>-12.808810510369691</v>
      </c>
      <c r="AM102" s="275">
        <v>-12.76514710095133</v>
      </c>
      <c r="AN102" s="275">
        <v>-12.721534406719741</v>
      </c>
      <c r="AO102" s="275">
        <v>-12.677979037563389</v>
      </c>
      <c r="AP102" s="275">
        <v>-12.634487633772549</v>
      </c>
      <c r="AQ102" s="275">
        <v>-12.59106685163904</v>
      </c>
      <c r="AR102" s="275">
        <v>-12.547723348762871</v>
      </c>
      <c r="AS102" s="275">
        <v>-12.50446376911162</v>
      </c>
      <c r="AT102" s="275">
        <v>-12.461294727879871</v>
      </c>
      <c r="AU102" s="275">
        <v>-12.418222796197229</v>
      </c>
      <c r="AV102" s="275">
        <v>-12.37525448573529</v>
      </c>
      <c r="AW102" s="275">
        <v>-12.332396233264539</v>
      </c>
      <c r="AX102" s="275">
        <v>-12.28965438521436</v>
      </c>
      <c r="AY102" s="275">
        <v>-12.247035182290039</v>
      </c>
      <c r="AZ102" s="275">
        <v>-12.204544744202479</v>
      </c>
      <c r="BA102" s="275">
        <v>-12.162189054567261</v>
      </c>
      <c r="BB102" s="275">
        <v>-12.11997394603117</v>
      </c>
      <c r="BC102" s="275">
        <v>-12.077905085685449</v>
      </c>
      <c r="BD102" s="275">
        <v>-12.035987960825659</v>
      </c>
      <c r="BE102" s="275">
        <v>-11.994227865119299</v>
      </c>
      <c r="BF102" s="275">
        <v>-11.952629885242279</v>
      </c>
      <c r="BG102" s="275">
        <v>-11.911198888045931</v>
      </c>
      <c r="BH102" s="275">
        <v>-11.86993950831579</v>
      </c>
      <c r="BI102" s="275">
        <v>-11.828856137182649</v>
      </c>
      <c r="BJ102" s="275">
        <v>-11.787952911245601</v>
      </c>
      <c r="BK102" s="275">
        <v>-11.74723370246439</v>
      </c>
      <c r="BL102" s="275">
        <v>-11.706702108877</v>
      </c>
      <c r="BM102" s="275">
        <v>-11.66636144619449</v>
      </c>
      <c r="BN102" s="275">
        <v>-11.62621474032245</v>
      </c>
      <c r="BO102" s="275">
        <v>-11.58626472085348</v>
      </c>
      <c r="BP102" s="275">
        <v>-11.54651381557087</v>
      </c>
      <c r="BQ102" s="275">
        <v>-11.50696414599766</v>
      </c>
      <c r="BR102" s="275">
        <v>-11.46761752401966</v>
      </c>
      <c r="BS102" s="275">
        <v>-11.428475449604271</v>
      </c>
      <c r="BT102" s="275">
        <v>-11.3895391096297</v>
      </c>
      <c r="BU102" s="275">
        <v>-11.35080937783242</v>
      </c>
      <c r="BV102" s="275">
        <v>-11.31228681587227</v>
      </c>
      <c r="BW102" s="275">
        <v>-11.273971675507459</v>
      </c>
      <c r="BX102" s="275">
        <v>-11.235863901863359</v>
      </c>
      <c r="BY102" s="275">
        <v>-11.197963137771509</v>
      </c>
      <c r="BZ102" s="275">
        <v>-11.1602687291472</v>
      </c>
      <c r="CA102" s="275">
        <v>-11.122779731366959</v>
      </c>
      <c r="CB102" s="275">
        <v>-11.08549491660016</v>
      </c>
      <c r="CC102" s="275">
        <v>-11.048412782042231</v>
      </c>
      <c r="CD102" s="275">
        <v>-11.011531558991489</v>
      </c>
      <c r="CE102" s="275">
        <v>-10.97484922270587</v>
      </c>
      <c r="CF102" s="275">
        <v>-10.93836350297164</v>
      </c>
      <c r="CG102" s="275">
        <v>-10.902071895312231</v>
      </c>
      <c r="CH102" s="275">
        <v>-10.86597167276253</v>
      </c>
      <c r="CI102" s="275">
        <v>-10.83005989813166</v>
      </c>
      <c r="CJ102" s="275">
        <v>-10.79433343667618</v>
      </c>
      <c r="CK102" s="275">
        <v>-10.758788969105099</v>
      </c>
      <c r="CL102" s="275">
        <v>-10.723423004838439</v>
      </c>
      <c r="CM102" s="275">
        <v>-10.6882318954419</v>
      </c>
      <c r="CN102" s="275">
        <v>-10.653211848162741</v>
      </c>
      <c r="CO102" s="275">
        <v>-10.618358939493261</v>
      </c>
      <c r="CP102" s="275"/>
      <c r="CQ102" s="276">
        <v>-15.878177333682361</v>
      </c>
      <c r="CR102" s="276">
        <v>-15.82584087057044</v>
      </c>
      <c r="CS102" s="276">
        <v>-15.773546286269109</v>
      </c>
      <c r="CT102" s="276">
        <v>-15.721296207878281</v>
      </c>
      <c r="CU102" s="276">
        <v>-15.669093291530141</v>
      </c>
      <c r="CV102" s="276">
        <v>-15.61694022085009</v>
      </c>
      <c r="CW102" s="276">
        <v>-15.564839705531121</v>
      </c>
      <c r="CX102" s="276">
        <v>-15.51279448004548</v>
      </c>
      <c r="CY102" s="276">
        <v>-15.460807302516949</v>
      </c>
      <c r="CZ102" s="276">
        <v>-15.408880953776549</v>
      </c>
      <c r="DA102" s="276">
        <v>-15.35701823662351</v>
      </c>
      <c r="DB102" s="276">
        <v>-15.30522197531144</v>
      </c>
      <c r="DC102" s="276">
        <v>-15.25349501527835</v>
      </c>
      <c r="DD102" s="276">
        <v>-15.201840223136371</v>
      </c>
      <c r="DE102" s="276">
        <v>-15.150260486933609</v>
      </c>
      <c r="DF102" s="276">
        <v>-15.09875871669801</v>
      </c>
      <c r="DG102" s="276">
        <v>-15.047337845268499</v>
      </c>
      <c r="DH102" s="276">
        <v>-14.996000829414459</v>
      </c>
      <c r="DI102" s="276">
        <v>-14.944750651239151</v>
      </c>
      <c r="DJ102" s="276">
        <v>-14.893590319858189</v>
      </c>
      <c r="DK102" s="276">
        <v>-14.842522873337179</v>
      </c>
      <c r="DL102" s="276">
        <v>-14.79155138086727</v>
      </c>
      <c r="DM102" s="276">
        <v>-14.74067894515052</v>
      </c>
      <c r="DN102" s="276">
        <v>-14.689908704959681</v>
      </c>
      <c r="DO102" s="276">
        <v>-14.639243837830969</v>
      </c>
      <c r="DP102" s="276">
        <v>-14.588687562840599</v>
      </c>
      <c r="DQ102" s="276">
        <v>-14.53824314340884</v>
      </c>
      <c r="DR102" s="276">
        <v>-14.487913890068979</v>
      </c>
      <c r="DS102" s="276">
        <v>-14.43770316313141</v>
      </c>
      <c r="DT102" s="276">
        <v>-14.387614375166979</v>
      </c>
      <c r="DU102" s="276">
        <v>-14.33765099322838</v>
      </c>
      <c r="DV102" s="276">
        <v>-14.28781654072279</v>
      </c>
      <c r="DW102" s="276">
        <v>-14.23811459884514</v>
      </c>
      <c r="DX102" s="276">
        <v>-14.18854880747822</v>
      </c>
      <c r="DY102" s="276">
        <v>-14.139122865463619</v>
      </c>
      <c r="DZ102" s="276">
        <v>-14.08984053014685</v>
      </c>
      <c r="EA102" s="276">
        <v>-14.04070561610038</v>
      </c>
      <c r="EB102" s="276">
        <v>-13.99172199293062</v>
      </c>
      <c r="EC102" s="276">
        <v>-13.94289358207905</v>
      </c>
      <c r="ED102" s="276">
        <v>-13.894224352532349</v>
      </c>
      <c r="EE102" s="276">
        <v>-13.845718315364261</v>
      </c>
      <c r="EF102" s="276">
        <v>-13.797379517041181</v>
      </c>
      <c r="EG102" s="276">
        <v>-13.74921203143394</v>
      </c>
      <c r="EH102" s="276">
        <v>-13.70121995049098</v>
      </c>
      <c r="EI102" s="276">
        <v>-13.653407373543139</v>
      </c>
      <c r="EJ102" s="276">
        <v>-13.605778395225579</v>
      </c>
      <c r="EK102" s="276">
        <v>-13.55833709202043</v>
      </c>
      <c r="EL102" s="276">
        <v>-13.511087507442021</v>
      </c>
      <c r="EM102" s="276">
        <v>-13.46403363590712</v>
      </c>
      <c r="EN102" s="276">
        <v>-13.417179405352041</v>
      </c>
      <c r="EO102" s="276">
        <v>-13.37052865868079</v>
      </c>
      <c r="EP102" s="276">
        <v>-13.32408513414847</v>
      </c>
      <c r="EQ102" s="276">
        <v>-13.277852444805831</v>
      </c>
      <c r="ER102" s="276">
        <v>-13.231834057150641</v>
      </c>
      <c r="ES102" s="276">
        <v>-13.18603326915113</v>
      </c>
      <c r="ET102" s="276">
        <v>-13.1404531878244</v>
      </c>
      <c r="EU102" s="276">
        <v>-13.095096706568921</v>
      </c>
      <c r="EV102" s="276">
        <v>-13.04996648246377</v>
      </c>
      <c r="EW102" s="276">
        <v>-13.00506491375889</v>
      </c>
      <c r="EX102" s="276">
        <v>-12.960394117789161</v>
      </c>
      <c r="EY102" s="276">
        <v>-12.91595590954967</v>
      </c>
      <c r="EZ102" s="276">
        <v>-12.871751781172719</v>
      </c>
      <c r="FA102" s="276">
        <v>-12.82778288254439</v>
      </c>
      <c r="FB102" s="276">
        <v>-12.78405000329408</v>
      </c>
      <c r="FC102" s="276">
        <v>-12.74055355638124</v>
      </c>
      <c r="FD102" s="276">
        <v>-12.697293563491231</v>
      </c>
      <c r="FE102" s="276">
        <v>-12.65426964243623</v>
      </c>
      <c r="FF102" s="276">
        <v>-12.61148099673818</v>
      </c>
      <c r="FG102" s="276">
        <v>-12.56892640754816</v>
      </c>
      <c r="FH102" s="276">
        <v>-12.526604228031941</v>
      </c>
      <c r="FI102" s="276">
        <v>-12.484512380324301</v>
      </c>
      <c r="FJ102" s="272">
        <v>-12.442648355125479</v>
      </c>
      <c r="FK102" s="272">
        <v>-12.401009213982849</v>
      </c>
      <c r="FL102" s="272">
        <v>-12.359591594269499</v>
      </c>
      <c r="FM102" s="272">
        <v>-12.318391716840321</v>
      </c>
      <c r="FN102" s="272">
        <v>-12.27740539631394</v>
      </c>
      <c r="FO102" s="272">
        <v>-12.23662805389959</v>
      </c>
      <c r="FP102" s="272">
        <v>-12.196054732657601</v>
      </c>
      <c r="FQ102" s="272">
        <v>-12.15568011505559</v>
      </c>
      <c r="FR102" s="272">
        <v>-12.11549854265667</v>
      </c>
      <c r="FS102" s="272">
        <v>-12.07550403775401</v>
      </c>
      <c r="FT102" s="272">
        <v>-12.035690326746179</v>
      </c>
      <c r="FU102" s="272">
        <v>-11.9960508650314</v>
      </c>
      <c r="FV102" s="272">
        <v>-11.956578863186451</v>
      </c>
      <c r="FW102" s="272">
        <v>-11.917267314185921</v>
      </c>
      <c r="FX102" s="272">
        <v>-11.8781090214133</v>
      </c>
      <c r="FY102" s="272">
        <v>-11.83909662721171</v>
      </c>
      <c r="FZ102" s="272">
        <v>-11.800222641725179</v>
      </c>
      <c r="GA102" s="272">
        <v>-11.761479471785631</v>
      </c>
      <c r="GB102" s="272">
        <v>-11.72285944960888</v>
      </c>
      <c r="GC102" s="272">
        <v>-11.684354861074169</v>
      </c>
    </row>
    <row r="103" spans="2:185" ht="15" thickBot="1" x14ac:dyDescent="0.4">
      <c r="B103" s="298">
        <v>97</v>
      </c>
      <c r="C103" s="275">
        <v>-14.53866092193147</v>
      </c>
      <c r="D103" s="275">
        <v>-14.49641105880978</v>
      </c>
      <c r="E103" s="275">
        <v>-14.45407383090518</v>
      </c>
      <c r="F103" s="275">
        <v>-14.41165018256233</v>
      </c>
      <c r="G103" s="275">
        <v>-14.3691412162832</v>
      </c>
      <c r="H103" s="275">
        <v>-14.32654819801604</v>
      </c>
      <c r="I103" s="275">
        <v>-14.283872562186289</v>
      </c>
      <c r="J103" s="275">
        <v>-14.24111591643233</v>
      </c>
      <c r="K103" s="275">
        <v>-14.19828004600925</v>
      </c>
      <c r="L103" s="275">
        <v>-14.155366917823621</v>
      </c>
      <c r="M103" s="275">
        <v>-14.11237868406285</v>
      </c>
      <c r="N103" s="275">
        <v>-14.06931768538341</v>
      </c>
      <c r="O103" s="275">
        <v>-14.026186453623399</v>
      </c>
      <c r="P103" s="275">
        <v>-13.982987714006139</v>
      </c>
      <c r="Q103" s="275">
        <v>-13.939724386803279</v>
      </c>
      <c r="R103" s="275">
        <v>-13.896399588427871</v>
      </c>
      <c r="S103" s="275">
        <v>-13.853016631930339</v>
      </c>
      <c r="T103" s="275">
        <v>-13.80957902687255</v>
      </c>
      <c r="U103" s="275">
        <v>-13.766090478558031</v>
      </c>
      <c r="V103" s="275">
        <v>-13.7225548865998</v>
      </c>
      <c r="W103" s="275">
        <v>-13.678976342809859</v>
      </c>
      <c r="X103" s="275">
        <v>-13.63535912839833</v>
      </c>
      <c r="Y103" s="275">
        <v>-13.591707710473139</v>
      </c>
      <c r="Z103" s="275">
        <v>-13.54802673783542</v>
      </c>
      <c r="AA103" s="275">
        <v>-13.5043210360685</v>
      </c>
      <c r="AB103" s="275">
        <v>-13.460595601922741</v>
      </c>
      <c r="AC103" s="275">
        <v>-13.416855597001589</v>
      </c>
      <c r="AD103" s="275">
        <v>-13.37310634075793</v>
      </c>
      <c r="AE103" s="275">
        <v>-13.329353302812921</v>
      </c>
      <c r="AF103" s="275">
        <v>-13.28560209461337</v>
      </c>
      <c r="AG103" s="275">
        <v>-13.2418584604461</v>
      </c>
      <c r="AH103" s="275">
        <v>-13.19812826783143</v>
      </c>
      <c r="AI103" s="275">
        <v>-13.154417497320219</v>
      </c>
      <c r="AJ103" s="275">
        <v>-13.110732231721871</v>
      </c>
      <c r="AK103" s="275">
        <v>-13.067078644792931</v>
      </c>
      <c r="AL103" s="275">
        <v>-13.02346298941843</v>
      </c>
      <c r="AM103" s="275">
        <v>-12.979891585320029</v>
      </c>
      <c r="AN103" s="275">
        <v>-12.936370806327091</v>
      </c>
      <c r="AO103" s="275">
        <v>-12.892907067248609</v>
      </c>
      <c r="AP103" s="275">
        <v>-12.849506810385691</v>
      </c>
      <c r="AQ103" s="275">
        <v>-12.806176491725729</v>
      </c>
      <c r="AR103" s="275">
        <v>-12.76292256686113</v>
      </c>
      <c r="AS103" s="275">
        <v>-12.71975147667656</v>
      </c>
      <c r="AT103" s="275">
        <v>-12.676669632850651</v>
      </c>
      <c r="AU103" s="275">
        <v>-12.63368340321866</v>
      </c>
      <c r="AV103" s="275">
        <v>-12.590799097044849</v>
      </c>
      <c r="AW103" s="275">
        <v>-12.5480229502536</v>
      </c>
      <c r="AX103" s="275">
        <v>-12.5053611106706</v>
      </c>
      <c r="AY103" s="275">
        <v>-12.46281962332584</v>
      </c>
      <c r="AZ103" s="275">
        <v>-12.420404415871941</v>
      </c>
      <c r="BA103" s="275">
        <v>-12.378121284171989</v>
      </c>
      <c r="BB103" s="275">
        <v>-12.335975878112549</v>
      </c>
      <c r="BC103" s="275">
        <v>-12.293973687697919</v>
      </c>
      <c r="BD103" s="275">
        <v>-12.25212002948296</v>
      </c>
      <c r="BE103" s="275">
        <v>-12.210420033401819</v>
      </c>
      <c r="BF103" s="275">
        <v>-12.16887863005052</v>
      </c>
      <c r="BG103" s="275">
        <v>-12.127500538481121</v>
      </c>
      <c r="BH103" s="275">
        <v>-12.08629025456467</v>
      </c>
      <c r="BI103" s="275">
        <v>-12.04525203997968</v>
      </c>
      <c r="BJ103" s="275">
        <v>-12.00438991188105</v>
      </c>
      <c r="BK103" s="275">
        <v>-11.963707633303059</v>
      </c>
      <c r="BL103" s="275">
        <v>-11.923208704347379</v>
      </c>
      <c r="BM103" s="275">
        <v>-11.88289635420448</v>
      </c>
      <c r="BN103" s="275">
        <v>-11.84277353405313</v>
      </c>
      <c r="BO103" s="275">
        <v>-11.802842910878811</v>
      </c>
      <c r="BP103" s="275">
        <v>-11.76310686224733</v>
      </c>
      <c r="BQ103" s="275">
        <v>-11.723567472064699</v>
      </c>
      <c r="BR103" s="275">
        <v>-11.684226527348891</v>
      </c>
      <c r="BS103" s="275">
        <v>-11.645085516032889</v>
      </c>
      <c r="BT103" s="275">
        <v>-11.60614562581223</v>
      </c>
      <c r="BU103" s="275">
        <v>-11.567407744043081</v>
      </c>
      <c r="BV103" s="275">
        <v>-11.528872458690509</v>
      </c>
      <c r="BW103" s="275">
        <v>-11.4905400603188</v>
      </c>
      <c r="BX103" s="275">
        <v>-11.45241054510908</v>
      </c>
      <c r="BY103" s="275">
        <v>-11.41448361888197</v>
      </c>
      <c r="BZ103" s="275">
        <v>-11.376758702096341</v>
      </c>
      <c r="CA103" s="275">
        <v>-11.339234935788181</v>
      </c>
      <c r="CB103" s="275">
        <v>-11.30191118840766</v>
      </c>
      <c r="CC103" s="275">
        <v>-11.26478606350612</v>
      </c>
      <c r="CD103" s="275">
        <v>-11.227857908219629</v>
      </c>
      <c r="CE103" s="275">
        <v>-11.19112482249068</v>
      </c>
      <c r="CF103" s="275">
        <v>-11.15458466896569</v>
      </c>
      <c r="CG103" s="275">
        <v>-11.11823508350227</v>
      </c>
      <c r="CH103" s="275">
        <v>-11.08207348621742</v>
      </c>
      <c r="CI103" s="275">
        <v>-11.0460970930062</v>
      </c>
      <c r="CJ103" s="275">
        <v>-11.01030292745855</v>
      </c>
      <c r="CK103" s="275">
        <v>-10.974687833101809</v>
      </c>
      <c r="CL103" s="275">
        <v>-10.93924848589667</v>
      </c>
      <c r="CM103" s="275">
        <v>-10.903981406914779</v>
      </c>
      <c r="CN103" s="275">
        <v>-10.86888297512807</v>
      </c>
      <c r="CO103" s="275">
        <v>-10.83394944024197</v>
      </c>
      <c r="CP103" s="275"/>
      <c r="CQ103" s="276">
        <v>-16.11048953987148</v>
      </c>
      <c r="CR103" s="276">
        <v>-16.058234114108231</v>
      </c>
      <c r="CS103" s="276">
        <v>-16.006021173920011</v>
      </c>
      <c r="CT103" s="276">
        <v>-15.95385330857005</v>
      </c>
      <c r="CU103" s="276">
        <v>-15.90173313630158</v>
      </c>
      <c r="CV103" s="276">
        <v>-15.849663302937049</v>
      </c>
      <c r="CW103" s="276">
        <v>-15.797646480583809</v>
      </c>
      <c r="CX103" s="276">
        <v>-15.74568536646732</v>
      </c>
      <c r="CY103" s="276">
        <v>-15.693782681912481</v>
      </c>
      <c r="CZ103" s="276">
        <v>-15.641941171492871</v>
      </c>
      <c r="DA103" s="276">
        <v>-15.590163602366649</v>
      </c>
      <c r="DB103" s="276">
        <v>-15.53845276381627</v>
      </c>
      <c r="DC103" s="276">
        <v>-15.486811467007371</v>
      </c>
      <c r="DD103" s="276">
        <v>-15.435242544979589</v>
      </c>
      <c r="DE103" s="276">
        <v>-15.383748852879499</v>
      </c>
      <c r="DF103" s="276">
        <v>-15.33233326844219</v>
      </c>
      <c r="DG103" s="276">
        <v>-15.28099869272466</v>
      </c>
      <c r="DH103" s="276">
        <v>-15.229748051089819</v>
      </c>
      <c r="DI103" s="276">
        <v>-15.17858429443525</v>
      </c>
      <c r="DJ103" s="276">
        <v>-15.12751040065579</v>
      </c>
      <c r="DK103" s="276">
        <v>-15.076529376324091</v>
      </c>
      <c r="DL103" s="276">
        <v>-15.02564425856688</v>
      </c>
      <c r="DM103" s="276">
        <v>-14.974858117109219</v>
      </c>
      <c r="DN103" s="276">
        <v>-14.92417405645315</v>
      </c>
      <c r="DO103" s="276">
        <v>-14.873595218149781</v>
      </c>
      <c r="DP103" s="276">
        <v>-14.82312478311909</v>
      </c>
      <c r="DQ103" s="276">
        <v>-14.77276597396405</v>
      </c>
      <c r="DR103" s="276">
        <v>-14.722522057220781</v>
      </c>
      <c r="DS103" s="276">
        <v>-14.672396345479971</v>
      </c>
      <c r="DT103" s="276">
        <v>-14.6223921993095</v>
      </c>
      <c r="DU103" s="276">
        <v>-14.572513028903961</v>
      </c>
      <c r="DV103" s="276">
        <v>-14.52276229538152</v>
      </c>
      <c r="DW103" s="276">
        <v>-14.473143511646549</v>
      </c>
      <c r="DX103" s="276">
        <v>-14.423660242732501</v>
      </c>
      <c r="DY103" s="276">
        <v>-14.3743161055394</v>
      </c>
      <c r="DZ103" s="276">
        <v>-14.325114767879221</v>
      </c>
      <c r="EA103" s="276">
        <v>-14.276059946743731</v>
      </c>
      <c r="EB103" s="276">
        <v>-14.22715540571207</v>
      </c>
      <c r="EC103" s="276">
        <v>-14.178404951418679</v>
      </c>
      <c r="ED103" s="276">
        <v>-14.12981242900827</v>
      </c>
      <c r="EE103" s="276">
        <v>-14.081381716510981</v>
      </c>
      <c r="EF103" s="276">
        <v>-14.03311671808005</v>
      </c>
      <c r="EG103" s="276">
        <v>-13.98502135604425</v>
      </c>
      <c r="EH103" s="276">
        <v>-13.93709956173918</v>
      </c>
      <c r="EI103" s="276">
        <v>-13.889355265094959</v>
      </c>
      <c r="EJ103" s="276">
        <v>-13.841792382972629</v>
      </c>
      <c r="EK103" s="276">
        <v>-13.7944148062571</v>
      </c>
      <c r="EL103" s="276">
        <v>-13.74722638573213</v>
      </c>
      <c r="EM103" s="276">
        <v>-13.70023091678005</v>
      </c>
      <c r="EN103" s="276">
        <v>-13.65343212296799</v>
      </c>
      <c r="EO103" s="276">
        <v>-13.60683363860074</v>
      </c>
      <c r="EP103" s="276">
        <v>-13.56043899033936</v>
      </c>
      <c r="EQ103" s="276">
        <v>-13.514251578003471</v>
      </c>
      <c r="ER103" s="276">
        <v>-13.46827465469265</v>
      </c>
      <c r="ES103" s="276">
        <v>-13.422511306379461</v>
      </c>
      <c r="ET103" s="276">
        <v>-13.3769644311426</v>
      </c>
      <c r="EU103" s="276">
        <v>-13.331636718222081</v>
      </c>
      <c r="EV103" s="276">
        <v>-13.28653062709064</v>
      </c>
      <c r="EW103" s="276">
        <v>-13.241648366745389</v>
      </c>
      <c r="EX103" s="276">
        <v>-13.19699187543036</v>
      </c>
      <c r="EY103" s="276">
        <v>-13.152562801005359</v>
      </c>
      <c r="EZ103" s="276">
        <v>-13.108362482177739</v>
      </c>
      <c r="FA103" s="276">
        <v>-13.06439193081161</v>
      </c>
      <c r="FB103" s="276">
        <v>-13.020651815524459</v>
      </c>
      <c r="FC103" s="276">
        <v>-12.977142446772641</v>
      </c>
      <c r="FD103" s="276">
        <v>-12.933863763615429</v>
      </c>
      <c r="FE103" s="276">
        <v>-12.89081532233376</v>
      </c>
      <c r="FF103" s="276">
        <v>-12.84799628706129</v>
      </c>
      <c r="FG103" s="276">
        <v>-12.805405422566411</v>
      </c>
      <c r="FH103" s="276">
        <v>-12.76304108930049</v>
      </c>
      <c r="FI103" s="276">
        <v>-12.720901240803959</v>
      </c>
      <c r="FJ103" s="272">
        <v>-12.67898342353546</v>
      </c>
      <c r="FK103" s="272">
        <v>-12.637284779162011</v>
      </c>
      <c r="FL103" s="272">
        <v>-12.59580204932038</v>
      </c>
      <c r="FM103" s="272">
        <v>-12.55453158283156</v>
      </c>
      <c r="FN103" s="272">
        <v>-12.51346934532193</v>
      </c>
      <c r="FO103" s="272">
        <v>-12.47261093117797</v>
      </c>
      <c r="FP103" s="272">
        <v>-12.431951577734511</v>
      </c>
      <c r="FQ103" s="272">
        <v>-12.391486181572381</v>
      </c>
      <c r="FR103" s="272">
        <v>-12.351209316778521</v>
      </c>
      <c r="FS103" s="272">
        <v>-12.3111152550011</v>
      </c>
      <c r="FT103" s="272">
        <v>-12.27119798711513</v>
      </c>
      <c r="FU103" s="272">
        <v>-12.23145124629831</v>
      </c>
      <c r="FV103" s="272">
        <v>-12.191868532305829</v>
      </c>
      <c r="FW103" s="272">
        <v>-12.152443136724139</v>
      </c>
      <c r="FX103" s="272">
        <v>-12.11316816897809</v>
      </c>
      <c r="FY103" s="272">
        <v>-12.07403658286365</v>
      </c>
      <c r="FZ103" s="272">
        <v>-12.03504120338007</v>
      </c>
      <c r="GA103" s="272">
        <v>-11.996174753638339</v>
      </c>
      <c r="GB103" s="272">
        <v>-11.957429881630651</v>
      </c>
      <c r="GC103" s="272">
        <v>-11.91879918665429</v>
      </c>
    </row>
    <row r="104" spans="2:185" ht="15" thickBot="1" x14ac:dyDescent="0.4">
      <c r="B104" s="298">
        <v>98</v>
      </c>
      <c r="C104" s="275">
        <v>-14.751112910847169</v>
      </c>
      <c r="D104" s="275">
        <v>-14.7088865547721</v>
      </c>
      <c r="E104" s="275">
        <v>-14.666575207861181</v>
      </c>
      <c r="F104" s="275">
        <v>-14.6241798582315</v>
      </c>
      <c r="G104" s="275">
        <v>-14.58170164783677</v>
      </c>
      <c r="H104" s="275">
        <v>-14.53914187739271</v>
      </c>
      <c r="I104" s="275">
        <v>-14.49650201104763</v>
      </c>
      <c r="J104" s="275">
        <v>-14.453783680764129</v>
      </c>
      <c r="K104" s="275">
        <v>-14.41098869037714</v>
      </c>
      <c r="L104" s="275">
        <v>-14.368119019294211</v>
      </c>
      <c r="M104" s="275">
        <v>-14.32517682580422</v>
      </c>
      <c r="N104" s="275">
        <v>-14.28216444996141</v>
      </c>
      <c r="O104" s="275">
        <v>-14.23908441601265</v>
      </c>
      <c r="P104" s="275">
        <v>-14.19593943433736</v>
      </c>
      <c r="Q104" s="275">
        <v>-14.152732402870919</v>
      </c>
      <c r="R104" s="275">
        <v>-14.10946640798433</v>
      </c>
      <c r="S104" s="275">
        <v>-14.066144724795061</v>
      </c>
      <c r="T104" s="275">
        <v>-14.022770816886389</v>
      </c>
      <c r="U104" s="275">
        <v>-13.979348335415191</v>
      </c>
      <c r="V104" s="275">
        <v>-13.935881117590689</v>
      </c>
      <c r="W104" s="275">
        <v>-13.89237318451012</v>
      </c>
      <c r="X104" s="275">
        <v>-13.84882873833976</v>
      </c>
      <c r="Y104" s="275">
        <v>-13.80525215883352</v>
      </c>
      <c r="Z104" s="275">
        <v>-13.76164799918433</v>
      </c>
      <c r="AA104" s="275">
        <v>-13.718020981206781</v>
      </c>
      <c r="AB104" s="275">
        <v>-13.67437598985312</v>
      </c>
      <c r="AC104" s="275">
        <v>-13.630718067067731</v>
      </c>
      <c r="AD104" s="275">
        <v>-13.58705240498867</v>
      </c>
      <c r="AE104" s="275">
        <v>-13.543384338507931</v>
      </c>
      <c r="AF104" s="275">
        <v>-13.4997193372052</v>
      </c>
      <c r="AG104" s="275">
        <v>-13.456062996673021</v>
      </c>
      <c r="AH104" s="275">
        <v>-13.412421029253631</v>
      </c>
      <c r="AI104" s="275">
        <v>-13.36879925421127</v>
      </c>
      <c r="AJ104" s="275">
        <v>-13.325203587365181</v>
      </c>
      <c r="AK104" s="275">
        <v>-13.28164003021206</v>
      </c>
      <c r="AL104" s="275">
        <v>-13.238114658567961</v>
      </c>
      <c r="AM104" s="275">
        <v>-13.194633610762519</v>
      </c>
      <c r="AN104" s="275">
        <v>-13.151203075419611</v>
      </c>
      <c r="AO104" s="275">
        <v>-13.10782927886097</v>
      </c>
      <c r="AP104" s="275">
        <v>-13.06451847217062</v>
      </c>
      <c r="AQ104" s="275">
        <v>-13.02127691795965</v>
      </c>
      <c r="AR104" s="275">
        <v>-12.97811087687235</v>
      </c>
      <c r="AS104" s="275">
        <v>-12.93502659387641</v>
      </c>
      <c r="AT104" s="275">
        <v>-12.89203028438075</v>
      </c>
      <c r="AU104" s="275">
        <v>-12.84912812022638</v>
      </c>
      <c r="AV104" s="275">
        <v>-12.8063262155966</v>
      </c>
      <c r="AW104" s="275">
        <v>-12.763630612894371</v>
      </c>
      <c r="AX104" s="275">
        <v>-12.721047268635539</v>
      </c>
      <c r="AY104" s="275">
        <v>-12.6785820394081</v>
      </c>
      <c r="AZ104" s="275">
        <v>-12.6362406679483</v>
      </c>
      <c r="BA104" s="275">
        <v>-12.59402876938579</v>
      </c>
      <c r="BB104" s="275">
        <v>-12.55195181771064</v>
      </c>
      <c r="BC104" s="275">
        <v>-12.510015132515679</v>
      </c>
      <c r="BD104" s="275">
        <v>-12.46822386606833</v>
      </c>
      <c r="BE104" s="275">
        <v>-12.42658299076634</v>
      </c>
      <c r="BF104" s="275">
        <v>-12.385097287031909</v>
      </c>
      <c r="BG104" s="275">
        <v>-12.343771331698299</v>
      </c>
      <c r="BH104" s="275">
        <v>-12.302609486942719</v>
      </c>
      <c r="BI104" s="275">
        <v>-12.261615889818071</v>
      </c>
      <c r="BJ104" s="275">
        <v>-12.220794442434901</v>
      </c>
      <c r="BK104" s="275">
        <v>-12.180148802843011</v>
      </c>
      <c r="BL104" s="275">
        <v>-12.139682376659939</v>
      </c>
      <c r="BM104" s="275">
        <v>-12.09939830949058</v>
      </c>
      <c r="BN104" s="275">
        <v>-12.059299480179231</v>
      </c>
      <c r="BO104" s="275">
        <v>-12.01938849493116</v>
      </c>
      <c r="BP104" s="275">
        <v>-11.979667682336711</v>
      </c>
      <c r="BQ104" s="275">
        <v>-11.94013908932634</v>
      </c>
      <c r="BR104" s="275">
        <v>-11.90080447807934</v>
      </c>
      <c r="BS104" s="275">
        <v>-11.86166532390404</v>
      </c>
      <c r="BT104" s="275">
        <v>-11.822722814100651</v>
      </c>
      <c r="BU104" s="275">
        <v>-11.78397784781243</v>
      </c>
      <c r="BV104" s="275">
        <v>-11.74543103686382</v>
      </c>
      <c r="BW104" s="275">
        <v>-11.70708270757827</v>
      </c>
      <c r="BX104" s="275">
        <v>-11.668932903561419</v>
      </c>
      <c r="BY104" s="275">
        <v>-11.630981389429239</v>
      </c>
      <c r="BZ104" s="275">
        <v>-11.59322765545412</v>
      </c>
      <c r="CA104" s="275">
        <v>-11.55567092309588</v>
      </c>
      <c r="CB104" s="275">
        <v>-11.518310151379</v>
      </c>
      <c r="CC104" s="275">
        <v>-11.48114404407159</v>
      </c>
      <c r="CD104" s="275">
        <v>-11.444171057617231</v>
      </c>
      <c r="CE104" s="275">
        <v>-11.40738940976585</v>
      </c>
      <c r="CF104" s="275">
        <v>-11.37079708884629</v>
      </c>
      <c r="CG104" s="275">
        <v>-11.33439186361997</v>
      </c>
      <c r="CH104" s="275">
        <v>-11.298171293652141</v>
      </c>
      <c r="CI104" s="275">
        <v>-11.262132740135881</v>
      </c>
      <c r="CJ104" s="275">
        <v>-11.226273377102009</v>
      </c>
      <c r="CK104" s="275">
        <v>-11.190590202948281</v>
      </c>
      <c r="CL104" s="275">
        <v>-11.1550800522204</v>
      </c>
      <c r="CM104" s="275">
        <v>-11.119739607578991</v>
      </c>
      <c r="CN104" s="275">
        <v>-11.08456541188702</v>
      </c>
      <c r="CO104" s="275">
        <v>-11.04955388035448</v>
      </c>
      <c r="CP104" s="275"/>
      <c r="CQ104" s="276">
        <v>-16.342834287375108</v>
      </c>
      <c r="CR104" s="276">
        <v>-16.290659033533942</v>
      </c>
      <c r="CS104" s="276">
        <v>-16.23852685089653</v>
      </c>
      <c r="CT104" s="276">
        <v>-16.18644029183362</v>
      </c>
      <c r="CU104" s="276">
        <v>-16.134401937586478</v>
      </c>
      <c r="CV104" s="276">
        <v>-16.08241439698638</v>
      </c>
      <c r="CW104" s="276">
        <v>-16.03048030527318</v>
      </c>
      <c r="CX104" s="276">
        <v>-15.97860232303182</v>
      </c>
      <c r="CY104" s="276">
        <v>-15.926783135264319</v>
      </c>
      <c r="CZ104" s="276">
        <v>-15.87502545061491</v>
      </c>
      <c r="DA104" s="276">
        <v>-15.823332000763809</v>
      </c>
      <c r="DB104" s="276">
        <v>-15.771705540004669</v>
      </c>
      <c r="DC104" s="276">
        <v>-15.720148845017739</v>
      </c>
      <c r="DD104" s="276">
        <v>-15.668664714849649</v>
      </c>
      <c r="DE104" s="276">
        <v>-15.61725597110666</v>
      </c>
      <c r="DF104" s="276">
        <v>-15.565925458366451</v>
      </c>
      <c r="DG104" s="276">
        <v>-15.514676044809139</v>
      </c>
      <c r="DH104" s="276">
        <v>-15.463510623064341</v>
      </c>
      <c r="DI104" s="276">
        <v>-15.41243211126759</v>
      </c>
      <c r="DJ104" s="276">
        <v>-15.36144345431382</v>
      </c>
      <c r="DK104" s="276">
        <v>-15.31054762529125</v>
      </c>
      <c r="DL104" s="276">
        <v>-15.259747627074089</v>
      </c>
      <c r="DM104" s="276">
        <v>-15.209046494046209</v>
      </c>
      <c r="DN104" s="276">
        <v>-15.158447293923601</v>
      </c>
      <c r="DO104" s="276">
        <v>-15.107953129636741</v>
      </c>
      <c r="DP104" s="276">
        <v>-15.057567141229161</v>
      </c>
      <c r="DQ104" s="276">
        <v>-15.007292507722649</v>
      </c>
      <c r="DR104" s="276">
        <v>-14.95713244889448</v>
      </c>
      <c r="DS104" s="276">
        <v>-14.9070902269066</v>
      </c>
      <c r="DT104" s="276">
        <v>-14.857169147722921</v>
      </c>
      <c r="DU104" s="276">
        <v>-14.807372562245741</v>
      </c>
      <c r="DV104" s="276">
        <v>-14.75770386709984</v>
      </c>
      <c r="DW104" s="276">
        <v>-14.708166504989499</v>
      </c>
      <c r="DX104" s="276">
        <v>-14.65876396455187</v>
      </c>
      <c r="DY104" s="276">
        <v>-14.60949977962958</v>
      </c>
      <c r="DZ104" s="276">
        <v>-14.56037752788543</v>
      </c>
      <c r="EA104" s="276">
        <v>-14.51140082868319</v>
      </c>
      <c r="EB104" s="276">
        <v>-14.462573340161841</v>
      </c>
      <c r="EC104" s="276">
        <v>-14.413898755433561</v>
      </c>
      <c r="ED104" s="276">
        <v>-14.365380797842111</v>
      </c>
      <c r="EE104" s="276">
        <v>-14.31702321522436</v>
      </c>
      <c r="EF104" s="276">
        <v>-14.26882977312602</v>
      </c>
      <c r="EG104" s="276">
        <v>-14.220804246932611</v>
      </c>
      <c r="EH104" s="276">
        <v>-14.172950412887131</v>
      </c>
      <c r="EI104" s="276">
        <v>-14.12527203797846</v>
      </c>
      <c r="EJ104" s="276">
        <v>-14.077772868697981</v>
      </c>
      <c r="EK104" s="276">
        <v>-14.030456618676521</v>
      </c>
      <c r="EL104" s="276">
        <v>-13.98332695522855</v>
      </c>
      <c r="EM104" s="276">
        <v>-13.93638748484771</v>
      </c>
      <c r="EN104" s="276">
        <v>-13.889641737713299</v>
      </c>
      <c r="EO104" s="276">
        <v>-13.84309315128486</v>
      </c>
      <c r="EP104" s="276">
        <v>-13.79674505307859</v>
      </c>
      <c r="EQ104" s="276">
        <v>-13.75060064273551</v>
      </c>
      <c r="ER104" s="276">
        <v>-13.70466297350781</v>
      </c>
      <c r="ES104" s="276">
        <v>-13.65893493330395</v>
      </c>
      <c r="ET104" s="276">
        <v>-13.613419225447419</v>
      </c>
      <c r="EU104" s="276">
        <v>-13.568118349315681</v>
      </c>
      <c r="EV104" s="276">
        <v>-13.52303458103696</v>
      </c>
      <c r="EW104" s="276">
        <v>-13.47816995442945</v>
      </c>
      <c r="EX104" s="276">
        <v>-13.433526242375381</v>
      </c>
      <c r="EY104" s="276">
        <v>-13.38910493882384</v>
      </c>
      <c r="EZ104" s="276">
        <v>-13.344907241618751</v>
      </c>
      <c r="FA104" s="276">
        <v>-13.30093403634497</v>
      </c>
      <c r="FB104" s="276">
        <v>-13.25718588138206</v>
      </c>
      <c r="FC104" s="276">
        <v>-13.21366299434597</v>
      </c>
      <c r="FD104" s="276">
        <v>-13.170365240090151</v>
      </c>
      <c r="FE104" s="276">
        <v>-13.127292120422631</v>
      </c>
      <c r="FF104" s="276">
        <v>-13.084442765681329</v>
      </c>
      <c r="FG104" s="276">
        <v>-13.04181592829082</v>
      </c>
      <c r="FH104" s="276">
        <v>-12.99940997840392</v>
      </c>
      <c r="FI104" s="276">
        <v>-12.95722290170964</v>
      </c>
      <c r="FJ104" s="272">
        <v>-12.91525229946539</v>
      </c>
      <c r="FK104" s="272">
        <v>-12.8734953907872</v>
      </c>
      <c r="FL104" s="272">
        <v>-12.83194901720657</v>
      </c>
      <c r="FM104" s="272">
        <v>-12.790609649477039</v>
      </c>
      <c r="FN104" s="272">
        <v>-12.749473396588799</v>
      </c>
      <c r="FO104" s="272">
        <v>-12.708536016925111</v>
      </c>
      <c r="FP104" s="272">
        <v>-12.66779293147049</v>
      </c>
      <c r="FQ104" s="272">
        <v>-12.62723923895896</v>
      </c>
      <c r="FR104" s="272">
        <v>-12.5868697328298</v>
      </c>
      <c r="FS104" s="272">
        <v>-12.546678919840559</v>
      </c>
      <c r="FT104" s="272">
        <v>-12.506661040170099</v>
      </c>
      <c r="FU104" s="272">
        <v>-12.466810088832149</v>
      </c>
      <c r="FV104" s="272">
        <v>-12.427119838207849</v>
      </c>
      <c r="FW104" s="272">
        <v>-12.387583861498809</v>
      </c>
      <c r="FX104" s="272">
        <v>-12.348195556896361</v>
      </c>
      <c r="FY104" s="272">
        <v>-12.3089481722606</v>
      </c>
      <c r="FZ104" s="272">
        <v>-12.26983483010364</v>
      </c>
      <c r="GA104" s="272">
        <v>-12.230848552674219</v>
      </c>
      <c r="GB104" s="272">
        <v>-12.19198228694704</v>
      </c>
      <c r="GC104" s="272">
        <v>-12.15322892932724</v>
      </c>
    </row>
    <row r="105" spans="2:185" ht="15" thickBot="1" x14ac:dyDescent="0.4">
      <c r="B105" s="298">
        <v>99</v>
      </c>
      <c r="C105" s="275">
        <v>-14.96357942008402</v>
      </c>
      <c r="D105" s="275">
        <v>-14.921377352839061</v>
      </c>
      <c r="E105" s="275">
        <v>-14.87909261807008</v>
      </c>
      <c r="F105" s="275">
        <v>-14.83672624409679</v>
      </c>
      <c r="G105" s="275">
        <v>-14.79427940883097</v>
      </c>
      <c r="H105" s="275">
        <v>-14.75175344436035</v>
      </c>
      <c r="I105" s="275">
        <v>-14.7091498412817</v>
      </c>
      <c r="J105" s="275">
        <v>-14.666470252751139</v>
      </c>
      <c r="K105" s="275">
        <v>-14.623716498219411</v>
      </c>
      <c r="L105" s="275">
        <v>-14.58089056682053</v>
      </c>
      <c r="M105" s="275">
        <v>-14.53799462038212</v>
      </c>
      <c r="N105" s="275">
        <v>-14.495030996026999</v>
      </c>
      <c r="O105" s="275">
        <v>-14.452002208336291</v>
      </c>
      <c r="P105" s="275">
        <v>-14.408910951045669</v>
      </c>
      <c r="Q105" s="275">
        <v>-14.365760098247801</v>
      </c>
      <c r="R105" s="275">
        <v>-14.32255270507606</v>
      </c>
      <c r="S105" s="275">
        <v>-14.2792920078462</v>
      </c>
      <c r="T105" s="275">
        <v>-14.23598142363514</v>
      </c>
      <c r="U105" s="275">
        <v>-14.19262454927852</v>
      </c>
      <c r="V105" s="275">
        <v>-14.149225159770911</v>
      </c>
      <c r="W105" s="275">
        <v>-14.105787206055711</v>
      </c>
      <c r="X105" s="275">
        <v>-14.062314812194471</v>
      </c>
      <c r="Y105" s="275">
        <v>-14.01881227190813</v>
      </c>
      <c r="Z105" s="275">
        <v>-13.975284044486351</v>
      </c>
      <c r="AA105" s="275">
        <v>-13.93173475006337</v>
      </c>
      <c r="AB105" s="275">
        <v>-13.888169164262539</v>
      </c>
      <c r="AC105" s="275">
        <v>-13.84459221221465</v>
      </c>
      <c r="AD105" s="275">
        <v>-13.80100896195802</v>
      </c>
      <c r="AE105" s="275">
        <v>-13.757424617231459</v>
      </c>
      <c r="AF105" s="275">
        <v>-13.71384450967415</v>
      </c>
      <c r="AG105" s="275">
        <v>-13.67027409044927</v>
      </c>
      <c r="AH105" s="275">
        <v>-13.626718921310729</v>
      </c>
      <c r="AI105" s="275">
        <v>-13.583184665135249</v>
      </c>
      <c r="AJ105" s="275">
        <v>-13.53967707594412</v>
      </c>
      <c r="AK105" s="275">
        <v>-13.496201988441509</v>
      </c>
      <c r="AL105" s="275">
        <v>-13.45276530709833</v>
      </c>
      <c r="AM105" s="275">
        <v>-13.409372994812429</v>
      </c>
      <c r="AN105" s="275">
        <v>-13.36603106117826</v>
      </c>
      <c r="AO105" s="275">
        <v>-13.322745550400491</v>
      </c>
      <c r="AP105" s="275">
        <v>-13.27952252888792</v>
      </c>
      <c r="AQ105" s="275">
        <v>-13.23636807256573</v>
      </c>
      <c r="AR105" s="275">
        <v>-13.19328825394531</v>
      </c>
      <c r="AS105" s="275">
        <v>-13.150289128992521</v>
      </c>
      <c r="AT105" s="275">
        <v>-13.1073767238366</v>
      </c>
      <c r="AU105" s="275">
        <v>-13.064557021362999</v>
      </c>
      <c r="AV105" s="275">
        <v>-13.021835947734919</v>
      </c>
      <c r="AW105" s="275">
        <v>-12.979219358889191</v>
      </c>
      <c r="AX105" s="275">
        <v>-12.936713027053431</v>
      </c>
      <c r="AY105" s="275">
        <v>-12.89432262733243</v>
      </c>
      <c r="AZ105" s="275">
        <v>-12.852053724412441</v>
      </c>
      <c r="BA105" s="275">
        <v>-12.809911759433151</v>
      </c>
      <c r="BB105" s="275">
        <v>-12.767902037077469</v>
      </c>
      <c r="BC105" s="275">
        <v>-12.726029712930281</v>
      </c>
      <c r="BD105" s="275">
        <v>-12.68429978115716</v>
      </c>
      <c r="BE105" s="275">
        <v>-12.64271706255464</v>
      </c>
      <c r="BF105" s="275">
        <v>-12.60128619302311</v>
      </c>
      <c r="BG105" s="275">
        <v>-12.56001161251349</v>
      </c>
      <c r="BH105" s="275">
        <v>-12.518897554497689</v>
      </c>
      <c r="BI105" s="275">
        <v>-12.47794803601214</v>
      </c>
      <c r="BJ105" s="275">
        <v>-12.43716684832205</v>
      </c>
      <c r="BK105" s="275">
        <v>-12.39655754825227</v>
      </c>
      <c r="BL105" s="275">
        <v>-12.35612345022845</v>
      </c>
      <c r="BM105" s="275">
        <v>-12.31586761906923</v>
      </c>
      <c r="BN105" s="275">
        <v>-12.275792863567411</v>
      </c>
      <c r="BO105" s="275">
        <v>-12.23590173089403</v>
      </c>
      <c r="BP105" s="275">
        <v>-12.196196501855621</v>
      </c>
      <c r="BQ105" s="275">
        <v>-12.1566791870302</v>
      </c>
      <c r="BR105" s="275">
        <v>-12.117351523802879</v>
      </c>
      <c r="BS105" s="275">
        <v>-12.078214974316699</v>
      </c>
      <c r="BT105" s="275">
        <v>-12.039270724349</v>
      </c>
      <c r="BU105" s="275">
        <v>-12.00051968311776</v>
      </c>
      <c r="BV105" s="275">
        <v>-11.961962484016681</v>
      </c>
      <c r="BW105" s="275">
        <v>-11.9235994862716</v>
      </c>
      <c r="BX105" s="275">
        <v>-11.88543077750526</v>
      </c>
      <c r="BY105" s="275">
        <v>-11.84745617719096</v>
      </c>
      <c r="BZ105" s="275">
        <v>-11.80967524097049</v>
      </c>
      <c r="CA105" s="275">
        <v>-11.772087265805499</v>
      </c>
      <c r="CB105" s="275">
        <v>-11.73469129592694</v>
      </c>
      <c r="CC105" s="275">
        <v>-11.697486129541421</v>
      </c>
      <c r="CD105" s="275">
        <v>-11.660470326249451</v>
      </c>
      <c r="CE105" s="275">
        <v>-11.62364221512625</v>
      </c>
      <c r="CF105" s="275">
        <v>-11.58699990341222</v>
      </c>
      <c r="CG105" s="275">
        <v>-11.55054128575709</v>
      </c>
      <c r="CH105" s="275">
        <v>-11.514264053959691</v>
      </c>
      <c r="CI105" s="275">
        <v>-11.478165707142949</v>
      </c>
      <c r="CJ105" s="275">
        <v>-11.44224356230295</v>
      </c>
      <c r="CK105" s="275">
        <v>-11.406494765170059</v>
      </c>
      <c r="CL105" s="275">
        <v>-11.37091630131976</v>
      </c>
      <c r="CM105" s="275">
        <v>-11.335505007472079</v>
      </c>
      <c r="CN105" s="275">
        <v>-11.30025758291873</v>
      </c>
      <c r="CO105" s="275">
        <v>-11.265170601018999</v>
      </c>
      <c r="CP105" s="275"/>
      <c r="CQ105" s="276">
        <v>-16.575210578722501</v>
      </c>
      <c r="CR105" s="276">
        <v>-16.523114633431391</v>
      </c>
      <c r="CS105" s="276">
        <v>-16.471062323748772</v>
      </c>
      <c r="CT105" s="276">
        <v>-16.419056165984738</v>
      </c>
      <c r="CU105" s="276">
        <v>-16.367098705153762</v>
      </c>
      <c r="CV105" s="276">
        <v>-16.315192513798191</v>
      </c>
      <c r="CW105" s="276">
        <v>-16.263340190903659</v>
      </c>
      <c r="CX105" s="276">
        <v>-16.211544360922339</v>
      </c>
      <c r="CY105" s="276">
        <v>-16.159807672919509</v>
      </c>
      <c r="CZ105" s="276">
        <v>-16.108132799859021</v>
      </c>
      <c r="DA105" s="276">
        <v>-16.056522438040538</v>
      </c>
      <c r="DB105" s="276">
        <v>-16.004979306700751</v>
      </c>
      <c r="DC105" s="276">
        <v>-15.95350614778925</v>
      </c>
      <c r="DD105" s="276">
        <v>-15.902105725926511</v>
      </c>
      <c r="DE105" s="276">
        <v>-15.8507808285497</v>
      </c>
      <c r="DF105" s="276">
        <v>-15.799534266248999</v>
      </c>
      <c r="DG105" s="276">
        <v>-15.748368873293201</v>
      </c>
      <c r="DH105" s="276">
        <v>-15.697287508340491</v>
      </c>
      <c r="DI105" s="276">
        <v>-15.64629305532625</v>
      </c>
      <c r="DJ105" s="276">
        <v>-15.59538842451482</v>
      </c>
      <c r="DK105" s="276">
        <v>-15.544576553698629</v>
      </c>
      <c r="DL105" s="276">
        <v>-15.49386040952294</v>
      </c>
      <c r="DM105" s="276">
        <v>-15.44324298890926</v>
      </c>
      <c r="DN105" s="276">
        <v>-15.392727320546509</v>
      </c>
      <c r="DO105" s="276">
        <v>-15.342316466412949</v>
      </c>
      <c r="DP105" s="276">
        <v>-15.292013523287659</v>
      </c>
      <c r="DQ105" s="276">
        <v>-15.24182162420537</v>
      </c>
      <c r="DR105" s="276">
        <v>-15.191743939803549</v>
      </c>
      <c r="DS105" s="276">
        <v>-15.14178367950692</v>
      </c>
      <c r="DT105" s="276">
        <v>-15.091944092489831</v>
      </c>
      <c r="DU105" s="276">
        <v>-15.04222846835442</v>
      </c>
      <c r="DV105" s="276">
        <v>-14.992640137458769</v>
      </c>
      <c r="DW105" s="276">
        <v>-14.943182470828139</v>
      </c>
      <c r="DX105" s="276">
        <v>-14.893858879579639</v>
      </c>
      <c r="DY105" s="276">
        <v>-14.84467281379203</v>
      </c>
      <c r="DZ105" s="276">
        <v>-14.795627760751341</v>
      </c>
      <c r="EA105" s="276">
        <v>-14.74672724250529</v>
      </c>
      <c r="EB105" s="276">
        <v>-14.697974812662711</v>
      </c>
      <c r="EC105" s="276">
        <v>-14.64937405237702</v>
      </c>
      <c r="ED105" s="276">
        <v>-14.600928565459119</v>
      </c>
      <c r="EE105" s="276">
        <v>-14.55264197257063</v>
      </c>
      <c r="EF105" s="276">
        <v>-14.504517904457099</v>
      </c>
      <c r="EG105" s="276">
        <v>-14.456559994188479</v>
      </c>
      <c r="EH105" s="276">
        <v>-14.4087718683858</v>
      </c>
      <c r="EI105" s="276">
        <v>-14.36115713742293</v>
      </c>
      <c r="EJ105" s="276">
        <v>-14.313719384605561</v>
      </c>
      <c r="EK105" s="276">
        <v>-14.266462154342269</v>
      </c>
      <c r="EL105" s="276">
        <v>-14.21938893933668</v>
      </c>
      <c r="EM105" s="276">
        <v>-14.17250316684404</v>
      </c>
      <c r="EN105" s="276">
        <v>-14.1258081840509</v>
      </c>
      <c r="EO105" s="276">
        <v>-14.07930724265119</v>
      </c>
      <c r="EP105" s="276">
        <v>-14.033003482706849</v>
      </c>
      <c r="EQ105" s="276">
        <v>-13.98689991589664</v>
      </c>
      <c r="ER105" s="276">
        <v>-13.940999408269541</v>
      </c>
      <c r="ES105" s="276">
        <v>-13.895304662633389</v>
      </c>
      <c r="ET105" s="276">
        <v>-13.8498182007206</v>
      </c>
      <c r="EU105" s="276">
        <v>-13.804542345283959</v>
      </c>
      <c r="EV105" s="276">
        <v>-13.75947920228416</v>
      </c>
      <c r="EW105" s="276">
        <v>-13.71463064333761</v>
      </c>
      <c r="EX105" s="276">
        <v>-13.669998288598659</v>
      </c>
      <c r="EY105" s="276">
        <v>-13.62558349025241</v>
      </c>
      <c r="EZ105" s="276">
        <v>-13.581387316795301</v>
      </c>
      <c r="FA105" s="276">
        <v>-13.537410538277809</v>
      </c>
      <c r="FB105" s="276">
        <v>-13.4936536126798</v>
      </c>
      <c r="FC105" s="276">
        <v>-13.450116673581119</v>
      </c>
      <c r="FD105" s="276">
        <v>-13.406799519280829</v>
      </c>
      <c r="FE105" s="276">
        <v>-13.363701603506319</v>
      </c>
      <c r="FF105" s="276">
        <v>-13.32082202783922</v>
      </c>
      <c r="FG105" s="276">
        <v>-13.27815953596849</v>
      </c>
      <c r="FH105" s="276">
        <v>-13.235712509863349</v>
      </c>
      <c r="FI105" s="276">
        <v>-13.19347896793851</v>
      </c>
      <c r="FJ105" s="272">
        <v>-13.15145656526323</v>
      </c>
      <c r="FK105" s="272">
        <v>-13.10964259584431</v>
      </c>
      <c r="FL105" s="272">
        <v>-13.06803399698984</v>
      </c>
      <c r="FM105" s="272">
        <v>-13.02662735573861</v>
      </c>
      <c r="FN105" s="272">
        <v>-12.98541891731716</v>
      </c>
      <c r="FO105" s="272">
        <v>-12.944404595564221</v>
      </c>
      <c r="FP105" s="272">
        <v>-12.903579985242191</v>
      </c>
      <c r="FQ105" s="272">
        <v>-12.862940376134061</v>
      </c>
      <c r="FR105" s="272">
        <v>-12.82248076880674</v>
      </c>
      <c r="FS105" s="272">
        <v>-12.78219589190522</v>
      </c>
      <c r="FT105" s="272">
        <v>-12.74208022082669</v>
      </c>
      <c r="FU105" s="272">
        <v>-12.702127997612511</v>
      </c>
      <c r="FV105" s="272">
        <v>-12.662333251884981</v>
      </c>
      <c r="FW105" s="272">
        <v>-12.622689822649139</v>
      </c>
      <c r="FX105" s="272">
        <v>-12.583191380774959</v>
      </c>
      <c r="FY105" s="272">
        <v>-12.54383145197229</v>
      </c>
      <c r="FZ105" s="272">
        <v>-12.50460344007141</v>
      </c>
      <c r="GA105" s="272">
        <v>-12.46550065042509</v>
      </c>
      <c r="GB105" s="272">
        <v>-12.42651631325195</v>
      </c>
      <c r="GC105" s="272">
        <v>-12.38764360674824</v>
      </c>
    </row>
    <row r="106" spans="2:185" ht="15" thickBot="1" x14ac:dyDescent="0.4">
      <c r="B106" s="298">
        <v>100</v>
      </c>
      <c r="C106" s="275">
        <v>-15.176060795856211</v>
      </c>
      <c r="D106" s="275">
        <v>-15.13388375060261</v>
      </c>
      <c r="E106" s="275">
        <v>-15.09162631078498</v>
      </c>
      <c r="F106" s="275">
        <v>-15.04928954155082</v>
      </c>
      <c r="G106" s="275">
        <v>-15.006874653474011</v>
      </c>
      <c r="H106" s="275">
        <v>-14.964383006818091</v>
      </c>
      <c r="I106" s="275">
        <v>-14.921816115552989</v>
      </c>
      <c r="J106" s="275">
        <v>-14.87917565109527</v>
      </c>
      <c r="K106" s="275">
        <v>-14.836463445742231</v>
      </c>
      <c r="L106" s="275">
        <v>-14.793681495769841</v>
      </c>
      <c r="M106" s="275">
        <v>-14.750831964165689</v>
      </c>
      <c r="N106" s="275">
        <v>-14.70791718296846</v>
      </c>
      <c r="O106" s="275">
        <v>-14.664939655186201</v>
      </c>
      <c r="P106" s="275">
        <v>-14.62190205626756</v>
      </c>
      <c r="Q106" s="275">
        <v>-14.57880723510085</v>
      </c>
      <c r="R106" s="275">
        <v>-14.535658214517831</v>
      </c>
      <c r="S106" s="275">
        <v>-14.49245819128099</v>
      </c>
      <c r="T106" s="275">
        <v>-14.44921053553495</v>
      </c>
      <c r="U106" s="275">
        <v>-14.405918789705201</v>
      </c>
      <c r="V106" s="275">
        <v>-14.36258666682938</v>
      </c>
      <c r="W106" s="275">
        <v>-14.31921804830913</v>
      </c>
      <c r="X106" s="275">
        <v>-14.27581698107338</v>
      </c>
      <c r="Y106" s="275">
        <v>-14.23238767414608</v>
      </c>
      <c r="Z106" s="275">
        <v>-14.188934494615021</v>
      </c>
      <c r="AA106" s="275">
        <v>-14.145461963000599</v>
      </c>
      <c r="AB106" s="275">
        <v>-14.10197474802667</v>
      </c>
      <c r="AC106" s="275">
        <v>-14.058477660798239</v>
      </c>
      <c r="AD106" s="275">
        <v>-14.014975648393939</v>
      </c>
      <c r="AE106" s="275">
        <v>-13.97147378688372</v>
      </c>
      <c r="AF106" s="275">
        <v>-13.927977273785039</v>
      </c>
      <c r="AG106" s="275">
        <v>-13.88449141997352</v>
      </c>
      <c r="AH106" s="275">
        <v>-13.84102164106663</v>
      </c>
      <c r="AI106" s="275">
        <v>-13.79757344830124</v>
      </c>
      <c r="AJ106" s="275">
        <v>-13.75415243892833</v>
      </c>
      <c r="AK106" s="275">
        <v>-13.71076428615044</v>
      </c>
      <c r="AL106" s="275">
        <v>-13.667414728629231</v>
      </c>
      <c r="AM106" s="275">
        <v>-13.62410955959283</v>
      </c>
      <c r="AN106" s="275">
        <v>-13.580854615574429</v>
      </c>
      <c r="AO106" s="275">
        <v>-13.53765576481498</v>
      </c>
      <c r="AP106" s="275">
        <v>-13.494518895365051</v>
      </c>
      <c r="AQ106" s="275">
        <v>-13.45144990292197</v>
      </c>
      <c r="AR106" s="275">
        <v>-13.40845467844016</v>
      </c>
      <c r="AS106" s="275">
        <v>-13.36553909555361</v>
      </c>
      <c r="AT106" s="275">
        <v>-13.32270899785115</v>
      </c>
      <c r="AU106" s="275">
        <v>-13.27997018604599</v>
      </c>
      <c r="AV106" s="275">
        <v>-13.237328405082421</v>
      </c>
      <c r="AW106" s="275">
        <v>-13.194789331223591</v>
      </c>
      <c r="AX106" s="275">
        <v>-13.15235855916516</v>
      </c>
      <c r="AY106" s="275">
        <v>-13.110041589220639</v>
      </c>
      <c r="AZ106" s="275">
        <v>-13.067843814625199</v>
      </c>
      <c r="BA106" s="275">
        <v>-13.02577050900495</v>
      </c>
      <c r="BB106" s="275">
        <v>-12.983826814059871</v>
      </c>
      <c r="BC106" s="275">
        <v>-12.94201772750848</v>
      </c>
      <c r="BD106" s="275">
        <v>-12.90034809134294</v>
      </c>
      <c r="BE106" s="275">
        <v>-12.85882258044284</v>
      </c>
      <c r="BF106" s="275">
        <v>-12.817445691596291</v>
      </c>
      <c r="BG106" s="275">
        <v>-12.77622173297587</v>
      </c>
      <c r="BH106" s="275">
        <v>-12.735154814116621</v>
      </c>
      <c r="BI106" s="275">
        <v>-12.694248836441799</v>
      </c>
      <c r="BJ106" s="275">
        <v>-12.65350748438108</v>
      </c>
      <c r="BK106" s="275">
        <v>-12.61293421712341</v>
      </c>
      <c r="BL106" s="275">
        <v>-12.57253226104535</v>
      </c>
      <c r="BM106" s="275">
        <v>-12.532304602852211</v>
      </c>
      <c r="BN106" s="275">
        <v>-12.492253983467011</v>
      </c>
      <c r="BO106" s="275">
        <v>-12.452382892698459</v>
      </c>
      <c r="BP106" s="275">
        <v>-12.41269356471544</v>
      </c>
      <c r="BQ106" s="275">
        <v>-12.373187974351531</v>
      </c>
      <c r="BR106" s="275">
        <v>-12.33386783425826</v>
      </c>
      <c r="BS106" s="275">
        <v>-12.294734592921341</v>
      </c>
      <c r="BT106" s="275">
        <v>-12.255789433548911</v>
      </c>
      <c r="BU106" s="275">
        <v>-12.21703327383568</v>
      </c>
      <c r="BV106" s="275">
        <v>-12.178466766601449</v>
      </c>
      <c r="BW106" s="275">
        <v>-12.14009030129696</v>
      </c>
      <c r="BX106" s="275">
        <v>-12.10190400636492</v>
      </c>
      <c r="BY106" s="275">
        <v>-12.063907752438061</v>
      </c>
      <c r="BZ106" s="275">
        <v>-12.026101156351389</v>
      </c>
      <c r="CA106" s="275">
        <v>-11.98848358594036</v>
      </c>
      <c r="CB106" s="275">
        <v>-11.95105416559184</v>
      </c>
      <c r="CC106" s="275">
        <v>-11.913811782510599</v>
      </c>
      <c r="CD106" s="275">
        <v>-11.87675509365922</v>
      </c>
      <c r="CE106" s="275">
        <v>-11.839882533326451</v>
      </c>
      <c r="CF106" s="275">
        <v>-11.80319232127486</v>
      </c>
      <c r="CG106" s="275">
        <v>-11.76668247141663</v>
      </c>
      <c r="CH106" s="275">
        <v>-11.73035080096343</v>
      </c>
      <c r="CI106" s="275">
        <v>-11.6941949399951</v>
      </c>
      <c r="CJ106" s="275">
        <v>-11.6582123413903</v>
      </c>
      <c r="CK106" s="275">
        <v>-11.62240029106168</v>
      </c>
      <c r="CL106" s="275">
        <v>-11.5867559184382</v>
      </c>
      <c r="CM106" s="275">
        <v>-11.55127620713737</v>
      </c>
      <c r="CN106" s="275">
        <v>-11.515958005770861</v>
      </c>
      <c r="CO106" s="275">
        <v>-11.48079803882894</v>
      </c>
      <c r="CP106" s="275"/>
      <c r="CQ106" s="276">
        <v>-16.807617428987282</v>
      </c>
      <c r="CR106" s="276">
        <v>-16.755599930607641</v>
      </c>
      <c r="CS106" s="276">
        <v>-16.70362661094876</v>
      </c>
      <c r="CT106" s="276">
        <v>-16.651699950992189</v>
      </c>
      <c r="CU106" s="276">
        <v>-16.599822460202521</v>
      </c>
      <c r="CV106" s="276">
        <v>-16.547996675440562</v>
      </c>
      <c r="CW106" s="276">
        <v>-16.49622515996062</v>
      </c>
      <c r="CX106" s="276">
        <v>-16.444510502506041</v>
      </c>
      <c r="CY106" s="276">
        <v>-16.392855316516751</v>
      </c>
      <c r="CZ106" s="276">
        <v>-16.341262239461098</v>
      </c>
      <c r="DA106" s="276">
        <v>-16.289733932303999</v>
      </c>
      <c r="DB106" s="276">
        <v>-16.238273079120741</v>
      </c>
      <c r="DC106" s="276">
        <v>-16.186882386865161</v>
      </c>
      <c r="DD106" s="276">
        <v>-16.13556458529791</v>
      </c>
      <c r="DE106" s="276">
        <v>-16.0843224270786</v>
      </c>
      <c r="DF106" s="276">
        <v>-16.033158688022549</v>
      </c>
      <c r="DG106" s="276">
        <v>-15.982076167520029</v>
      </c>
      <c r="DH106" s="276">
        <v>-15.931077689112559</v>
      </c>
      <c r="DI106" s="276">
        <v>-15.880166101216799</v>
      </c>
      <c r="DJ106" s="276">
        <v>-15.82934427798331</v>
      </c>
      <c r="DK106" s="276">
        <v>-15.77861512027294</v>
      </c>
      <c r="DL106" s="276">
        <v>-15.72798155672951</v>
      </c>
      <c r="DM106" s="276">
        <v>-15.677446544923081</v>
      </c>
      <c r="DN106" s="276">
        <v>-15.62701307253373</v>
      </c>
      <c r="DO106" s="276">
        <v>-15.57668415854137</v>
      </c>
      <c r="DP106" s="276">
        <v>-15.5264628543824</v>
      </c>
      <c r="DQ106" s="276">
        <v>-15.476352245030339</v>
      </c>
      <c r="DR106" s="276">
        <v>-15.42635544995324</v>
      </c>
      <c r="DS106" s="276">
        <v>-15.37647562389677</v>
      </c>
      <c r="DT106" s="276">
        <v>-15.326715957439241</v>
      </c>
      <c r="DU106" s="276">
        <v>-15.277079677260829</v>
      </c>
      <c r="DV106" s="276">
        <v>-15.227570046068569</v>
      </c>
      <c r="DW106" s="276">
        <v>-15.17819036211537</v>
      </c>
      <c r="DX106" s="276">
        <v>-15.12894395825154</v>
      </c>
      <c r="DY106" s="276">
        <v>-15.079834200447159</v>
      </c>
      <c r="DZ106" s="276">
        <v>-15.03086448572375</v>
      </c>
      <c r="EA106" s="276">
        <v>-14.982038239436431</v>
      </c>
      <c r="EB106" s="276">
        <v>-14.93335891184995</v>
      </c>
      <c r="EC106" s="276">
        <v>-14.884829973956281</v>
      </c>
      <c r="ED106" s="276">
        <v>-14.836454912486101</v>
      </c>
      <c r="EE106" s="276">
        <v>-14.7882372240732</v>
      </c>
      <c r="EF106" s="276">
        <v>-14.740180408537491</v>
      </c>
      <c r="EG106" s="276">
        <v>-14.69228796126113</v>
      </c>
      <c r="EH106" s="276">
        <v>-14.64456336464135</v>
      </c>
      <c r="EI106" s="276">
        <v>-14.597010078614289</v>
      </c>
      <c r="EJ106" s="276">
        <v>-14.5496315302548</v>
      </c>
      <c r="EK106" s="276">
        <v>-14.502431102470039</v>
      </c>
      <c r="EL106" s="276">
        <v>-14.455412121816609</v>
      </c>
      <c r="EM106" s="276">
        <v>-14.408577845484039</v>
      </c>
      <c r="EN106" s="276">
        <v>-14.36193144750187</v>
      </c>
      <c r="EO106" s="276">
        <v>-14.31547600423947</v>
      </c>
      <c r="EP106" s="276">
        <v>-14.269214479282329</v>
      </c>
      <c r="EQ106" s="276">
        <v>-14.22314970778096</v>
      </c>
      <c r="ER106" s="276">
        <v>-14.177284380381231</v>
      </c>
      <c r="ES106" s="276">
        <v>-14.13162102685579</v>
      </c>
      <c r="ET106" s="276">
        <v>-14.08616199956824</v>
      </c>
      <c r="EU106" s="276">
        <v>-14.04090945690899</v>
      </c>
      <c r="EV106" s="276">
        <v>-13.995865346851209</v>
      </c>
      <c r="EW106" s="276">
        <v>-13.951031390780191</v>
      </c>
      <c r="EX106" s="276">
        <v>-13.906409067754041</v>
      </c>
      <c r="EY106" s="276">
        <v>-13.861999599355761</v>
      </c>
      <c r="EZ106" s="276">
        <v>-13.817803935296601</v>
      </c>
      <c r="FA106" s="276">
        <v>-13.77382273992869</v>
      </c>
      <c r="FB106" s="276">
        <v>-13.73005637981999</v>
      </c>
      <c r="FC106" s="276">
        <v>-13.68650491253859</v>
      </c>
      <c r="FD106" s="276">
        <v>-13.643168076784001</v>
      </c>
      <c r="FE106" s="276">
        <v>-13.60004528399217</v>
      </c>
      <c r="FF106" s="276">
        <v>-13.55713561152816</v>
      </c>
      <c r="FG106" s="276">
        <v>-13.51443779756552</v>
      </c>
      <c r="FH106" s="276">
        <v>-13.471950237734911</v>
      </c>
      <c r="FI106" s="276">
        <v>-13.429670983606769</v>
      </c>
      <c r="FJ106" s="272">
        <v>-13.387597743054229</v>
      </c>
      <c r="FK106" s="272">
        <v>-13.34572788252216</v>
      </c>
      <c r="FL106" s="272">
        <v>-13.304058431208899</v>
      </c>
      <c r="FM106" s="272">
        <v>-13.262586087146071</v>
      </c>
      <c r="FN106" s="272">
        <v>-13.22130722514205</v>
      </c>
      <c r="FO106" s="272">
        <v>-13.18021790653504</v>
      </c>
      <c r="FP106" s="272">
        <v>-13.139313890682351</v>
      </c>
      <c r="FQ106" s="272">
        <v>-13.09859064809476</v>
      </c>
      <c r="FR106" s="272">
        <v>-13.058043375108459</v>
      </c>
      <c r="FS106" s="272">
        <v>-13.017667009971779</v>
      </c>
      <c r="FT106" s="272">
        <v>-12.97745625021097</v>
      </c>
      <c r="FU106" s="272">
        <v>-12.93740557112794</v>
      </c>
      <c r="FV106" s="272">
        <v>-12.897509245273991</v>
      </c>
      <c r="FW106" s="272">
        <v>-12.857761362736239</v>
      </c>
      <c r="FX106" s="272">
        <v>-12.818155852069561</v>
      </c>
      <c r="FY106" s="272">
        <v>-12.77868650170344</v>
      </c>
      <c r="FZ106" s="272">
        <v>-12.73934698165381</v>
      </c>
      <c r="GA106" s="272">
        <v>-12.70013086537166</v>
      </c>
      <c r="GB106" s="272">
        <v>-12.66103165156381</v>
      </c>
      <c r="GC106" s="272">
        <v>-12.62204278582777</v>
      </c>
    </row>
    <row r="107" spans="2:185" ht="15" thickBot="1" x14ac:dyDescent="0.4">
      <c r="B107" s="298">
        <v>101</v>
      </c>
      <c r="C107" s="275">
        <v>-15.38855733837673</v>
      </c>
      <c r="D107" s="275">
        <v>-15.346406001526089</v>
      </c>
      <c r="E107" s="275">
        <v>-15.304176493073539</v>
      </c>
      <c r="F107" s="275">
        <v>-15.261869911805141</v>
      </c>
      <c r="G107" s="275">
        <v>-15.21948749784883</v>
      </c>
      <c r="H107" s="275">
        <v>-15.177030636636561</v>
      </c>
      <c r="I107" s="275">
        <v>-15.134500862624581</v>
      </c>
      <c r="J107" s="275">
        <v>-15.091899862743791</v>
      </c>
      <c r="K107" s="275">
        <v>-15.049229479552279</v>
      </c>
      <c r="L107" s="275">
        <v>-15.006491714062699</v>
      </c>
      <c r="M107" s="275">
        <v>-14.96368872821699</v>
      </c>
      <c r="N107" s="275">
        <v>-14.920822846982549</v>
      </c>
      <c r="O107" s="275">
        <v>-14.87789656004407</v>
      </c>
      <c r="P107" s="275">
        <v>-14.83491252306681</v>
      </c>
      <c r="Q107" s="275">
        <v>-14.791873558508509</v>
      </c>
      <c r="R107" s="275">
        <v>-14.748782655958371</v>
      </c>
      <c r="S107" s="275">
        <v>-14.70564297198349</v>
      </c>
      <c r="T107" s="275">
        <v>-14.6624578294652</v>
      </c>
      <c r="U107" s="275">
        <v>-14.619230716409451</v>
      </c>
      <c r="V107" s="275">
        <v>-14.575965284218141</v>
      </c>
      <c r="W107" s="275">
        <v>-14.53266534541018</v>
      </c>
      <c r="X107" s="275">
        <v>-14.489334870783869</v>
      </c>
      <c r="Y107" s="275">
        <v>-14.44597798601472</v>
      </c>
      <c r="Z107" s="275">
        <v>-14.402598967685311</v>
      </c>
      <c r="AA107" s="275">
        <v>-14.35920223874662</v>
      </c>
      <c r="AB107" s="275">
        <v>-14.315792363412889</v>
      </c>
      <c r="AC107" s="275">
        <v>-14.27237404149488</v>
      </c>
      <c r="AD107" s="275">
        <v>-14.228952102178731</v>
      </c>
      <c r="AE107" s="275">
        <v>-14.18553149726087</v>
      </c>
      <c r="AF107" s="275">
        <v>-14.14211729385128</v>
      </c>
      <c r="AG107" s="275">
        <v>-14.09871466656052</v>
      </c>
      <c r="AH107" s="275">
        <v>-14.055328889187971</v>
      </c>
      <c r="AI107" s="275">
        <v>-14.011965325931349</v>
      </c>
      <c r="AJ107" s="275">
        <v>-13.968629422139429</v>
      </c>
      <c r="AK107" s="275">
        <v>-13.925326694632369</v>
      </c>
      <c r="AL107" s="275">
        <v>-13.88206272161591</v>
      </c>
      <c r="AM107" s="275">
        <v>-13.838843132217599</v>
      </c>
      <c r="AN107" s="275">
        <v>-13.79567359567495</v>
      </c>
      <c r="AO107" s="275">
        <v>-13.752559810207281</v>
      </c>
      <c r="AP107" s="275">
        <v>-13.70950749160442</v>
      </c>
      <c r="AQ107" s="275">
        <v>-13.666522361567131</v>
      </c>
      <c r="AR107" s="275">
        <v>-13.623610135835349</v>
      </c>
      <c r="AS107" s="275">
        <v>-13.580776512141719</v>
      </c>
      <c r="AT107" s="275">
        <v>-13.538027158029241</v>
      </c>
      <c r="AU107" s="275">
        <v>-13.49536769857295</v>
      </c>
      <c r="AV107" s="275">
        <v>-13.452803704046559</v>
      </c>
      <c r="AW107" s="275">
        <v>-13.41034067757607</v>
      </c>
      <c r="AX107" s="275">
        <v>-13.36798404282343</v>
      </c>
      <c r="AY107" s="275">
        <v>-13.32573913174374</v>
      </c>
      <c r="AZ107" s="275">
        <v>-13.28361117246072</v>
      </c>
      <c r="BA107" s="275">
        <v>-13.241605277305309</v>
      </c>
      <c r="BB107" s="275">
        <v>-13.199726431062899</v>
      </c>
      <c r="BC107" s="275">
        <v>-13.157979479475211</v>
      </c>
      <c r="BD107" s="275">
        <v>-13.11636911804235</v>
      </c>
      <c r="BE107" s="275">
        <v>-13.074899881171239</v>
      </c>
      <c r="BF107" s="275">
        <v>-13.033576131715551</v>
      </c>
      <c r="BG107" s="275">
        <v>-12.992402050952339</v>
      </c>
      <c r="BH107" s="275">
        <v>-12.95138162903914</v>
      </c>
      <c r="BI107" s="275">
        <v>-12.910518655994659</v>
      </c>
      <c r="BJ107" s="275">
        <v>-12.86981671324417</v>
      </c>
      <c r="BK107" s="275">
        <v>-12.829279165769529</v>
      </c>
      <c r="BL107" s="275">
        <v>-12.78890915490091</v>
      </c>
      <c r="BM107" s="275">
        <v>-12.74870959178531</v>
      </c>
      <c r="BN107" s="275">
        <v>-12.70868315156377</v>
      </c>
      <c r="BO107" s="275">
        <v>-12.668832268286231</v>
      </c>
      <c r="BP107" s="275">
        <v>-12.629159130589009</v>
      </c>
      <c r="BQ107" s="275">
        <v>-12.589665678156489</v>
      </c>
      <c r="BR107" s="275">
        <v>-12.55035359898401</v>
      </c>
      <c r="BS107" s="275">
        <v>-12.511224327454819</v>
      </c>
      <c r="BT107" s="275">
        <v>-12.47227904323918</v>
      </c>
      <c r="BU107" s="275">
        <v>-12.433518671018881</v>
      </c>
      <c r="BV107" s="275">
        <v>-12.394943881035489</v>
      </c>
      <c r="BW107" s="275">
        <v>-12.35655509045594</v>
      </c>
      <c r="BX107" s="275">
        <v>-12.31835246554347</v>
      </c>
      <c r="BY107" s="275">
        <v>-12.28033592461772</v>
      </c>
      <c r="BZ107" s="275">
        <v>-12.242505141782241</v>
      </c>
      <c r="CA107" s="275">
        <v>-12.20485955139363</v>
      </c>
      <c r="CB107" s="275">
        <v>-12.16739835324157</v>
      </c>
      <c r="CC107" s="275">
        <v>-12.130120518405439</v>
      </c>
      <c r="CD107" s="275">
        <v>-12.093024795748549</v>
      </c>
      <c r="CE107" s="275">
        <v>-12.056109719008621</v>
      </c>
      <c r="CF107" s="275">
        <v>-12.019373614439321</v>
      </c>
      <c r="CG107" s="275">
        <v>-11.982814608955181</v>
      </c>
      <c r="CH107" s="275">
        <v>-11.9464306387307</v>
      </c>
      <c r="CI107" s="275">
        <v>-11.91021945820181</v>
      </c>
      <c r="CJ107" s="275">
        <v>-11.874178649417541</v>
      </c>
      <c r="CK107" s="275">
        <v>-11.83830563168878</v>
      </c>
      <c r="CL107" s="275">
        <v>-11.80259767148045</v>
      </c>
      <c r="CM107" s="275">
        <v>-11.767051892494271</v>
      </c>
      <c r="CN107" s="275">
        <v>-11.731665285889591</v>
      </c>
      <c r="CO107" s="275">
        <v>-11.69643472059084</v>
      </c>
      <c r="CP107" s="275"/>
      <c r="CQ107" s="276">
        <v>-17.040053866113059</v>
      </c>
      <c r="CR107" s="276">
        <v>-16.988113954504659</v>
      </c>
      <c r="CS107" s="276">
        <v>-16.93621874339139</v>
      </c>
      <c r="CT107" s="276">
        <v>-16.88437067907083</v>
      </c>
      <c r="CU107" s="276">
        <v>-16.832572236048971</v>
      </c>
      <c r="CV107" s="276">
        <v>-16.780825916030029</v>
      </c>
      <c r="CW107" s="276">
        <v>-16.72913424698282</v>
      </c>
      <c r="CX107" s="276">
        <v>-16.677499782295921</v>
      </c>
      <c r="CY107" s="276">
        <v>-16.625925100033459</v>
      </c>
      <c r="CZ107" s="276">
        <v>-16.57441280230217</v>
      </c>
      <c r="DA107" s="276">
        <v>-16.522965514739312</v>
      </c>
      <c r="DB107" s="276">
        <v>-16.47158588612967</v>
      </c>
      <c r="DC107" s="276">
        <v>-16.420276588157851</v>
      </c>
      <c r="DD107" s="276">
        <v>-16.369040315300239</v>
      </c>
      <c r="DE107" s="276">
        <v>-16.317879784858899</v>
      </c>
      <c r="DF107" s="276">
        <v>-16.266797737136709</v>
      </c>
      <c r="DG107" s="276">
        <v>-16.215796935750241</v>
      </c>
      <c r="DH107" s="276">
        <v>-16.164880168074379</v>
      </c>
      <c r="DI107" s="276">
        <v>-16.114050245808489</v>
      </c>
      <c r="DJ107" s="276">
        <v>-16.063310005651029</v>
      </c>
      <c r="DK107" s="276">
        <v>-16.01266231006564</v>
      </c>
      <c r="DL107" s="276">
        <v>-15.962110048117779</v>
      </c>
      <c r="DM107" s="276">
        <v>-15.911656136357291</v>
      </c>
      <c r="DN107" s="276">
        <v>-15.86130351971812</v>
      </c>
      <c r="DO107" s="276">
        <v>-15.811055172402821</v>
      </c>
      <c r="DP107" s="276">
        <v>-15.760914098714879</v>
      </c>
      <c r="DQ107" s="276">
        <v>-15.71088333379944</v>
      </c>
      <c r="DR107" s="276">
        <v>-15.660965944248099</v>
      </c>
      <c r="DS107" s="276">
        <v>-15.61116502852137</v>
      </c>
      <c r="DT107" s="276">
        <v>-15.56148371713933</v>
      </c>
      <c r="DU107" s="276">
        <v>-15.511925172588059</v>
      </c>
      <c r="DV107" s="276">
        <v>-15.46249258888853</v>
      </c>
      <c r="DW107" s="276">
        <v>-15.41318919077279</v>
      </c>
      <c r="DX107" s="276">
        <v>-15.364018232412061</v>
      </c>
      <c r="DY107" s="276">
        <v>-15.31498299564131</v>
      </c>
      <c r="DZ107" s="276">
        <v>-15.266086787626501</v>
      </c>
      <c r="EA107" s="276">
        <v>-15.217332937922031</v>
      </c>
      <c r="EB107" s="276">
        <v>-15.168724794868981</v>
      </c>
      <c r="EC107" s="276">
        <v>-15.120265721289091</v>
      </c>
      <c r="ED107" s="276">
        <v>-15.071959089433211</v>
      </c>
      <c r="EE107" s="276">
        <v>-15.023808275149941</v>
      </c>
      <c r="EF107" s="276">
        <v>-14.9758166512463</v>
      </c>
      <c r="EG107" s="276">
        <v>-14.92798758001981</v>
      </c>
      <c r="EH107" s="276">
        <v>-14.8803244049511</v>
      </c>
      <c r="EI107" s="276">
        <v>-14.832830441554339</v>
      </c>
      <c r="EJ107" s="276">
        <v>-14.785508967394239</v>
      </c>
      <c r="EK107" s="276">
        <v>-14.73836321128832</v>
      </c>
      <c r="EL107" s="276">
        <v>-14.69139634172544</v>
      </c>
      <c r="EM107" s="276">
        <v>-14.644611454542741</v>
      </c>
      <c r="EN107" s="276">
        <v>-14.598011559915451</v>
      </c>
      <c r="EO107" s="276">
        <v>-14.55159956872606</v>
      </c>
      <c r="EP107" s="276">
        <v>-14.50537827839122</v>
      </c>
      <c r="EQ107" s="276">
        <v>-14.459350358236151</v>
      </c>
      <c r="ER107" s="276">
        <v>-14.413518334517491</v>
      </c>
      <c r="ES107" s="276">
        <v>-14.367884575205579</v>
      </c>
      <c r="ET107" s="276">
        <v>-14.322451274646211</v>
      </c>
      <c r="EU107" s="276">
        <v>-14.27722043823039</v>
      </c>
      <c r="EV107" s="276">
        <v>-14.2321938672067</v>
      </c>
      <c r="EW107" s="276">
        <v>-14.187373143776529</v>
      </c>
      <c r="EX107" s="276">
        <v>-14.14275961661536</v>
      </c>
      <c r="EY107" s="276">
        <v>-14.0983543869656</v>
      </c>
      <c r="EZ107" s="276">
        <v>-14.054158295445401</v>
      </c>
      <c r="FA107" s="276">
        <v>-14.010171909716419</v>
      </c>
      <c r="FB107" s="276">
        <v>-13.966395513148591</v>
      </c>
      <c r="FC107" s="276">
        <v>-13.922829094614441</v>
      </c>
      <c r="FD107" s="276">
        <v>-13.879472339536539</v>
      </c>
      <c r="FE107" s="276">
        <v>-13.836324622302429</v>
      </c>
      <c r="FF107" s="276">
        <v>-13.793385000148859</v>
      </c>
      <c r="FG107" s="276">
        <v>-13.750652208604331</v>
      </c>
      <c r="FH107" s="276">
        <v>-13.708124658563751</v>
      </c>
      <c r="FI107" s="276">
        <v>-13.66580043505329</v>
      </c>
      <c r="FJ107" s="272">
        <v>-13.62367729772601</v>
      </c>
      <c r="FK107" s="272">
        <v>-13.581752683112009</v>
      </c>
      <c r="FL107" s="272">
        <v>-13.540023708627739</v>
      </c>
      <c r="FM107" s="272">
        <v>-13.49848717833139</v>
      </c>
      <c r="FN107" s="272">
        <v>-13.457139590393069</v>
      </c>
      <c r="FO107" s="272">
        <v>-13.41597714623048</v>
      </c>
      <c r="FP107" s="272">
        <v>-13.3749957612439</v>
      </c>
      <c r="FQ107" s="272">
        <v>-13.33419107706808</v>
      </c>
      <c r="FR107" s="272">
        <v>-13.29355847524385</v>
      </c>
      <c r="FS107" s="272">
        <v>-13.25309309219841</v>
      </c>
      <c r="FT107" s="272">
        <v>-13.212789835411691</v>
      </c>
      <c r="FU107" s="272">
        <v>-13.172643400635449</v>
      </c>
      <c r="FV107" s="272">
        <v>-13.132648290024139</v>
      </c>
      <c r="FW107" s="272">
        <v>-13.09279883102935</v>
      </c>
      <c r="FX107" s="272">
        <v>-13.05308919590597</v>
      </c>
      <c r="FY107" s="272">
        <v>-13.013513421675199</v>
      </c>
      <c r="FZ107" s="272">
        <v>-12.97406543038962</v>
      </c>
      <c r="GA107" s="272">
        <v>-12.9347390495467</v>
      </c>
      <c r="GB107" s="272">
        <v>-12.895528032500421</v>
      </c>
      <c r="GC107" s="272">
        <v>-12.85642607872615</v>
      </c>
    </row>
    <row r="108" spans="2:185" ht="15" thickBot="1" x14ac:dyDescent="0.4">
      <c r="B108" s="298">
        <v>102</v>
      </c>
      <c r="C108" s="275">
        <v>-15.60106930503451</v>
      </c>
      <c r="D108" s="275">
        <v>-15.558944318080391</v>
      </c>
      <c r="E108" s="275">
        <v>-15.516743332906</v>
      </c>
      <c r="F108" s="275">
        <v>-15.47446747892347</v>
      </c>
      <c r="G108" s="275">
        <v>-15.43211802288511</v>
      </c>
      <c r="H108" s="275">
        <v>-15.389696372563041</v>
      </c>
      <c r="I108" s="275">
        <v>-15.34720408019149</v>
      </c>
      <c r="J108" s="275">
        <v>-15.30464284564599</v>
      </c>
      <c r="K108" s="275">
        <v>-15.262014519333119</v>
      </c>
      <c r="L108" s="275">
        <v>-15.21932110476555</v>
      </c>
      <c r="M108" s="275">
        <v>-15.17656476079685</v>
      </c>
      <c r="N108" s="275">
        <v>-15.13374780349184</v>
      </c>
      <c r="O108" s="275">
        <v>-15.090872707608749</v>
      </c>
      <c r="P108" s="275">
        <v>-15.04794210767073</v>
      </c>
      <c r="Q108" s="275">
        <v>-15.004958798605619</v>
      </c>
      <c r="R108" s="275">
        <v>-14.96192573593396</v>
      </c>
      <c r="S108" s="275">
        <v>-14.918846035487441</v>
      </c>
      <c r="T108" s="275">
        <v>-14.87572297264129</v>
      </c>
      <c r="U108" s="275">
        <v>-14.832559981046369</v>
      </c>
      <c r="V108" s="275">
        <v>-14.78936065084863</v>
      </c>
      <c r="W108" s="275">
        <v>-14.74612872638602</v>
      </c>
      <c r="X108" s="275">
        <v>-14.702868103355041</v>
      </c>
      <c r="Y108" s="275">
        <v>-14.65958282544165</v>
      </c>
      <c r="Z108" s="275">
        <v>-14.616277080413729</v>
      </c>
      <c r="AA108" s="275">
        <v>-14.57295519567457</v>
      </c>
      <c r="AB108" s="275">
        <v>-14.529621633279779</v>
      </c>
      <c r="AC108" s="275">
        <v>-14.48628098442204</v>
      </c>
      <c r="AD108" s="275">
        <v>-14.44293796339117</v>
      </c>
      <c r="AE108" s="275">
        <v>-14.39959740101885</v>
      </c>
      <c r="AF108" s="275">
        <v>-14.356264237620421</v>
      </c>
      <c r="AG108" s="275">
        <v>-14.31294351544803</v>
      </c>
      <c r="AH108" s="275">
        <v>-14.26964037067186</v>
      </c>
      <c r="AI108" s="275">
        <v>-14.226360024908519</v>
      </c>
      <c r="AJ108" s="275">
        <v>-14.18310777631765</v>
      </c>
      <c r="AK108" s="275">
        <v>-14.13988899028976</v>
      </c>
      <c r="AL108" s="275">
        <v>-14.096709089750579</v>
      </c>
      <c r="AM108" s="275">
        <v>-14.053573545108421</v>
      </c>
      <c r="AN108" s="275">
        <v>-14.010487863873699</v>
      </c>
      <c r="AO108" s="275">
        <v>-13.967457579980371</v>
      </c>
      <c r="AP108" s="275">
        <v>-13.924488242841351</v>
      </c>
      <c r="AQ108" s="275">
        <v>-13.8815854061711</v>
      </c>
      <c r="AR108" s="275">
        <v>-13.838754616610119</v>
      </c>
      <c r="AS108" s="275">
        <v>-13.79600140218694</v>
      </c>
      <c r="AT108" s="275">
        <v>-13.753331260655081</v>
      </c>
      <c r="AU108" s="275">
        <v>-13.710749647742951</v>
      </c>
      <c r="AV108" s="275">
        <v>-13.66826196535591</v>
      </c>
      <c r="AW108" s="275">
        <v>-13.625873549770789</v>
      </c>
      <c r="AX108" s="275">
        <v>-13.583589659863771</v>
      </c>
      <c r="AY108" s="275">
        <v>-13.541415465413341</v>
      </c>
      <c r="AZ108" s="275">
        <v>-13.499356035520799</v>
      </c>
      <c r="BA108" s="275">
        <v>-13.457416327191019</v>
      </c>
      <c r="BB108" s="275">
        <v>-13.415601174116791</v>
      </c>
      <c r="BC108" s="275">
        <v>-13.37391527571007</v>
      </c>
      <c r="BD108" s="275">
        <v>-13.33236318642358</v>
      </c>
      <c r="BE108" s="275">
        <v>-13.29094930540596</v>
      </c>
      <c r="BF108" s="275">
        <v>-13.24967786653327</v>
      </c>
      <c r="BG108" s="275">
        <v>-13.20855292885909</v>
      </c>
      <c r="BH108" s="275">
        <v>-13.167578367524429</v>
      </c>
      <c r="BI108" s="275">
        <v>-13.126757865167409</v>
      </c>
      <c r="BJ108" s="275">
        <v>-13.08609490387162</v>
      </c>
      <c r="BK108" s="275">
        <v>-13.04559275768956</v>
      </c>
      <c r="BL108" s="275">
        <v>-13.005254485776261</v>
      </c>
      <c r="BM108" s="275">
        <v>-12.96508292616512</v>
      </c>
      <c r="BN108" s="275">
        <v>-12.9250806902156</v>
      </c>
      <c r="BO108" s="275">
        <v>-12.88525015775928</v>
      </c>
      <c r="BP108" s="275">
        <v>-12.84559347296752</v>
      </c>
      <c r="BQ108" s="275">
        <v>-12.806112540960029</v>
      </c>
      <c r="BR108" s="275">
        <v>-12.76680902517035</v>
      </c>
      <c r="BS108" s="275">
        <v>-12.72768434547937</v>
      </c>
      <c r="BT108" s="275">
        <v>-12.68873967712465</v>
      </c>
      <c r="BU108" s="275">
        <v>-12.64997595038794</v>
      </c>
      <c r="BV108" s="275">
        <v>-12.611393851059351</v>
      </c>
      <c r="BW108" s="275">
        <v>-12.57299382167208</v>
      </c>
      <c r="BX108" s="275">
        <v>-12.534776063496411</v>
      </c>
      <c r="BY108" s="275">
        <v>-12.496740539277919</v>
      </c>
      <c r="BZ108" s="275">
        <v>-12.458886976699921</v>
      </c>
      <c r="CA108" s="275">
        <v>-12.421214872545949</v>
      </c>
      <c r="CB108" s="275">
        <v>-12.38372349753428</v>
      </c>
      <c r="CC108" s="275">
        <v>-12.34641190179237</v>
      </c>
      <c r="CD108" s="275">
        <v>-12.3092789209357</v>
      </c>
      <c r="CE108" s="275">
        <v>-12.27232318271248</v>
      </c>
      <c r="CF108" s="275">
        <v>-12.235543114172611</v>
      </c>
      <c r="CG108" s="275">
        <v>-12.198936949317041</v>
      </c>
      <c r="CH108" s="275">
        <v>-12.162502737181629</v>
      </c>
      <c r="CI108" s="275">
        <v>-12.126238350308149</v>
      </c>
      <c r="CJ108" s="275">
        <v>-12.090141493553631</v>
      </c>
      <c r="CK108" s="275">
        <v>-12.054209713189049</v>
      </c>
      <c r="CL108" s="275">
        <v>-12.018440406237559</v>
      </c>
      <c r="CM108" s="275">
        <v>-11.982830830002991</v>
      </c>
      <c r="CN108" s="275">
        <v>-11.94737811173983</v>
      </c>
      <c r="CO108" s="275">
        <v>-11.91207925841667</v>
      </c>
      <c r="CP108" s="275"/>
      <c r="CQ108" s="276">
        <v>-17.272518931242459</v>
      </c>
      <c r="CR108" s="276">
        <v>-17.220655747605459</v>
      </c>
      <c r="CS108" s="276">
        <v>-17.168837764880742</v>
      </c>
      <c r="CT108" s="276">
        <v>-17.117067395249581</v>
      </c>
      <c r="CU108" s="276">
        <v>-17.065347078776298</v>
      </c>
      <c r="CV108" s="276">
        <v>-17.01367928246308</v>
      </c>
      <c r="CW108" s="276">
        <v>-16.962066499373961</v>
      </c>
      <c r="CX108" s="276">
        <v>-16.9105112478384</v>
      </c>
      <c r="CY108" s="276">
        <v>-16.859016070744719</v>
      </c>
      <c r="CZ108" s="276">
        <v>-16.807583534932199</v>
      </c>
      <c r="DA108" s="276">
        <v>-16.756216230689951</v>
      </c>
      <c r="DB108" s="276">
        <v>-16.704916771368818</v>
      </c>
      <c r="DC108" s="276">
        <v>-16.653687793111491</v>
      </c>
      <c r="DD108" s="276">
        <v>-16.60253195470305</v>
      </c>
      <c r="DE108" s="276">
        <v>-16.551451937543639</v>
      </c>
      <c r="DF108" s="276">
        <v>-16.500450445740778</v>
      </c>
      <c r="DG108" s="276">
        <v>-16.449530206317441</v>
      </c>
      <c r="DH108" s="276">
        <v>-16.398693969528711</v>
      </c>
      <c r="DI108" s="276">
        <v>-16.347944509276822</v>
      </c>
      <c r="DJ108" s="276">
        <v>-16.297284623611201</v>
      </c>
      <c r="DK108" s="276">
        <v>-16.246717135296709</v>
      </c>
      <c r="DL108" s="276">
        <v>-16.19624489243013</v>
      </c>
      <c r="DM108" s="276">
        <v>-16.145870769080808</v>
      </c>
      <c r="DN108" s="276">
        <v>-16.095597665928921</v>
      </c>
      <c r="DO108" s="276">
        <v>-16.045428510869758</v>
      </c>
      <c r="DP108" s="276">
        <v>-15.995366259551069</v>
      </c>
      <c r="DQ108" s="276">
        <v>-15.945413895805149</v>
      </c>
      <c r="DR108" s="276">
        <v>-15.89557443193617</v>
      </c>
      <c r="DS108" s="276">
        <v>-15.84585090881944</v>
      </c>
      <c r="DT108" s="276">
        <v>-15.79624639576725</v>
      </c>
      <c r="DU108" s="276">
        <v>-15.74676399011445</v>
      </c>
      <c r="DV108" s="276">
        <v>-15.69740681647454</v>
      </c>
      <c r="DW108" s="276">
        <v>-15.648178025617399</v>
      </c>
      <c r="DX108" s="276">
        <v>-15.5990807929185</v>
      </c>
      <c r="DY108" s="276">
        <v>-15.55011831633084</v>
      </c>
      <c r="DZ108" s="276">
        <v>-15.501293813831211</v>
      </c>
      <c r="EA108" s="276">
        <v>-15.45261052029519</v>
      </c>
      <c r="EB108" s="276">
        <v>-15.40407168375784</v>
      </c>
      <c r="EC108" s="276">
        <v>-15.35568056102059</v>
      </c>
      <c r="ED108" s="276">
        <v>-15.3074404125699</v>
      </c>
      <c r="EE108" s="276">
        <v>-15.25935449677822</v>
      </c>
      <c r="EF108" s="276">
        <v>-15.211426063365071</v>
      </c>
      <c r="EG108" s="276">
        <v>-15.16365834610173</v>
      </c>
      <c r="EH108" s="276">
        <v>-15.11605455475298</v>
      </c>
      <c r="EI108" s="276">
        <v>-15.06861786625638</v>
      </c>
      <c r="EJ108" s="276">
        <v>-15.021351415149811</v>
      </c>
      <c r="EK108" s="276">
        <v>-14.974258283267909</v>
      </c>
      <c r="EL108" s="276">
        <v>-14.92734148873798</v>
      </c>
      <c r="EM108" s="276">
        <v>-14.88060397431693</v>
      </c>
      <c r="EN108" s="276">
        <v>-14.83404859512158</v>
      </c>
      <c r="EO108" s="276">
        <v>-14.78767810581517</v>
      </c>
      <c r="EP108" s="276">
        <v>-14.741495147323819</v>
      </c>
      <c r="EQ108" s="276">
        <v>-14.695502233166829</v>
      </c>
      <c r="ER108" s="276">
        <v>-14.64970173549411</v>
      </c>
      <c r="ES108" s="276">
        <v>-14.604095870933641</v>
      </c>
      <c r="ET108" s="276">
        <v>-14.558686686359099</v>
      </c>
      <c r="EU108" s="276">
        <v>-14.5134760446955</v>
      </c>
      <c r="EV108" s="276">
        <v>-14.46846561088592</v>
      </c>
      <c r="EW108" s="276">
        <v>-14.42365683814721</v>
      </c>
      <c r="EX108" s="276">
        <v>-14.379050954644759</v>
      </c>
      <c r="EY108" s="276">
        <v>-14.3346489507184</v>
      </c>
      <c r="EZ108" s="276">
        <v>-14.290451566790569</v>
      </c>
      <c r="FA108" s="276">
        <v>-14.246459282085381</v>
      </c>
      <c r="FB108" s="276">
        <v>-14.20267230428419</v>
      </c>
      <c r="FC108" s="276">
        <v>-14.159090560236139</v>
      </c>
      <c r="FD108" s="276">
        <v>-14.115713687835919</v>
      </c>
      <c r="FE108" s="276">
        <v>-14.072541029170861</v>
      </c>
      <c r="FF108" s="276">
        <v>-14.02957162502927</v>
      </c>
      <c r="FG108" s="276">
        <v>-13.98680421084962</v>
      </c>
      <c r="FH108" s="276">
        <v>-13.94423721417677</v>
      </c>
      <c r="FI108" s="276">
        <v>-13.901868753677221</v>
      </c>
      <c r="FJ108" s="272">
        <v>-13.859696639749259</v>
      </c>
      <c r="FK108" s="272">
        <v>-13.81771837674947</v>
      </c>
      <c r="FL108" s="272">
        <v>-13.77593116683868</v>
      </c>
      <c r="FM108" s="272">
        <v>-13.73433191543603</v>
      </c>
      <c r="FN108" s="272">
        <v>-13.69291723825201</v>
      </c>
      <c r="FO108" s="272">
        <v>-13.65168346985582</v>
      </c>
      <c r="FP108" s="272">
        <v>-13.610626673717441</v>
      </c>
      <c r="FQ108" s="272">
        <v>-13.569742653649421</v>
      </c>
      <c r="FR108" s="272">
        <v>-13.529026966560661</v>
      </c>
      <c r="FS108" s="272">
        <v>-13.488474936421481</v>
      </c>
      <c r="FT108" s="272">
        <v>-13.448081669329319</v>
      </c>
      <c r="FU108" s="272">
        <v>-13.407842069554009</v>
      </c>
      <c r="FV108" s="272">
        <v>-13.367750856434821</v>
      </c>
      <c r="FW108" s="272">
        <v>-13.32780258199511</v>
      </c>
      <c r="FX108" s="272">
        <v>-13.287991649135989</v>
      </c>
      <c r="FY108" s="272">
        <v>-13.248312330268851</v>
      </c>
      <c r="FZ108" s="272">
        <v>-13.208758786245101</v>
      </c>
      <c r="GA108" s="272">
        <v>-13.16932508544302</v>
      </c>
      <c r="GB108" s="272">
        <v>-13.130005222874569</v>
      </c>
      <c r="GC108" s="272">
        <v>-13.090793139178469</v>
      </c>
    </row>
    <row r="109" spans="2:185" ht="15" thickBot="1" x14ac:dyDescent="0.4">
      <c r="B109" s="298">
        <v>103</v>
      </c>
      <c r="C109" s="275">
        <v>-15.8135969133846</v>
      </c>
      <c r="D109" s="275">
        <v>-15.77149887469125</v>
      </c>
      <c r="E109" s="275">
        <v>-15.72932696205307</v>
      </c>
      <c r="F109" s="275">
        <v>-15.68708233266379</v>
      </c>
      <c r="G109" s="275">
        <v>-15.64476627714007</v>
      </c>
      <c r="H109" s="275">
        <v>-15.60238022293564</v>
      </c>
      <c r="I109" s="275">
        <v>-15.55992573752332</v>
      </c>
      <c r="J109" s="275">
        <v>-15.51740453132034</v>
      </c>
      <c r="K109" s="275">
        <v>-15.474818460332941</v>
      </c>
      <c r="L109" s="275">
        <v>-15.432169528496241</v>
      </c>
      <c r="M109" s="275">
        <v>-15.38945988968592</v>
      </c>
      <c r="N109" s="275">
        <v>-15.34669184937918</v>
      </c>
      <c r="O109" s="275">
        <v>-15.30386786594288</v>
      </c>
      <c r="P109" s="275">
        <v>-15.2609905515283</v>
      </c>
      <c r="Q109" s="275">
        <v>-15.218062672552559</v>
      </c>
      <c r="R109" s="275">
        <v>-15.17508714974881</v>
      </c>
      <c r="S109" s="275">
        <v>-15.132067057768319</v>
      </c>
      <c r="T109" s="275">
        <v>-15.089005624319499</v>
      </c>
      <c r="U109" s="275">
        <v>-15.04590622883067</v>
      </c>
      <c r="V109" s="275">
        <v>-15.00277240062546</v>
      </c>
      <c r="W109" s="275">
        <v>-14.95960781660164</v>
      </c>
      <c r="X109" s="275">
        <v>-14.916416298406331</v>
      </c>
      <c r="Y109" s="275">
        <v>-14.87320180910304</v>
      </c>
      <c r="Z109" s="275">
        <v>-14.829968449327881</v>
      </c>
      <c r="AA109" s="275">
        <v>-14.786720452934979</v>
      </c>
      <c r="AB109" s="275">
        <v>-14.74346218213331</v>
      </c>
      <c r="AC109" s="275">
        <v>-14.700198122119451</v>
      </c>
      <c r="AD109" s="275">
        <v>-14.656932875213441</v>
      </c>
      <c r="AE109" s="275">
        <v>-14.613671154506781</v>
      </c>
      <c r="AF109" s="275">
        <v>-14.5704177770344</v>
      </c>
      <c r="AG109" s="275">
        <v>-14.527177656484159</v>
      </c>
      <c r="AH109" s="275">
        <v>-14.48395579546011</v>
      </c>
      <c r="AI109" s="275">
        <v>-14.44075727731744</v>
      </c>
      <c r="AJ109" s="275">
        <v>-14.397587257589301</v>
      </c>
      <c r="AK109" s="275">
        <v>-14.35445095502752</v>
      </c>
      <c r="AL109" s="275">
        <v>-14.311353642281141</v>
      </c>
      <c r="AM109" s="275">
        <v>-14.268300636238379</v>
      </c>
      <c r="AN109" s="275">
        <v>-14.22529728805951</v>
      </c>
      <c r="AO109" s="275">
        <v>-14.18234897292928</v>
      </c>
      <c r="AP109" s="275">
        <v>-14.139461079559609</v>
      </c>
      <c r="AQ109" s="275">
        <v>-14.096638999474051</v>
      </c>
      <c r="AR109" s="275">
        <v>-14.053888116107389</v>
      </c>
      <c r="AS109" s="275">
        <v>-14.01121379375452</v>
      </c>
      <c r="AT109" s="275">
        <v>-13.968621366404181</v>
      </c>
      <c r="AU109" s="275">
        <v>-13.926116126494041</v>
      </c>
      <c r="AV109" s="275">
        <v>-13.88370331362461</v>
      </c>
      <c r="AW109" s="275">
        <v>-13.84138810327039</v>
      </c>
      <c r="AX109" s="275">
        <v>-13.79917559552732</v>
      </c>
      <c r="AY109" s="275">
        <v>-13.757070803936241</v>
      </c>
      <c r="AZ109" s="275">
        <v>-13.715078644422929</v>
      </c>
      <c r="BA109" s="275">
        <v>-13.67320392439508</v>
      </c>
      <c r="BB109" s="275">
        <v>-13.631451332037591</v>
      </c>
      <c r="BC109" s="275">
        <v>-13.58982542584697</v>
      </c>
      <c r="BD109" s="275">
        <v>-13.548330624446089</v>
      </c>
      <c r="BE109" s="275">
        <v>-13.50697119671992</v>
      </c>
      <c r="BF109" s="275">
        <v>-13.465751252312691</v>
      </c>
      <c r="BG109" s="275">
        <v>-13.42467473252603</v>
      </c>
      <c r="BH109" s="275">
        <v>-13.383745401656689</v>
      </c>
      <c r="BI109" s="275">
        <v>-13.34296683881151</v>
      </c>
      <c r="BJ109" s="275">
        <v>-13.302342430235459</v>
      </c>
      <c r="BK109" s="275">
        <v>-13.261875362187199</v>
      </c>
      <c r="BL109" s="275">
        <v>-13.22156861439422</v>
      </c>
      <c r="BM109" s="275">
        <v>-13.181424954117681</v>
      </c>
      <c r="BN109" s="275">
        <v>-13.14144693085418</v>
      </c>
      <c r="BO109" s="275">
        <v>-13.10163687169886</v>
      </c>
      <c r="BP109" s="275">
        <v>-13.06199687739133</v>
      </c>
      <c r="BQ109" s="275">
        <v>-13.02252881906209</v>
      </c>
      <c r="BR109" s="275">
        <v>-12.983234335694</v>
      </c>
      <c r="BS109" s="275">
        <v>-12.944114832309159</v>
      </c>
      <c r="BT109" s="275">
        <v>-12.90517147888777</v>
      </c>
      <c r="BU109" s="275">
        <v>-12.86640521002141</v>
      </c>
      <c r="BV109" s="275">
        <v>-12.827816725299069</v>
      </c>
      <c r="BW109" s="275">
        <v>-12.789406490419809</v>
      </c>
      <c r="BX109" s="275">
        <v>-12.75117473902211</v>
      </c>
      <c r="BY109" s="275">
        <v>-12.71312147521536</v>
      </c>
      <c r="BZ109" s="275">
        <v>-12.6752464767952</v>
      </c>
      <c r="CA109" s="275">
        <v>-12.637549299120399</v>
      </c>
      <c r="CB109" s="275">
        <v>-12.600029279625151</v>
      </c>
      <c r="CC109" s="275">
        <v>-12.562685542937251</v>
      </c>
      <c r="CD109" s="275">
        <v>-12.52551700656938</v>
      </c>
      <c r="CE109" s="275">
        <v>-12.488522387147791</v>
      </c>
      <c r="CF109" s="275">
        <v>-12.451700207139879</v>
      </c>
      <c r="CG109" s="275">
        <v>-12.41504880204038</v>
      </c>
      <c r="CH109" s="275">
        <v>-12.378566327973481</v>
      </c>
      <c r="CI109" s="275">
        <v>-12.34225076966694</v>
      </c>
      <c r="CJ109" s="275">
        <v>-12.306099948753459</v>
      </c>
      <c r="CK109" s="275">
        <v>-12.27011153235313</v>
      </c>
      <c r="CL109" s="275">
        <v>-12.234283041891359</v>
      </c>
      <c r="CM109" s="275">
        <v>-12.1986118621061</v>
      </c>
      <c r="CN109" s="275">
        <v>-12.1630952501989</v>
      </c>
      <c r="CO109" s="275">
        <v>-12.12773034508502</v>
      </c>
      <c r="CP109" s="275"/>
      <c r="CQ109" s="276">
        <v>-17.50501167904298</v>
      </c>
      <c r="CR109" s="276">
        <v>-17.45322436582908</v>
      </c>
      <c r="CS109" s="276">
        <v>-17.401482732595792</v>
      </c>
      <c r="CT109" s="276">
        <v>-17.349789157909001</v>
      </c>
      <c r="CU109" s="276">
        <v>-17.298146047844281</v>
      </c>
      <c r="CV109" s="276">
        <v>-17.246555835096419</v>
      </c>
      <c r="CW109" s="276">
        <v>-17.195020978150829</v>
      </c>
      <c r="CX109" s="276">
        <v>-17.143543960525911</v>
      </c>
      <c r="CY109" s="276">
        <v>-17.09212729009479</v>
      </c>
      <c r="CZ109" s="276">
        <v>-17.040773498494129</v>
      </c>
      <c r="DA109" s="276">
        <v>-16.98948514062597</v>
      </c>
      <c r="DB109" s="276">
        <v>-16.938264794258512</v>
      </c>
      <c r="DC109" s="276">
        <v>-16.88711505972832</v>
      </c>
      <c r="DD109" s="276">
        <v>-16.83603855974637</v>
      </c>
      <c r="DE109" s="276">
        <v>-16.78503793930723</v>
      </c>
      <c r="DF109" s="276">
        <v>-16.73411586569885</v>
      </c>
      <c r="DG109" s="276">
        <v>-16.68327502860798</v>
      </c>
      <c r="DH109" s="276">
        <v>-16.63251814031355</v>
      </c>
      <c r="DI109" s="276">
        <v>-16.581847935957661</v>
      </c>
      <c r="DJ109" s="276">
        <v>-16.531267173880781</v>
      </c>
      <c r="DK109" s="276">
        <v>-16.480778636004821</v>
      </c>
      <c r="DL109" s="276">
        <v>-16.430385128244769</v>
      </c>
      <c r="DM109" s="276">
        <v>-16.380089480925982</v>
      </c>
      <c r="DN109" s="276">
        <v>-16.329894549181869</v>
      </c>
      <c r="DO109" s="276">
        <v>-16.279803213302792</v>
      </c>
      <c r="DP109" s="276">
        <v>-16.22981837900474</v>
      </c>
      <c r="DQ109" s="276">
        <v>-16.179942977583071</v>
      </c>
      <c r="DR109" s="276">
        <v>-16.13017996591439</v>
      </c>
      <c r="DS109" s="276">
        <v>-16.080532326267019</v>
      </c>
      <c r="DT109" s="276">
        <v>-16.03100306587891</v>
      </c>
      <c r="DU109" s="276">
        <v>-15.981595216260081</v>
      </c>
      <c r="DV109" s="276">
        <v>-15.932311832175451</v>
      </c>
      <c r="DW109" s="276">
        <v>-15.88315599026415</v>
      </c>
      <c r="DX109" s="276">
        <v>-15.83413078725026</v>
      </c>
      <c r="DY109" s="276">
        <v>-15.785239337701681</v>
      </c>
      <c r="DZ109" s="276">
        <v>-15.73648477129475</v>
      </c>
      <c r="EA109" s="276">
        <v>-15.68787022954402</v>
      </c>
      <c r="EB109" s="276">
        <v>-15.63939886196022</v>
      </c>
      <c r="EC109" s="276">
        <v>-15.591073821602301</v>
      </c>
      <c r="ED109" s="276">
        <v>-15.54289825999423</v>
      </c>
      <c r="EE109" s="276">
        <v>-15.4948753213825</v>
      </c>
      <c r="EF109" s="276">
        <v>-15.4470081363158</v>
      </c>
      <c r="EG109" s="276">
        <v>-15.399299814535659</v>
      </c>
      <c r="EH109" s="276">
        <v>-15.351753437173461</v>
      </c>
      <c r="EI109" s="276">
        <v>-15.304372048258079</v>
      </c>
      <c r="EJ109" s="276">
        <v>-15.257158645546109</v>
      </c>
      <c r="EK109" s="276">
        <v>-15.210116170696359</v>
      </c>
      <c r="EL109" s="276">
        <v>-15.16324749881931</v>
      </c>
      <c r="EM109" s="276">
        <v>-15.11655542744159</v>
      </c>
      <c r="EN109" s="276">
        <v>-15.07004266493594</v>
      </c>
      <c r="EO109" s="276">
        <v>-15.023711818475929</v>
      </c>
      <c r="EP109" s="276">
        <v>-14.97756538158484</v>
      </c>
      <c r="EQ109" s="276">
        <v>-14.931605721356631</v>
      </c>
      <c r="ER109" s="276">
        <v>-14.88583506543592</v>
      </c>
      <c r="ES109" s="276">
        <v>-14.840255488851589</v>
      </c>
      <c r="ET109" s="276">
        <v>-14.794868900805611</v>
      </c>
      <c r="EU109" s="276">
        <v>-14.74967703152517</v>
      </c>
      <c r="EV109" s="276">
        <v>-14.70468141929026</v>
      </c>
      <c r="EW109" s="276">
        <v>-14.659883397753809</v>
      </c>
      <c r="EX109" s="276">
        <v>-14.61528408367246</v>
      </c>
      <c r="EY109" s="276">
        <v>-14.5708843651681</v>
      </c>
      <c r="EZ109" s="276">
        <v>-14.526684890638551</v>
      </c>
      <c r="FA109" s="276">
        <v>-14.48268605843491</v>
      </c>
      <c r="FB109" s="276">
        <v>-14.438888007417489</v>
      </c>
      <c r="FC109" s="276">
        <v>-14.39529060849879</v>
      </c>
      <c r="FD109" s="276">
        <v>-14.35189345727369</v>
      </c>
      <c r="FE109" s="276">
        <v>-14.308695867828909</v>
      </c>
      <c r="FF109" s="276">
        <v>-14.2656968678148</v>
      </c>
      <c r="FG109" s="276">
        <v>-14.222895194850469</v>
      </c>
      <c r="FH109" s="276">
        <v>-14.180289294321749</v>
      </c>
      <c r="FI109" s="276">
        <v>-14.137877318618211</v>
      </c>
      <c r="FJ109" s="272">
        <v>-14.09565712784212</v>
      </c>
      <c r="FK109" s="272">
        <v>-14.0536262920066</v>
      </c>
      <c r="FL109" s="272">
        <v>-14.01178209472741</v>
      </c>
      <c r="FM109" s="272">
        <v>-13.970121538396141</v>
      </c>
      <c r="FN109" s="272">
        <v>-13.92864135080907</v>
      </c>
      <c r="FO109" s="272">
        <v>-13.88733799321097</v>
      </c>
      <c r="FP109" s="272">
        <v>-13.84620766969952</v>
      </c>
      <c r="FQ109" s="272">
        <v>-13.805246337922521</v>
      </c>
      <c r="FR109" s="272">
        <v>-13.76444972098864</v>
      </c>
      <c r="FS109" s="272">
        <v>-13.72381332050008</v>
      </c>
      <c r="FT109" s="272">
        <v>-13.6833324306069</v>
      </c>
      <c r="FU109" s="272">
        <v>-13.64300215297378</v>
      </c>
      <c r="FV109" s="272">
        <v>-13.60281741254224</v>
      </c>
      <c r="FW109" s="272">
        <v>-13.562772973967411</v>
      </c>
      <c r="FX109" s="272">
        <v>-13.522863458602741</v>
      </c>
      <c r="FY109" s="272">
        <v>-13.48308336190515</v>
      </c>
      <c r="FZ109" s="272">
        <v>-13.44342707113166</v>
      </c>
      <c r="GA109" s="272">
        <v>-13.403888883199031</v>
      </c>
      <c r="GB109" s="272">
        <v>-13.364463022581139</v>
      </c>
      <c r="GC109" s="272">
        <v>-13.32514365912157</v>
      </c>
    </row>
    <row r="110" spans="2:185" ht="15" thickBot="1" x14ac:dyDescent="0.4">
      <c r="B110" s="298">
        <v>104</v>
      </c>
      <c r="C110" s="275">
        <v>-16.026140343961249</v>
      </c>
      <c r="D110" s="275">
        <v>-15.98406981050803</v>
      </c>
      <c r="E110" s="275">
        <v>-15.941927478804139</v>
      </c>
      <c r="F110" s="275">
        <v>-15.899714531140569</v>
      </c>
      <c r="G110" s="275">
        <v>-15.857432279399131</v>
      </c>
      <c r="H110" s="275">
        <v>-15.815082168217691</v>
      </c>
      <c r="I110" s="275">
        <v>-15.772665777927971</v>
      </c>
      <c r="J110" s="275">
        <v>-15.730184827243701</v>
      </c>
      <c r="K110" s="275">
        <v>-15.687641175676189</v>
      </c>
      <c r="L110" s="275">
        <v>-15.64503682565511</v>
      </c>
      <c r="M110" s="275">
        <v>-15.60237392433296</v>
      </c>
      <c r="N110" s="275">
        <v>-15.55965476505162</v>
      </c>
      <c r="O110" s="275">
        <v>-15.516881788451361</v>
      </c>
      <c r="P110" s="275">
        <v>-15.47405758320239</v>
      </c>
      <c r="Q110" s="275">
        <v>-15.431184886341249</v>
      </c>
      <c r="R110" s="275">
        <v>-15.388266583194991</v>
      </c>
      <c r="S110" s="275">
        <v>-15.345305706877911</v>
      </c>
      <c r="T110" s="275">
        <v>-15.302305437346829</v>
      </c>
      <c r="U110" s="275">
        <v>-15.25926910000311</v>
      </c>
      <c r="V110" s="275">
        <v>-15.21620016383098</v>
      </c>
      <c r="W110" s="275">
        <v>-15.173102239063949</v>
      </c>
      <c r="X110" s="275">
        <v>-15.129979074372921</v>
      </c>
      <c r="Y110" s="275">
        <v>-15.086834553571901</v>
      </c>
      <c r="Z110" s="275">
        <v>-15.04367269183925</v>
      </c>
      <c r="AA110" s="275">
        <v>-15.000497631454531</v>
      </c>
      <c r="AB110" s="275">
        <v>-14.957313637053259</v>
      </c>
      <c r="AC110" s="275">
        <v>-14.91412509040433</v>
      </c>
      <c r="AD110" s="275">
        <v>-14.870936484716539</v>
      </c>
      <c r="AE110" s="275">
        <v>-14.827752418483531</v>
      </c>
      <c r="AF110" s="275">
        <v>-14.784577588877911</v>
      </c>
      <c r="AG110" s="275">
        <v>-14.741416784708109</v>
      </c>
      <c r="AH110" s="275">
        <v>-14.69827487895296</v>
      </c>
      <c r="AI110" s="275">
        <v>-14.655156820891481</v>
      </c>
      <c r="AJ110" s="275">
        <v>-14.61206762784693</v>
      </c>
      <c r="AK110" s="275">
        <v>-14.56901237656634</v>
      </c>
      <c r="AL110" s="275">
        <v>-14.525996194257999</v>
      </c>
      <c r="AM110" s="275">
        <v>-14.483024249312081</v>
      </c>
      <c r="AN110" s="275">
        <v>-14.440101741729491</v>
      </c>
      <c r="AO110" s="275">
        <v>-14.397233893287639</v>
      </c>
      <c r="AP110" s="275">
        <v>-14.35442593747141</v>
      </c>
      <c r="AQ110" s="275">
        <v>-14.311683109200031</v>
      </c>
      <c r="AR110" s="275">
        <v>-14.26901063438148</v>
      </c>
      <c r="AS110" s="275">
        <v>-14.22641371932723</v>
      </c>
      <c r="AT110" s="275">
        <v>-14.18389754006113</v>
      </c>
      <c r="AU110" s="275">
        <v>-14.14146723155751</v>
      </c>
      <c r="AV110" s="275">
        <v>-14.09912787694414</v>
      </c>
      <c r="AW110" s="275">
        <v>-14.05688449670661</v>
      </c>
      <c r="AX110" s="275">
        <v>-14.014742037931621</v>
      </c>
      <c r="AY110" s="275">
        <v>-13.97270536362687</v>
      </c>
      <c r="AZ110" s="275">
        <v>-13.930779242155911</v>
      </c>
      <c r="BA110" s="275">
        <v>-13.8889683368268</v>
      </c>
      <c r="BB110" s="275">
        <v>-13.847277195673151</v>
      </c>
      <c r="BC110" s="275">
        <v>-13.80571024146691</v>
      </c>
      <c r="BD110" s="275">
        <v>-13.76427176200106</v>
      </c>
      <c r="BE110" s="275">
        <v>-13.7229659006814</v>
      </c>
      <c r="BF110" s="275">
        <v>-13.68179664746472</v>
      </c>
      <c r="BG110" s="275">
        <v>-13.640767830181071</v>
      </c>
      <c r="BH110" s="275">
        <v>-13.59988310627614</v>
      </c>
      <c r="BI110" s="275">
        <v>-13.559145955008811</v>
      </c>
      <c r="BJ110" s="275">
        <v>-13.518559670137799</v>
      </c>
      <c r="BK110" s="275">
        <v>-13.478127353128929</v>
      </c>
      <c r="BL110" s="275">
        <v>-13.43785190691332</v>
      </c>
      <c r="BM110" s="275">
        <v>-13.3977360302242</v>
      </c>
      <c r="BN110" s="275">
        <v>-13.35778221253765</v>
      </c>
      <c r="BO110" s="275">
        <v>-13.317992729639689</v>
      </c>
      <c r="BP110" s="275">
        <v>-13.278369639839751</v>
      </c>
      <c r="BQ110" s="275">
        <v>-13.238914780846679</v>
      </c>
      <c r="BR110" s="275">
        <v>-13.19962976732042</v>
      </c>
      <c r="BS110" s="275">
        <v>-13.160515989109159</v>
      </c>
      <c r="BT110" s="275">
        <v>-13.1215746101776</v>
      </c>
      <c r="BU110" s="275">
        <v>-13.08280656822873</v>
      </c>
      <c r="BV110" s="275">
        <v>-13.044212575017029</v>
      </c>
      <c r="BW110" s="275">
        <v>-13.00579311734784</v>
      </c>
      <c r="BX110" s="275">
        <v>-12.96754845875318</v>
      </c>
      <c r="BY110" s="275">
        <v>-12.92947864183075</v>
      </c>
      <c r="BZ110" s="275">
        <v>-12.891583491229049</v>
      </c>
      <c r="CA110" s="275">
        <v>-12.853862617257841</v>
      </c>
      <c r="CB110" s="275">
        <v>-12.81631542010015</v>
      </c>
      <c r="CC110" s="275">
        <v>-12.77894109459803</v>
      </c>
      <c r="CD110" s="275">
        <v>-12.741738635582109</v>
      </c>
      <c r="CE110" s="275">
        <v>-12.704706843711699</v>
      </c>
      <c r="CF110" s="275">
        <v>-12.66784433179013</v>
      </c>
      <c r="CG110" s="275">
        <v>-12.631149531517689</v>
      </c>
      <c r="CH110" s="275">
        <v>-12.59462070064289</v>
      </c>
      <c r="CI110" s="275">
        <v>-12.558255930471351</v>
      </c>
      <c r="CJ110" s="275">
        <v>-12.522053153690621</v>
      </c>
      <c r="CK110" s="275">
        <v>-12.48601015246834</v>
      </c>
      <c r="CL110" s="275">
        <v>-12.450124566781099</v>
      </c>
      <c r="CM110" s="275">
        <v>-12.414393902931121</v>
      </c>
      <c r="CN110" s="275">
        <v>-12.3788155422084</v>
      </c>
      <c r="CO110" s="275">
        <v>-12.34338674965645</v>
      </c>
      <c r="CP110" s="275"/>
      <c r="CQ110" s="276">
        <v>-17.737531178024181</v>
      </c>
      <c r="CR110" s="276">
        <v>-17.685818878909028</v>
      </c>
      <c r="CS110" s="276">
        <v>-17.63415271753145</v>
      </c>
      <c r="CT110" s="276">
        <v>-17.5825350392853</v>
      </c>
      <c r="CU110" s="276">
        <v>-17.53096821665552</v>
      </c>
      <c r="CV110" s="276">
        <v>-17.479454648373579</v>
      </c>
      <c r="CW110" s="276">
        <v>-17.427996758627511</v>
      </c>
      <c r="CX110" s="276">
        <v>-17.376596996334481</v>
      </c>
      <c r="CY110" s="276">
        <v>-17.325257834483001</v>
      </c>
      <c r="CZ110" s="276">
        <v>-17.273981769550939</v>
      </c>
      <c r="DA110" s="276">
        <v>-17.222771321004601</v>
      </c>
      <c r="DB110" s="276">
        <v>-17.17162903088245</v>
      </c>
      <c r="DC110" s="276">
        <v>-17.120557463466199</v>
      </c>
      <c r="DD110" s="276">
        <v>-17.069559205039251</v>
      </c>
      <c r="DE110" s="276">
        <v>-17.01863686373191</v>
      </c>
      <c r="DF110" s="276">
        <v>-16.967793069449549</v>
      </c>
      <c r="DG110" s="276">
        <v>-16.917030473878341</v>
      </c>
      <c r="DH110" s="276">
        <v>-16.866351750560739</v>
      </c>
      <c r="DI110" s="276">
        <v>-16.81575959502959</v>
      </c>
      <c r="DJ110" s="276">
        <v>-16.765256724988681</v>
      </c>
      <c r="DK110" s="276">
        <v>-16.714845880523001</v>
      </c>
      <c r="DL110" s="276">
        <v>-16.66452982432039</v>
      </c>
      <c r="DM110" s="276">
        <v>-16.614311341883351</v>
      </c>
      <c r="DN110" s="276">
        <v>-16.56419324170632</v>
      </c>
      <c r="DO110" s="276">
        <v>-16.51417835539192</v>
      </c>
      <c r="DP110" s="276">
        <v>-16.46426953767655</v>
      </c>
      <c r="DQ110" s="276">
        <v>-16.41446966633319</v>
      </c>
      <c r="DR110" s="276">
        <v>-16.36478164191778</v>
      </c>
      <c r="DS110" s="276">
        <v>-16.315208387322759</v>
      </c>
      <c r="DT110" s="276">
        <v>-16.265752847100291</v>
      </c>
      <c r="DU110" s="276">
        <v>-16.21641798651638</v>
      </c>
      <c r="DV110" s="276">
        <v>-16.16720679029628</v>
      </c>
      <c r="DW110" s="276">
        <v>-16.11812226102122</v>
      </c>
      <c r="DX110" s="276">
        <v>-16.069167417137042</v>
      </c>
      <c r="DY110" s="276">
        <v>-16.02034529053574</v>
      </c>
      <c r="DZ110" s="276">
        <v>-15.971658923672519</v>
      </c>
      <c r="EA110" s="276">
        <v>-15.923111366183811</v>
      </c>
      <c r="EB110" s="276">
        <v>-15.87470567097265</v>
      </c>
      <c r="EC110" s="276">
        <v>-15.826444889733651</v>
      </c>
      <c r="ED110" s="276">
        <v>-15.77833206789226</v>
      </c>
      <c r="EE110" s="276">
        <v>-15.73037023893826</v>
      </c>
      <c r="EF110" s="276">
        <v>-15.682562418139741</v>
      </c>
      <c r="EG110" s="276">
        <v>-15.634911595628751</v>
      </c>
      <c r="EH110" s="276">
        <v>-15.58742072885796</v>
      </c>
      <c r="EI110" s="276">
        <v>-15.54009273443376</v>
      </c>
      <c r="EJ110" s="276">
        <v>-15.49293047933994</v>
      </c>
      <c r="EK110" s="276">
        <v>-15.445936771573651</v>
      </c>
      <c r="EL110" s="276">
        <v>-15.39911435022432</v>
      </c>
      <c r="EM110" s="276">
        <v>-15.352465875034479</v>
      </c>
      <c r="EN110" s="276">
        <v>-15.305993915490131</v>
      </c>
      <c r="EO110" s="276">
        <v>-15.25970093949751</v>
      </c>
      <c r="EP110" s="276">
        <v>-15.2135893017103</v>
      </c>
      <c r="EQ110" s="276">
        <v>-15.16766123158105</v>
      </c>
      <c r="ER110" s="276">
        <v>-15.121918821216431</v>
      </c>
      <c r="ES110" s="276">
        <v>-15.076364013124349</v>
      </c>
      <c r="ET110" s="276">
        <v>-15.03099858794625</v>
      </c>
      <c r="EU110" s="276">
        <v>-14.98582415227316</v>
      </c>
      <c r="EV110" s="276">
        <v>-14.940842126649329</v>
      </c>
      <c r="EW110" s="276">
        <v>-14.89605373386876</v>
      </c>
      <c r="EX110" s="276">
        <v>-14.851459987673531</v>
      </c>
      <c r="EY110" s="276">
        <v>-14.80706168196197</v>
      </c>
      <c r="EZ110" s="276">
        <v>-14.76285938061514</v>
      </c>
      <c r="FA110" s="276">
        <v>-14.718853408046661</v>
      </c>
      <c r="FB110" s="276">
        <v>-14.675043840578841</v>
      </c>
      <c r="FC110" s="276">
        <v>-14.631430498741381</v>
      </c>
      <c r="FD110" s="276">
        <v>-14.58801294058391</v>
      </c>
      <c r="FE110" s="276">
        <v>-14.54479045608551</v>
      </c>
      <c r="FF110" s="276">
        <v>-14.50176206273483</v>
      </c>
      <c r="FG110" s="276">
        <v>-14.45892650234577</v>
      </c>
      <c r="FH110" s="276">
        <v>-14.41628223916142</v>
      </c>
      <c r="FI110" s="276">
        <v>-14.37382745928779</v>
      </c>
      <c r="FJ110" s="272">
        <v>-14.33156007148645</v>
      </c>
      <c r="FK110" s="272">
        <v>-14.28947770934181</v>
      </c>
      <c r="FL110" s="272">
        <v>-14.24757773480601</v>
      </c>
      <c r="FM110" s="272">
        <v>-14.205857243110559</v>
      </c>
      <c r="FN110" s="272">
        <v>-14.164313069020951</v>
      </c>
      <c r="FO110" s="272">
        <v>-14.122941794397059</v>
      </c>
      <c r="FP110" s="272">
        <v>-14.08173975701048</v>
      </c>
      <c r="FQ110" s="272">
        <v>-14.040703060556581</v>
      </c>
      <c r="FR110" s="272">
        <v>-13.99982758578968</v>
      </c>
      <c r="FS110" s="272">
        <v>-13.95910900269854</v>
      </c>
      <c r="FT110" s="272">
        <v>-13.91854278363072</v>
      </c>
      <c r="FU110" s="272">
        <v>-13.878124217266629</v>
      </c>
      <c r="FV110" s="272">
        <v>-13.8378484233378</v>
      </c>
      <c r="FW110" s="272">
        <v>-13.797710367978009</v>
      </c>
      <c r="FX110" s="272">
        <v>-13.757704879593771</v>
      </c>
      <c r="FY110" s="272">
        <v>-13.71782666513622</v>
      </c>
      <c r="FZ110" s="272">
        <v>-13.678070326657901</v>
      </c>
      <c r="GA110" s="272">
        <v>-13.63843037803661</v>
      </c>
      <c r="GB110" s="272">
        <v>-13.59890126175137</v>
      </c>
      <c r="GC110" s="272">
        <v>-13.559477365598291</v>
      </c>
    </row>
    <row r="111" spans="2:185" ht="15" thickBot="1" x14ac:dyDescent="0.4">
      <c r="B111" s="298">
        <v>105</v>
      </c>
      <c r="C111" s="275">
        <v>-16.238699742923291</v>
      </c>
      <c r="D111" s="275">
        <v>-16.196657232003609</v>
      </c>
      <c r="E111" s="275">
        <v>-16.154544950516229</v>
      </c>
      <c r="F111" s="275">
        <v>-16.11236410331713</v>
      </c>
      <c r="G111" s="275">
        <v>-16.070116021107111</v>
      </c>
      <c r="H111" s="275">
        <v>-16.027802163363098</v>
      </c>
      <c r="I111" s="275">
        <v>-15.98542412104741</v>
      </c>
      <c r="J111" s="275">
        <v>-15.94298361907388</v>
      </c>
      <c r="K111" s="275">
        <v>-15.90048251850977</v>
      </c>
      <c r="L111" s="275">
        <v>-15.857922818492611</v>
      </c>
      <c r="M111" s="275">
        <v>-15.8153066578418</v>
      </c>
      <c r="N111" s="275">
        <v>-15.77263631634538</v>
      </c>
      <c r="O111" s="275">
        <v>-15.72991421570311</v>
      </c>
      <c r="P111" s="275">
        <v>-15.68714292010803</v>
      </c>
      <c r="Q111" s="275">
        <v>-15.644325136449719</v>
      </c>
      <c r="R111" s="275">
        <v>-15.60146371412368</v>
      </c>
      <c r="S111" s="275">
        <v>-15.55856164443278</v>
      </c>
      <c r="T111" s="275">
        <v>-15.51562205956793</v>
      </c>
      <c r="U111" s="275">
        <v>-15.47264823115702</v>
      </c>
      <c r="V111" s="275">
        <v>-15.429643568372789</v>
      </c>
      <c r="W111" s="275">
        <v>-15.386611615591949</v>
      </c>
      <c r="X111" s="275">
        <v>-15.343556049600121</v>
      </c>
      <c r="Y111" s="275">
        <v>-15.3004806763386</v>
      </c>
      <c r="Z111" s="275">
        <v>-15.257389427191629</v>
      </c>
      <c r="AA111" s="275">
        <v>-15.21428635481411</v>
      </c>
      <c r="AB111" s="275">
        <v>-15.171175628502549</v>
      </c>
      <c r="AC111" s="275">
        <v>-15.12806152911361</v>
      </c>
      <c r="AD111" s="275">
        <v>-15.084948443536661</v>
      </c>
      <c r="AE111" s="275">
        <v>-15.04184085872941</v>
      </c>
      <c r="AF111" s="275">
        <v>-14.9987433553268</v>
      </c>
      <c r="AG111" s="275">
        <v>-14.955660600836231</v>
      </c>
      <c r="AH111" s="275">
        <v>-14.91259734243353</v>
      </c>
      <c r="AI111" s="275">
        <v>-14.86955839937624</v>
      </c>
      <c r="AJ111" s="275">
        <v>-14.82654865505258</v>
      </c>
      <c r="AK111" s="275">
        <v>-14.783573048686121</v>
      </c>
      <c r="AL111" s="275">
        <v>-14.740636566718051</v>
      </c>
      <c r="AM111" s="275">
        <v>-14.697744233890431</v>
      </c>
      <c r="AN111" s="275">
        <v>-14.654901104055201</v>
      </c>
      <c r="AO111" s="275">
        <v>-14.61211225073558</v>
      </c>
      <c r="AP111" s="275">
        <v>-14.569382757467469</v>
      </c>
      <c r="AQ111" s="275">
        <v>-14.526717707949761</v>
      </c>
      <c r="AR111" s="275">
        <v>-14.48412217603417</v>
      </c>
      <c r="AS111" s="275">
        <v>-14.441601215585401</v>
      </c>
      <c r="AT111" s="275">
        <v>-14.39915985024458</v>
      </c>
      <c r="AU111" s="275">
        <v>-14.35680306312879</v>
      </c>
      <c r="AV111" s="275">
        <v>-14.31453578650112</v>
      </c>
      <c r="AW111" s="275">
        <v>-14.272362891446081</v>
      </c>
      <c r="AX111" s="275">
        <v>-14.230289177585711</v>
      </c>
      <c r="AY111" s="275">
        <v>-14.18831936287272</v>
      </c>
      <c r="AZ111" s="275">
        <v>-14.146458073496859</v>
      </c>
      <c r="BA111" s="275">
        <v>-14.10470983394133</v>
      </c>
      <c r="BB111" s="275">
        <v>-14.063079057226121</v>
      </c>
      <c r="BC111" s="275">
        <v>-14.021570035374991</v>
      </c>
      <c r="BD111" s="275">
        <v>-13.98018693014289</v>
      </c>
      <c r="BE111" s="275">
        <v>-13.938933764039859</v>
      </c>
      <c r="BF111" s="275">
        <v>-13.89781441168757</v>
      </c>
      <c r="BG111" s="275">
        <v>-13.85683259154289</v>
      </c>
      <c r="BH111" s="275">
        <v>-13.81599185802315</v>
      </c>
      <c r="BI111" s="275">
        <v>-13.77529559406536</v>
      </c>
      <c r="BJ111" s="275">
        <v>-13.73474700415135</v>
      </c>
      <c r="BK111" s="275">
        <v>-13.694349107828099</v>
      </c>
      <c r="BL111" s="275">
        <v>-13.654104733751749</v>
      </c>
      <c r="BM111" s="275">
        <v>-13.614016514280539</v>
      </c>
      <c r="BN111" s="275">
        <v>-13.574086880640611</v>
      </c>
      <c r="BO111" s="275">
        <v>-13.534318058685271</v>
      </c>
      <c r="BP111" s="275">
        <v>-13.49471206526602</v>
      </c>
      <c r="BQ111" s="275">
        <v>-13.45527070523063</v>
      </c>
      <c r="BR111" s="275">
        <v>-13.41599556905989</v>
      </c>
      <c r="BS111" s="275">
        <v>-13.376888031152371</v>
      </c>
      <c r="BT111" s="275">
        <v>-13.337949248762181</v>
      </c>
      <c r="BU111" s="275">
        <v>-13.299180161591551</v>
      </c>
      <c r="BV111" s="275">
        <v>-13.260581492036859</v>
      </c>
      <c r="BW111" s="275">
        <v>-13.22215374608243</v>
      </c>
      <c r="BX111" s="275">
        <v>-13.18389721483357</v>
      </c>
      <c r="BY111" s="275">
        <v>-13.14581197667612</v>
      </c>
      <c r="BZ111" s="275">
        <v>-13.107897900047091</v>
      </c>
      <c r="CA111" s="275">
        <v>-13.070154646796819</v>
      </c>
      <c r="CB111" s="275">
        <v>-13.0325816761206</v>
      </c>
      <c r="CC111" s="275">
        <v>-12.995178249034341</v>
      </c>
      <c r="CD111" s="275">
        <v>-12.95794343336631</v>
      </c>
      <c r="CE111" s="275">
        <v>-12.920876109234269</v>
      </c>
      <c r="CF111" s="275">
        <v>-12.88397497497532</v>
      </c>
      <c r="CG111" s="275">
        <v>-12.84723855349351</v>
      </c>
      <c r="CH111" s="275">
        <v>-12.810665198989071</v>
      </c>
      <c r="CI111" s="275">
        <v>-12.77425310403116</v>
      </c>
      <c r="CJ111" s="275">
        <v>-12.73800030693581</v>
      </c>
      <c r="CK111" s="275">
        <v>-12.70190469940921</v>
      </c>
      <c r="CL111" s="275">
        <v>-12.66596403441685</v>
      </c>
      <c r="CM111" s="275">
        <v>-12.63017593423848</v>
      </c>
      <c r="CN111" s="275">
        <v>-12.59453789866933</v>
      </c>
      <c r="CO111" s="275">
        <v>-12.55904731332863</v>
      </c>
      <c r="CP111" s="275"/>
      <c r="CQ111" s="276">
        <v>-17.970076510841821</v>
      </c>
      <c r="CR111" s="276">
        <v>-17.91843837075152</v>
      </c>
      <c r="CS111" s="276">
        <v>-17.866846804911731</v>
      </c>
      <c r="CT111" s="276">
        <v>-17.815304125937882</v>
      </c>
      <c r="CU111" s="276">
        <v>-17.763812673076171</v>
      </c>
      <c r="CV111" s="276">
        <v>-17.712374811396941</v>
      </c>
      <c r="CW111" s="276">
        <v>-17.660992931035469</v>
      </c>
      <c r="CX111" s="276">
        <v>-17.60966944648758</v>
      </c>
      <c r="CY111" s="276">
        <v>-17.558406795965471</v>
      </c>
      <c r="CZ111" s="276">
        <v>-17.50720744081913</v>
      </c>
      <c r="DA111" s="276">
        <v>-17.456073865027061</v>
      </c>
      <c r="DB111" s="276">
        <v>-17.405008574759432</v>
      </c>
      <c r="DC111" s="276">
        <v>-17.354014098014531</v>
      </c>
      <c r="DD111" s="276">
        <v>-17.30309298432854</v>
      </c>
      <c r="DE111" s="276">
        <v>-17.252247804556749</v>
      </c>
      <c r="DF111" s="276">
        <v>-17.201481150721751</v>
      </c>
      <c r="DG111" s="276">
        <v>-17.15079563592327</v>
      </c>
      <c r="DH111" s="276">
        <v>-17.100193894301039</v>
      </c>
      <c r="DI111" s="276">
        <v>-17.04967858104024</v>
      </c>
      <c r="DJ111" s="276">
        <v>-16.999252372406922</v>
      </c>
      <c r="DK111" s="276">
        <v>-16.948917965797769</v>
      </c>
      <c r="DL111" s="276">
        <v>-16.898678079786521</v>
      </c>
      <c r="DM111" s="276">
        <v>-16.84853545414682</v>
      </c>
      <c r="DN111" s="276">
        <v>-16.79849284982863</v>
      </c>
      <c r="DO111" s="276">
        <v>-16.748553048863151</v>
      </c>
      <c r="DP111" s="276">
        <v>-16.698718854168941</v>
      </c>
      <c r="DQ111" s="276">
        <v>-16.648993089229691</v>
      </c>
      <c r="DR111" s="276">
        <v>-16.59937859761251</v>
      </c>
      <c r="DS111" s="276">
        <v>-16.54987824229373</v>
      </c>
      <c r="DT111" s="276">
        <v>-16.50049490475805</v>
      </c>
      <c r="DU111" s="276">
        <v>-16.45123148383599</v>
      </c>
      <c r="DV111" s="276">
        <v>-16.402090894243958</v>
      </c>
      <c r="DW111" s="276">
        <v>-16.353076064791232</v>
      </c>
      <c r="DX111" s="276">
        <v>-16.30418993621862</v>
      </c>
      <c r="DY111" s="276">
        <v>-16.25543545863442</v>
      </c>
      <c r="DZ111" s="276">
        <v>-16.206815588514939</v>
      </c>
      <c r="EA111" s="276">
        <v>-16.158333285238811</v>
      </c>
      <c r="EB111" s="276">
        <v>-16.109991507127159</v>
      </c>
      <c r="EC111" s="276">
        <v>-16.06179320696512</v>
      </c>
      <c r="ED111" s="276">
        <v>-16.013741326983659</v>
      </c>
      <c r="EE111" s="276">
        <v>-15.965838793285981</v>
      </c>
      <c r="EF111" s="276">
        <v>-15.91808850970752</v>
      </c>
      <c r="EG111" s="276">
        <v>-15.87049335110401</v>
      </c>
      <c r="EH111" s="276">
        <v>-15.823056156068921</v>
      </c>
      <c r="EI111" s="276">
        <v>-15.775779719088179</v>
      </c>
      <c r="EJ111" s="276">
        <v>-15.72866678214646</v>
      </c>
      <c r="EK111" s="276">
        <v>-15.6817200258079</v>
      </c>
      <c r="EL111" s="276">
        <v>-15.634942059800769</v>
      </c>
      <c r="EM111" s="276">
        <v>-15.588335413144121</v>
      </c>
      <c r="EN111" s="276">
        <v>-15.541902523861591</v>
      </c>
      <c r="EO111" s="276">
        <v>-15.4956457283359</v>
      </c>
      <c r="EP111" s="276">
        <v>-15.449567250364639</v>
      </c>
      <c r="EQ111" s="276">
        <v>-15.40366918998518</v>
      </c>
      <c r="ER111" s="276">
        <v>-15.35795351214357</v>
      </c>
      <c r="ES111" s="276">
        <v>-15.31242203528765</v>
      </c>
      <c r="ET111" s="276">
        <v>-15.26707641997119</v>
      </c>
      <c r="EU111" s="276">
        <v>-15.22191815755896</v>
      </c>
      <c r="EV111" s="276">
        <v>-15.17694855912781</v>
      </c>
      <c r="EW111" s="276">
        <v>-15.13216874466003</v>
      </c>
      <c r="EX111" s="276">
        <v>-15.08757963262827</v>
      </c>
      <c r="EY111" s="276">
        <v>-15.043181930069871</v>
      </c>
      <c r="EZ111" s="276">
        <v>-14.998976123249591</v>
      </c>
      <c r="FA111" s="276">
        <v>-14.95496246900556</v>
      </c>
      <c r="FB111" s="276">
        <v>-14.91114098687159</v>
      </c>
      <c r="FC111" s="276">
        <v>-14.86751145206323</v>
      </c>
      <c r="FD111" s="276">
        <v>-14.82407338940947</v>
      </c>
      <c r="FE111" s="276">
        <v>-14.780826068305361</v>
      </c>
      <c r="FF111" s="276">
        <v>-14.73776849875164</v>
      </c>
      <c r="FG111" s="276">
        <v>-14.69489942853988</v>
      </c>
      <c r="FH111" s="276">
        <v>-14.652217341630291</v>
      </c>
      <c r="FI111" s="276">
        <v>-14.609720457759551</v>
      </c>
      <c r="FJ111" s="272">
        <v>-14.56740673330439</v>
      </c>
      <c r="FK111" s="272">
        <v>-14.525273863415061</v>
      </c>
      <c r="FL111" s="272">
        <v>-14.483319285420791</v>
      </c>
      <c r="FM111" s="272">
        <v>-14.44154018349716</v>
      </c>
      <c r="FN111" s="272">
        <v>-14.39993349457376</v>
      </c>
      <c r="FO111" s="272">
        <v>-14.35849591544804</v>
      </c>
      <c r="FP111" s="272">
        <v>-14.3172239110609</v>
      </c>
      <c r="FQ111" s="272">
        <v>-14.27611372387765</v>
      </c>
      <c r="FR111" s="272">
        <v>-14.23516138430938</v>
      </c>
      <c r="FS111" s="272">
        <v>-14.194362722098949</v>
      </c>
      <c r="FT111" s="272">
        <v>-14.15371337858935</v>
      </c>
      <c r="FU111" s="272">
        <v>-14.11320881978391</v>
      </c>
      <c r="FV111" s="272">
        <v>-14.07284435010204</v>
      </c>
      <c r="FW111" s="272">
        <v>-14.03261512673007</v>
      </c>
      <c r="FX111" s="272">
        <v>-13.99251617446278</v>
      </c>
      <c r="FY111" s="272">
        <v>-13.95254240092879</v>
      </c>
      <c r="FZ111" s="272">
        <v>-13.91268861209293</v>
      </c>
      <c r="GA111" s="272">
        <v>-13.872949527928011</v>
      </c>
      <c r="GB111" s="272">
        <v>-13.83331979815015</v>
      </c>
      <c r="GC111" s="272">
        <v>-13.79379401791541</v>
      </c>
    </row>
    <row r="112" spans="2:185" ht="15" thickBot="1" x14ac:dyDescent="0.4">
      <c r="B112" s="298">
        <v>106</v>
      </c>
      <c r="C112" s="275">
        <v>-16.451275224540922</v>
      </c>
      <c r="D112" s="275">
        <v>-16.409261215414851</v>
      </c>
      <c r="E112" s="275">
        <v>-16.367179416002799</v>
      </c>
      <c r="F112" s="275">
        <v>-16.325031051338229</v>
      </c>
      <c r="G112" s="275">
        <v>-16.282817468639792</v>
      </c>
      <c r="H112" s="275">
        <v>-16.24054014002305</v>
      </c>
      <c r="I112" s="275">
        <v>-16.198200664995621</v>
      </c>
      <c r="J112" s="275">
        <v>-16.15580077271575</v>
      </c>
      <c r="K112" s="275">
        <v>-16.1133423239948</v>
      </c>
      <c r="L112" s="275">
        <v>-16.070827313024179</v>
      </c>
      <c r="M112" s="275">
        <v>-16.028257868807849</v>
      </c>
      <c r="N112" s="275">
        <v>-15.985636256282451</v>
      </c>
      <c r="O112" s="275">
        <v>-15.942964877107251</v>
      </c>
      <c r="P112" s="275">
        <v>-15.900246270107591</v>
      </c>
      <c r="Q112" s="275">
        <v>-15.857483111356331</v>
      </c>
      <c r="R112" s="275">
        <v>-15.81467821387878</v>
      </c>
      <c r="S112" s="275">
        <v>-15.771834526968201</v>
      </c>
      <c r="T112" s="275">
        <v>-15.728955135100239</v>
      </c>
      <c r="U112" s="275">
        <v>-15.68604325643598</v>
      </c>
      <c r="V112" s="275">
        <v>-15.643102240905421</v>
      </c>
      <c r="W112" s="275">
        <v>-15.600135567864131</v>
      </c>
      <c r="X112" s="275">
        <v>-15.557146843318369</v>
      </c>
      <c r="Y112" s="275">
        <v>-15.514139796715231</v>
      </c>
      <c r="Z112" s="275">
        <v>-15.471118277296609</v>
      </c>
      <c r="AA112" s="275">
        <v>-15.42808625001741</v>
      </c>
      <c r="AB112" s="275">
        <v>-15.385047791030679</v>
      </c>
      <c r="AC112" s="275">
        <v>-15.342007082743979</v>
      </c>
      <c r="AD112" s="275">
        <v>-15.29896840845357</v>
      </c>
      <c r="AE112" s="275">
        <v>-15.255936146564579</v>
      </c>
      <c r="AF112" s="275">
        <v>-15.21291476440765</v>
      </c>
      <c r="AG112" s="275">
        <v>-15.169908811664079</v>
      </c>
      <c r="AH112" s="275">
        <v>-15.126922913413489</v>
      </c>
      <c r="AI112" s="275">
        <v>-15.083961762819911</v>
      </c>
      <c r="AJ112" s="275">
        <v>-15.041030113473671</v>
      </c>
      <c r="AK112" s="275">
        <v>-14.998132771408439</v>
      </c>
      <c r="AL112" s="275">
        <v>-14.95527458681415</v>
      </c>
      <c r="AM112" s="275">
        <v>-14.91246044546819</v>
      </c>
      <c r="AN112" s="275">
        <v>-14.86969525990868</v>
      </c>
      <c r="AO112" s="275">
        <v>-14.82698396037503</v>
      </c>
      <c r="AP112" s="275">
        <v>-14.78433148554222</v>
      </c>
      <c r="AQ112" s="275">
        <v>-14.741742773076609</v>
      </c>
      <c r="AR112" s="275">
        <v>-14.699222750042169</v>
      </c>
      <c r="AS112" s="275">
        <v>-14.656776323186911</v>
      </c>
      <c r="AT112" s="275">
        <v>-14.61440836914047</v>
      </c>
      <c r="AU112" s="275">
        <v>-14.572123724554739</v>
      </c>
      <c r="AV112" s="275">
        <v>-14.529927176219919</v>
      </c>
      <c r="AW112" s="275">
        <v>-14.4878234511892</v>
      </c>
      <c r="AX112" s="275">
        <v>-14.44581720694614</v>
      </c>
      <c r="AY112" s="275">
        <v>-14.40391302164864</v>
      </c>
      <c r="AZ112" s="275">
        <v>-14.36211538448439</v>
      </c>
      <c r="BA112" s="275">
        <v>-14.32042868617266</v>
      </c>
      <c r="BB112" s="275">
        <v>-14.27885720964696</v>
      </c>
      <c r="BC112" s="275">
        <v>-14.23740512095398</v>
      </c>
      <c r="BD112" s="275">
        <v>-14.196076460402899</v>
      </c>
      <c r="BE112" s="275">
        <v>-14.15487513399964</v>
      </c>
      <c r="BF112" s="275">
        <v>-14.113804905199521</v>
      </c>
      <c r="BG112" s="275">
        <v>-14.07286938701135</v>
      </c>
      <c r="BH112" s="275">
        <v>-14.03207203448472</v>
      </c>
      <c r="BI112" s="275">
        <v>-13.991416137611401</v>
      </c>
      <c r="BJ112" s="275">
        <v>-13.95090481467026</v>
      </c>
      <c r="BK112" s="275">
        <v>-13.910541006043321</v>
      </c>
      <c r="BL112" s="275">
        <v>-13.870327468529259</v>
      </c>
      <c r="BM112" s="275">
        <v>-13.83026677017817</v>
      </c>
      <c r="BN112" s="275">
        <v>-13.79036128566948</v>
      </c>
      <c r="BO112" s="275">
        <v>-13.750613192252271</v>
      </c>
      <c r="BP112" s="275">
        <v>-13.71102446626508</v>
      </c>
      <c r="BQ112" s="275">
        <v>-13.671596880248901</v>
      </c>
      <c r="BR112" s="275">
        <v>-13.63233200066456</v>
      </c>
      <c r="BS112" s="275">
        <v>-13.593231186222731</v>
      </c>
      <c r="BT112" s="275">
        <v>-13.55429558683109</v>
      </c>
      <c r="BU112" s="275">
        <v>-13.515526143160599</v>
      </c>
      <c r="BV112" s="275">
        <v>-13.47692358682907</v>
      </c>
      <c r="BW112" s="275">
        <v>-13.438488441197039</v>
      </c>
      <c r="BX112" s="275">
        <v>-13.400221022767809</v>
      </c>
      <c r="BY112" s="275">
        <v>-13.362121443180101</v>
      </c>
      <c r="BZ112" s="275">
        <v>-13.32418961177844</v>
      </c>
      <c r="CA112" s="275">
        <v>-13.28642523874387</v>
      </c>
      <c r="CB112" s="275">
        <v>-13.24882783876399</v>
      </c>
      <c r="CC112" s="275">
        <v>-13.211396735219029</v>
      </c>
      <c r="CD112" s="275">
        <v>-13.174131064858051</v>
      </c>
      <c r="CE112" s="275">
        <v>-13.13702978293678</v>
      </c>
      <c r="CF112" s="275">
        <v>-13.100091668786829</v>
      </c>
      <c r="CG112" s="275">
        <v>-13.0633153317841</v>
      </c>
      <c r="CH112" s="275">
        <v>-13.026699217682371</v>
      </c>
      <c r="CI112" s="275">
        <v>-12.99024161527748</v>
      </c>
      <c r="CJ112" s="275">
        <v>-12.95394066336562</v>
      </c>
      <c r="CK112" s="275">
        <v>-12.917794357959441</v>
      </c>
      <c r="CL112" s="275">
        <v>-12.88180055972475</v>
      </c>
      <c r="CM112" s="275">
        <v>-12.845957001600739</v>
      </c>
      <c r="CN112" s="275">
        <v>-12.81026129656664</v>
      </c>
      <c r="CO112" s="275">
        <v>-12.774710945518549</v>
      </c>
      <c r="CP112" s="275"/>
      <c r="CQ112" s="276">
        <v>-18.202646774585268</v>
      </c>
      <c r="CR112" s="276">
        <v>-18.151081939770339</v>
      </c>
      <c r="CS112" s="276">
        <v>-18.099564094571829</v>
      </c>
      <c r="CT112" s="276">
        <v>-18.048095519178268</v>
      </c>
      <c r="CU112" s="276">
        <v>-17.99667851991034</v>
      </c>
      <c r="CV112" s="276">
        <v>-17.94531542844485</v>
      </c>
      <c r="CW112" s="276">
        <v>-17.89400860107995</v>
      </c>
      <c r="CX112" s="276">
        <v>-17.842760418047341</v>
      </c>
      <c r="CY112" s="276">
        <v>-17.79157328287608</v>
      </c>
      <c r="CZ112" s="276">
        <v>-17.740449621812299</v>
      </c>
      <c r="DA112" s="276">
        <v>-17.68939188329766</v>
      </c>
      <c r="DB112" s="276">
        <v>-17.638402537508512</v>
      </c>
      <c r="DC112" s="276">
        <v>-17.58748407595607</v>
      </c>
      <c r="DD112" s="276">
        <v>-17.53663901114659</v>
      </c>
      <c r="DE112" s="276">
        <v>-17.485869876299478</v>
      </c>
      <c r="DF112" s="276">
        <v>-17.435179225117992</v>
      </c>
      <c r="DG112" s="276">
        <v>-17.38456963160705</v>
      </c>
      <c r="DH112" s="276">
        <v>-17.334043689929651</v>
      </c>
      <c r="DI112" s="276">
        <v>-17.28360401429121</v>
      </c>
      <c r="DJ112" s="276">
        <v>-17.233253238840032</v>
      </c>
      <c r="DK112" s="276">
        <v>-17.18299401756823</v>
      </c>
      <c r="DL112" s="276">
        <v>-17.132829024197079</v>
      </c>
      <c r="DM112" s="276">
        <v>-17.082760952026941</v>
      </c>
      <c r="DN112" s="276">
        <v>-17.032792513730961</v>
      </c>
      <c r="DO112" s="276">
        <v>-16.98292644106883</v>
      </c>
      <c r="DP112" s="276">
        <v>-16.933165484495589</v>
      </c>
      <c r="DQ112" s="276">
        <v>-16.883512412637991</v>
      </c>
      <c r="DR112" s="276">
        <v>-16.833970011610319</v>
      </c>
      <c r="DS112" s="276">
        <v>-16.7845410841391</v>
      </c>
      <c r="DT112" s="276">
        <v>-16.735228448466081</v>
      </c>
      <c r="DU112" s="276">
        <v>-16.686034936997789</v>
      </c>
      <c r="DV112" s="276">
        <v>-16.63696339466928</v>
      </c>
      <c r="DW112" s="276">
        <v>-16.58801667699073</v>
      </c>
      <c r="DX112" s="276">
        <v>-16.539197647745141</v>
      </c>
      <c r="DY112" s="276">
        <v>-16.49050917630683</v>
      </c>
      <c r="DZ112" s="276">
        <v>-16.441954134552301</v>
      </c>
      <c r="EA112" s="276">
        <v>-16.393535393336538</v>
      </c>
      <c r="EB112" s="276">
        <v>-16.345255818510729</v>
      </c>
      <c r="EC112" s="276">
        <v>-16.297118266460739</v>
      </c>
      <c r="ED112" s="276">
        <v>-16.24912557914892</v>
      </c>
      <c r="EE112" s="276">
        <v>-16.201280578646841</v>
      </c>
      <c r="EF112" s="276">
        <v>-16.15358606115058</v>
      </c>
      <c r="EG112" s="276">
        <v>-16.106044790475941</v>
      </c>
      <c r="EH112" s="276">
        <v>-16.058659491036689</v>
      </c>
      <c r="EI112" s="276">
        <v>-16.011432840314779</v>
      </c>
      <c r="EJ112" s="276">
        <v>-15.96436746083846</v>
      </c>
      <c r="EK112" s="276">
        <v>-15.91746591169017</v>
      </c>
      <c r="EL112" s="276">
        <v>-15.87073067957401</v>
      </c>
      <c r="EM112" s="276">
        <v>-15.824164169478671</v>
      </c>
      <c r="EN112" s="276">
        <v>-15.77776869497939</v>
      </c>
      <c r="EO112" s="276">
        <v>-15.731546468228879</v>
      </c>
      <c r="EP112" s="276">
        <v>-15.68549958969434</v>
      </c>
      <c r="EQ112" s="276">
        <v>-15.63963003770362</v>
      </c>
      <c r="ER112" s="276">
        <v>-15.59393965786977</v>
      </c>
      <c r="ES112" s="276">
        <v>-15.548430152468709</v>
      </c>
      <c r="ET112" s="276">
        <v>-15.50310306984878</v>
      </c>
      <c r="EU112" s="276">
        <v>-15.457959793955981</v>
      </c>
      <c r="EV112" s="276">
        <v>-15.413001534061131</v>
      </c>
      <c r="EW112" s="276">
        <v>-15.368229314776951</v>
      </c>
      <c r="EX112" s="276">
        <v>-15.32364396645592</v>
      </c>
      <c r="EY112" s="276">
        <v>-15.279246116057699</v>
      </c>
      <c r="EZ112" s="276">
        <v>-15.235036178575861</v>
      </c>
      <c r="FA112" s="276">
        <v>-15.19101434911034</v>
      </c>
      <c r="FB112" s="276">
        <v>-15.14718059566969</v>
      </c>
      <c r="FC112" s="276">
        <v>-15.103534652781921</v>
      </c>
      <c r="FD112" s="276">
        <v>-15.06007601598869</v>
      </c>
      <c r="FE112" s="276">
        <v>-15.016803937289691</v>
      </c>
      <c r="FF112" s="276">
        <v>-14.973717421597589</v>
      </c>
      <c r="FG112" s="276">
        <v>-14.930815224255779</v>
      </c>
      <c r="FH112" s="276">
        <v>-14.88809584966136</v>
      </c>
      <c r="FI112" s="276">
        <v>-14.845557551026619</v>
      </c>
      <c r="FJ112" s="272">
        <v>-14.803198331302481</v>
      </c>
      <c r="FK112" s="272">
        <v>-14.76101594527556</v>
      </c>
      <c r="FL112" s="272">
        <v>-14.71900790284108</v>
      </c>
      <c r="FM112" s="272">
        <v>-14.677171473442179</v>
      </c>
      <c r="FN112" s="272">
        <v>-14.635503691655069</v>
      </c>
      <c r="FO112" s="272">
        <v>-14.59400136388992</v>
      </c>
      <c r="FP112" s="272">
        <v>-14.552661076166171</v>
      </c>
      <c r="FQ112" s="272">
        <v>-14.51147920291152</v>
      </c>
      <c r="FR112" s="272">
        <v>-14.470451916724929</v>
      </c>
      <c r="FS112" s="272">
        <v>-14.429575199035551</v>
      </c>
      <c r="FT112" s="272">
        <v>-14.38884485158202</v>
      </c>
      <c r="FU112" s="272">
        <v>-14.348256508630071</v>
      </c>
      <c r="FV112" s="272">
        <v>-14.30780564984086</v>
      </c>
      <c r="FW112" s="272">
        <v>-14.26748761369852</v>
      </c>
      <c r="FX112" s="272">
        <v>-14.22729761140136</v>
      </c>
      <c r="FY112" s="272">
        <v>-14.187230741119651</v>
      </c>
      <c r="FZ112" s="272">
        <v>-14.147282002521891</v>
      </c>
      <c r="GA112" s="272">
        <v>-14.10744631147128</v>
      </c>
      <c r="GB112" s="272">
        <v>-14.067718514795359</v>
      </c>
      <c r="GC112" s="272">
        <v>-14.028093405034451</v>
      </c>
    </row>
    <row r="113" spans="2:185" ht="15" thickBot="1" x14ac:dyDescent="0.4">
      <c r="B113" s="298">
        <v>107</v>
      </c>
      <c r="C113" s="275">
        <v>-16.66386687353226</v>
      </c>
      <c r="D113" s="275">
        <v>-16.621881809032409</v>
      </c>
      <c r="E113" s="275">
        <v>-16.579830887771919</v>
      </c>
      <c r="F113" s="275">
        <v>-16.537715352711931</v>
      </c>
      <c r="G113" s="275">
        <v>-16.49553656542551</v>
      </c>
      <c r="H113" s="275">
        <v>-16.453296008603431</v>
      </c>
      <c r="I113" s="275">
        <v>-16.410995288348708</v>
      </c>
      <c r="J113" s="275">
        <v>-16.36863613624114</v>
      </c>
      <c r="K113" s="275">
        <v>-16.326220411153692</v>
      </c>
      <c r="L113" s="275">
        <v>-16.28375010080271</v>
      </c>
      <c r="M113" s="275">
        <v>-16.241227323014169</v>
      </c>
      <c r="N113" s="275">
        <v>-16.198654326689361</v>
      </c>
      <c r="O113" s="275">
        <v>-16.15603349245368</v>
      </c>
      <c r="P113" s="275">
        <v>-16.113367332973031</v>
      </c>
      <c r="Q113" s="275">
        <v>-16.07065849292389</v>
      </c>
      <c r="R113" s="275">
        <v>-16.027909748603399</v>
      </c>
      <c r="S113" s="275">
        <v>-15.98512400716767</v>
      </c>
      <c r="T113" s="275">
        <v>-15.942304305487649</v>
      </c>
      <c r="U113" s="275">
        <v>-15.89945380861305</v>
      </c>
      <c r="V113" s="275">
        <v>-15.856575807836791</v>
      </c>
      <c r="W113" s="275">
        <v>-15.813673718353719</v>
      </c>
      <c r="X113" s="275">
        <v>-15.770751076509111</v>
      </c>
      <c r="Y113" s="275">
        <v>-15.727811536634009</v>
      </c>
      <c r="Z113" s="275">
        <v>-15.684858867466669</v>
      </c>
      <c r="AA113" s="275">
        <v>-15.64189694816057</v>
      </c>
      <c r="AB113" s="275">
        <v>-15.598929763881889</v>
      </c>
      <c r="AC113" s="275">
        <v>-15.55596140100053</v>
      </c>
      <c r="AD113" s="275">
        <v>-15.512996041881429</v>
      </c>
      <c r="AE113" s="275">
        <v>-15.47003795928372</v>
      </c>
      <c r="AF113" s="275">
        <v>-15.427091510378091</v>
      </c>
      <c r="AG113" s="275">
        <v>-15.38416113039386</v>
      </c>
      <c r="AH113" s="275">
        <v>-15.341251325909081</v>
      </c>
      <c r="AI113" s="275">
        <v>-15.29836666779909</v>
      </c>
      <c r="AJ113" s="275">
        <v>-15.255511783859969</v>
      </c>
      <c r="AK113" s="275">
        <v>-15.212691351125519</v>
      </c>
      <c r="AL113" s="275">
        <v>-15.169910087897479</v>
      </c>
      <c r="AM113" s="275">
        <v>-15.127172745510441</v>
      </c>
      <c r="AN113" s="275">
        <v>-15.084484099854221</v>
      </c>
      <c r="AO113" s="275">
        <v>-15.041848942677539</v>
      </c>
      <c r="AP113" s="275">
        <v>-14.9992720726987</v>
      </c>
      <c r="AQ113" s="275">
        <v>-14.95675828654929</v>
      </c>
      <c r="AR113" s="275">
        <v>-14.914312369578781</v>
      </c>
      <c r="AS113" s="275">
        <v>-14.871939086548441</v>
      </c>
      <c r="AT113" s="275">
        <v>-14.829643172243999</v>
      </c>
      <c r="AU113" s="275">
        <v>-14.78742932203747</v>
      </c>
      <c r="AV113" s="275">
        <v>-14.74530218242888</v>
      </c>
      <c r="AW113" s="275">
        <v>-14.70326634159985</v>
      </c>
      <c r="AX113" s="275">
        <v>-14.66132632001098</v>
      </c>
      <c r="AY113" s="275">
        <v>-14.61948656107565</v>
      </c>
      <c r="AZ113" s="275">
        <v>-14.57775142194312</v>
      </c>
      <c r="BA113" s="275">
        <v>-14.536125164423879</v>
      </c>
      <c r="BB113" s="275">
        <v>-14.494611946090529</v>
      </c>
      <c r="BC113" s="275">
        <v>-14.45321581158678</v>
      </c>
      <c r="BD113" s="275">
        <v>-14.411940684177679</v>
      </c>
      <c r="BE113" s="275">
        <v>-14.370790357573</v>
      </c>
      <c r="BF113" s="275">
        <v>-14.329768488055731</v>
      </c>
      <c r="BG113" s="275">
        <v>-14.288878586946399</v>
      </c>
      <c r="BH113" s="275">
        <v>-14.24812401343339</v>
      </c>
      <c r="BI113" s="275">
        <v>-14.2075079677979</v>
      </c>
      <c r="BJ113" s="275">
        <v>-14.16703348506125</v>
      </c>
      <c r="BK113" s="275">
        <v>-14.126703429080431</v>
      </c>
      <c r="BL113" s="275">
        <v>-14.086520487116159</v>
      </c>
      <c r="BM113" s="275">
        <v>-14.046487164895851</v>
      </c>
      <c r="BN113" s="275">
        <v>-14.00660578219181</v>
      </c>
      <c r="BO113" s="275">
        <v>-13.96687846893251</v>
      </c>
      <c r="BP113" s="275">
        <v>-13.92730716186275</v>
      </c>
      <c r="BQ113" s="275">
        <v>-13.887893601765381</v>
      </c>
      <c r="BR113" s="275">
        <v>-13.84863933125513</v>
      </c>
      <c r="BS113" s="275">
        <v>-13.80954569315168</v>
      </c>
      <c r="BT113" s="275">
        <v>-13.77061382943667</v>
      </c>
      <c r="BU113" s="275">
        <v>-13.731844680795881</v>
      </c>
      <c r="BV113" s="275">
        <v>-13.69323898674522</v>
      </c>
      <c r="BW113" s="275">
        <v>-13.6547972863357</v>
      </c>
      <c r="BX113" s="275">
        <v>-13.61651991942983</v>
      </c>
      <c r="BY113" s="275">
        <v>-13.578407028538511</v>
      </c>
      <c r="BZ113" s="275">
        <v>-13.54045856120516</v>
      </c>
      <c r="CA113" s="275">
        <v>-13.50267427292022</v>
      </c>
      <c r="CB113" s="275">
        <v>-13.465053730547091</v>
      </c>
      <c r="CC113" s="275">
        <v>-13.42759631623778</v>
      </c>
      <c r="CD113" s="275">
        <v>-13.390301231814149</v>
      </c>
      <c r="CE113" s="275">
        <v>-13.35316750358845</v>
      </c>
      <c r="CF113" s="275">
        <v>-13.31619398759517</v>
      </c>
      <c r="CG113" s="275">
        <v>-13.27937937520417</v>
      </c>
      <c r="CH113" s="275">
        <v>-13.242722199083721</v>
      </c>
      <c r="CI113" s="275">
        <v>-13.206220839481119</v>
      </c>
      <c r="CJ113" s="275">
        <v>-13.16987353078731</v>
      </c>
      <c r="CK113" s="275">
        <v>-13.13367836835128</v>
      </c>
      <c r="CL113" s="275">
        <v>-13.097633315510089</v>
      </c>
      <c r="CM113" s="275">
        <v>-13.061736210799371</v>
      </c>
      <c r="CN113" s="275">
        <v>-13.02598477531037</v>
      </c>
      <c r="CO113" s="275">
        <v>-12.990376620158809</v>
      </c>
      <c r="CP113" s="275"/>
      <c r="CQ113" s="276">
        <v>-18.435241081045341</v>
      </c>
      <c r="CR113" s="276">
        <v>-18.383748699195561</v>
      </c>
      <c r="CS113" s="276">
        <v>-18.33230370130774</v>
      </c>
      <c r="CT113" s="276">
        <v>-18.280908335459522</v>
      </c>
      <c r="CU113" s="276">
        <v>-18.229564875327181</v>
      </c>
      <c r="CV113" s="276">
        <v>-18.178275619433961</v>
      </c>
      <c r="CW113" s="276">
        <v>-18.12704289043403</v>
      </c>
      <c r="CX113" s="276">
        <v>-18.075869034435801</v>
      </c>
      <c r="CY113" s="276">
        <v>-18.02475642036908</v>
      </c>
      <c r="CZ113" s="276">
        <v>-17.973707439399099</v>
      </c>
      <c r="DA113" s="276">
        <v>-17.922724504389251</v>
      </c>
      <c r="DB113" s="276">
        <v>-17.871810049414119</v>
      </c>
      <c r="DC113" s="276">
        <v>-17.820966529322121</v>
      </c>
      <c r="DD113" s="276">
        <v>-17.770196419346391</v>
      </c>
      <c r="DE113" s="276">
        <v>-17.719502214760709</v>
      </c>
      <c r="DF113" s="276">
        <v>-17.668886430575899</v>
      </c>
      <c r="DG113" s="276">
        <v>-17.618351601270081</v>
      </c>
      <c r="DH113" s="276">
        <v>-17.567900280544588</v>
      </c>
      <c r="DI113" s="276">
        <v>-17.51753504109535</v>
      </c>
      <c r="DJ113" s="276">
        <v>-17.467258474387691</v>
      </c>
      <c r="DK113" s="276">
        <v>-17.417073190420371</v>
      </c>
      <c r="DL113" s="276">
        <v>-17.366981817463039</v>
      </c>
      <c r="DM113" s="276">
        <v>-17.316987001748601</v>
      </c>
      <c r="DN113" s="276">
        <v>-17.267091407101351</v>
      </c>
      <c r="DO113" s="276">
        <v>-17.217297714478391</v>
      </c>
      <c r="DP113" s="276">
        <v>-17.167608621401591</v>
      </c>
      <c r="DQ113" s="276">
        <v>-17.1180268412547</v>
      </c>
      <c r="DR113" s="276">
        <v>-17.068555102419911</v>
      </c>
      <c r="DS113" s="276">
        <v>-17.019196147226189</v>
      </c>
      <c r="DT113" s="276">
        <v>-16.969952730681339</v>
      </c>
      <c r="DU113" s="276">
        <v>-16.920827618959621</v>
      </c>
      <c r="DV113" s="276">
        <v>-16.871823587615761</v>
      </c>
      <c r="DW113" s="276">
        <v>-16.82294341949715</v>
      </c>
      <c r="DX113" s="276">
        <v>-16.774189902326501</v>
      </c>
      <c r="DY113" s="276">
        <v>-16.725565825927969</v>
      </c>
      <c r="DZ113" s="276">
        <v>-16.677073979072158</v>
      </c>
      <c r="EA113" s="276">
        <v>-16.628717145916351</v>
      </c>
      <c r="EB113" s="276">
        <v>-16.580498102019892</v>
      </c>
      <c r="EC113" s="276">
        <v>-16.532419609916911</v>
      </c>
      <c r="ED113" s="276">
        <v>-16.484484414232622</v>
      </c>
      <c r="EE113" s="276">
        <v>-16.436695236333211</v>
      </c>
      <c r="EF113" s="276">
        <v>-16.38905476850351</v>
      </c>
      <c r="EG113" s="276">
        <v>-16.34156566765213</v>
      </c>
      <c r="EH113" s="276">
        <v>-16.294230548548541</v>
      </c>
      <c r="EI113" s="276">
        <v>-16.247051976602538</v>
      </c>
      <c r="EJ113" s="276">
        <v>-16.200032460201619</v>
      </c>
      <c r="EK113" s="276">
        <v>-16.153174442629389</v>
      </c>
      <c r="EL113" s="276">
        <v>-16.106480293592892</v>
      </c>
      <c r="EM113" s="276">
        <v>-16.059952300393739</v>
      </c>
      <c r="EN113" s="276">
        <v>-16.013592658784461</v>
      </c>
      <c r="EO113" s="276">
        <v>-15.96740346355694</v>
      </c>
      <c r="EP113" s="276">
        <v>-15.92138669891655</v>
      </c>
      <c r="EQ113" s="276">
        <v>-15.875544228700679</v>
      </c>
      <c r="ER113" s="276">
        <v>-15.829877786505721</v>
      </c>
      <c r="ES113" s="276">
        <v>-15.784388965791621</v>
      </c>
      <c r="ET113" s="276">
        <v>-15.73907921003666</v>
      </c>
      <c r="EU113" s="276">
        <v>-15.693949803019359</v>
      </c>
      <c r="EV113" s="276">
        <v>-15.649001859305949</v>
      </c>
      <c r="EW113" s="276">
        <v>-15.60423631502508</v>
      </c>
      <c r="EX113" s="276">
        <v>-15.559653919011071</v>
      </c>
      <c r="EY113" s="276">
        <v>-15.515255224397899</v>
      </c>
      <c r="EZ113" s="276">
        <v>-15.47104058074458</v>
      </c>
      <c r="FA113" s="276">
        <v>-15.427010126770771</v>
      </c>
      <c r="FB113" s="276">
        <v>-15.383163783778761</v>
      </c>
      <c r="FC113" s="276">
        <v>-15.3395012498331</v>
      </c>
      <c r="FD113" s="276">
        <v>-15.29602199476532</v>
      </c>
      <c r="FE113" s="276">
        <v>-15.252725256064149</v>
      </c>
      <c r="FF113" s="276">
        <v>-15.209610035706049</v>
      </c>
      <c r="FG113" s="276">
        <v>-15.166675097972099</v>
      </c>
      <c r="FH113" s="276">
        <v>-15.12391896829048</v>
      </c>
      <c r="FI113" s="276">
        <v>-15.08133993313367</v>
      </c>
      <c r="FJ113" s="272">
        <v>-15.03893604099123</v>
      </c>
      <c r="FK113" s="272">
        <v>-14.996705104428941</v>
      </c>
      <c r="FL113" s="272">
        <v>-14.95464470323547</v>
      </c>
      <c r="FM113" s="272">
        <v>-14.912752188648019</v>
      </c>
      <c r="FN113" s="272">
        <v>-14.871024688637981</v>
      </c>
      <c r="FO113" s="272">
        <v>-14.829459114229049</v>
      </c>
      <c r="FP113" s="272">
        <v>-14.78805216680998</v>
      </c>
      <c r="FQ113" s="272">
        <v>-14.74680034639626</v>
      </c>
      <c r="FR113" s="272">
        <v>-14.705699960785619</v>
      </c>
      <c r="FS113" s="272">
        <v>-14.664747135546151</v>
      </c>
      <c r="FT113" s="272">
        <v>-14.6239378247676</v>
      </c>
      <c r="FU113" s="272">
        <v>-14.58326782250159</v>
      </c>
      <c r="FV113" s="272">
        <v>-14.542732774810821</v>
      </c>
      <c r="FW113" s="272">
        <v>-14.50232819234353</v>
      </c>
      <c r="FX113" s="272">
        <v>-14.462049463346309</v>
      </c>
      <c r="FY113" s="272">
        <v>-14.421891867026559</v>
      </c>
      <c r="FZ113" s="272">
        <v>-14.381850587174529</v>
      </c>
      <c r="GA113" s="272">
        <v>-14.34192072595507</v>
      </c>
      <c r="GB113" s="272">
        <v>-14.302097317780261</v>
      </c>
      <c r="GC113" s="272">
        <v>-14.2623753431753</v>
      </c>
    </row>
    <row r="114" spans="2:185" ht="15" thickBot="1" x14ac:dyDescent="0.4">
      <c r="B114" s="298">
        <v>108</v>
      </c>
      <c r="C114" s="275">
        <v>-16.876474747258278</v>
      </c>
      <c r="D114" s="275">
        <v>-16.834519035348269</v>
      </c>
      <c r="E114" s="275">
        <v>-16.79249935412216</v>
      </c>
      <c r="F114" s="275">
        <v>-16.750416962349671</v>
      </c>
      <c r="G114" s="275">
        <v>-16.70827323392562</v>
      </c>
      <c r="H114" s="275">
        <v>-16.666069660182359</v>
      </c>
      <c r="I114" s="275">
        <v>-16.623807851996339</v>
      </c>
      <c r="J114" s="275">
        <v>-16.581489541671459</v>
      </c>
      <c r="K114" s="275">
        <v>-16.539116584581851</v>
      </c>
      <c r="L114" s="275">
        <v>-16.49669096055754</v>
      </c>
      <c r="M114" s="275">
        <v>-16.454214774996458</v>
      </c>
      <c r="N114" s="275">
        <v>-16.411690259687241</v>
      </c>
      <c r="O114" s="275">
        <v>-16.369119773327728</v>
      </c>
      <c r="P114" s="275">
        <v>-16.326505801724931</v>
      </c>
      <c r="Q114" s="275">
        <v>-16.283850957663191</v>
      </c>
      <c r="R114" s="275">
        <v>-16.241157980428511</v>
      </c>
      <c r="S114" s="275">
        <v>-16.19842973497768</v>
      </c>
      <c r="T114" s="275">
        <v>-16.155669210742609</v>
      </c>
      <c r="U114" s="275">
        <v>-16.112879520061409</v>
      </c>
      <c r="V114" s="275">
        <v>-16.070063896228909</v>
      </c>
      <c r="W114" s="275">
        <v>-16.027225691161409</v>
      </c>
      <c r="X114" s="275">
        <v>-15.984368372671391</v>
      </c>
      <c r="Y114" s="275">
        <v>-15.9414955213498</v>
      </c>
      <c r="Z114" s="275">
        <v>-15.898610827055521</v>
      </c>
      <c r="AA114" s="275">
        <v>-15.85571808501245</v>
      </c>
      <c r="AB114" s="275">
        <v>-15.812821191517459</v>
      </c>
      <c r="AC114" s="275">
        <v>-15.769924139263001</v>
      </c>
      <c r="AD114" s="275">
        <v>-15.727031012281129</v>
      </c>
      <c r="AE114" s="275">
        <v>-15.684145980516311</v>
      </c>
      <c r="AF114" s="275">
        <v>-15.64127329403682</v>
      </c>
      <c r="AG114" s="275">
        <v>-15.598417276895949</v>
      </c>
      <c r="AH114" s="275">
        <v>-15.555582320655761</v>
      </c>
      <c r="AI114" s="275">
        <v>-15.51277287758816</v>
      </c>
      <c r="AJ114" s="275">
        <v>-15.46999345356901</v>
      </c>
      <c r="AK114" s="275">
        <v>-15.427248600683169</v>
      </c>
      <c r="AL114" s="275">
        <v>-15.38454290955918</v>
      </c>
      <c r="AM114" s="275">
        <v>-15.34188100145421</v>
      </c>
      <c r="AN114" s="275">
        <v>-15.299267520110931</v>
      </c>
      <c r="AO114" s="275">
        <v>-15.25670712340918</v>
      </c>
      <c r="AP114" s="275">
        <v>-15.21420447483677</v>
      </c>
      <c r="AQ114" s="275">
        <v>-15.171764234804479</v>
      </c>
      <c r="AR114" s="275">
        <v>-15.1293910518317</v>
      </c>
      <c r="AS114" s="275">
        <v>-15.087089553629751</v>
      </c>
      <c r="AT114" s="275">
        <v>-15.044864338111219</v>
      </c>
      <c r="AU114" s="275">
        <v>-15.00271996435391</v>
      </c>
      <c r="AV114" s="275">
        <v>-14.960660943549019</v>
      </c>
      <c r="AW114" s="275">
        <v>-14.91869172996374</v>
      </c>
      <c r="AX114" s="275">
        <v>-14.876816711948621</v>
      </c>
      <c r="AY114" s="275">
        <v>-14.83504020302089</v>
      </c>
      <c r="AZ114" s="275">
        <v>-14.793366433054731</v>
      </c>
      <c r="BA114" s="275">
        <v>-14.75179953960992</v>
      </c>
      <c r="BB114" s="275">
        <v>-14.710343559430029</v>
      </c>
      <c r="BC114" s="275">
        <v>-14.66900242014148</v>
      </c>
      <c r="BD114" s="275">
        <v>-14.62777993218427</v>
      </c>
      <c r="BE114" s="275">
        <v>-14.586679781004831</v>
      </c>
      <c r="BF114" s="275">
        <v>-14.54570551954078</v>
      </c>
      <c r="BG114" s="275">
        <v>-14.504860561026801</v>
      </c>
      <c r="BH114" s="275">
        <v>-14.46414817214978</v>
      </c>
      <c r="BI114" s="275">
        <v>-14.423571466580089</v>
      </c>
      <c r="BJ114" s="275">
        <v>-14.38313339890496</v>
      </c>
      <c r="BK114" s="275">
        <v>-14.342836758988319</v>
      </c>
      <c r="BL114" s="275">
        <v>-14.302684166779439</v>
      </c>
      <c r="BM114" s="275">
        <v>-14.26267806759161</v>
      </c>
      <c r="BN114" s="275">
        <v>-14.222820727869539</v>
      </c>
      <c r="BO114" s="275">
        <v>-14.18311423146222</v>
      </c>
      <c r="BP114" s="275">
        <v>-14.143560476415789</v>
      </c>
      <c r="BQ114" s="275">
        <v>-14.10416117229831</v>
      </c>
      <c r="BR114" s="275">
        <v>-14.064917838066011</v>
      </c>
      <c r="BS114" s="275">
        <v>-14.02583180047788</v>
      </c>
      <c r="BT114" s="275">
        <v>-13.986904193062561</v>
      </c>
      <c r="BU114" s="275">
        <v>-13.948135955638969</v>
      </c>
      <c r="BV114" s="275">
        <v>-13.909527834389159</v>
      </c>
      <c r="BW114" s="275">
        <v>-13.871080382478899</v>
      </c>
      <c r="BX114" s="275">
        <v>-13.83279396121911</v>
      </c>
      <c r="BY114" s="275">
        <v>-13.79466874175785</v>
      </c>
      <c r="BZ114" s="275">
        <v>-13.756704707290529</v>
      </c>
      <c r="CA114" s="275">
        <v>-13.718901655772889</v>
      </c>
      <c r="CB114" s="275">
        <v>-13.6812592031189</v>
      </c>
      <c r="CC114" s="275">
        <v>-13.643776786863789</v>
      </c>
      <c r="CD114" s="275">
        <v>-13.60645367026947</v>
      </c>
      <c r="CE114" s="275">
        <v>-13.569288946848349</v>
      </c>
      <c r="CF114" s="275">
        <v>-13.53228154527922</v>
      </c>
      <c r="CG114" s="275">
        <v>-13.49543023468758</v>
      </c>
      <c r="CH114" s="275">
        <v>-13.45873363026128</v>
      </c>
      <c r="CI114" s="275">
        <v>-13.42219019917121</v>
      </c>
      <c r="CJ114" s="275">
        <v>-13.385798266766029</v>
      </c>
      <c r="CK114" s="275">
        <v>-13.34955602300907</v>
      </c>
      <c r="CL114" s="275">
        <v>-13.313461529125419</v>
      </c>
      <c r="CM114" s="275">
        <v>-13.27751272442654</v>
      </c>
      <c r="CN114" s="275">
        <v>-13.24170743328064</v>
      </c>
      <c r="CO114" s="275">
        <v>-13.206043372196341</v>
      </c>
      <c r="CP114" s="275"/>
      <c r="CQ114" s="276">
        <v>-18.667858556960251</v>
      </c>
      <c r="CR114" s="276">
        <v>-18.61643777735484</v>
      </c>
      <c r="CS114" s="276">
        <v>-18.565064755191941</v>
      </c>
      <c r="CT114" s="276">
        <v>-18.513741706725082</v>
      </c>
      <c r="CU114" s="276">
        <v>-18.462470873241038</v>
      </c>
      <c r="CV114" s="276">
        <v>-18.411254520327741</v>
      </c>
      <c r="CW114" s="276">
        <v>-18.36009493717161</v>
      </c>
      <c r="CX114" s="276">
        <v>-18.308994435887879</v>
      </c>
      <c r="CY114" s="276">
        <v>-18.25795535088697</v>
      </c>
      <c r="CZ114" s="276">
        <v>-18.206980038279472</v>
      </c>
      <c r="DA114" s="276">
        <v>-18.156070875320939</v>
      </c>
      <c r="DB114" s="276">
        <v>-18.10523025989708</v>
      </c>
      <c r="DC114" s="276">
        <v>-18.054460610048491</v>
      </c>
      <c r="DD114" s="276">
        <v>-18.003764363532571</v>
      </c>
      <c r="DE114" s="276">
        <v>-17.953143977419671</v>
      </c>
      <c r="DF114" s="276">
        <v>-17.902601927718031</v>
      </c>
      <c r="DG114" s="276">
        <v>-17.85214070902137</v>
      </c>
      <c r="DH114" s="276">
        <v>-17.801762834170439</v>
      </c>
      <c r="DI114" s="276">
        <v>-17.75147083391926</v>
      </c>
      <c r="DJ114" s="276">
        <v>-17.701267256593969</v>
      </c>
      <c r="DK114" s="276">
        <v>-17.651154667730779</v>
      </c>
      <c r="DL114" s="276">
        <v>-17.601135649678561</v>
      </c>
      <c r="DM114" s="276">
        <v>-17.551212801148061</v>
      </c>
      <c r="DN114" s="276">
        <v>-17.501388736690529</v>
      </c>
      <c r="DO114" s="276">
        <v>-17.451666086084401</v>
      </c>
      <c r="DP114" s="276">
        <v>-17.402047493609501</v>
      </c>
      <c r="DQ114" s="276">
        <v>-17.35253561718525</v>
      </c>
      <c r="DR114" s="276">
        <v>-17.303133127349401</v>
      </c>
      <c r="DS114" s="276">
        <v>-17.253842706052289</v>
      </c>
      <c r="DT114" s="276">
        <v>-17.204667045241251</v>
      </c>
      <c r="DU114" s="276">
        <v>-17.15560884520983</v>
      </c>
      <c r="DV114" s="276">
        <v>-17.10667081268555</v>
      </c>
      <c r="DW114" s="276">
        <v>-17.05785565863151</v>
      </c>
      <c r="DX114" s="276">
        <v>-17.009166095736781</v>
      </c>
      <c r="DY114" s="276">
        <v>-16.960604835572489</v>
      </c>
      <c r="DZ114" s="276">
        <v>-16.912174585391671</v>
      </c>
      <c r="EA114" s="276">
        <v>-16.86387804455271</v>
      </c>
      <c r="EB114" s="276">
        <v>-16.81571790054965</v>
      </c>
      <c r="EC114" s="276">
        <v>-16.767696824633891</v>
      </c>
      <c r="ED114" s="276">
        <v>-16.71981746701686</v>
      </c>
      <c r="EE114" s="276">
        <v>-16.672082451645512</v>
      </c>
      <c r="EF114" s="276">
        <v>-16.624494370547751</v>
      </c>
      <c r="EG114" s="276">
        <v>-16.57705577774848</v>
      </c>
      <c r="EH114" s="276">
        <v>-16.529769182762479</v>
      </c>
      <c r="EI114" s="276">
        <v>-16.482637043675261</v>
      </c>
      <c r="EJ114" s="276">
        <v>-16.435661759827969</v>
      </c>
      <c r="EK114" s="276">
        <v>-16.388845664128699</v>
      </c>
      <c r="EL114" s="276">
        <v>-16.34219101501774</v>
      </c>
      <c r="EM114" s="276">
        <v>-16.295699988119999</v>
      </c>
      <c r="EN114" s="276">
        <v>-16.249374667623751</v>
      </c>
      <c r="EO114" s="276">
        <v>-16.20321703742993</v>
      </c>
      <c r="EP114" s="276">
        <v>-16.157228972122141</v>
      </c>
      <c r="EQ114" s="276">
        <v>-16.111412227811929</v>
      </c>
      <c r="ER114" s="276">
        <v>-16.065768432918869</v>
      </c>
      <c r="ES114" s="276">
        <v>-16.02029907894913</v>
      </c>
      <c r="ET114" s="276">
        <v>-15.975005511339701</v>
      </c>
      <c r="EU114" s="276">
        <v>-15.92988892043841</v>
      </c>
      <c r="EV114" s="276">
        <v>-15.884950332692499</v>
      </c>
      <c r="EW114" s="276">
        <v>-15.8401906021193</v>
      </c>
      <c r="EX114" s="276">
        <v>-15.79561040213413</v>
      </c>
      <c r="EY114" s="276">
        <v>-15.751210217809939</v>
      </c>
      <c r="EZ114" s="276">
        <v>-15.706990338641869</v>
      </c>
      <c r="FA114" s="276">
        <v>-15.66295085188878</v>
      </c>
      <c r="FB114" s="276">
        <v>-15.61909163656021</v>
      </c>
      <c r="FC114" s="276">
        <v>-15.57541235811396</v>
      </c>
      <c r="FD114" s="276">
        <v>-15.53191246392457</v>
      </c>
      <c r="FE114" s="276">
        <v>-15.48859117957808</v>
      </c>
      <c r="FF114" s="276">
        <v>-15.445447506041621</v>
      </c>
      <c r="FG114" s="276">
        <v>-15.40248021775019</v>
      </c>
      <c r="FH114" s="276">
        <v>-15.35968786164503</v>
      </c>
      <c r="FI114" s="276">
        <v>-15.317068757190331</v>
      </c>
      <c r="FJ114" s="272">
        <v>-15.27462099738675</v>
      </c>
      <c r="FK114" s="272">
        <v>-15.232342450790719</v>
      </c>
      <c r="FL114" s="272">
        <v>-15.19023076454109</v>
      </c>
      <c r="FM114" s="272">
        <v>-15.14828336838438</v>
      </c>
      <c r="FN114" s="272">
        <v>-15.10649747968179</v>
      </c>
      <c r="FO114" s="272">
        <v>-15.06487010937216</v>
      </c>
      <c r="FP114" s="272">
        <v>-15.02339806885667</v>
      </c>
      <c r="FQ114" s="272">
        <v>-14.98207797776362</v>
      </c>
      <c r="FR114" s="272">
        <v>-14.940906272542939</v>
      </c>
      <c r="FS114" s="272">
        <v>-14.89987921583451</v>
      </c>
      <c r="FT114" s="272">
        <v>-14.858992906547529</v>
      </c>
      <c r="FU114" s="272">
        <v>-14.818243290582499</v>
      </c>
      <c r="FV114" s="272">
        <v>-14.777626172123529</v>
      </c>
      <c r="FW114" s="272">
        <v>-14.737137225424069</v>
      </c>
      <c r="FX114" s="272">
        <v>-14.696772007007249</v>
      </c>
      <c r="FY114" s="272">
        <v>-14.65652596819883</v>
      </c>
      <c r="FZ114" s="272">
        <v>-14.616394467911251</v>
      </c>
      <c r="GA114" s="272">
        <v>-14.57637278559557</v>
      </c>
      <c r="GB114" s="272">
        <v>-14.536456134280099</v>
      </c>
      <c r="GC114" s="272">
        <v>-14.49663967361507</v>
      </c>
    </row>
    <row r="115" spans="2:185" ht="15" thickBot="1" x14ac:dyDescent="0.4">
      <c r="B115" s="298">
        <v>109</v>
      </c>
      <c r="C115" s="275">
        <v>-17.089098877783329</v>
      </c>
      <c r="D115" s="275">
        <v>-17.047172893069121</v>
      </c>
      <c r="E115" s="275">
        <v>-17.005184781104411</v>
      </c>
      <c r="F115" s="275">
        <v>-16.963135814472889</v>
      </c>
      <c r="G115" s="275">
        <v>-16.921027377482371</v>
      </c>
      <c r="H115" s="275">
        <v>-16.878860968296021</v>
      </c>
      <c r="I115" s="275">
        <v>-16.836638200862929</v>
      </c>
      <c r="J115" s="275">
        <v>-16.79436080663206</v>
      </c>
      <c r="K115" s="275">
        <v>-16.75203063603313</v>
      </c>
      <c r="L115" s="275">
        <v>-16.709649659709331</v>
      </c>
      <c r="M115" s="275">
        <v>-16.667219969486219</v>
      </c>
      <c r="N115" s="275">
        <v>-16.624743779062349</v>
      </c>
      <c r="O115" s="275">
        <v>-16.582223424407779</v>
      </c>
      <c r="P115" s="275">
        <v>-16.53966136385716</v>
      </c>
      <c r="Q115" s="275">
        <v>-16.49706017788516</v>
      </c>
      <c r="R115" s="275">
        <v>-16.454422568553159</v>
      </c>
      <c r="S115" s="275">
        <v>-16.411751358616741</v>
      </c>
      <c r="T115" s="275">
        <v>-16.36904949028515</v>
      </c>
      <c r="U115" s="275">
        <v>-16.326320023625058</v>
      </c>
      <c r="V115" s="275">
        <v>-16.28356613460193</v>
      </c>
      <c r="W115" s="275">
        <v>-16.240791112754419</v>
      </c>
      <c r="X115" s="275">
        <v>-16.197998358497841</v>
      </c>
      <c r="Y115" s="275">
        <v>-16.155191380055079</v>
      </c>
      <c r="Z115" s="275">
        <v>-16.11237379001421</v>
      </c>
      <c r="AA115" s="275">
        <v>-16.06954930151408</v>
      </c>
      <c r="AB115" s="275">
        <v>-16.02672172406065</v>
      </c>
      <c r="AC115" s="275">
        <v>-15.983894958978331</v>
      </c>
      <c r="AD115" s="275">
        <v>-15.941072994502511</v>
      </c>
      <c r="AE115" s="275">
        <v>-15.89825990052061</v>
      </c>
      <c r="AF115" s="275">
        <v>-15.85545982297127</v>
      </c>
      <c r="AG115" s="275">
        <v>-15.81267697791211</v>
      </c>
      <c r="AH115" s="275">
        <v>-15.769915645268799</v>
      </c>
      <c r="AI115" s="275">
        <v>-15.727180162278939</v>
      </c>
      <c r="AJ115" s="275">
        <v>-15.68447491664655</v>
      </c>
      <c r="AK115" s="275">
        <v>-15.64180433942358</v>
      </c>
      <c r="AL115" s="275">
        <v>-15.599172897636929</v>
      </c>
      <c r="AM115" s="275">
        <v>-15.55658508668018</v>
      </c>
      <c r="AN115" s="275">
        <v>-15.51404542249108</v>
      </c>
      <c r="AO115" s="275">
        <v>-15.471558433536501</v>
      </c>
      <c r="AP115" s="275">
        <v>-15.42912865262792</v>
      </c>
      <c r="AQ115" s="275">
        <v>-15.386760608591731</v>
      </c>
      <c r="AR115" s="275">
        <v>-15.34445881781914</v>
      </c>
      <c r="AS115" s="275">
        <v>-15.30222777572186</v>
      </c>
      <c r="AT115" s="275">
        <v>-15.260071948120199</v>
      </c>
      <c r="AU115" s="275">
        <v>-15.21799576259105</v>
      </c>
      <c r="AV115" s="275">
        <v>-15.176003599804</v>
      </c>
      <c r="AW115" s="275">
        <v>-15.13409978487384</v>
      </c>
      <c r="AX115" s="275">
        <v>-15.092288578759019</v>
      </c>
      <c r="AY115" s="275">
        <v>-15.050574169734929</v>
      </c>
      <c r="AZ115" s="275">
        <v>-15.00896066497193</v>
      </c>
      <c r="BA115" s="275">
        <v>-14.96745208224768</v>
      </c>
      <c r="BB115" s="275">
        <v>-14.92605234182332</v>
      </c>
      <c r="BC115" s="275">
        <v>-14.88476525851312</v>
      </c>
      <c r="BD115" s="275">
        <v>-14.84359453397664</v>
      </c>
      <c r="BE115" s="275">
        <v>-14.80254374926225</v>
      </c>
      <c r="BF115" s="275">
        <v>-14.76161635762992</v>
      </c>
      <c r="BG115" s="275">
        <v>-14.7208156776809</v>
      </c>
      <c r="BH115" s="275">
        <v>-14.680144886820569</v>
      </c>
      <c r="BI115" s="275">
        <v>-14.639607015079861</v>
      </c>
      <c r="BJ115" s="275">
        <v>-14.59920493931955</v>
      </c>
      <c r="BK115" s="275">
        <v>-14.558941377839909</v>
      </c>
      <c r="BL115" s="275">
        <v>-14.5188188854172</v>
      </c>
      <c r="BM115" s="275">
        <v>-14.47883984878624</v>
      </c>
      <c r="BN115" s="275">
        <v>-14.439006482586819</v>
      </c>
      <c r="BO115" s="275">
        <v>-14.399320825789371</v>
      </c>
      <c r="BP115" s="275">
        <v>-14.3597847386136</v>
      </c>
      <c r="BQ115" s="275">
        <v>-14.320399899950919</v>
      </c>
      <c r="BR115" s="275">
        <v>-14.281167805299789</v>
      </c>
      <c r="BS115" s="275">
        <v>-14.24208976521995</v>
      </c>
      <c r="BT115" s="275">
        <v>-14.2031669043098</v>
      </c>
      <c r="BU115" s="275">
        <v>-14.16440016070753</v>
      </c>
      <c r="BV115" s="275">
        <v>-14.12579028611515</v>
      </c>
      <c r="BW115" s="275">
        <v>-14.087337846340951</v>
      </c>
      <c r="BX115" s="275">
        <v>-14.04904322235393</v>
      </c>
      <c r="BY115" s="275">
        <v>-14.0109066118409</v>
      </c>
      <c r="BZ115" s="275">
        <v>-13.972928031254581</v>
      </c>
      <c r="CA115" s="275">
        <v>-13.935107318338369</v>
      </c>
      <c r="CB115" s="275">
        <v>-13.89744413511144</v>
      </c>
      <c r="CC115" s="275">
        <v>-13.859937971295491</v>
      </c>
      <c r="CD115" s="275">
        <v>-13.822588148162421</v>
      </c>
      <c r="CE115" s="275">
        <v>-13.785393822780129</v>
      </c>
      <c r="CF115" s="275">
        <v>-13.748353992632779</v>
      </c>
      <c r="CG115" s="275">
        <v>-13.711467500589061</v>
      </c>
      <c r="CH115" s="275">
        <v>-13.67473304019193</v>
      </c>
      <c r="CI115" s="275">
        <v>-13.63814916124149</v>
      </c>
      <c r="CJ115" s="275">
        <v>-13.601714275642159</v>
      </c>
      <c r="CK115" s="275">
        <v>-13.56542666348443</v>
      </c>
      <c r="CL115" s="275">
        <v>-13.52928447933143</v>
      </c>
      <c r="CM115" s="275">
        <v>-13.49328575867986</v>
      </c>
      <c r="CN115" s="275">
        <v>-13.45742842456537</v>
      </c>
      <c r="CO115" s="275">
        <v>-13.421710294282381</v>
      </c>
      <c r="CP115" s="275"/>
      <c r="CQ115" s="276">
        <v>-18.900498344237729</v>
      </c>
      <c r="CR115" s="276">
        <v>-18.84914831792538</v>
      </c>
      <c r="CS115" s="276">
        <v>-18.797846401854581</v>
      </c>
      <c r="CT115" s="276">
        <v>-18.746594780717299</v>
      </c>
      <c r="CU115" s="276">
        <v>-18.695395663645019</v>
      </c>
      <c r="CV115" s="276">
        <v>-18.64425128349195</v>
      </c>
      <c r="CW115" s="276">
        <v>-18.593163896141458</v>
      </c>
      <c r="CX115" s="276">
        <v>-18.542135779839519</v>
      </c>
      <c r="CY115" s="276">
        <v>-18.491169234557169</v>
      </c>
      <c r="CZ115" s="276">
        <v>-18.440266581384058</v>
      </c>
      <c r="DA115" s="276">
        <v>-18.389430161953339</v>
      </c>
      <c r="DB115" s="276">
        <v>-18.33866233789827</v>
      </c>
      <c r="DC115" s="276">
        <v>-18.28796549033882</v>
      </c>
      <c r="DD115" s="276">
        <v>-18.237342019396131</v>
      </c>
      <c r="DE115" s="276">
        <v>-18.186794343730831</v>
      </c>
      <c r="DF115" s="276">
        <v>-18.136324900100291</v>
      </c>
      <c r="DG115" s="276">
        <v>-18.085936142928201</v>
      </c>
      <c r="DH115" s="276">
        <v>-18.03563054387832</v>
      </c>
      <c r="DI115" s="276">
        <v>-17.98541059142309</v>
      </c>
      <c r="DJ115" s="276">
        <v>-17.93527879039566</v>
      </c>
      <c r="DK115" s="276">
        <v>-17.885237661512729</v>
      </c>
      <c r="DL115" s="276">
        <v>-17.835289740854069</v>
      </c>
      <c r="DM115" s="276">
        <v>-17.785437579282679</v>
      </c>
      <c r="DN115" s="276">
        <v>-17.73568374178857</v>
      </c>
      <c r="DO115" s="276">
        <v>-17.68603080673736</v>
      </c>
      <c r="DP115" s="276">
        <v>-17.636481365004251</v>
      </c>
      <c r="DQ115" s="276">
        <v>-17.587038018972059</v>
      </c>
      <c r="DR115" s="276">
        <v>-17.537703381371809</v>
      </c>
      <c r="DS115" s="276">
        <v>-17.4884800739434</v>
      </c>
      <c r="DT115" s="276">
        <v>-17.43937072589334</v>
      </c>
      <c r="DU115" s="276">
        <v>-17.3903779721267</v>
      </c>
      <c r="DV115" s="276">
        <v>-17.34150445123008</v>
      </c>
      <c r="DW115" s="276">
        <v>-17.292752803183479</v>
      </c>
      <c r="DX115" s="276">
        <v>-17.24412566677902</v>
      </c>
      <c r="DY115" s="276">
        <v>-17.195625676726461</v>
      </c>
      <c r="DZ115" s="276">
        <v>-17.147255460426159</v>
      </c>
      <c r="EA115" s="276">
        <v>-17.099017634392581</v>
      </c>
      <c r="EB115" s="276">
        <v>-17.050914800313969</v>
      </c>
      <c r="EC115" s="276">
        <v>-17.002949540735631</v>
      </c>
      <c r="ED115" s="276">
        <v>-16.955124414358469</v>
      </c>
      <c r="EE115" s="276">
        <v>-16.907441950947089</v>
      </c>
      <c r="EF115" s="276">
        <v>-16.859904645846061</v>
      </c>
      <c r="EG115" s="276">
        <v>-16.81251495410676</v>
      </c>
      <c r="EH115" s="276">
        <v>-16.765275284231851</v>
      </c>
      <c r="EI115" s="276">
        <v>-16.71818799154936</v>
      </c>
      <c r="EJ115" s="276">
        <v>-16.671255371232409</v>
      </c>
      <c r="EK115" s="276">
        <v>-16.62447965098675</v>
      </c>
      <c r="EL115" s="276">
        <v>-16.57786298343246</v>
      </c>
      <c r="EM115" s="276">
        <v>-16.531407438211811</v>
      </c>
      <c r="EN115" s="276">
        <v>-16.485114993860051</v>
      </c>
      <c r="EO115" s="276">
        <v>-16.438987529481309</v>
      </c>
      <c r="EP115" s="276">
        <v>-16.393026816275711</v>
      </c>
      <c r="EQ115" s="276">
        <v>-16.34723450896912</v>
      </c>
      <c r="ER115" s="276">
        <v>-16.301612137200522</v>
      </c>
      <c r="ES115" s="276">
        <v>-16.256161096925791</v>
      </c>
      <c r="ET115" s="276">
        <v>-16.21088264189979</v>
      </c>
      <c r="EU115" s="276">
        <v>-16.165777875301359</v>
      </c>
      <c r="EV115" s="276">
        <v>-16.120847741567751</v>
      </c>
      <c r="EW115" s="276">
        <v>-16.076093018505759</v>
      </c>
      <c r="EX115" s="276">
        <v>-16.031514309748559</v>
      </c>
      <c r="EY115" s="276">
        <v>-15.987112037625259</v>
      </c>
      <c r="EZ115" s="276">
        <v>-15.94288643651104</v>
      </c>
      <c r="FA115" s="276">
        <v>-15.898837546722</v>
      </c>
      <c r="FB115" s="276">
        <v>-15.85496520901798</v>
      </c>
      <c r="FC115" s="276">
        <v>-15.8112690597716</v>
      </c>
      <c r="FD115" s="276">
        <v>-15.767748526858661</v>
      </c>
      <c r="FE115" s="276">
        <v>-15.724402826319469</v>
      </c>
      <c r="FF115" s="276">
        <v>-15.681230959835331</v>
      </c>
      <c r="FG115" s="276">
        <v>-15.638231713058049</v>
      </c>
      <c r="FH115" s="276">
        <v>-15.595403654823549</v>
      </c>
      <c r="FI115" s="276">
        <v>-15.55274513727359</v>
      </c>
      <c r="FJ115" s="272">
        <v>-15.51025429690179</v>
      </c>
      <c r="FK115" s="272">
        <v>-15.467929056532361</v>
      </c>
      <c r="FL115" s="272">
        <v>-15.425767128232049</v>
      </c>
      <c r="FM115" s="272">
        <v>-15.383766017147449</v>
      </c>
      <c r="FN115" s="272">
        <v>-15.341923026252189</v>
      </c>
      <c r="FO115" s="272">
        <v>-15.300235261980159</v>
      </c>
      <c r="FP115" s="272">
        <v>-15.2586996407136</v>
      </c>
      <c r="FQ115" s="272">
        <v>-15.217312896087821</v>
      </c>
      <c r="FR115" s="272">
        <v>-15.17607158706701</v>
      </c>
      <c r="FS115" s="272">
        <v>-15.134972106739591</v>
      </c>
      <c r="FT115" s="272">
        <v>-15.094010691776219</v>
      </c>
      <c r="FU115" s="272">
        <v>-15.05318343248808</v>
      </c>
      <c r="FV115" s="272">
        <v>-15.012486283418809</v>
      </c>
      <c r="FW115" s="272">
        <v>-14.971915074400791</v>
      </c>
      <c r="FX115" s="272">
        <v>-14.931465522002661</v>
      </c>
      <c r="FY115" s="272">
        <v>-14.8911332412939</v>
      </c>
      <c r="FZ115" s="272">
        <v>-14.85091375785108</v>
      </c>
      <c r="GA115" s="272">
        <v>-14.81080251992995</v>
      </c>
      <c r="GB115" s="272">
        <v>-14.770794910728309</v>
      </c>
      <c r="GC115" s="272">
        <v>-14.73088626066575</v>
      </c>
    </row>
    <row r="116" spans="2:185" ht="15" thickBot="1" x14ac:dyDescent="0.4">
      <c r="B116" s="298">
        <v>110</v>
      </c>
      <c r="C116" s="275">
        <v>-17.30173927380919</v>
      </c>
      <c r="D116" s="275">
        <v>-17.259843359002979</v>
      </c>
      <c r="E116" s="275">
        <v>-17.217887114357591</v>
      </c>
      <c r="F116" s="275">
        <v>-17.175871824394061</v>
      </c>
      <c r="G116" s="275">
        <v>-17.133798882042161</v>
      </c>
      <c r="H116" s="275">
        <v>-17.09166979060149</v>
      </c>
      <c r="I116" s="275">
        <v>-17.049486165507389</v>
      </c>
      <c r="J116" s="275">
        <v>-17.007249735886489</v>
      </c>
      <c r="K116" s="275">
        <v>-16.96496234588697</v>
      </c>
      <c r="L116" s="275">
        <v>-16.922625955768829</v>
      </c>
      <c r="M116" s="275">
        <v>-16.880242642740122</v>
      </c>
      <c r="N116" s="275">
        <v>-16.837814601525519</v>
      </c>
      <c r="O116" s="275">
        <v>-16.795344144654301</v>
      </c>
      <c r="P116" s="275">
        <v>-16.752833702455661</v>
      </c>
      <c r="Q116" s="275">
        <v>-16.710285822749661</v>
      </c>
      <c r="R116" s="275">
        <v>-16.667703170224069</v>
      </c>
      <c r="S116" s="275">
        <v>-16.625088525486991</v>
      </c>
      <c r="T116" s="275">
        <v>-16.5824447837877</v>
      </c>
      <c r="U116" s="275">
        <v>-16.539774953398162</v>
      </c>
      <c r="V116" s="275">
        <v>-16.497082153649679</v>
      </c>
      <c r="W116" s="275">
        <v>-16.45436961262007</v>
      </c>
      <c r="X116" s="275">
        <v>-16.4116406644685</v>
      </c>
      <c r="Y116" s="275">
        <v>-16.368898746415969</v>
      </c>
      <c r="Z116" s="275">
        <v>-16.326147395371532</v>
      </c>
      <c r="AA116" s="275">
        <v>-16.283390244205481</v>
      </c>
      <c r="AB116" s="275">
        <v>-16.240631017672211</v>
      </c>
      <c r="AC116" s="275">
        <v>-16.197873527987209</v>
      </c>
      <c r="AD116" s="275">
        <v>-16.15512167006403</v>
      </c>
      <c r="AE116" s="275">
        <v>-16.112379416418641</v>
      </c>
      <c r="AF116" s="275">
        <v>-16.069650811749991</v>
      </c>
      <c r="AG116" s="275">
        <v>-16.026939967207429</v>
      </c>
      <c r="AH116" s="275">
        <v>-15.9842510543566</v>
      </c>
      <c r="AI116" s="275">
        <v>-15.941588298857329</v>
      </c>
      <c r="AJ116" s="275">
        <v>-15.898955973868169</v>
      </c>
      <c r="AK116" s="275">
        <v>-15.85635839319362</v>
      </c>
      <c r="AL116" s="275">
        <v>-15.813799904191541</v>
      </c>
      <c r="AM116" s="275">
        <v>-15.77128488045917</v>
      </c>
      <c r="AN116" s="275">
        <v>-15.728817714317829</v>
      </c>
      <c r="AO116" s="275">
        <v>-15.686402809116959</v>
      </c>
      <c r="AP116" s="275">
        <v>-15.644044571379689</v>
      </c>
      <c r="AQ116" s="275">
        <v>-15.60174740281291</v>
      </c>
      <c r="AR116" s="275">
        <v>-15.55951569220556</v>
      </c>
      <c r="AS116" s="275">
        <v>-15.51735380724006</v>
      </c>
      <c r="AT116" s="275">
        <v>-15.475266086242289</v>
      </c>
      <c r="AU116" s="275">
        <v>-15.433256829896219</v>
      </c>
      <c r="AV116" s="275">
        <v>-15.39133029294999</v>
      </c>
      <c r="AW116" s="275">
        <v>-15.34949067594054</v>
      </c>
      <c r="AX116" s="275">
        <v>-15.30774211696461</v>
      </c>
      <c r="AY116" s="275">
        <v>-15.266088683523661</v>
      </c>
      <c r="AZ116" s="275">
        <v>-15.224534364471049</v>
      </c>
      <c r="BA116" s="275">
        <v>-15.18308306208942</v>
      </c>
      <c r="BB116" s="275">
        <v>-15.141738584326429</v>
      </c>
      <c r="BC116" s="275">
        <v>-15.10050463721657</v>
      </c>
      <c r="BD116" s="275">
        <v>-15.05938481751671</v>
      </c>
      <c r="BE116" s="275">
        <v>-15.01838260558254</v>
      </c>
      <c r="BF116" s="275">
        <v>-14.9775013585121</v>
      </c>
      <c r="BG116" s="275">
        <v>-14.93674430358254</v>
      </c>
      <c r="BH116" s="275">
        <v>-14.896114532004709</v>
      </c>
      <c r="BI116" s="275">
        <v>-14.855614993019429</v>
      </c>
      <c r="BJ116" s="275">
        <v>-14.81524848835835</v>
      </c>
      <c r="BK116" s="275">
        <v>-14.77501766709026</v>
      </c>
      <c r="BL116" s="275">
        <v>-14.734925020873201</v>
      </c>
      <c r="BM116" s="275">
        <v>-14.69497287962996</v>
      </c>
      <c r="BN116" s="275">
        <v>-14.6551634076641</v>
      </c>
      <c r="BO116" s="275">
        <v>-14.61549860023038</v>
      </c>
      <c r="BP116" s="275">
        <v>-14.57598028057251</v>
      </c>
      <c r="BQ116" s="275">
        <v>-14.53661009743846</v>
      </c>
      <c r="BR116" s="275">
        <v>-14.497389523081591</v>
      </c>
      <c r="BS116" s="275">
        <v>-14.458319851753309</v>
      </c>
      <c r="BT116" s="275">
        <v>-14.41940219869098</v>
      </c>
      <c r="BU116" s="275">
        <v>-14.38063749960204</v>
      </c>
      <c r="BV116" s="275">
        <v>-14.34202651064294</v>
      </c>
      <c r="BW116" s="275">
        <v>-14.30356980888936</v>
      </c>
      <c r="BX116" s="275">
        <v>-14.26526779329121</v>
      </c>
      <c r="BY116" s="275">
        <v>-14.22712068610419</v>
      </c>
      <c r="BZ116" s="275">
        <v>-14.189128534786519</v>
      </c>
      <c r="CA116" s="275">
        <v>-14.15129121434828</v>
      </c>
      <c r="CB116" s="275">
        <v>-14.113608430137569</v>
      </c>
      <c r="CC116" s="275">
        <v>-14.076079721046391</v>
      </c>
      <c r="CD116" s="275">
        <v>-14.038704463117019</v>
      </c>
      <c r="CE116" s="275">
        <v>-14.00148187352792</v>
      </c>
      <c r="CF116" s="275">
        <v>-13.964411014936561</v>
      </c>
      <c r="CG116" s="275">
        <v>-13.927490800155329</v>
      </c>
      <c r="CH116" s="275">
        <v>-13.89071999713544</v>
      </c>
      <c r="CI116" s="275">
        <v>-13.854097234232491</v>
      </c>
      <c r="CJ116" s="275">
        <v>-13.817621005726901</v>
      </c>
      <c r="CK116" s="275">
        <v>-13.78128967757158</v>
      </c>
      <c r="CL116" s="275">
        <v>-13.74510149333892</v>
      </c>
      <c r="CM116" s="275">
        <v>-13.70905458033876</v>
      </c>
      <c r="CN116" s="275">
        <v>-13.67314695587933</v>
      </c>
      <c r="CO116" s="275">
        <v>-13.637376533642991</v>
      </c>
      <c r="CP116" s="275"/>
      <c r="CQ116" s="276">
        <v>-19.13315960015262</v>
      </c>
      <c r="CR116" s="276">
        <v>-19.081879480156331</v>
      </c>
      <c r="CS116" s="276">
        <v>-19.030647802729479</v>
      </c>
      <c r="CT116" s="276">
        <v>-18.979466721245391</v>
      </c>
      <c r="CU116" s="276">
        <v>-18.928338412898711</v>
      </c>
      <c r="CV116" s="276">
        <v>-18.87726507799929</v>
      </c>
      <c r="CW116" s="276">
        <v>-18.826248939284671</v>
      </c>
      <c r="CX116" s="276">
        <v>-18.775292241253389</v>
      </c>
      <c r="CY116" s="276">
        <v>-18.724397249521211</v>
      </c>
      <c r="CZ116" s="276">
        <v>-18.67356625020096</v>
      </c>
      <c r="DA116" s="276">
        <v>-18.62280154930653</v>
      </c>
      <c r="DB116" s="276">
        <v>-18.572105472180478</v>
      </c>
      <c r="DC116" s="276">
        <v>-18.52148036294312</v>
      </c>
      <c r="DD116" s="276">
        <v>-18.470928583960902</v>
      </c>
      <c r="DE116" s="276">
        <v>-18.420452515329568</v>
      </c>
      <c r="DF116" s="276">
        <v>-18.370054554367549</v>
      </c>
      <c r="DG116" s="276">
        <v>-18.319737115112421</v>
      </c>
      <c r="DH116" s="276">
        <v>-18.269502627813129</v>
      </c>
      <c r="DI116" s="276">
        <v>-18.21935353840847</v>
      </c>
      <c r="DJ116" s="276">
        <v>-18.16929230798133</v>
      </c>
      <c r="DK116" s="276">
        <v>-18.119321412176379</v>
      </c>
      <c r="DL116" s="276">
        <v>-18.069443340568409</v>
      </c>
      <c r="DM116" s="276">
        <v>-18.019660595965881</v>
      </c>
      <c r="DN116" s="276">
        <v>-17.969975693634218</v>
      </c>
      <c r="DO116" s="276">
        <v>-17.920391160421559</v>
      </c>
      <c r="DP116" s="276">
        <v>-17.8709095337686</v>
      </c>
      <c r="DQ116" s="276">
        <v>-17.821533360583839</v>
      </c>
      <c r="DR116" s="276">
        <v>-17.772265195964</v>
      </c>
      <c r="DS116" s="276">
        <v>-17.723107601739709</v>
      </c>
      <c r="DT116" s="276">
        <v>-17.674063144825531</v>
      </c>
      <c r="DU116" s="276">
        <v>-17.625134395353811</v>
      </c>
      <c r="DV116" s="276">
        <v>-17.57632392457208</v>
      </c>
      <c r="DW116" s="276">
        <v>-17.527634302483779</v>
      </c>
      <c r="DX116" s="276">
        <v>-17.47906809521362</v>
      </c>
      <c r="DY116" s="276">
        <v>-17.430627862079561</v>
      </c>
      <c r="DZ116" s="276">
        <v>-17.382316152354871</v>
      </c>
      <c r="EA116" s="276">
        <v>-17.334135501706239</v>
      </c>
      <c r="EB116" s="276">
        <v>-17.28608842829513</v>
      </c>
      <c r="EC116" s="276">
        <v>-17.238177428533099</v>
      </c>
      <c r="ED116" s="276">
        <v>-17.190404972483929</v>
      </c>
      <c r="EE116" s="276">
        <v>-17.14277349890946</v>
      </c>
      <c r="EF116" s="276">
        <v>-17.095285409958411</v>
      </c>
      <c r="EG116" s="276">
        <v>-17.04794306550269</v>
      </c>
      <c r="EH116" s="276">
        <v>-17.000748777128589</v>
      </c>
      <c r="EI116" s="276">
        <v>-16.953704801795119</v>
      </c>
      <c r="EJ116" s="276">
        <v>-16.906813335176249</v>
      </c>
      <c r="EK116" s="276">
        <v>-16.860076504707649</v>
      </c>
      <c r="EL116" s="276">
        <v>-16.813496362364539</v>
      </c>
      <c r="EM116" s="276">
        <v>-16.76707487720013</v>
      </c>
      <c r="EN116" s="276">
        <v>-16.720813927680069</v>
      </c>
      <c r="EO116" s="276">
        <v>-16.674715293852191</v>
      </c>
      <c r="EP116" s="276">
        <v>-16.62878064939499</v>
      </c>
      <c r="EQ116" s="276">
        <v>-16.583011553592328</v>
      </c>
      <c r="ER116" s="276">
        <v>-16.537409443285579</v>
      </c>
      <c r="ES116" s="276">
        <v>-16.491975624857531</v>
      </c>
      <c r="ET116" s="276">
        <v>-16.446711266305069</v>
      </c>
      <c r="EU116" s="276">
        <v>-16.401617389459972</v>
      </c>
      <c r="EV116" s="276">
        <v>-16.356694862418848</v>
      </c>
      <c r="EW116" s="276">
        <v>-16.311944392244001</v>
      </c>
      <c r="EX116" s="276">
        <v>-16.267366517997729</v>
      </c>
      <c r="EY116" s="276">
        <v>-16.222961604171889</v>
      </c>
      <c r="EZ116" s="276">
        <v>-16.178729834573879</v>
      </c>
      <c r="FA116" s="276">
        <v>-16.134671206727859</v>
      </c>
      <c r="FB116" s="276">
        <v>-16.09078552684818</v>
      </c>
      <c r="FC116" s="276">
        <v>-16.047072405438161</v>
      </c>
      <c r="FD116" s="276">
        <v>-16.00353125356424</v>
      </c>
      <c r="FE116" s="276">
        <v>-15.96016127984983</v>
      </c>
      <c r="FF116" s="276">
        <v>-15.91696148822929</v>
      </c>
      <c r="FG116" s="276">
        <v>-15.87393067649605</v>
      </c>
      <c r="FH116" s="276">
        <v>-15.831067435672731</v>
      </c>
      <c r="FI116" s="276">
        <v>-15.78837015022471</v>
      </c>
      <c r="FJ116" s="272">
        <v>-15.74583699913196</v>
      </c>
      <c r="FK116" s="272">
        <v>-15.70346595782598</v>
      </c>
      <c r="FL116" s="272">
        <v>-15.661254800992459</v>
      </c>
      <c r="FM116" s="272">
        <v>-15.619201106232129</v>
      </c>
      <c r="FN116" s="272">
        <v>-15.57730225856527</v>
      </c>
      <c r="FO116" s="272">
        <v>-15.53555545575845</v>
      </c>
      <c r="FP116" s="272">
        <v>-15.49395771444475</v>
      </c>
      <c r="FQ116" s="272">
        <v>-15.45250587700202</v>
      </c>
      <c r="FR116" s="272">
        <v>-15.411196619148519</v>
      </c>
      <c r="FS116" s="272">
        <v>-15.37002645820823</v>
      </c>
      <c r="FT116" s="272">
        <v>-15.328991761993651</v>
      </c>
      <c r="FU116" s="272">
        <v>-15.28808875824987</v>
      </c>
      <c r="FV116" s="272">
        <v>-15.247313544598461</v>
      </c>
      <c r="FW116" s="272">
        <v>-15.206662098917709</v>
      </c>
      <c r="FX116" s="272">
        <v>-15.166130290092809</v>
      </c>
      <c r="FY116" s="272">
        <v>-15.125713889067541</v>
      </c>
      <c r="FZ116" s="272">
        <v>-15.08540858012848</v>
      </c>
      <c r="GA116" s="272">
        <v>-15.045209972352231</v>
      </c>
      <c r="GB116" s="272">
        <v>-15.00511361114625</v>
      </c>
      <c r="GC116" s="272">
        <v>-14.965114989815531</v>
      </c>
    </row>
    <row r="117" spans="2:185" ht="15" thickBot="1" x14ac:dyDescent="0.4">
      <c r="B117" s="298">
        <v>111</v>
      </c>
      <c r="C117" s="275">
        <v>-17.51439592248936</v>
      </c>
      <c r="D117" s="275">
        <v>-17.472530389826542</v>
      </c>
      <c r="E117" s="275">
        <v>-17.43060628082527</v>
      </c>
      <c r="F117" s="275">
        <v>-17.388624890179631</v>
      </c>
      <c r="G117" s="275">
        <v>-17.346587617761781</v>
      </c>
      <c r="H117" s="275">
        <v>-17.304495970423542</v>
      </c>
      <c r="I117" s="275">
        <v>-17.262351563608231</v>
      </c>
      <c r="J117" s="275">
        <v>-17.220156122758379</v>
      </c>
      <c r="K117" s="275">
        <v>-17.177911484505369</v>
      </c>
      <c r="L117" s="275">
        <v>-17.135619597627549</v>
      </c>
      <c r="M117" s="275">
        <v>-17.093282523763509</v>
      </c>
      <c r="N117" s="275">
        <v>-17.050902437867919</v>
      </c>
      <c r="O117" s="275">
        <v>-17.008481628397949</v>
      </c>
      <c r="P117" s="275">
        <v>-16.96602249721894</v>
      </c>
      <c r="Q117" s="275">
        <v>-16.923527559219</v>
      </c>
      <c r="R117" s="275">
        <v>-16.880999441622809</v>
      </c>
      <c r="S117" s="275">
        <v>-16.838440882996011</v>
      </c>
      <c r="T117" s="275">
        <v>-16.795854731932842</v>
      </c>
      <c r="U117" s="275">
        <v>-16.753243945420369</v>
      </c>
      <c r="V117" s="275">
        <v>-16.71061158687419</v>
      </c>
      <c r="W117" s="275">
        <v>-16.667960823841621</v>
      </c>
      <c r="X117" s="275">
        <v>-16.625294925369619</v>
      </c>
      <c r="Y117" s="275">
        <v>-16.582617259036219</v>
      </c>
      <c r="Z117" s="275">
        <v>-16.53993128764542</v>
      </c>
      <c r="AA117" s="275">
        <v>-16.497240565586889</v>
      </c>
      <c r="AB117" s="275">
        <v>-16.454548734863579</v>
      </c>
      <c r="AC117" s="275">
        <v>-16.41185952079141</v>
      </c>
      <c r="AD117" s="275">
        <v>-16.369176727376711</v>
      </c>
      <c r="AE117" s="275">
        <v>-16.326504232378831</v>
      </c>
      <c r="AF117" s="275">
        <v>-16.2838459820663</v>
      </c>
      <c r="AG117" s="275">
        <v>-16.241205985676849</v>
      </c>
      <c r="AH117" s="275">
        <v>-16.198588309592392</v>
      </c>
      <c r="AI117" s="275">
        <v>-16.155997071241991</v>
      </c>
      <c r="AJ117" s="275">
        <v>-16.11343643274699</v>
      </c>
      <c r="AK117" s="275">
        <v>-16.07091059432333</v>
      </c>
      <c r="AL117" s="275">
        <v>-16.028423787457989</v>
      </c>
      <c r="AM117" s="275">
        <v>-15.985980267877331</v>
      </c>
      <c r="AN117" s="275">
        <v>-15.94358430832601</v>
      </c>
      <c r="AO117" s="275">
        <v>-15.901240191176811</v>
      </c>
      <c r="AP117" s="275">
        <v>-15.858952200891959</v>
      </c>
      <c r="AQ117" s="275">
        <v>-15.81672461635824</v>
      </c>
      <c r="AR117" s="275">
        <v>-15.774561703118399</v>
      </c>
      <c r="AS117" s="275">
        <v>-15.73246770552251</v>
      </c>
      <c r="AT117" s="275">
        <v>-15.690446838823521</v>
      </c>
      <c r="AU117" s="275">
        <v>-15.648503281241901</v>
      </c>
      <c r="AV117" s="275">
        <v>-15.60664116602474</v>
      </c>
      <c r="AW117" s="275">
        <v>-15.56486457352525</v>
      </c>
      <c r="AX117" s="275">
        <v>-15.523177523328769</v>
      </c>
      <c r="AY117" s="275">
        <v>-15.481583966451741</v>
      </c>
      <c r="AZ117" s="275">
        <v>-15.440087777640381</v>
      </c>
      <c r="BA117" s="275">
        <v>-15.398692747795501</v>
      </c>
      <c r="BB117" s="275">
        <v>-15.35740257655004</v>
      </c>
      <c r="BC117" s="275">
        <v>-15.316220865025819</v>
      </c>
      <c r="BD117" s="275">
        <v>-15.27515110879529</v>
      </c>
      <c r="BE117" s="275">
        <v>-15.23419669107405</v>
      </c>
      <c r="BF117" s="275">
        <v>-15.19336087616891</v>
      </c>
      <c r="BG117" s="275">
        <v>-15.152646803205879</v>
      </c>
      <c r="BH117" s="275">
        <v>-15.112057480161409</v>
      </c>
      <c r="BI117" s="275">
        <v>-15.071595778219381</v>
      </c>
      <c r="BJ117" s="275">
        <v>-15.031264426474831</v>
      </c>
      <c r="BK117" s="275">
        <v>-14.991066007004729</v>
      </c>
      <c r="BL117" s="275">
        <v>-14.95100295032405</v>
      </c>
      <c r="BM117" s="275">
        <v>-14.911077531244461</v>
      </c>
      <c r="BN117" s="275">
        <v>-14.87129186515072</v>
      </c>
      <c r="BO117" s="275">
        <v>-14.83164790470844</v>
      </c>
      <c r="BP117" s="275">
        <v>-14.79214743701503</v>
      </c>
      <c r="BQ117" s="275">
        <v>-14.752792081203269</v>
      </c>
      <c r="BR117" s="275">
        <v>-14.713583286505321</v>
      </c>
      <c r="BS117" s="275">
        <v>-14.6745223307825</v>
      </c>
      <c r="BT117" s="275">
        <v>-14.635610319524149</v>
      </c>
      <c r="BU117" s="275">
        <v>-14.59684818531662</v>
      </c>
      <c r="BV117" s="275">
        <v>-14.55823668778109</v>
      </c>
      <c r="BW117" s="275">
        <v>-14.5197764139768</v>
      </c>
      <c r="BX117" s="275">
        <v>-14.4814677792638</v>
      </c>
      <c r="BY117" s="275">
        <v>-14.4433110286174</v>
      </c>
      <c r="BZ117" s="275">
        <v>-14.40530623838414</v>
      </c>
      <c r="CA117" s="275">
        <v>-14.36745331846693</v>
      </c>
      <c r="CB117" s="275">
        <v>-14.329752014925599</v>
      </c>
      <c r="CC117" s="275">
        <v>-14.29220191297614</v>
      </c>
      <c r="CD117" s="275">
        <v>-14.254802440371311</v>
      </c>
      <c r="CE117" s="275">
        <v>-14.21755287114293</v>
      </c>
      <c r="CF117" s="275">
        <v>-14.18045232968492</v>
      </c>
      <c r="CG117" s="275">
        <v>-14.14349979515486</v>
      </c>
      <c r="CH117" s="275">
        <v>-14.106694106170741</v>
      </c>
      <c r="CI117" s="275">
        <v>-14.07003396577846</v>
      </c>
      <c r="CJ117" s="275">
        <v>-14.033517946665039</v>
      </c>
      <c r="CK117" s="275">
        <v>-13.997144496591821</v>
      </c>
      <c r="CL117" s="275">
        <v>-13.960911944021429</v>
      </c>
      <c r="CM117" s="275">
        <v>-13.92481850391237</v>
      </c>
      <c r="CN117" s="275">
        <v>-13.888862283654611</v>
      </c>
      <c r="CO117" s="275">
        <v>-13.853041289120201</v>
      </c>
      <c r="CP117" s="275"/>
      <c r="CQ117" s="276">
        <v>-19.365841497518531</v>
      </c>
      <c r="CR117" s="276">
        <v>-19.314630439061119</v>
      </c>
      <c r="CS117" s="276">
        <v>-19.263468135265452</v>
      </c>
      <c r="CT117" s="276">
        <v>-19.212356708414259</v>
      </c>
      <c r="CU117" s="276">
        <v>-19.161298303971481</v>
      </c>
      <c r="CV117" s="276">
        <v>-19.11029508988409</v>
      </c>
      <c r="CW117" s="276">
        <v>-19.059349255897331</v>
      </c>
      <c r="CX117" s="276">
        <v>-19.00846301288561</v>
      </c>
      <c r="CY117" s="276">
        <v>-18.957638592200251</v>
      </c>
      <c r="CZ117" s="276">
        <v>-18.906878245034498</v>
      </c>
      <c r="DA117" s="276">
        <v>-18.856184241805931</v>
      </c>
      <c r="DB117" s="276">
        <v>-18.80555887155495</v>
      </c>
      <c r="DC117" s="276">
        <v>-18.75500444135745</v>
      </c>
      <c r="DD117" s="276">
        <v>-18.704523275748809</v>
      </c>
      <c r="DE117" s="276">
        <v>-18.654117716154971</v>
      </c>
      <c r="DF117" s="276">
        <v>-18.60379012032562</v>
      </c>
      <c r="DG117" s="276">
        <v>-18.553542861762729</v>
      </c>
      <c r="DH117" s="276">
        <v>-18.503378329137309</v>
      </c>
      <c r="DI117" s="276">
        <v>-18.453298925685111</v>
      </c>
      <c r="DJ117" s="276">
        <v>-18.4033070685716</v>
      </c>
      <c r="DK117" s="276">
        <v>-18.353405188214371</v>
      </c>
      <c r="DL117" s="276">
        <v>-18.303595727550949</v>
      </c>
      <c r="DM117" s="276">
        <v>-18.25388114123804</v>
      </c>
      <c r="DN117" s="276">
        <v>-18.204263894767319</v>
      </c>
      <c r="DO117" s="276">
        <v>-18.154746463482411</v>
      </c>
      <c r="DP117" s="276">
        <v>-18.105331331479789</v>
      </c>
      <c r="DQ117" s="276">
        <v>-18.056020990376929</v>
      </c>
      <c r="DR117" s="276">
        <v>-18.00681793792905</v>
      </c>
      <c r="DS117" s="276">
        <v>-17.95772467647668</v>
      </c>
      <c r="DT117" s="276">
        <v>-17.90874371120514</v>
      </c>
      <c r="DU117" s="276">
        <v>-17.859877548197758</v>
      </c>
      <c r="DV117" s="276">
        <v>-17.8111286922645</v>
      </c>
      <c r="DW117" s="276">
        <v>-17.762499644528461</v>
      </c>
      <c r="DX117" s="276">
        <v>-17.71399289975378</v>
      </c>
      <c r="DY117" s="276">
        <v>-17.665610943399241</v>
      </c>
      <c r="DZ117" s="276">
        <v>-17.617356248383331</v>
      </c>
      <c r="EA117" s="276">
        <v>-17.569231271549139</v>
      </c>
      <c r="EB117" s="276">
        <v>-17.521238449818181</v>
      </c>
      <c r="EC117" s="276">
        <v>-17.473380196026159</v>
      </c>
      <c r="ED117" s="276">
        <v>-17.42565889443491</v>
      </c>
      <c r="EE117" s="276">
        <v>-17.378076895919222</v>
      </c>
      <c r="EF117" s="276">
        <v>-17.330636512829319</v>
      </c>
      <c r="EG117" s="276">
        <v>-17.283340013533941</v>
      </c>
      <c r="EH117" s="276">
        <v>-17.236189616652641</v>
      </c>
      <c r="EI117" s="276">
        <v>-17.189187484989439</v>
      </c>
      <c r="EJ117" s="276">
        <v>-17.142335719184551</v>
      </c>
      <c r="EK117" s="276">
        <v>-17.09563635110478</v>
      </c>
      <c r="EL117" s="276">
        <v>-17.04909133699697</v>
      </c>
      <c r="EM117" s="276">
        <v>-17.002702550433821</v>
      </c>
      <c r="EN117" s="276">
        <v>-16.95647177508495</v>
      </c>
      <c r="EO117" s="276">
        <v>-16.910400697350081</v>
      </c>
      <c r="EP117" s="276">
        <v>-16.864490898895021</v>
      </c>
      <c r="EQ117" s="276">
        <v>-16.818743849134759</v>
      </c>
      <c r="ER117" s="276">
        <v>-16.773160897711129</v>
      </c>
      <c r="ES117" s="276">
        <v>-16.727743267015001</v>
      </c>
      <c r="ET117" s="276">
        <v>-16.682492044806029</v>
      </c>
      <c r="EU117" s="276">
        <v>-16.63740817698406</v>
      </c>
      <c r="EV117" s="276">
        <v>-16.592492460568401</v>
      </c>
      <c r="EW117" s="276">
        <v>-16.547745536941839</v>
      </c>
      <c r="EX117" s="276">
        <v>-16.503167885415781</v>
      </c>
      <c r="EY117" s="276">
        <v>-16.45875981717387</v>
      </c>
      <c r="EZ117" s="276">
        <v>-16.41452146964885</v>
      </c>
      <c r="FA117" s="276">
        <v>-16.37045280138712</v>
      </c>
      <c r="FB117" s="276">
        <v>-16.326553587451968</v>
      </c>
      <c r="FC117" s="276">
        <v>-16.282823415414239</v>
      </c>
      <c r="FD117" s="276">
        <v>-16.239261681975261</v>
      </c>
      <c r="FE117" s="276">
        <v>-16.195867590262889</v>
      </c>
      <c r="FF117" s="276">
        <v>-16.15264014783628</v>
      </c>
      <c r="FG117" s="276">
        <v>-16.109578165430751</v>
      </c>
      <c r="FH117" s="276">
        <v>-16.066680256467571</v>
      </c>
      <c r="FI117" s="276">
        <v>-16.023944837347859</v>
      </c>
      <c r="FJ117" s="272">
        <v>-15.981370128543871</v>
      </c>
      <c r="FK117" s="272">
        <v>-15.938954156493651</v>
      </c>
      <c r="FL117" s="272">
        <v>-15.89669475629927</v>
      </c>
      <c r="FM117" s="272">
        <v>-15.854589575221681</v>
      </c>
      <c r="FN117" s="272">
        <v>-15.81263607695867</v>
      </c>
      <c r="FO117" s="272">
        <v>-15.7708315466861</v>
      </c>
      <c r="FP117" s="272">
        <v>-15.729173096836361</v>
      </c>
      <c r="FQ117" s="272">
        <v>-15.687657673581461</v>
      </c>
      <c r="FR117" s="272">
        <v>-15.646282063983289</v>
      </c>
      <c r="FS117" s="272">
        <v>-15.60504290376783</v>
      </c>
      <c r="FT117" s="272">
        <v>-15.563936685675611</v>
      </c>
      <c r="FU117" s="272">
        <v>-15.5229597683365</v>
      </c>
      <c r="FV117" s="272">
        <v>-15.482108385613049</v>
      </c>
      <c r="FW117" s="272">
        <v>-15.44137865635436</v>
      </c>
      <c r="FX117" s="272">
        <v>-15.400766594499281</v>
      </c>
      <c r="FY117" s="272">
        <v>-15.360268119466269</v>
      </c>
      <c r="FZ117" s="272">
        <v>-15.31987906676696</v>
      </c>
      <c r="GA117" s="272">
        <v>-15.27959519877883</v>
      </c>
      <c r="GB117" s="272">
        <v>-15.239412215613941</v>
      </c>
      <c r="GC117" s="272">
        <v>-15.199325766020481</v>
      </c>
    </row>
    <row r="118" spans="2:185" ht="15" thickBot="1" x14ac:dyDescent="0.4">
      <c r="B118" s="298">
        <v>112</v>
      </c>
      <c r="C118" s="275">
        <v>-17.72706879113041</v>
      </c>
      <c r="D118" s="275">
        <v>-17.685233923739769</v>
      </c>
      <c r="E118" s="275">
        <v>-17.643342190360482</v>
      </c>
      <c r="F118" s="275">
        <v>-17.601394894201899</v>
      </c>
      <c r="G118" s="275">
        <v>-17.559393440504721</v>
      </c>
      <c r="H118" s="275">
        <v>-17.517339338193139</v>
      </c>
      <c r="I118" s="275">
        <v>-17.475234201342371</v>
      </c>
      <c r="J118" s="275">
        <v>-17.433079750448361</v>
      </c>
      <c r="K118" s="275">
        <v>-17.390877813486611</v>
      </c>
      <c r="L118" s="275">
        <v>-17.348630326747461</v>
      </c>
      <c r="M118" s="275">
        <v>-17.30633933543541</v>
      </c>
      <c r="N118" s="275">
        <v>-17.264006994021091</v>
      </c>
      <c r="O118" s="275">
        <v>-17.221635566334239</v>
      </c>
      <c r="P118" s="275">
        <v>-17.17922742538784</v>
      </c>
      <c r="Q118" s="275">
        <v>-17.136785052923191</v>
      </c>
      <c r="R118" s="275">
        <v>-17.094311038667559</v>
      </c>
      <c r="S118" s="275">
        <v>-17.051808079296102</v>
      </c>
      <c r="T118" s="275">
        <v>-17.009278977091519</v>
      </c>
      <c r="U118" s="275">
        <v>-16.96672663829542</v>
      </c>
      <c r="V118" s="275">
        <v>-16.92415407114661</v>
      </c>
      <c r="W118" s="275">
        <v>-16.881564383602988</v>
      </c>
      <c r="X118" s="275">
        <v>-16.838960780744522</v>
      </c>
      <c r="Y118" s="275">
        <v>-16.79634656185641</v>
      </c>
      <c r="Z118" s="275">
        <v>-16.753725117192541</v>
      </c>
      <c r="AA118" s="275">
        <v>-16.711099924420981</v>
      </c>
      <c r="AB118" s="275">
        <v>-16.668474544754201</v>
      </c>
      <c r="AC118" s="275">
        <v>-16.62585261876854</v>
      </c>
      <c r="AD118" s="275">
        <v>-16.583237861918441</v>
      </c>
      <c r="AE118" s="275">
        <v>-16.540634059752339</v>
      </c>
      <c r="AF118" s="275">
        <v>-16.498045062838759</v>
      </c>
      <c r="AG118" s="275">
        <v>-16.4554747814122</v>
      </c>
      <c r="AH118" s="275">
        <v>-16.412927179749691</v>
      </c>
      <c r="AI118" s="275">
        <v>-16.370406270290552</v>
      </c>
      <c r="AJ118" s="275">
        <v>-16.327916107512479</v>
      </c>
      <c r="AK118" s="275">
        <v>-16.285460781579161</v>
      </c>
      <c r="AL118" s="275">
        <v>-16.2430444117749</v>
      </c>
      <c r="AM118" s="275">
        <v>-16.200671139743431</v>
      </c>
      <c r="AN118" s="275">
        <v>-16.158345122549061</v>
      </c>
      <c r="AO118" s="275">
        <v>-16.116070525579051</v>
      </c>
      <c r="AP118" s="275">
        <v>-16.07385151530729</v>
      </c>
      <c r="AQ118" s="275">
        <v>-16.031692251940299</v>
      </c>
      <c r="AR118" s="275">
        <v>-15.989596881967</v>
      </c>
      <c r="AS118" s="275">
        <v>-15.94756953063496</v>
      </c>
      <c r="AT118" s="275">
        <v>-15.9056142943759</v>
      </c>
      <c r="AU118" s="275">
        <v>-15.86373523320454</v>
      </c>
      <c r="AV118" s="275">
        <v>-15.82193636311438</v>
      </c>
      <c r="AW118" s="275">
        <v>-15.78022164849563</v>
      </c>
      <c r="AX118" s="275">
        <v>-15.738594994599559</v>
      </c>
      <c r="AY118" s="275">
        <v>-15.69706024007484</v>
      </c>
      <c r="AZ118" s="275">
        <v>-15.655621149600741</v>
      </c>
      <c r="BA118" s="275">
        <v>-15.614281406642631</v>
      </c>
      <c r="BB118" s="275">
        <v>-15.573044606354751</v>
      </c>
      <c r="BC118" s="275">
        <v>-15.53191424865522</v>
      </c>
      <c r="BD118" s="275">
        <v>-15.490893731497851</v>
      </c>
      <c r="BE118" s="275">
        <v>-15.44998634436485</v>
      </c>
      <c r="BF118" s="275">
        <v>-15.409195262004021</v>
      </c>
      <c r="BG118" s="275">
        <v>-15.36852353843315</v>
      </c>
      <c r="BH118" s="275">
        <v>-15.32797410123375</v>
      </c>
      <c r="BI118" s="275">
        <v>-15.287549746155049</v>
      </c>
      <c r="BJ118" s="275">
        <v>-15.24725313204835</v>
      </c>
      <c r="BK118" s="275">
        <v>-15.2070867761503</v>
      </c>
      <c r="BL118" s="275">
        <v>-15.16705304973258</v>
      </c>
      <c r="BM118" s="275">
        <v>-15.12715417413397</v>
      </c>
      <c r="BN118" s="275">
        <v>-15.08739221718904</v>
      </c>
      <c r="BO118" s="275">
        <v>-15.047769090066311</v>
      </c>
      <c r="BP118" s="275">
        <v>-15.008286544526619</v>
      </c>
      <c r="BQ118" s="275">
        <v>-14.968946170610881</v>
      </c>
      <c r="BR118" s="275">
        <v>-14.92974939476421</v>
      </c>
      <c r="BS118" s="275">
        <v>-14.890697478401631</v>
      </c>
      <c r="BT118" s="275">
        <v>-14.85179151691834</v>
      </c>
      <c r="BU118" s="275">
        <v>-14.813032439145481</v>
      </c>
      <c r="BV118" s="275">
        <v>-14.77442100725035</v>
      </c>
      <c r="BW118" s="275">
        <v>-14.735957817077651</v>
      </c>
      <c r="BX118" s="275">
        <v>-14.69764329892663</v>
      </c>
      <c r="BY118" s="275">
        <v>-14.659477718756611</v>
      </c>
      <c r="BZ118" s="275">
        <v>-14.62146117981143</v>
      </c>
      <c r="CA118" s="275">
        <v>-14.58359362465167</v>
      </c>
      <c r="CB118" s="275">
        <v>-14.54587483758133</v>
      </c>
      <c r="CC118" s="275">
        <v>-14.50830444745398</v>
      </c>
      <c r="CD118" s="275">
        <v>-14.47088193084201</v>
      </c>
      <c r="CE118" s="275">
        <v>-14.4336066155506</v>
      </c>
      <c r="CF118" s="275">
        <v>-14.39647768445721</v>
      </c>
      <c r="CG118" s="275">
        <v>-14.359494179655719</v>
      </c>
      <c r="CH118" s="275">
        <v>-14.322655006883499</v>
      </c>
      <c r="CI118" s="275">
        <v>-14.28595894020877</v>
      </c>
      <c r="CJ118" s="275">
        <v>-14.249404626954799</v>
      </c>
      <c r="CK118" s="275">
        <v>-14.212990592836951</v>
      </c>
      <c r="CL118" s="275">
        <v>-14.17671524728814</v>
      </c>
      <c r="CM118" s="275">
        <v>-14.14057688894823</v>
      </c>
      <c r="CN118" s="275">
        <v>-14.10457371129243</v>
      </c>
      <c r="CO118" s="275">
        <v>-14.068703808374289</v>
      </c>
      <c r="CP118" s="275"/>
      <c r="CQ118" s="276">
        <v>-19.598543224833691</v>
      </c>
      <c r="CR118" s="276">
        <v>-19.547400385579369</v>
      </c>
      <c r="CS118" s="276">
        <v>-19.49630659310332</v>
      </c>
      <c r="CT118" s="276">
        <v>-19.44526393881398</v>
      </c>
      <c r="CU118" s="276">
        <v>-19.394274536642619</v>
      </c>
      <c r="CV118" s="276">
        <v>-19.343340522349969</v>
      </c>
      <c r="CW118" s="276">
        <v>-19.292464052841989</v>
      </c>
      <c r="CX118" s="276">
        <v>-19.241647305496478</v>
      </c>
      <c r="CY118" s="276">
        <v>-19.190892477500601</v>
      </c>
      <c r="CZ118" s="276">
        <v>-19.140201785200521</v>
      </c>
      <c r="DA118" s="276">
        <v>-19.08957746346147</v>
      </c>
      <c r="DB118" s="276">
        <v>-19.039021765038051</v>
      </c>
      <c r="DC118" s="276">
        <v>-18.98853695995146</v>
      </c>
      <c r="DD118" s="276">
        <v>-18.938125334871309</v>
      </c>
      <c r="DE118" s="276">
        <v>-18.887789192497621</v>
      </c>
      <c r="DF118" s="276">
        <v>-18.837530850937728</v>
      </c>
      <c r="DG118" s="276">
        <v>-18.787352643071952</v>
      </c>
      <c r="DH118" s="276">
        <v>-18.73725691590084</v>
      </c>
      <c r="DI118" s="276">
        <v>-18.68724602986536</v>
      </c>
      <c r="DJ118" s="276">
        <v>-18.637322358130611</v>
      </c>
      <c r="DK118" s="276">
        <v>-18.587488285822161</v>
      </c>
      <c r="DL118" s="276">
        <v>-18.53774620920386</v>
      </c>
      <c r="DM118" s="276">
        <v>-18.488098534783639</v>
      </c>
      <c r="DN118" s="276">
        <v>-18.43854767833442</v>
      </c>
      <c r="DO118" s="276">
        <v>-18.38909606381505</v>
      </c>
      <c r="DP118" s="276">
        <v>-18.33974612217639</v>
      </c>
      <c r="DQ118" s="276">
        <v>-18.290500290036601</v>
      </c>
      <c r="DR118" s="276">
        <v>-18.241361008209349</v>
      </c>
      <c r="DS118" s="276">
        <v>-18.192330720068568</v>
      </c>
      <c r="DT118" s="276">
        <v>-18.14341186973294</v>
      </c>
      <c r="DU118" s="276">
        <v>-18.094606900053851</v>
      </c>
      <c r="DV118" s="276">
        <v>-18.04591825039066</v>
      </c>
      <c r="DW118" s="276">
        <v>-17.997348354157829</v>
      </c>
      <c r="DX118" s="276">
        <v>-17.94889963612934</v>
      </c>
      <c r="DY118" s="276">
        <v>-17.900574509487161</v>
      </c>
      <c r="DZ118" s="276">
        <v>-17.852375372601529</v>
      </c>
      <c r="EA118" s="276">
        <v>-17.804304605532838</v>
      </c>
      <c r="EB118" s="276">
        <v>-17.756364566247171</v>
      </c>
      <c r="EC118" s="276">
        <v>-17.708557586539051</v>
      </c>
      <c r="ED118" s="276">
        <v>-17.660885967658089</v>
      </c>
      <c r="EE118" s="276">
        <v>-17.61335197563913</v>
      </c>
      <c r="EF118" s="276">
        <v>-17.565957836337819</v>
      </c>
      <c r="EG118" s="276">
        <v>-17.518705730177452</v>
      </c>
      <c r="EH118" s="276">
        <v>-17.471597786616059</v>
      </c>
      <c r="EI118" s="276">
        <v>-17.42463607834614</v>
      </c>
      <c r="EJ118" s="276">
        <v>-17.377822615243399</v>
      </c>
      <c r="EK118" s="276">
        <v>-17.331159338084699</v>
      </c>
      <c r="EL118" s="276">
        <v>-17.284648112058349</v>
      </c>
      <c r="EM118" s="276">
        <v>-17.238290720094849</v>
      </c>
      <c r="EN118" s="276">
        <v>-17.192088856048979</v>
      </c>
      <c r="EO118" s="276">
        <v>-17.146044117767701</v>
      </c>
      <c r="EP118" s="276">
        <v>-17.100158000082519</v>
      </c>
      <c r="EQ118" s="276">
        <v>-17.054431887766551</v>
      </c>
      <c r="ER118" s="276">
        <v>-17.008867048501418</v>
      </c>
      <c r="ES118" s="276">
        <v>-16.963464625899121</v>
      </c>
      <c r="ET118" s="276">
        <v>-16.918225632628619</v>
      </c>
      <c r="EU118" s="276">
        <v>-16.873150943696359</v>
      </c>
      <c r="EV118" s="276">
        <v>-16.828241289932791</v>
      </c>
      <c r="EW118" s="276">
        <v>-16.78349725173625</v>
      </c>
      <c r="EX118" s="276">
        <v>-16.73891925312703</v>
      </c>
      <c r="EY118" s="276">
        <v>-16.694507556162389</v>
      </c>
      <c r="EZ118" s="276">
        <v>-16.65026225576403</v>
      </c>
      <c r="FA118" s="276">
        <v>-16.606183275006309</v>
      </c>
      <c r="FB118" s="276">
        <v>-16.562270360912422</v>
      </c>
      <c r="FC118" s="276">
        <v>-16.51852308080241</v>
      </c>
      <c r="FD118" s="276">
        <v>-16.474940819233691</v>
      </c>
      <c r="FE118" s="276">
        <v>-16.43152277557104</v>
      </c>
      <c r="FF118" s="276">
        <v>-16.388267962218599</v>
      </c>
      <c r="FG118" s="276">
        <v>-16.345175203541569</v>
      </c>
      <c r="FH118" s="276">
        <v>-16.302243135500539</v>
      </c>
      <c r="FI118" s="276">
        <v>-16.259470206015411</v>
      </c>
      <c r="FJ118" s="272">
        <v>-16.21685467607054</v>
      </c>
      <c r="FK118" s="272">
        <v>-16.174394621566801</v>
      </c>
      <c r="FL118" s="272">
        <v>-16.132087935919969</v>
      </c>
      <c r="FM118" s="272">
        <v>-16.089932333399329</v>
      </c>
      <c r="FN118" s="272">
        <v>-16.047925353193651</v>
      </c>
      <c r="FO118" s="272">
        <v>-16.006064364186489</v>
      </c>
      <c r="FP118" s="272">
        <v>-15.964346570416719</v>
      </c>
      <c r="FQ118" s="272">
        <v>-15.92276901719465</v>
      </c>
      <c r="FR118" s="272">
        <v>-15.88132859783923</v>
      </c>
      <c r="FS118" s="272">
        <v>-15.840022060996789</v>
      </c>
      <c r="FT118" s="272">
        <v>-15.79884601849783</v>
      </c>
      <c r="FU118" s="272">
        <v>-15.757796953704011</v>
      </c>
      <c r="FV118" s="272">
        <v>-15.71687123029484</v>
      </c>
      <c r="FW118" s="272">
        <v>-15.67606510144002</v>
      </c>
      <c r="FX118" s="272">
        <v>-15.63537471930216</v>
      </c>
      <c r="FY118" s="272">
        <v>-15.59479614481196</v>
      </c>
      <c r="FZ118" s="272">
        <v>-15.554325357657889</v>
      </c>
      <c r="GA118" s="272">
        <v>-15.51395826643137</v>
      </c>
      <c r="GB118" s="272">
        <v>-15.4736907188689</v>
      </c>
      <c r="GC118" s="272">
        <v>-15.433518512133309</v>
      </c>
    </row>
    <row r="119" spans="2:185" ht="15" thickBot="1" x14ac:dyDescent="0.4">
      <c r="B119" s="298">
        <v>113</v>
      </c>
      <c r="C119" s="275">
        <v>-17.93975782878676</v>
      </c>
      <c r="D119" s="275">
        <v>-17.89795388201448</v>
      </c>
      <c r="E119" s="275">
        <v>-17.856094737225071</v>
      </c>
      <c r="F119" s="275">
        <v>-17.814181704586531</v>
      </c>
      <c r="G119" s="275">
        <v>-17.77221619323451</v>
      </c>
      <c r="H119" s="275">
        <v>-17.73019971278428</v>
      </c>
      <c r="I119" s="275">
        <v>-17.688133874663439</v>
      </c>
      <c r="J119" s="275">
        <v>-17.646020393252719</v>
      </c>
      <c r="K119" s="275">
        <v>-17.603861086823098</v>
      </c>
      <c r="L119" s="275">
        <v>-17.561657878256881</v>
      </c>
      <c r="M119" s="275">
        <v>-17.519412795541889</v>
      </c>
      <c r="N119" s="275">
        <v>-17.477127972027329</v>
      </c>
      <c r="O119" s="275">
        <v>-17.434805646431471</v>
      </c>
      <c r="P119" s="275">
        <v>-17.39244816259103</v>
      </c>
      <c r="Q119" s="275">
        <v>-17.35005796894383</v>
      </c>
      <c r="R119" s="275">
        <v>-17.30763761773612</v>
      </c>
      <c r="S119" s="275">
        <v>-17.265189763947649</v>
      </c>
      <c r="T119" s="275">
        <v>-17.222717163928088</v>
      </c>
      <c r="U119" s="275">
        <v>-17.18022267373944</v>
      </c>
      <c r="V119" s="275">
        <v>-17.137709247200359</v>
      </c>
      <c r="W119" s="275">
        <v>-17.095179933629019</v>
      </c>
      <c r="X119" s="275">
        <v>-17.05263787528288</v>
      </c>
      <c r="Y119" s="275">
        <v>-17.01008630449418</v>
      </c>
      <c r="Z119" s="275">
        <v>-16.967528540502009</v>
      </c>
      <c r="AA119" s="275">
        <v>-16.92496798598226</v>
      </c>
      <c r="AB119" s="275">
        <v>-16.882408123278779</v>
      </c>
      <c r="AC119" s="275">
        <v>-16.839852510339671</v>
      </c>
      <c r="AD119" s="275">
        <v>-16.797304776364371</v>
      </c>
      <c r="AE119" s="275">
        <v>-16.754768617168441</v>
      </c>
      <c r="AF119" s="275">
        <v>-16.71224779027385</v>
      </c>
      <c r="AG119" s="275">
        <v>-16.669746109734358</v>
      </c>
      <c r="AH119" s="275">
        <v>-16.627267440706419</v>
      </c>
      <c r="AI119" s="275">
        <v>-16.584815693777379</v>
      </c>
      <c r="AJ119" s="275">
        <v>-16.542394819064029</v>
      </c>
      <c r="AK119" s="275">
        <v>-16.500008800095479</v>
      </c>
      <c r="AL119" s="275">
        <v>-16.457661647495652</v>
      </c>
      <c r="AM119" s="275">
        <v>-16.41535739248155</v>
      </c>
      <c r="AN119" s="275">
        <v>-16.373100080194661</v>
      </c>
      <c r="AO119" s="275">
        <v>-16.330893762883601</v>
      </c>
      <c r="AP119" s="275">
        <v>-16.288742492957141</v>
      </c>
      <c r="AQ119" s="275">
        <v>-16.246650315927461</v>
      </c>
      <c r="AR119" s="275">
        <v>-16.204621263264361</v>
      </c>
      <c r="AS119" s="275">
        <v>-16.162659345181869</v>
      </c>
      <c r="AT119" s="275">
        <v>-16.120768543378912</v>
      </c>
      <c r="AU119" s="275">
        <v>-16.078952803756899</v>
      </c>
      <c r="AV119" s="275">
        <v>-16.037216029137099</v>
      </c>
      <c r="AW119" s="275">
        <v>-15.99556207200091</v>
      </c>
      <c r="AX119" s="275">
        <v>-15.953994727276941</v>
      </c>
      <c r="AY119" s="275">
        <v>-15.912517725198491</v>
      </c>
      <c r="AZ119" s="275">
        <v>-15.871134724255541</v>
      </c>
      <c r="BA119" s="275">
        <v>-15.829849304264769</v>
      </c>
      <c r="BB119" s="275">
        <v>-15.78866495958175</v>
      </c>
      <c r="BC119" s="275">
        <v>-15.74758509247871</v>
      </c>
      <c r="BD119" s="275">
        <v>-15.706613006710819</v>
      </c>
      <c r="BE119" s="275">
        <v>-15.66575190129433</v>
      </c>
      <c r="BF119" s="275">
        <v>-15.62500486451812</v>
      </c>
      <c r="BG119" s="275">
        <v>-15.584374868210601</v>
      </c>
      <c r="BH119" s="275">
        <v>-15.54386476228254</v>
      </c>
      <c r="BI119" s="275">
        <v>-15.503477269565529</v>
      </c>
      <c r="BJ119" s="275">
        <v>-15.46321498096489</v>
      </c>
      <c r="BK119" s="275">
        <v>-15.423080350944691</v>
      </c>
      <c r="BL119" s="275">
        <v>-15.383075693361009</v>
      </c>
      <c r="BM119" s="275">
        <v>-15.343203177658509</v>
      </c>
      <c r="BN119" s="275">
        <v>-15.303464825443781</v>
      </c>
      <c r="BO119" s="275">
        <v>-15.263862507447159</v>
      </c>
      <c r="BP119" s="275">
        <v>-15.22439794088351</v>
      </c>
      <c r="BQ119" s="275">
        <v>-15.18507268722016</v>
      </c>
      <c r="BR119" s="275">
        <v>-15.145888150358701</v>
      </c>
      <c r="BS119" s="275">
        <v>-15.1068455752355</v>
      </c>
      <c r="BT119" s="275">
        <v>-15.06794604684376</v>
      </c>
      <c r="BU119" s="275">
        <v>-15.02919048967791</v>
      </c>
      <c r="BV119" s="275">
        <v>-14.9905796675994</v>
      </c>
      <c r="BW119" s="275">
        <v>-14.95211418412088</v>
      </c>
      <c r="BX119" s="275">
        <v>-14.91379448310378</v>
      </c>
      <c r="BY119" s="275">
        <v>-14.875620849862409</v>
      </c>
      <c r="BZ119" s="275">
        <v>-14.83759341266591</v>
      </c>
      <c r="CA119" s="275">
        <v>-14.79971214462746</v>
      </c>
      <c r="CB119" s="275">
        <v>-14.761976865968659</v>
      </c>
      <c r="CC119" s="275">
        <v>-14.72438724664484</v>
      </c>
      <c r="CD119" s="275">
        <v>-14.68694280931645</v>
      </c>
      <c r="CE119" s="275">
        <v>-14.649642932649019</v>
      </c>
      <c r="CF119" s="275">
        <v>-14.612486854924221</v>
      </c>
      <c r="CG119" s="275">
        <v>-14.575473677942361</v>
      </c>
      <c r="CH119" s="275">
        <v>-14.538602371196101</v>
      </c>
      <c r="CI119" s="275">
        <v>-14.5018717762945</v>
      </c>
      <c r="CJ119" s="275">
        <v>-14.465280611615089</v>
      </c>
      <c r="CK119" s="275">
        <v>-14.42882747716212</v>
      </c>
      <c r="CL119" s="275">
        <v>-14.392510859607739</v>
      </c>
      <c r="CM119" s="275">
        <v>-14.35632913749323</v>
      </c>
      <c r="CN119" s="275">
        <v>-14.32028058656733</v>
      </c>
      <c r="CO119" s="275">
        <v>-14.284363385238249</v>
      </c>
      <c r="CP119" s="275"/>
      <c r="CQ119" s="276">
        <v>-19.831263986400401</v>
      </c>
      <c r="CR119" s="276">
        <v>-19.780188526709161</v>
      </c>
      <c r="CS119" s="276">
        <v>-19.72916238621902</v>
      </c>
      <c r="CT119" s="276">
        <v>-19.678187625672269</v>
      </c>
      <c r="CU119" s="276">
        <v>-19.627266327660092</v>
      </c>
      <c r="CV119" s="276">
        <v>-19.576400595931911</v>
      </c>
      <c r="CW119" s="276">
        <v>-19.525592554709711</v>
      </c>
      <c r="CX119" s="276">
        <v>-19.47484434800857</v>
      </c>
      <c r="CY119" s="276">
        <v>-19.42415813896352</v>
      </c>
      <c r="CZ119" s="276">
        <v>-19.373536109162419</v>
      </c>
      <c r="DA119" s="276">
        <v>-19.32298045798478</v>
      </c>
      <c r="DB119" s="276">
        <v>-19.272493401943759</v>
      </c>
      <c r="DC119" s="276">
        <v>-19.222077174030041</v>
      </c>
      <c r="DD119" s="276">
        <v>-19.171734023053531</v>
      </c>
      <c r="DE119" s="276">
        <v>-19.121466212979431</v>
      </c>
      <c r="DF119" s="276">
        <v>-19.071276022252871</v>
      </c>
      <c r="DG119" s="276">
        <v>-19.021165743106739</v>
      </c>
      <c r="DH119" s="276">
        <v>-18.97113768084526</v>
      </c>
      <c r="DI119" s="276">
        <v>-18.921194153095399</v>
      </c>
      <c r="DJ119" s="276">
        <v>-18.871337489017119</v>
      </c>
      <c r="DK119" s="276">
        <v>-18.82157002846262</v>
      </c>
      <c r="DL119" s="276">
        <v>-18.77189412107337</v>
      </c>
      <c r="DM119" s="276">
        <v>-18.722312125303439</v>
      </c>
      <c r="DN119" s="276">
        <v>-18.672826407356439</v>
      </c>
      <c r="DO119" s="276">
        <v>-18.623439340022848</v>
      </c>
      <c r="DP119" s="276">
        <v>-18.574153301403669</v>
      </c>
      <c r="DQ119" s="276">
        <v>-18.52497067350636</v>
      </c>
      <c r="DR119" s="276">
        <v>-18.47589384069801</v>
      </c>
      <c r="DS119" s="276">
        <v>-18.426925188001231</v>
      </c>
      <c r="DT119" s="276">
        <v>-18.378067099217549</v>
      </c>
      <c r="DU119" s="276">
        <v>-18.329321954864081</v>
      </c>
      <c r="DV119" s="276">
        <v>-18.28069212990907</v>
      </c>
      <c r="DW119" s="276">
        <v>-18.2321799912926</v>
      </c>
      <c r="DX119" s="276">
        <v>-18.183787895220259</v>
      </c>
      <c r="DY119" s="276">
        <v>-18.13551818421773</v>
      </c>
      <c r="DZ119" s="276">
        <v>-18.08737318393656</v>
      </c>
      <c r="EA119" s="276">
        <v>-18.0393551997023</v>
      </c>
      <c r="EB119" s="276">
        <v>-17.991466512798809</v>
      </c>
      <c r="EC119" s="276">
        <v>-17.943709376483589</v>
      </c>
      <c r="ED119" s="276">
        <v>-17.896086011732649</v>
      </c>
      <c r="EE119" s="276">
        <v>-17.848598602715089</v>
      </c>
      <c r="EF119" s="276">
        <v>-17.801249292000559</v>
      </c>
      <c r="EG119" s="276">
        <v>-17.754040175505949</v>
      </c>
      <c r="EH119" s="276">
        <v>-17.706973297190771</v>
      </c>
      <c r="EI119" s="276">
        <v>-17.660050643513362</v>
      </c>
      <c r="EJ119" s="276">
        <v>-17.613274137664639</v>
      </c>
      <c r="EK119" s="276">
        <v>-17.566645633597791</v>
      </c>
      <c r="EL119" s="276">
        <v>-17.520166909877489</v>
      </c>
      <c r="EM119" s="276">
        <v>-17.47383966337404</v>
      </c>
      <c r="EN119" s="276">
        <v>-17.427665502832479</v>
      </c>
      <c r="EO119" s="276">
        <v>-17.381645942348602</v>
      </c>
      <c r="EP119" s="276">
        <v>-17.335782394787891</v>
      </c>
      <c r="EQ119" s="276">
        <v>-17.29007616518539</v>
      </c>
      <c r="ER119" s="276">
        <v>-17.24452844416729</v>
      </c>
      <c r="ES119" s="276">
        <v>-17.199140301437598</v>
      </c>
      <c r="ET119" s="276">
        <v>-17.153912679373921</v>
      </c>
      <c r="EU119" s="276">
        <v>-17.108846386779302</v>
      </c>
      <c r="EV119" s="276">
        <v>-17.06394209283679</v>
      </c>
      <c r="EW119" s="276">
        <v>-17.019200321314621</v>
      </c>
      <c r="EX119" s="276">
        <v>-16.974621445069388</v>
      </c>
      <c r="EY119" s="276">
        <v>-16.930205680894989</v>
      </c>
      <c r="EZ119" s="276">
        <v>-16.885953084762761</v>
      </c>
      <c r="FA119" s="276">
        <v>-16.84186354749804</v>
      </c>
      <c r="FB119" s="276">
        <v>-16.797936790935481</v>
      </c>
      <c r="FC119" s="276">
        <v>-16.75417236459295</v>
      </c>
      <c r="FD119" s="276">
        <v>-16.710569642901351</v>
      </c>
      <c r="FE119" s="276">
        <v>-16.66712782302336</v>
      </c>
      <c r="FF119" s="276">
        <v>-16.623845923290769</v>
      </c>
      <c r="FG119" s="276">
        <v>-16.58072278228558</v>
      </c>
      <c r="FH119" s="276">
        <v>-16.537757058584958</v>
      </c>
      <c r="FI119" s="276">
        <v>-16.494947231185979</v>
      </c>
      <c r="FJ119" s="272">
        <v>-16.45229160061978</v>
      </c>
      <c r="FK119" s="272">
        <v>-16.409788290760901</v>
      </c>
      <c r="FL119" s="272">
        <v>-16.367435251330079</v>
      </c>
      <c r="FM119" s="272">
        <v>-16.325230261085672</v>
      </c>
      <c r="FN119" s="272">
        <v>-16.28317093169106</v>
      </c>
      <c r="FO119" s="272">
        <v>-16.241254712241879</v>
      </c>
      <c r="FP119" s="272">
        <v>-16.199478894430641</v>
      </c>
      <c r="FQ119" s="272">
        <v>-16.157840618321579</v>
      </c>
      <c r="FR119" s="272">
        <v>-16.116336878704441</v>
      </c>
      <c r="FS119" s="272">
        <v>-16.074964531990179</v>
      </c>
      <c r="FT119" s="272">
        <v>-16.033720303609851</v>
      </c>
      <c r="FU119" s="272">
        <v>-15.992600795871819</v>
      </c>
      <c r="FV119" s="272">
        <v>-15.951602496231301</v>
      </c>
      <c r="FW119" s="272">
        <v>-15.910721785923281</v>
      </c>
      <c r="FX119" s="272">
        <v>-15.869954948906949</v>
      </c>
      <c r="FY119" s="272">
        <v>-15.829298181069531</v>
      </c>
      <c r="FZ119" s="272">
        <v>-15.788747599635521</v>
      </c>
      <c r="GA119" s="272">
        <v>-15.748299252727231</v>
      </c>
      <c r="GB119" s="272">
        <v>-15.707949129022881</v>
      </c>
      <c r="GC119" s="272">
        <v>-15.66769316745844</v>
      </c>
    </row>
    <row r="120" spans="2:185" ht="15" thickBot="1" x14ac:dyDescent="0.4">
      <c r="B120" s="298">
        <v>114</v>
      </c>
      <c r="C120" s="275">
        <v>-18.152462967754779</v>
      </c>
      <c r="D120" s="275">
        <v>-18.11069017044289</v>
      </c>
      <c r="E120" s="275">
        <v>-18.068863801489961</v>
      </c>
      <c r="F120" s="275">
        <v>-18.026985176562011</v>
      </c>
      <c r="G120" s="275">
        <v>-17.98505570731102</v>
      </c>
      <c r="H120" s="275">
        <v>-17.94307690275545</v>
      </c>
      <c r="I120" s="275">
        <v>-17.901050370486828</v>
      </c>
      <c r="J120" s="275">
        <v>-17.858977817690519</v>
      </c>
      <c r="K120" s="275">
        <v>-17.81686105196929</v>
      </c>
      <c r="L120" s="275">
        <v>-17.774701981958781</v>
      </c>
      <c r="M120" s="275">
        <v>-17.732502617724101</v>
      </c>
      <c r="N120" s="275">
        <v>-17.69026507092768</v>
      </c>
      <c r="O120" s="275">
        <v>-17.647991554758271</v>
      </c>
      <c r="P120" s="275">
        <v>-17.6056843836129</v>
      </c>
      <c r="Q120" s="275">
        <v>-17.563345972522828</v>
      </c>
      <c r="R120" s="275">
        <v>-17.52097883631653</v>
      </c>
      <c r="S120" s="275">
        <v>-17.4785855885128</v>
      </c>
      <c r="T120" s="275">
        <v>-17.43616893993833</v>
      </c>
      <c r="U120" s="275">
        <v>-17.393731697065029</v>
      </c>
      <c r="V120" s="275">
        <v>-17.35127676006303</v>
      </c>
      <c r="W120" s="275">
        <v>-17.30880712056701</v>
      </c>
      <c r="X120" s="275">
        <v>-17.266325859153898</v>
      </c>
      <c r="Y120" s="275">
        <v>-17.223836142531479</v>
      </c>
      <c r="Z120" s="275">
        <v>-17.181341220438629</v>
      </c>
      <c r="AA120" s="275">
        <v>-17.138844422258789</v>
      </c>
      <c r="AB120" s="275">
        <v>-17.09634915334998</v>
      </c>
      <c r="AC120" s="275">
        <v>-17.053858891095061</v>
      </c>
      <c r="AD120" s="275">
        <v>-17.011377180678199</v>
      </c>
      <c r="AE120" s="275">
        <v>-16.968907630593719</v>
      </c>
      <c r="AF120" s="275">
        <v>-16.926453907895439</v>
      </c>
      <c r="AG120" s="275">
        <v>-16.884019733195249</v>
      </c>
      <c r="AH120" s="275">
        <v>-16.841608875421311</v>
      </c>
      <c r="AI120" s="275">
        <v>-16.799225146347052</v>
      </c>
      <c r="AJ120" s="275">
        <v>-16.7568723949034</v>
      </c>
      <c r="AK120" s="275">
        <v>-16.71455450128779</v>
      </c>
      <c r="AL120" s="275">
        <v>-16.672275370884481</v>
      </c>
      <c r="AM120" s="275">
        <v>-16.63003892801159</v>
      </c>
      <c r="AN120" s="275">
        <v>-16.587849109511499</v>
      </c>
      <c r="AO120" s="275">
        <v>-16.54570985820185</v>
      </c>
      <c r="AP120" s="275">
        <v>-16.503625116205441</v>
      </c>
      <c r="AQ120" s="275">
        <v>-16.461598818177841</v>
      </c>
      <c r="AR120" s="275">
        <v>-16.419634884452648</v>
      </c>
      <c r="AS120" s="275">
        <v>-16.377737214124469</v>
      </c>
      <c r="AT120" s="275">
        <v>-16.33590967809063</v>
      </c>
      <c r="AU120" s="275">
        <v>-16.294156112073171</v>
      </c>
      <c r="AV120" s="275">
        <v>-16.252480309642639</v>
      </c>
      <c r="AW120" s="275">
        <v>-16.210886015266041</v>
      </c>
      <c r="AX120" s="275">
        <v>-16.169376917401369</v>
      </c>
      <c r="AY120" s="275">
        <v>-16.127956641661171</v>
      </c>
      <c r="AZ120" s="275">
        <v>-16.086628744067841</v>
      </c>
      <c r="BA120" s="275">
        <v>-16.045396704423261</v>
      </c>
      <c r="BB120" s="275">
        <v>-16.004263919815308</v>
      </c>
      <c r="BC120" s="275">
        <v>-15.9632336982833</v>
      </c>
      <c r="BD120" s="275">
        <v>-15.922309252664681</v>
      </c>
      <c r="BE120" s="275">
        <v>-15.881493694643931</v>
      </c>
      <c r="BF120" s="275">
        <v>-15.84079002902501</v>
      </c>
      <c r="BG120" s="275">
        <v>-15.800201148247501</v>
      </c>
      <c r="BH120" s="275">
        <v>-15.759729827165829</v>
      </c>
      <c r="BI120" s="275">
        <v>-15.719378718110359</v>
      </c>
      <c r="BJ120" s="275">
        <v>-15.67915034624772</v>
      </c>
      <c r="BK120" s="275">
        <v>-15.63904710525726</v>
      </c>
      <c r="BL120" s="275">
        <v>-15.59907125333857</v>
      </c>
      <c r="BM120" s="275">
        <v>-15.55922490956427</v>
      </c>
      <c r="BN120" s="275">
        <v>-15.519510050590659</v>
      </c>
      <c r="BO120" s="275">
        <v>-15.479928507737331</v>
      </c>
      <c r="BP120" s="275">
        <v>-15.44048196444521</v>
      </c>
      <c r="BQ120" s="275">
        <v>-15.40117195412124</v>
      </c>
      <c r="BR120" s="275">
        <v>-15.36199985837543</v>
      </c>
      <c r="BS120" s="275">
        <v>-15.32296690565529</v>
      </c>
      <c r="BT120" s="275">
        <v>-15.284074170279901</v>
      </c>
      <c r="BU120" s="275">
        <v>-15.24532257187469</v>
      </c>
      <c r="BV120" s="275">
        <v>-15.206712875206041</v>
      </c>
      <c r="BW120" s="275">
        <v>-15.168245690412551</v>
      </c>
      <c r="BX120" s="275">
        <v>-15.129921473629</v>
      </c>
      <c r="BY120" s="275">
        <v>-15.091740527996009</v>
      </c>
      <c r="BZ120" s="275">
        <v>-15.053703005047741</v>
      </c>
      <c r="CA120" s="275">
        <v>-15.01580890646758</v>
      </c>
      <c r="CB120" s="275">
        <v>-14.97805808620071</v>
      </c>
      <c r="CC120" s="275">
        <v>-14.94045025291031</v>
      </c>
      <c r="CD120" s="275">
        <v>-14.902984972763329</v>
      </c>
      <c r="CE120" s="275">
        <v>-14.865661672530161</v>
      </c>
      <c r="CF120" s="275">
        <v>-14.82847964298111</v>
      </c>
      <c r="CG120" s="275">
        <v>-14.79143804256212</v>
      </c>
      <c r="CH120" s="275">
        <v>-14.754535901330369</v>
      </c>
      <c r="CI120" s="275">
        <v>-14.717772125130541</v>
      </c>
      <c r="CJ120" s="275">
        <v>-14.681145499991009</v>
      </c>
      <c r="CK120" s="275">
        <v>-14.644654696719099</v>
      </c>
      <c r="CL120" s="275">
        <v>-14.608298275674249</v>
      </c>
      <c r="CM120" s="275">
        <v>-14.572074691697489</v>
      </c>
      <c r="CN120" s="275">
        <v>-14.53598229917521</v>
      </c>
      <c r="CO120" s="275">
        <v>-14.50001935721609</v>
      </c>
      <c r="CP120" s="275"/>
      <c r="CQ120" s="276">
        <v>-20.064003002418811</v>
      </c>
      <c r="CR120" s="276">
        <v>-20.01299408560994</v>
      </c>
      <c r="CS120" s="276">
        <v>-19.962034741034209</v>
      </c>
      <c r="CT120" s="276">
        <v>-19.911126998970381</v>
      </c>
      <c r="CU120" s="276">
        <v>-19.860272910859582</v>
      </c>
      <c r="CV120" s="276">
        <v>-19.80947454861553</v>
      </c>
      <c r="CW120" s="276">
        <v>-19.758734003935899</v>
      </c>
      <c r="CX120" s="276">
        <v>-19.70805338761572</v>
      </c>
      <c r="CY120" s="276">
        <v>-19.657434828862471</v>
      </c>
      <c r="CZ120" s="276">
        <v>-19.60688047461278</v>
      </c>
      <c r="DA120" s="276">
        <v>-19.556392488849561</v>
      </c>
      <c r="DB120" s="276">
        <v>-19.505973051917518</v>
      </c>
      <c r="DC120" s="276">
        <v>-19.45562435983479</v>
      </c>
      <c r="DD120" s="276">
        <v>-19.405348623597391</v>
      </c>
      <c r="DE120" s="276">
        <v>-19.35514806847215</v>
      </c>
      <c r="DF120" s="276">
        <v>-19.305024933273518</v>
      </c>
      <c r="DG120" s="276">
        <v>-19.254981469618048</v>
      </c>
      <c r="DH120" s="276">
        <v>-19.205019941150159</v>
      </c>
      <c r="DI120" s="276">
        <v>-19.15514262273128</v>
      </c>
      <c r="DJ120" s="276">
        <v>-19.105351799584191</v>
      </c>
      <c r="DK120" s="276">
        <v>-19.055649766382949</v>
      </c>
      <c r="DL120" s="276">
        <v>-19.006038826278679</v>
      </c>
      <c r="DM120" s="276">
        <v>-18.95652128984991</v>
      </c>
      <c r="DN120" s="276">
        <v>-18.907099473966269</v>
      </c>
      <c r="DO120" s="276">
        <v>-18.85777570055307</v>
      </c>
      <c r="DP120" s="276">
        <v>-18.80855229524445</v>
      </c>
      <c r="DQ120" s="276">
        <v>-18.759431585911791</v>
      </c>
      <c r="DR120" s="276">
        <v>-18.71041590105439</v>
      </c>
      <c r="DS120" s="276">
        <v>-18.66150756803901</v>
      </c>
      <c r="DT120" s="276">
        <v>-18.612708911174821</v>
      </c>
      <c r="DU120" s="276">
        <v>-18.564022249611149</v>
      </c>
      <c r="DV120" s="276">
        <v>-18.51544989504535</v>
      </c>
      <c r="DW120" s="276">
        <v>-18.466994149228832</v>
      </c>
      <c r="DX120" s="276">
        <v>-18.418657301260609</v>
      </c>
      <c r="DY120" s="276">
        <v>-18.37044162465828</v>
      </c>
      <c r="DZ120" s="276">
        <v>-18.322349374197969</v>
      </c>
      <c r="EA120" s="276">
        <v>-18.274382782516341</v>
      </c>
      <c r="EB120" s="276">
        <v>-18.226544056469439</v>
      </c>
      <c r="EC120" s="276">
        <v>-18.178835373245239</v>
      </c>
      <c r="ED120" s="276">
        <v>-18.131258876228848</v>
      </c>
      <c r="EE120" s="276">
        <v>-18.0838166706219</v>
      </c>
      <c r="EF120" s="276">
        <v>-18.036510818819838</v>
      </c>
      <c r="EG120" s="276">
        <v>-17.989343335554281</v>
      </c>
      <c r="EH120" s="276">
        <v>-17.942316182809531</v>
      </c>
      <c r="EI120" s="276">
        <v>-17.895431264526099</v>
      </c>
      <c r="EJ120" s="276">
        <v>-17.848690421106891</v>
      </c>
      <c r="EK120" s="276">
        <v>-17.802095423744252</v>
      </c>
      <c r="EL120" s="276">
        <v>-17.755647968590331</v>
      </c>
      <c r="EM120" s="276">
        <v>-17.709349670794548</v>
      </c>
      <c r="EN120" s="276">
        <v>-17.663202058437051</v>
      </c>
      <c r="EO120" s="276">
        <v>-17.617206566387491</v>
      </c>
      <c r="EP120" s="276">
        <v>-17.5713645301234</v>
      </c>
      <c r="EQ120" s="276">
        <v>-17.525677179542839</v>
      </c>
      <c r="ER120" s="276">
        <v>-17.480145632810121</v>
      </c>
      <c r="ES120" s="276">
        <v>-17.434770890273441</v>
      </c>
      <c r="ET120" s="276">
        <v>-17.38955382849646</v>
      </c>
      <c r="EU120" s="276">
        <v>-17.34449519444572</v>
      </c>
      <c r="EV120" s="276">
        <v>-17.29959559987801</v>
      </c>
      <c r="EW120" s="276">
        <v>-17.25485551597054</v>
      </c>
      <c r="EX120" s="276">
        <v>-17.210275268238082</v>
      </c>
      <c r="EY120" s="276">
        <v>-17.165855031780271</v>
      </c>
      <c r="EZ120" s="276">
        <v>-17.121594826900768</v>
      </c>
      <c r="FA120" s="276">
        <v>-17.077494515139609</v>
      </c>
      <c r="FB120" s="276">
        <v>-17.033553795756632</v>
      </c>
      <c r="FC120" s="276">
        <v>-16.989772202703271</v>
      </c>
      <c r="FD120" s="276">
        <v>-16.946149102115459</v>
      </c>
      <c r="FE120" s="276">
        <v>-16.90268369035854</v>
      </c>
      <c r="FF120" s="276">
        <v>-16.859374992650299</v>
      </c>
      <c r="FG120" s="276">
        <v>-16.816221862285119</v>
      </c>
      <c r="FH120" s="276">
        <v>-16.773222980477751</v>
      </c>
      <c r="FI120" s="276">
        <v>-16.730376856840099</v>
      </c>
      <c r="FJ120" s="272">
        <v>-16.687681830500651</v>
      </c>
      <c r="FK120" s="272">
        <v>-16.645136071870439</v>
      </c>
      <c r="FL120" s="272">
        <v>-16.602737585054999</v>
      </c>
      <c r="FM120" s="272">
        <v>-16.56048421090647</v>
      </c>
      <c r="FN120" s="272">
        <v>-16.518373630705089</v>
      </c>
      <c r="FO120" s="272">
        <v>-16.476403370454641</v>
      </c>
      <c r="FP120" s="272">
        <v>-16.43457080577118</v>
      </c>
      <c r="FQ120" s="272">
        <v>-16.39287316734066</v>
      </c>
      <c r="FR120" s="272">
        <v>-16.351307546915809</v>
      </c>
      <c r="FS120" s="272">
        <v>-16.30987090381937</v>
      </c>
      <c r="FT120" s="272">
        <v>-16.268560071917019</v>
      </c>
      <c r="FU120" s="272">
        <v>-16.227371767019861</v>
      </c>
      <c r="FV120" s="272">
        <v>-16.186302594673769</v>
      </c>
      <c r="FW120" s="272">
        <v>-16.145349058290488</v>
      </c>
      <c r="FX120" s="272">
        <v>-16.10450756757346</v>
      </c>
      <c r="FY120" s="272">
        <v>-16.063774447189608</v>
      </c>
      <c r="FZ120" s="272">
        <v>-16.023145945638351</v>
      </c>
      <c r="GA120" s="272">
        <v>-15.982618244267289</v>
      </c>
      <c r="GB120" s="272">
        <v>-15.942187466385169</v>
      </c>
      <c r="GC120" s="272">
        <v>-15.90184968642242</v>
      </c>
    </row>
    <row r="121" spans="2:185" ht="15" thickBot="1" x14ac:dyDescent="0.4">
      <c r="B121" s="298">
        <v>115</v>
      </c>
      <c r="C121" s="275">
        <v>-18.365184124972281</v>
      </c>
      <c r="D121" s="275">
        <v>-18.323442680692111</v>
      </c>
      <c r="E121" s="275">
        <v>-18.28164925034217</v>
      </c>
      <c r="F121" s="275">
        <v>-18.239805153717089</v>
      </c>
      <c r="G121" s="275">
        <v>-18.19791180369635</v>
      </c>
      <c r="H121" s="275">
        <v>-18.155970707501979</v>
      </c>
      <c r="I121" s="275">
        <v>-18.113983467787151</v>
      </c>
      <c r="J121" s="275">
        <v>-18.071951783544868</v>
      </c>
      <c r="K121" s="275">
        <v>-18.02987745082617</v>
      </c>
      <c r="L121" s="275">
        <v>-17.987762363257499</v>
      </c>
      <c r="M121" s="275">
        <v>-17.94560851234732</v>
      </c>
      <c r="N121" s="275">
        <v>-17.90341798757272</v>
      </c>
      <c r="O121" s="275">
        <v>-17.86119297623689</v>
      </c>
      <c r="P121" s="275">
        <v>-17.818935763089449</v>
      </c>
      <c r="Q121" s="275">
        <v>-17.776648729701801</v>
      </c>
      <c r="R121" s="275">
        <v>-17.73433435359086</v>
      </c>
      <c r="S121" s="275">
        <v>-17.691995207084851</v>
      </c>
      <c r="T121" s="275">
        <v>-17.649633955926099</v>
      </c>
      <c r="U121" s="275">
        <v>-17.60725335760651</v>
      </c>
      <c r="V121" s="275">
        <v>-17.564856259432201</v>
      </c>
      <c r="W121" s="275">
        <v>-17.52244559631492</v>
      </c>
      <c r="X121" s="275">
        <v>-17.480024388289081</v>
      </c>
      <c r="Y121" s="275">
        <v>-17.437595737753838</v>
      </c>
      <c r="Z121" s="275">
        <v>-17.39516282644113</v>
      </c>
      <c r="AA121" s="275">
        <v>-17.352728912111552</v>
      </c>
      <c r="AB121" s="275">
        <v>-17.3102973249811</v>
      </c>
      <c r="AC121" s="275">
        <v>-17.267871463882841</v>
      </c>
      <c r="AD121" s="275">
        <v>-17.225454792168971</v>
      </c>
      <c r="AE121" s="275">
        <v>-17.183050833359459</v>
      </c>
      <c r="AF121" s="275">
        <v>-17.140663166545082</v>
      </c>
      <c r="AG121" s="275">
        <v>-17.098295421553331</v>
      </c>
      <c r="AH121" s="275">
        <v>-17.0559512738871</v>
      </c>
      <c r="AI121" s="275">
        <v>-17.013634439446989</v>
      </c>
      <c r="AJ121" s="275">
        <v>-16.971348669048989</v>
      </c>
      <c r="AK121" s="275">
        <v>-16.929097742750731</v>
      </c>
      <c r="AL121" s="275">
        <v>-16.886885463999938</v>
      </c>
      <c r="AM121" s="275">
        <v>-16.84471565362011</v>
      </c>
      <c r="AN121" s="275">
        <v>-16.802592143649061</v>
      </c>
      <c r="AO121" s="275">
        <v>-16.7605187710469</v>
      </c>
      <c r="AP121" s="275">
        <v>-16.718499371290829</v>
      </c>
      <c r="AQ121" s="275">
        <v>-16.676537771874809</v>
      </c>
      <c r="AR121" s="275">
        <v>-16.63463778573291</v>
      </c>
      <c r="AS121" s="275">
        <v>-16.592803204605559</v>
      </c>
      <c r="AT121" s="275">
        <v>-16.551037792368771</v>
      </c>
      <c r="AU121" s="275">
        <v>-16.509345278346419</v>
      </c>
      <c r="AV121" s="275">
        <v>-16.467729350626641</v>
      </c>
      <c r="AW121" s="275">
        <v>-16.426193649403078</v>
      </c>
      <c r="AX121" s="275">
        <v>-16.384741760362449</v>
      </c>
      <c r="AY121" s="275">
        <v>-16.343377208139621</v>
      </c>
      <c r="AZ121" s="275">
        <v>-16.302103449861971</v>
      </c>
      <c r="BA121" s="275">
        <v>-16.26092386880406</v>
      </c>
      <c r="BB121" s="275">
        <v>-16.219841768174181</v>
      </c>
      <c r="BC121" s="275">
        <v>-16.178860365053708</v>
      </c>
      <c r="BD121" s="275">
        <v>-16.137982784509951</v>
      </c>
      <c r="BE121" s="275">
        <v>-16.097212053902759</v>
      </c>
      <c r="BF121" s="275">
        <v>-16.05655109740481</v>
      </c>
      <c r="BG121" s="275">
        <v>-16.016002730754401</v>
      </c>
      <c r="BH121" s="275">
        <v>-15.97556965625934</v>
      </c>
      <c r="BI121" s="275">
        <v>-15.935254458069259</v>
      </c>
      <c r="BJ121" s="275">
        <v>-15.89505959773312</v>
      </c>
      <c r="BK121" s="275">
        <v>-15.854987410057269</v>
      </c>
      <c r="BL121" s="275">
        <v>-15.81504009927855</v>
      </c>
      <c r="BM121" s="275">
        <v>-15.775219735565431</v>
      </c>
      <c r="BN121" s="275">
        <v>-15.735528251859259</v>
      </c>
      <c r="BO121" s="275">
        <v>-15.69596744106588</v>
      </c>
      <c r="BP121" s="275">
        <v>-15.656538953606541</v>
      </c>
      <c r="BQ121" s="275">
        <v>-15.6172442953357</v>
      </c>
      <c r="BR121" s="275">
        <v>-15.578084825831411</v>
      </c>
      <c r="BS121" s="275">
        <v>-15.53906175706252</v>
      </c>
      <c r="BT121" s="275">
        <v>-15.500176152435261</v>
      </c>
      <c r="BU121" s="275">
        <v>-15.46142892622002</v>
      </c>
      <c r="BV121" s="275">
        <v>-15.422820843357361</v>
      </c>
      <c r="BW121" s="275">
        <v>-15.38435251964099</v>
      </c>
      <c r="BX121" s="275">
        <v>-15.346024422273</v>
      </c>
      <c r="BY121" s="275">
        <v>-15.30783687078595</v>
      </c>
      <c r="BZ121" s="275">
        <v>-15.269790038323871</v>
      </c>
      <c r="CA121" s="275">
        <v>-15.23188395327333</v>
      </c>
      <c r="CB121" s="275">
        <v>-15.19411850123398</v>
      </c>
      <c r="CC121" s="275">
        <v>-15.15649342731642</v>
      </c>
      <c r="CD121" s="275">
        <v>-15.11900833875425</v>
      </c>
      <c r="CE121" s="275">
        <v>-15.08166270781564</v>
      </c>
      <c r="CF121" s="275">
        <v>-15.04445587499861</v>
      </c>
      <c r="CG121" s="275">
        <v>-15.00738705249352</v>
      </c>
      <c r="CH121" s="275">
        <v>-14.97045532789515</v>
      </c>
      <c r="CI121" s="275">
        <v>-14.93365966814558</v>
      </c>
      <c r="CJ121" s="275">
        <v>-14.89699892368942</v>
      </c>
      <c r="CK121" s="275">
        <v>-14.860471832821389</v>
      </c>
      <c r="CL121" s="275">
        <v>-14.824077026206609</v>
      </c>
      <c r="CM121" s="275">
        <v>-14.78781303155313</v>
      </c>
      <c r="CN121" s="275">
        <v>-14.751678278416639</v>
      </c>
      <c r="CO121" s="275">
        <v>-14.71567110311693</v>
      </c>
      <c r="CP121" s="275"/>
      <c r="CQ121" s="276">
        <v>-20.296759509054841</v>
      </c>
      <c r="CR121" s="276">
        <v>-20.24581630167679</v>
      </c>
      <c r="CS121" s="276">
        <v>-20.194922900495069</v>
      </c>
      <c r="CT121" s="276">
        <v>-20.144081305524491</v>
      </c>
      <c r="CU121" s="276">
        <v>-20.093293537245909</v>
      </c>
      <c r="CV121" s="276">
        <v>-20.042561635915639</v>
      </c>
      <c r="CW121" s="276">
        <v>-19.991887660873012</v>
      </c>
      <c r="CX121" s="276">
        <v>-19.941273689845531</v>
      </c>
      <c r="CY121" s="276">
        <v>-19.890721818252221</v>
      </c>
      <c r="CZ121" s="276">
        <v>-19.840234158503868</v>
      </c>
      <c r="DA121" s="276">
        <v>-19.789812839299479</v>
      </c>
      <c r="DB121" s="276">
        <v>-19.739460004916229</v>
      </c>
      <c r="DC121" s="276">
        <v>-19.689177814490961</v>
      </c>
      <c r="DD121" s="276">
        <v>-19.63896844128973</v>
      </c>
      <c r="DE121" s="276">
        <v>-19.58883407196117</v>
      </c>
      <c r="DF121" s="276">
        <v>-19.53877690576903</v>
      </c>
      <c r="DG121" s="276">
        <v>-19.48879915379834</v>
      </c>
      <c r="DH121" s="276">
        <v>-19.43890303812859</v>
      </c>
      <c r="DI121" s="276">
        <v>-19.389090790967</v>
      </c>
      <c r="DJ121" s="276">
        <v>-19.33936465373387</v>
      </c>
      <c r="DK121" s="276">
        <v>-19.28972687609113</v>
      </c>
      <c r="DL121" s="276">
        <v>-19.240179714905121</v>
      </c>
      <c r="DM121" s="276">
        <v>-19.190725433133061</v>
      </c>
      <c r="DN121" s="276">
        <v>-19.141366298623161</v>
      </c>
      <c r="DO121" s="276">
        <v>-19.092104582816869</v>
      </c>
      <c r="DP121" s="276">
        <v>-19.04294255934197</v>
      </c>
      <c r="DQ121" s="276">
        <v>-18.993882502484631</v>
      </c>
      <c r="DR121" s="276">
        <v>-18.944926685528809</v>
      </c>
      <c r="DS121" s="276">
        <v>-18.896077378950569</v>
      </c>
      <c r="DT121" s="276">
        <v>-18.847336848456081</v>
      </c>
      <c r="DU121" s="276">
        <v>-18.798707352851508</v>
      </c>
      <c r="DV121" s="276">
        <v>-18.750191141733829</v>
      </c>
      <c r="DW121" s="276">
        <v>-18.701790452992562</v>
      </c>
      <c r="DX121" s="276">
        <v>-18.653507510112501</v>
      </c>
      <c r="DY121" s="276">
        <v>-18.605344519269821</v>
      </c>
      <c r="DZ121" s="276">
        <v>-18.557303666213631</v>
      </c>
      <c r="EA121" s="276">
        <v>-18.509387112928131</v>
      </c>
      <c r="EB121" s="276">
        <v>-18.461596994071009</v>
      </c>
      <c r="EC121" s="276">
        <v>-18.413935413186241</v>
      </c>
      <c r="ED121" s="276">
        <v>-18.36640443869106</v>
      </c>
      <c r="EE121" s="276">
        <v>-18.31900609963968</v>
      </c>
      <c r="EF121" s="276">
        <v>-18.271742381267959</v>
      </c>
      <c r="EG121" s="276">
        <v>-18.224615220326299</v>
      </c>
      <c r="EH121" s="276">
        <v>-18.177626500210639</v>
      </c>
      <c r="EI121" s="276">
        <v>-18.130778045903629</v>
      </c>
      <c r="EJ121" s="276">
        <v>-18.08407161874127</v>
      </c>
      <c r="EK121" s="276">
        <v>-18.037508911023291</v>
      </c>
      <c r="EL121" s="276">
        <v>-17.991091540487592</v>
      </c>
      <c r="EM121" s="276">
        <v>-17.944821044672238</v>
      </c>
      <c r="EN121" s="276">
        <v>-17.898698875191531</v>
      </c>
      <c r="EO121" s="276">
        <v>-17.852726391954299</v>
      </c>
      <c r="EP121" s="276">
        <v>-17.806904857355779</v>
      </c>
      <c r="EQ121" s="276">
        <v>-17.761235430475999</v>
      </c>
      <c r="ER121" s="276">
        <v>-17.715719161319939</v>
      </c>
      <c r="ES121" s="276">
        <v>-17.670356985136319</v>
      </c>
      <c r="ET121" s="276">
        <v>-17.6251497168528</v>
      </c>
      <c r="EU121" s="276">
        <v>-17.580098045667341</v>
      </c>
      <c r="EV121" s="276">
        <v>-17.53520252983488</v>
      </c>
      <c r="EW121" s="276">
        <v>-17.490463591690059</v>
      </c>
      <c r="EX121" s="276">
        <v>-17.44588151294554</v>
      </c>
      <c r="EY121" s="276">
        <v>-17.401456430305519</v>
      </c>
      <c r="EZ121" s="276">
        <v>-17.35718833143321</v>
      </c>
      <c r="FA121" s="276">
        <v>-17.313077051308749</v>
      </c>
      <c r="FB121" s="276">
        <v>-17.269122269013391</v>
      </c>
      <c r="FC121" s="276">
        <v>-17.225323504972899</v>
      </c>
      <c r="FD121" s="276">
        <v>-17.181680118690451</v>
      </c>
      <c r="FE121" s="276">
        <v>-17.1381913069966</v>
      </c>
      <c r="FF121" s="276">
        <v>-17.094856102840421</v>
      </c>
      <c r="FG121" s="276">
        <v>-17.05167337464253</v>
      </c>
      <c r="FH121" s="276">
        <v>-17.008641826226039</v>
      </c>
      <c r="FI121" s="276">
        <v>-16.965759997338541</v>
      </c>
      <c r="FJ121" s="272">
        <v>-16.923026264772531</v>
      </c>
      <c r="FK121" s="272">
        <v>-16.88043884408869</v>
      </c>
      <c r="FL121" s="272">
        <v>-16.837995791940291</v>
      </c>
      <c r="FM121" s="272">
        <v>-16.79569500899423</v>
      </c>
      <c r="FN121" s="272">
        <v>-16.75353424343772</v>
      </c>
      <c r="FO121" s="272">
        <v>-16.711511095057109</v>
      </c>
      <c r="FP121" s="272">
        <v>-16.669623019869402</v>
      </c>
      <c r="FQ121" s="272">
        <v>-16.627867335284069</v>
      </c>
      <c r="FR121" s="272">
        <v>-16.58624122576812</v>
      </c>
      <c r="FS121" s="272">
        <v>-16.54474174898397</v>
      </c>
      <c r="FT121" s="272">
        <v>-16.503365842366691</v>
      </c>
      <c r="FU121" s="272">
        <v>-16.462110330103471</v>
      </c>
      <c r="FV121" s="272">
        <v>-16.420971930476579</v>
      </c>
      <c r="FW121" s="272">
        <v>-16.379947263527541</v>
      </c>
      <c r="FX121" s="272">
        <v>-16.339032859000429</v>
      </c>
      <c r="FY121" s="272">
        <v>-16.298225164518481</v>
      </c>
      <c r="FZ121" s="272">
        <v>-16.257520553949291</v>
      </c>
      <c r="GA121" s="272">
        <v>-16.216915335912581</v>
      </c>
      <c r="GB121" s="272">
        <v>-16.176405762384039</v>
      </c>
      <c r="GC121" s="272">
        <v>-16.13598803735043</v>
      </c>
    </row>
    <row r="122" spans="2:185" ht="15" thickBot="1" x14ac:dyDescent="0.4">
      <c r="B122" s="298">
        <v>116</v>
      </c>
      <c r="C122" s="275">
        <v>-18.577921203328309</v>
      </c>
      <c r="D122" s="275">
        <v>-18.536211291569892</v>
      </c>
      <c r="E122" s="275">
        <v>-18.494450939304269</v>
      </c>
      <c r="F122" s="275">
        <v>-18.452641469171571</v>
      </c>
      <c r="G122" s="275">
        <v>-18.410784294075299</v>
      </c>
      <c r="H122" s="275">
        <v>-18.36888091832482</v>
      </c>
      <c r="I122" s="275">
        <v>-18.32693293861379</v>
      </c>
      <c r="J122" s="275">
        <v>-18.284942044824412</v>
      </c>
      <c r="K122" s="275">
        <v>-18.24291002064771</v>
      </c>
      <c r="L122" s="275">
        <v>-18.200838744009889</v>
      </c>
      <c r="M122" s="275">
        <v>-18.158730187296079</v>
      </c>
      <c r="N122" s="275">
        <v>-18.116586417362271</v>
      </c>
      <c r="O122" s="275">
        <v>-18.074409595327349</v>
      </c>
      <c r="P122" s="275">
        <v>-18.03220197613777</v>
      </c>
      <c r="Q122" s="275">
        <v>-17.98996590789762</v>
      </c>
      <c r="R122" s="275">
        <v>-17.94770383095786</v>
      </c>
      <c r="S122" s="275">
        <v>-17.90541827675921</v>
      </c>
      <c r="T122" s="275">
        <v>-17.8631118664238</v>
      </c>
      <c r="U122" s="275">
        <v>-17.820787309091859</v>
      </c>
      <c r="V122" s="275">
        <v>-17.778447400000321</v>
      </c>
      <c r="W122" s="275">
        <v>-17.73609501830126</v>
      </c>
      <c r="X122" s="275">
        <v>-17.693733124619101</v>
      </c>
      <c r="Y122" s="275">
        <v>-17.651364758346471</v>
      </c>
      <c r="Z122" s="275">
        <v>-17.608993034679649</v>
      </c>
      <c r="AA122" s="275">
        <v>-17.566621141395569</v>
      </c>
      <c r="AB122" s="275">
        <v>-17.524252335373379</v>
      </c>
      <c r="AC122" s="275">
        <v>-17.481889938864679</v>
      </c>
      <c r="AD122" s="275">
        <v>-17.439537335517659</v>
      </c>
      <c r="AE122" s="275">
        <v>-17.397197966161311</v>
      </c>
      <c r="AF122" s="275">
        <v>-17.354875324357071</v>
      </c>
      <c r="AG122" s="275">
        <v>-17.312572951726359</v>
      </c>
      <c r="AH122" s="275">
        <v>-17.270294433063121</v>
      </c>
      <c r="AI122" s="275">
        <v>-17.228043391242249</v>
      </c>
      <c r="AJ122" s="275">
        <v>-17.185823481934889</v>
      </c>
      <c r="AK122" s="275">
        <v>-17.143638388143259</v>
      </c>
      <c r="AL122" s="275">
        <v>-17.101491814568181</v>
      </c>
      <c r="AM122" s="275">
        <v>-17.059387481823482</v>
      </c>
      <c r="AN122" s="275">
        <v>-17.017329120512318</v>
      </c>
      <c r="AO122" s="275">
        <v>-16.975320465181319</v>
      </c>
      <c r="AP122" s="275">
        <v>-16.933365248168759</v>
      </c>
      <c r="AQ122" s="275">
        <v>-16.89146719336458</v>
      </c>
      <c r="AR122" s="275">
        <v>-16.849630009899421</v>
      </c>
      <c r="AS122" s="275">
        <v>-16.807857385781631</v>
      </c>
      <c r="AT122" s="275">
        <v>-16.766152981500859</v>
      </c>
      <c r="AU122" s="275">
        <v>-16.724520423617701</v>
      </c>
      <c r="AV122" s="275">
        <v>-16.68296329835902</v>
      </c>
      <c r="AW122" s="275">
        <v>-16.641485145238899</v>
      </c>
      <c r="AX122" s="275">
        <v>-16.600089450725608</v>
      </c>
      <c r="AY122" s="275">
        <v>-16.558779641974471</v>
      </c>
      <c r="AZ122" s="275">
        <v>-16.517559080647359</v>
      </c>
      <c r="BA122" s="275">
        <v>-16.476431056838901</v>
      </c>
      <c r="BB122" s="275">
        <v>-16.435398783129472</v>
      </c>
      <c r="BC122" s="275">
        <v>-16.394465388785029</v>
      </c>
      <c r="BD122" s="275">
        <v>-16.35363391412325</v>
      </c>
      <c r="BE122" s="275">
        <v>-16.31290730506511</v>
      </c>
      <c r="BF122" s="275">
        <v>-16.27228840789061</v>
      </c>
      <c r="BG122" s="275">
        <v>-16.23177996421656</v>
      </c>
      <c r="BH122" s="275">
        <v>-16.191384606213891</v>
      </c>
      <c r="BI122" s="275">
        <v>-16.151104852080689</v>
      </c>
      <c r="BJ122" s="275">
        <v>-16.110943101786841</v>
      </c>
      <c r="BK122" s="275">
        <v>-16.07090163310485</v>
      </c>
      <c r="BL122" s="275">
        <v>-16.030982597940049</v>
      </c>
      <c r="BM122" s="275">
        <v>-15.99118801897302</v>
      </c>
      <c r="BN122" s="275">
        <v>-15.951519786624891</v>
      </c>
      <c r="BO122" s="275">
        <v>-15.911979656355671</v>
      </c>
      <c r="BP122" s="275">
        <v>-15.872569246303749</v>
      </c>
      <c r="BQ122" s="275">
        <v>-15.83329003527375</v>
      </c>
      <c r="BR122" s="275">
        <v>-15.79414336107804</v>
      </c>
      <c r="BS122" s="275">
        <v>-15.75513041923603</v>
      </c>
      <c r="BT122" s="275">
        <v>-15.716252262033469</v>
      </c>
      <c r="BU122" s="275">
        <v>-15.677509797942671</v>
      </c>
      <c r="BV122" s="275">
        <v>-15.63890379140296</v>
      </c>
      <c r="BW122" s="275">
        <v>-15.60043486295865</v>
      </c>
      <c r="BX122" s="275">
        <v>-15.562103489751109</v>
      </c>
      <c r="BY122" s="275">
        <v>-15.52391000635903</v>
      </c>
      <c r="BZ122" s="275">
        <v>-15.485854605980091</v>
      </c>
      <c r="CA122" s="275">
        <v>-15.447937341945581</v>
      </c>
      <c r="CB122" s="275">
        <v>-15.41015812955812</v>
      </c>
      <c r="CC122" s="275">
        <v>-15.372516748241299</v>
      </c>
      <c r="CD122" s="275">
        <v>-15.335012843988819</v>
      </c>
      <c r="CE122" s="275">
        <v>-15.29764593209968</v>
      </c>
      <c r="CF122" s="275">
        <v>-15.260415400184611</v>
      </c>
      <c r="CG122" s="275">
        <v>-15.223320511428261</v>
      </c>
      <c r="CH122" s="275">
        <v>-15.186360408090749</v>
      </c>
      <c r="CI122" s="275">
        <v>-15.14953411523134</v>
      </c>
      <c r="CJ122" s="275">
        <v>-15.11284054463643</v>
      </c>
      <c r="CK122" s="275">
        <v>-15.076278498933741</v>
      </c>
      <c r="CL122" s="275">
        <v>-15.03984667587382</v>
      </c>
      <c r="CM122" s="275">
        <v>-15.003543672760101</v>
      </c>
      <c r="CN122" s="275">
        <v>-14.96736799100851</v>
      </c>
      <c r="CO122" s="275">
        <v>-14.931318040817359</v>
      </c>
      <c r="CP122" s="275"/>
      <c r="CQ122" s="276">
        <v>-20.529532758483231</v>
      </c>
      <c r="CR122" s="276">
        <v>-20.478654430586971</v>
      </c>
      <c r="CS122" s="276">
        <v>-20.42782612412071</v>
      </c>
      <c r="CT122" s="276">
        <v>-20.377049809033981</v>
      </c>
      <c r="CU122" s="276">
        <v>-20.326327475038521</v>
      </c>
      <c r="CV122" s="276">
        <v>-20.275661130916411</v>
      </c>
      <c r="CW122" s="276">
        <v>-20.225052803822081</v>
      </c>
      <c r="CX122" s="276">
        <v>-20.174504538579431</v>
      </c>
      <c r="CY122" s="276">
        <v>-20.124018396973</v>
      </c>
      <c r="CZ122" s="276">
        <v>-20.073596457032298</v>
      </c>
      <c r="DA122" s="276">
        <v>-20.023240812308281</v>
      </c>
      <c r="DB122" s="276">
        <v>-19.972953571139371</v>
      </c>
      <c r="DC122" s="276">
        <v>-19.922736855904621</v>
      </c>
      <c r="DD122" s="276">
        <v>-19.872592802260961</v>
      </c>
      <c r="DE122" s="276">
        <v>-19.822523558360182</v>
      </c>
      <c r="DF122" s="276">
        <v>-19.772531284041289</v>
      </c>
      <c r="DG122" s="276">
        <v>-19.722618149992758</v>
      </c>
      <c r="DH122" s="276">
        <v>-19.67278633687841</v>
      </c>
      <c r="DI122" s="276">
        <v>-19.623038034420901</v>
      </c>
      <c r="DJ122" s="276">
        <v>-19.573375440434379</v>
      </c>
      <c r="DK122" s="276">
        <v>-19.52380075979913</v>
      </c>
      <c r="DL122" s="276">
        <v>-19.47431620336911</v>
      </c>
      <c r="DM122" s="276">
        <v>-19.42492398680313</v>
      </c>
      <c r="DN122" s="276">
        <v>-19.37562632931019</v>
      </c>
      <c r="DO122" s="276">
        <v>-19.326425452298881</v>
      </c>
      <c r="DP122" s="276">
        <v>-19.277323577919951</v>
      </c>
      <c r="DQ122" s="276">
        <v>-19.228322927492361</v>
      </c>
      <c r="DR122" s="276">
        <v>-19.17942571980112</v>
      </c>
      <c r="DS122" s="276">
        <v>-19.130634169257089</v>
      </c>
      <c r="DT122" s="276">
        <v>-19.08195048390775</v>
      </c>
      <c r="DU122" s="276">
        <v>-19.033376863289192</v>
      </c>
      <c r="DV122" s="276">
        <v>-18.984915496109501</v>
      </c>
      <c r="DW122" s="276">
        <v>-18.936568557754828</v>
      </c>
      <c r="DX122" s="276">
        <v>-18.88833820761004</v>
      </c>
      <c r="DY122" s="276">
        <v>-18.84022658618677</v>
      </c>
      <c r="DZ122" s="276">
        <v>-18.792235812053441</v>
      </c>
      <c r="EA122" s="276">
        <v>-18.744367978562408</v>
      </c>
      <c r="EB122" s="276">
        <v>-18.69662515037184</v>
      </c>
      <c r="EC122" s="276">
        <v>-18.64900935976096</v>
      </c>
      <c r="ED122" s="276">
        <v>-18.60152260273955</v>
      </c>
      <c r="EE122" s="276">
        <v>-18.554166834954799</v>
      </c>
      <c r="EF122" s="276">
        <v>-18.506943967400058</v>
      </c>
      <c r="EG122" s="276">
        <v>-18.459855861933651</v>
      </c>
      <c r="EH122" s="276">
        <v>-18.412904326616619</v>
      </c>
      <c r="EI122" s="276">
        <v>-18.36609111088233</v>
      </c>
      <c r="EJ122" s="276">
        <v>-18.31941790055237</v>
      </c>
      <c r="EK122" s="276">
        <v>-18.272886312715968</v>
      </c>
      <c r="EL122" s="276">
        <v>-18.226497890492819</v>
      </c>
      <c r="EM122" s="276">
        <v>-18.180254097701521</v>
      </c>
      <c r="EN122" s="276">
        <v>-18.134156313458039</v>
      </c>
      <c r="EO122" s="276">
        <v>-18.08820582673134</v>
      </c>
      <c r="EP122" s="276">
        <v>-18.042403830884961</v>
      </c>
      <c r="EQ122" s="276">
        <v>-17.996751418235441</v>
      </c>
      <c r="ER122" s="276">
        <v>-17.951249574660139</v>
      </c>
      <c r="ES122" s="276">
        <v>-17.90589917428888</v>
      </c>
      <c r="ET122" s="276">
        <v>-17.86070097431368</v>
      </c>
      <c r="EU122" s="276">
        <v>-17.81565560995417</v>
      </c>
      <c r="EV122" s="276">
        <v>-17.770763589613601</v>
      </c>
      <c r="EW122" s="276">
        <v>-17.72602529026388</v>
      </c>
      <c r="EX122" s="276">
        <v>-17.681440953094949</v>
      </c>
      <c r="EY122" s="276">
        <v>-17.637010679465721</v>
      </c>
      <c r="EZ122" s="276">
        <v>-17.59273442719077</v>
      </c>
      <c r="FA122" s="276">
        <v>-17.54861200719747</v>
      </c>
      <c r="FB122" s="276">
        <v>-17.504643080585101</v>
      </c>
      <c r="FC122" s="276">
        <v>-17.46082715611637</v>
      </c>
      <c r="FD122" s="276">
        <v>-17.417163588168989</v>
      </c>
      <c r="FE122" s="276">
        <v>-17.373651575171959</v>
      </c>
      <c r="FF122" s="276">
        <v>-17.330290158548909</v>
      </c>
      <c r="FG122" s="276">
        <v>-17.287078222186409</v>
      </c>
      <c r="FH122" s="276">
        <v>-17.244014492442709</v>
      </c>
      <c r="FI122" s="276">
        <v>-17.20109753870786</v>
      </c>
      <c r="FJ122" s="272">
        <v>-17.158325774522218</v>
      </c>
      <c r="FK122" s="272">
        <v>-17.11569745925695</v>
      </c>
      <c r="FL122" s="272">
        <v>-17.073210700354881</v>
      </c>
      <c r="FM122" s="272">
        <v>-17.03086345612731</v>
      </c>
      <c r="FN122" s="272">
        <v>-16.988653539096841</v>
      </c>
      <c r="FO122" s="272">
        <v>-16.946578619873101</v>
      </c>
      <c r="FP122" s="272">
        <v>-16.904636231544291</v>
      </c>
      <c r="FQ122" s="272">
        <v>-16.862823774563171</v>
      </c>
      <c r="FR122" s="272">
        <v>-16.821138522102849</v>
      </c>
      <c r="FS122" s="272">
        <v>-16.779577625854809</v>
      </c>
      <c r="FT122" s="272">
        <v>-16.738138122237569</v>
      </c>
      <c r="FU122" s="272">
        <v>-16.696816938982909</v>
      </c>
      <c r="FV122" s="272">
        <v>-16.65561090206284</v>
      </c>
      <c r="FW122" s="272">
        <v>-16.614516742919889</v>
      </c>
      <c r="FX122" s="272">
        <v>-16.573531105960271</v>
      </c>
      <c r="FY122" s="272">
        <v>-16.532650556269299</v>
      </c>
      <c r="FZ122" s="272">
        <v>-16.491871587507081</v>
      </c>
      <c r="GA122" s="272">
        <v>-16.451190629941671</v>
      </c>
      <c r="GB122" s="272">
        <v>-16.410604058578009</v>
      </c>
      <c r="GC122" s="272">
        <v>-16.370108201339441</v>
      </c>
    </row>
    <row r="123" spans="2:185" ht="15" thickBot="1" x14ac:dyDescent="0.4">
      <c r="B123" s="298">
        <v>117</v>
      </c>
      <c r="C123" s="275">
        <v>-18.790674092888938</v>
      </c>
      <c r="D123" s="275">
        <v>-18.74899587020705</v>
      </c>
      <c r="E123" s="275">
        <v>-18.707268713371281</v>
      </c>
      <c r="F123" s="275">
        <v>-18.66549394666621</v>
      </c>
      <c r="G123" s="275">
        <v>-18.62367298189637</v>
      </c>
      <c r="H123" s="275">
        <v>-18.581807319421142</v>
      </c>
      <c r="I123" s="275">
        <v>-18.539898549030099</v>
      </c>
      <c r="J123" s="275">
        <v>-18.497948350650152</v>
      </c>
      <c r="K123" s="275">
        <v>-18.455958494874618</v>
      </c>
      <c r="L123" s="275">
        <v>-18.413930843305661</v>
      </c>
      <c r="M123" s="275">
        <v>-18.371867348701329</v>
      </c>
      <c r="N123" s="275">
        <v>-18.329770054919042</v>
      </c>
      <c r="O123" s="275">
        <v>-18.287641096648159</v>
      </c>
      <c r="P123" s="275">
        <v>-18.245482698924299</v>
      </c>
      <c r="Q123" s="275">
        <v>-18.203297176418989</v>
      </c>
      <c r="R123" s="275">
        <v>-18.161086932499011</v>
      </c>
      <c r="S123" s="275">
        <v>-18.118854458050212</v>
      </c>
      <c r="T123" s="275">
        <v>-18.076602330061501</v>
      </c>
      <c r="U123" s="275">
        <v>-18.03433320996546</v>
      </c>
      <c r="V123" s="275">
        <v>-17.992049841733191</v>
      </c>
      <c r="W123" s="275">
        <v>-17.949755049721119</v>
      </c>
      <c r="X123" s="275">
        <v>-17.907451736269351</v>
      </c>
      <c r="Y123" s="275">
        <v>-17.865142879051501</v>
      </c>
      <c r="Z123" s="275">
        <v>-17.822831528176842</v>
      </c>
      <c r="AA123" s="275">
        <v>-17.780520803047299</v>
      </c>
      <c r="AB123" s="275">
        <v>-17.738213888971789</v>
      </c>
      <c r="AC123" s="275">
        <v>-17.695914033542302</v>
      </c>
      <c r="AD123" s="275">
        <v>-17.653624542776718</v>
      </c>
      <c r="AE123" s="275">
        <v>-17.61134877703438</v>
      </c>
      <c r="AF123" s="275">
        <v>-17.569090146711481</v>
      </c>
      <c r="AG123" s="275">
        <v>-17.52685210772454</v>
      </c>
      <c r="AH123" s="275">
        <v>-17.484638156790741</v>
      </c>
      <c r="AI123" s="275">
        <v>-17.442451826515349</v>
      </c>
      <c r="AJ123" s="275">
        <v>-17.40029668029711</v>
      </c>
      <c r="AK123" s="275">
        <v>-17.358176307063459</v>
      </c>
      <c r="AL123" s="275">
        <v>-17.316094315848151</v>
      </c>
      <c r="AM123" s="275">
        <v>-17.27405433022512</v>
      </c>
      <c r="AN123" s="275">
        <v>-17.232059982612711</v>
      </c>
      <c r="AO123" s="275">
        <v>-17.190114908463279</v>
      </c>
      <c r="AP123" s="275">
        <v>-17.148222740354299</v>
      </c>
      <c r="AQ123" s="275">
        <v>-17.10638710199688</v>
      </c>
      <c r="AR123" s="275">
        <v>-17.06461160217917</v>
      </c>
      <c r="AS123" s="275">
        <v>-17.022899828661821</v>
      </c>
      <c r="AT123" s="275">
        <v>-16.981255342043792</v>
      </c>
      <c r="AU123" s="275">
        <v>-16.93968166961648</v>
      </c>
      <c r="AV123" s="275">
        <v>-16.898182299225379</v>
      </c>
      <c r="AW123" s="275">
        <v>-16.856760673157769</v>
      </c>
      <c r="AX123" s="275">
        <v>-16.815420182075901</v>
      </c>
      <c r="AY123" s="275">
        <v>-16.774164159014589</v>
      </c>
      <c r="AZ123" s="275">
        <v>-16.732995873462951</v>
      </c>
      <c r="BA123" s="275">
        <v>-16.691918525548889</v>
      </c>
      <c r="BB123" s="275">
        <v>-16.650935240345909</v>
      </c>
      <c r="BC123" s="275">
        <v>-16.61004906232073</v>
      </c>
      <c r="BD123" s="275">
        <v>-16.56926294994031</v>
      </c>
      <c r="BE123" s="275">
        <v>-16.528579770456439</v>
      </c>
      <c r="BF123" s="275">
        <v>-16.48800229488532</v>
      </c>
      <c r="BG123" s="275">
        <v>-16.447533193199199</v>
      </c>
      <c r="BH123" s="275">
        <v>-16.40717502974649</v>
      </c>
      <c r="BI123" s="275">
        <v>-16.366930258915591</v>
      </c>
      <c r="BJ123" s="275">
        <v>-16.326801221057519</v>
      </c>
      <c r="BK123" s="275">
        <v>-16.286790138680601</v>
      </c>
      <c r="BL123" s="275">
        <v>-16.246899112930478</v>
      </c>
      <c r="BM123" s="275">
        <v>-16.207130120366539</v>
      </c>
      <c r="BN123" s="275">
        <v>-16.167485010045581</v>
      </c>
      <c r="BO123" s="275">
        <v>-16.127965500921679</v>
      </c>
      <c r="BP123" s="275">
        <v>-16.088573179570389</v>
      </c>
      <c r="BQ123" s="275">
        <v>-16.049309498243542</v>
      </c>
      <c r="BR123" s="275">
        <v>-16.010175773260109</v>
      </c>
      <c r="BS123" s="275">
        <v>-15.971173183736751</v>
      </c>
      <c r="BT123" s="275">
        <v>-15.932302770659989</v>
      </c>
      <c r="BU123" s="275">
        <v>-15.893565436301619</v>
      </c>
      <c r="BV123" s="275">
        <v>-15.854961943975541</v>
      </c>
      <c r="BW123" s="275">
        <v>-15.816492918134969</v>
      </c>
      <c r="BX123" s="275">
        <v>-15.778158844805469</v>
      </c>
      <c r="BY123" s="275">
        <v>-15.73996007234946</v>
      </c>
      <c r="BZ123" s="275">
        <v>-15.701896812555081</v>
      </c>
      <c r="CA123" s="275">
        <v>-15.663969142042101</v>
      </c>
      <c r="CB123" s="275">
        <v>-15.626177003975419</v>
      </c>
      <c r="CC123" s="275">
        <v>-15.58852021007576</v>
      </c>
      <c r="CD123" s="275">
        <v>-15.55099844291629</v>
      </c>
      <c r="CE123" s="275">
        <v>-15.513611258492171</v>
      </c>
      <c r="CF123" s="275">
        <v>-15.476358089049629</v>
      </c>
      <c r="CG123" s="275">
        <v>-15.43923824615991</v>
      </c>
      <c r="CH123" s="275">
        <v>-15.40225092402294</v>
      </c>
      <c r="CI123" s="275">
        <v>-15.365395202984381</v>
      </c>
      <c r="CJ123" s="275">
        <v>-15.328670053249679</v>
      </c>
      <c r="CK123" s="275">
        <v>-15.29207433877805</v>
      </c>
      <c r="CL123" s="275">
        <v>-15.25560682133869</v>
      </c>
      <c r="CM123" s="275">
        <v>-15.21926616471173</v>
      </c>
      <c r="CN123" s="275">
        <v>-15.183050939015899</v>
      </c>
      <c r="CO123" s="275">
        <v>-15.14695962514519</v>
      </c>
      <c r="CP123" s="275"/>
      <c r="CQ123" s="276">
        <v>-20.762322018906421</v>
      </c>
      <c r="CR123" s="276">
        <v>-20.711507744319899</v>
      </c>
      <c r="CS123" s="276">
        <v>-20.660743688022659</v>
      </c>
      <c r="CT123" s="276">
        <v>-20.610031790098201</v>
      </c>
      <c r="CU123" s="276">
        <v>-20.559374009683829</v>
      </c>
      <c r="CV123" s="276">
        <v>-20.50877232427603</v>
      </c>
      <c r="CW123" s="276">
        <v>-20.458228729026889</v>
      </c>
      <c r="CX123" s="276">
        <v>-20.40774523603276</v>
      </c>
      <c r="CY123" s="276">
        <v>-20.357323873613279</v>
      </c>
      <c r="CZ123" s="276">
        <v>-20.306966685580509</v>
      </c>
      <c r="DA123" s="276">
        <v>-20.256675730496418</v>
      </c>
      <c r="DB123" s="276">
        <v>-20.206453080916312</v>
      </c>
      <c r="DC123" s="276">
        <v>-20.156300822616071</v>
      </c>
      <c r="DD123" s="276">
        <v>-20.10622105379954</v>
      </c>
      <c r="DE123" s="276">
        <v>-20.056215884282381</v>
      </c>
      <c r="DF123" s="276">
        <v>-20.006287434647831</v>
      </c>
      <c r="DG123" s="276">
        <v>-19.95643783536968</v>
      </c>
      <c r="DH123" s="276">
        <v>-19.906669225895861</v>
      </c>
      <c r="DI123" s="276">
        <v>-19.856983753687508</v>
      </c>
      <c r="DJ123" s="276">
        <v>-19.807383573205652</v>
      </c>
      <c r="DK123" s="276">
        <v>-19.75787084483823</v>
      </c>
      <c r="DL123" s="276">
        <v>-19.70844773375995</v>
      </c>
      <c r="DM123" s="276">
        <v>-19.659116408715899</v>
      </c>
      <c r="DN123" s="276">
        <v>-19.609879040720411</v>
      </c>
      <c r="DO123" s="276">
        <v>-19.560737801662</v>
      </c>
      <c r="DP123" s="276">
        <v>-19.511694862804749</v>
      </c>
      <c r="DQ123" s="276">
        <v>-19.46275239317686</v>
      </c>
      <c r="DR123" s="276">
        <v>-19.413912557836579</v>
      </c>
      <c r="DS123" s="276">
        <v>-19.36517751600638</v>
      </c>
      <c r="DT123" s="276">
        <v>-19.316549419065471</v>
      </c>
      <c r="DU123" s="276">
        <v>-19.268030408392871</v>
      </c>
      <c r="DV123" s="276">
        <v>-19.21962261305158</v>
      </c>
      <c r="DW123" s="276">
        <v>-19.171328147306909</v>
      </c>
      <c r="DX123" s="276">
        <v>-19.123149107971869</v>
      </c>
      <c r="DY123" s="276">
        <v>-19.075087571574048</v>
      </c>
      <c r="DZ123" s="276">
        <v>-19.027145591338709</v>
      </c>
      <c r="EA123" s="276">
        <v>-18.97932519398562</v>
      </c>
      <c r="EB123" s="276">
        <v>-18.931628376337141</v>
      </c>
      <c r="EC123" s="276">
        <v>-18.884057101737401</v>
      </c>
      <c r="ED123" s="276">
        <v>-18.836613296284209</v>
      </c>
      <c r="EE123" s="276">
        <v>-18.789298844877351</v>
      </c>
      <c r="EF123" s="276">
        <v>-18.74211558708819</v>
      </c>
      <c r="EG123" s="276">
        <v>-18.695065312858489</v>
      </c>
      <c r="EH123" s="276">
        <v>-18.648149758038329</v>
      </c>
      <c r="EI123" s="276">
        <v>-18.601370599774469</v>
      </c>
      <c r="EJ123" s="276">
        <v>-18.55472945176427</v>
      </c>
      <c r="EK123" s="276">
        <v>-18.508227859391219</v>
      </c>
      <c r="EL123" s="276">
        <v>-18.461867294760701</v>
      </c>
      <c r="EM123" s="276">
        <v>-18.4156491516577</v>
      </c>
      <c r="EN123" s="276">
        <v>-18.369574740448861</v>
      </c>
      <c r="EO123" s="276">
        <v>-18.323645282954651</v>
      </c>
      <c r="EP123" s="276">
        <v>-18.277861907318321</v>
      </c>
      <c r="EQ123" s="276">
        <v>-18.23222564290052</v>
      </c>
      <c r="ER123" s="276">
        <v>-18.186737415229882</v>
      </c>
      <c r="ES123" s="276">
        <v>-18.141398041041121</v>
      </c>
      <c r="ET123" s="276">
        <v>-18.096208223433049</v>
      </c>
      <c r="EU123" s="276">
        <v>-18.051168547179842</v>
      </c>
      <c r="EV123" s="276">
        <v>-18.006279474229292</v>
      </c>
      <c r="EW123" s="276">
        <v>-17.961541339421931</v>
      </c>
      <c r="EX123" s="276">
        <v>-17.916954346464649</v>
      </c>
      <c r="EY123" s="276">
        <v>-17.872518564191392</v>
      </c>
      <c r="EZ123" s="276">
        <v>-17.828233923144069</v>
      </c>
      <c r="FA123" s="276">
        <v>-17.784100212503549</v>
      </c>
      <c r="FB123" s="276">
        <v>-17.74011707740074</v>
      </c>
      <c r="FC123" s="276">
        <v>-17.696284016634859</v>
      </c>
      <c r="FD123" s="276">
        <v>-17.65260038082419</v>
      </c>
      <c r="FE123" s="276">
        <v>-17.60906537101177</v>
      </c>
      <c r="FF123" s="276">
        <v>-17.565678037746071</v>
      </c>
      <c r="FG123" s="276">
        <v>-17.522437280653229</v>
      </c>
      <c r="FH123" s="276">
        <v>-17.479341848514242</v>
      </c>
      <c r="FI123" s="276">
        <v>-17.436390339857478</v>
      </c>
      <c r="FJ123" s="272">
        <v>-17.393581204072301</v>
      </c>
      <c r="FK123" s="272">
        <v>-17.3509127430472</v>
      </c>
      <c r="FL123" s="272">
        <v>-17.308383113330571</v>
      </c>
      <c r="FM123" s="272">
        <v>-17.265990328810052</v>
      </c>
      <c r="FN123" s="272">
        <v>-17.223732263901109</v>
      </c>
      <c r="FO123" s="272">
        <v>-17.18160665723266</v>
      </c>
      <c r="FP123" s="272">
        <v>-17.139611115814152</v>
      </c>
      <c r="FQ123" s="272">
        <v>-17.09774311966402</v>
      </c>
      <c r="FR123" s="272">
        <v>-17.056000026877431</v>
      </c>
      <c r="FS123" s="272">
        <v>-17.014379079107339</v>
      </c>
      <c r="FT123" s="272">
        <v>-16.972877407429969</v>
      </c>
      <c r="FU123" s="272">
        <v>-16.931492038564571</v>
      </c>
      <c r="FV123" s="272">
        <v>-16.8902199014133</v>
      </c>
      <c r="FW123" s="272">
        <v>-16.84905783388675</v>
      </c>
      <c r="FX123" s="272">
        <v>-16.808002589977999</v>
      </c>
      <c r="FY123" s="272">
        <v>-16.76705084704783</v>
      </c>
      <c r="FZ123" s="272">
        <v>-16.72619921328203</v>
      </c>
      <c r="GA123" s="272">
        <v>-16.685444235281889</v>
      </c>
      <c r="GB123" s="272">
        <v>-16.64478240574832</v>
      </c>
      <c r="GC123" s="272">
        <v>-16.60421017122108</v>
      </c>
    </row>
    <row r="124" spans="2:185" ht="15" thickBot="1" x14ac:dyDescent="0.4">
      <c r="B124" s="298">
        <v>118</v>
      </c>
      <c r="C124" s="275">
        <v>-19.003442672043558</v>
      </c>
      <c r="D124" s="275">
        <v>-18.961796273161351</v>
      </c>
      <c r="E124" s="275">
        <v>-18.92010240807042</v>
      </c>
      <c r="F124" s="275">
        <v>-18.878362401576219</v>
      </c>
      <c r="G124" s="275">
        <v>-18.836577663337849</v>
      </c>
      <c r="H124" s="275">
        <v>-18.794749688801708</v>
      </c>
      <c r="I124" s="275">
        <v>-18.75288005998112</v>
      </c>
      <c r="J124" s="275">
        <v>-18.710970446072629</v>
      </c>
      <c r="K124" s="275">
        <v>-18.669022603900721</v>
      </c>
      <c r="L124" s="275">
        <v>-18.627038378182441</v>
      </c>
      <c r="M124" s="275">
        <v>-18.585019701603869</v>
      </c>
      <c r="N124" s="275">
        <v>-18.542968594700991</v>
      </c>
      <c r="O124" s="275">
        <v>-18.500887165538028</v>
      </c>
      <c r="P124" s="275">
        <v>-18.458777609176469</v>
      </c>
      <c r="Q124" s="275">
        <v>-18.416642206928959</v>
      </c>
      <c r="R124" s="275">
        <v>-18.37448332539288</v>
      </c>
      <c r="S124" s="275">
        <v>-18.332303415258629</v>
      </c>
      <c r="T124" s="275">
        <v>-18.290105009889039</v>
      </c>
      <c r="U124" s="275">
        <v>-18.247890723666639</v>
      </c>
      <c r="V124" s="275">
        <v>-18.205663250106412</v>
      </c>
      <c r="W124" s="275">
        <v>-18.163425359732479</v>
      </c>
      <c r="X124" s="275">
        <v>-18.121179897718289</v>
      </c>
      <c r="Y124" s="275">
        <v>-18.078929781290292</v>
      </c>
      <c r="Z124" s="275">
        <v>-18.03667799689644</v>
      </c>
      <c r="AA124" s="275">
        <v>-17.994427597141581</v>
      </c>
      <c r="AB124" s="275">
        <v>-17.952181697492769</v>
      </c>
      <c r="AC124" s="275">
        <v>-17.909943472758439</v>
      </c>
      <c r="AD124" s="275">
        <v>-17.867716153346521</v>
      </c>
      <c r="AE124" s="275">
        <v>-17.825503021307341</v>
      </c>
      <c r="AF124" s="275">
        <v>-17.78330740616806</v>
      </c>
      <c r="AG124" s="275">
        <v>-17.74113268056665</v>
      </c>
      <c r="AH124" s="275">
        <v>-17.698982255693949</v>
      </c>
      <c r="AI124" s="275">
        <v>-17.65685957655349</v>
      </c>
      <c r="AJ124" s="275">
        <v>-17.614768117049561</v>
      </c>
      <c r="AK124" s="275">
        <v>-17.57271137491492</v>
      </c>
      <c r="AL124" s="275">
        <v>-17.530692866490259</v>
      </c>
      <c r="AM124" s="275">
        <v>-17.488716121368359</v>
      </c>
      <c r="AN124" s="275">
        <v>-17.446784676916611</v>
      </c>
      <c r="AO124" s="275">
        <v>-17.40490207269243</v>
      </c>
      <c r="AP124" s="275">
        <v>-17.363071844766399</v>
      </c>
      <c r="AQ124" s="275">
        <v>-17.321297519968919</v>
      </c>
      <c r="AR124" s="275">
        <v>-17.279582610076471</v>
      </c>
      <c r="AS124" s="275">
        <v>-17.237930605954229</v>
      </c>
      <c r="AT124" s="275">
        <v>-17.196344971672051</v>
      </c>
      <c r="AU124" s="275">
        <v>-17.154829138611369</v>
      </c>
      <c r="AV124" s="275">
        <v>-17.113386499580709</v>
      </c>
      <c r="AW124" s="275">
        <v>-17.0720204029579</v>
      </c>
      <c r="AX124" s="275">
        <v>-17.030734146877041</v>
      </c>
      <c r="AY124" s="275">
        <v>-16.989530973478448</v>
      </c>
      <c r="AZ124" s="275">
        <v>-16.948414063240019</v>
      </c>
      <c r="BA124" s="275">
        <v>-16.907386529407951</v>
      </c>
      <c r="BB124" s="275">
        <v>-16.866451412544919</v>
      </c>
      <c r="BC124" s="275">
        <v>-16.825611675213668</v>
      </c>
      <c r="BD124" s="275">
        <v>-16.784870196813252</v>
      </c>
      <c r="BE124" s="275">
        <v>-16.744229768585122</v>
      </c>
      <c r="BF124" s="275">
        <v>-16.703693088805679</v>
      </c>
      <c r="BG124" s="275">
        <v>-16.663262758181329</v>
      </c>
      <c r="BH124" s="275">
        <v>-16.62294127546128</v>
      </c>
      <c r="BI124" s="275">
        <v>-16.582731033282879</v>
      </c>
      <c r="BJ124" s="275">
        <v>-16.54263431426331</v>
      </c>
      <c r="BK124" s="275">
        <v>-16.502653287350402</v>
      </c>
      <c r="BL124" s="275">
        <v>-16.462790004444798</v>
      </c>
      <c r="BM124" s="275">
        <v>-16.42304639730423</v>
      </c>
      <c r="BN124" s="275">
        <v>-16.383424274739671</v>
      </c>
      <c r="BO124" s="275">
        <v>-16.343925320112302</v>
      </c>
      <c r="BP124" s="275">
        <v>-16.304551089138329</v>
      </c>
      <c r="BQ124" s="275">
        <v>-16.265303008008271</v>
      </c>
      <c r="BR124" s="275">
        <v>-16.22618237182521</v>
      </c>
      <c r="BS124" s="275">
        <v>-16.187190343365661</v>
      </c>
      <c r="BT124" s="275">
        <v>-16.148327952165371</v>
      </c>
      <c r="BU124" s="275">
        <v>-16.109596093930531</v>
      </c>
      <c r="BV124" s="275">
        <v>-16.070995530274089</v>
      </c>
      <c r="BW124" s="275">
        <v>-16.032526888774839</v>
      </c>
      <c r="BX124" s="275">
        <v>-15.994190663356321</v>
      </c>
      <c r="BY124" s="275">
        <v>-15.955987214980549</v>
      </c>
      <c r="BZ124" s="275">
        <v>-15.917916772650511</v>
      </c>
      <c r="CA124" s="275">
        <v>-15.879979434714491</v>
      </c>
      <c r="CB124" s="275">
        <v>-15.842175170463211</v>
      </c>
      <c r="CC124" s="275">
        <v>-15.804503822010719</v>
      </c>
      <c r="CD124" s="275">
        <v>-15.7669651064476</v>
      </c>
      <c r="CE124" s="275">
        <v>-15.729558618255339</v>
      </c>
      <c r="CF124" s="275">
        <v>-15.69228383196862</v>
      </c>
      <c r="CG124" s="275">
        <v>-15.65514010507251</v>
      </c>
      <c r="CH124" s="275">
        <v>-15.61812668111968</v>
      </c>
      <c r="CI124" s="275">
        <v>-15.58124269305301</v>
      </c>
      <c r="CJ124" s="275">
        <v>-15.544487166718049</v>
      </c>
      <c r="CK124" s="275">
        <v>-15.50785902454915</v>
      </c>
      <c r="CL124" s="275">
        <v>-15.47135708941302</v>
      </c>
      <c r="CM124" s="275">
        <v>-15.434980088593139</v>
      </c>
      <c r="CN124" s="275">
        <v>-15.398726657898139</v>
      </c>
      <c r="CO124" s="275">
        <v>-15.362595345877381</v>
      </c>
      <c r="CP124" s="275"/>
      <c r="CQ124" s="276">
        <v>-20.995126574549811</v>
      </c>
      <c r="CR124" s="276">
        <v>-20.944375531151671</v>
      </c>
      <c r="CS124" s="276">
        <v>-20.893674884896662</v>
      </c>
      <c r="CT124" s="276">
        <v>-20.843026546203831</v>
      </c>
      <c r="CU124" s="276">
        <v>-20.7924324438352</v>
      </c>
      <c r="CV124" s="276">
        <v>-20.741894524197409</v>
      </c>
      <c r="CW124" s="276">
        <v>-20.69141475063266</v>
      </c>
      <c r="CX124" s="276">
        <v>-20.64099510269839</v>
      </c>
      <c r="CY124" s="276">
        <v>-20.590637575434879</v>
      </c>
      <c r="CZ124" s="276">
        <v>-20.54034417861979</v>
      </c>
      <c r="DA124" s="276">
        <v>-20.49011693600773</v>
      </c>
      <c r="DB124" s="276">
        <v>-20.43995788455307</v>
      </c>
      <c r="DC124" s="276">
        <v>-20.389869073612889</v>
      </c>
      <c r="DD124" s="276">
        <v>-20.339852564127298</v>
      </c>
      <c r="DE124" s="276">
        <v>-20.28991042777335</v>
      </c>
      <c r="DF124" s="276">
        <v>-20.240044746088099</v>
      </c>
      <c r="DG124" s="276">
        <v>-20.190257609556049</v>
      </c>
      <c r="DH124" s="276">
        <v>-20.14055111665564</v>
      </c>
      <c r="DI124" s="276">
        <v>-20.090927372859088</v>
      </c>
      <c r="DJ124" s="276">
        <v>-20.041388489578601</v>
      </c>
      <c r="DK124" s="276">
        <v>-19.99193658305262</v>
      </c>
      <c r="DL124" s="276">
        <v>-19.942573773164529</v>
      </c>
      <c r="DM124" s="276">
        <v>-19.89330218218576</v>
      </c>
      <c r="DN124" s="276">
        <v>-19.844123933436141</v>
      </c>
      <c r="DO124" s="276">
        <v>-19.79504114985183</v>
      </c>
      <c r="DP124" s="276">
        <v>-19.74605595245373</v>
      </c>
      <c r="DQ124" s="276">
        <v>-19.697170458706839</v>
      </c>
      <c r="DR124" s="276">
        <v>-19.648386780762479</v>
      </c>
      <c r="DS124" s="276">
        <v>-19.599707023574862</v>
      </c>
      <c r="DT124" s="276">
        <v>-19.55113328288386</v>
      </c>
      <c r="DU124" s="276">
        <v>-19.502667643056469</v>
      </c>
      <c r="DV124" s="276">
        <v>-19.454312174779162</v>
      </c>
      <c r="DW124" s="276">
        <v>-19.40606893259541</v>
      </c>
      <c r="DX124" s="276">
        <v>-19.357939952281949</v>
      </c>
      <c r="DY124" s="276">
        <v>-19.30992724805958</v>
      </c>
      <c r="DZ124" s="276">
        <v>-19.262032809634089</v>
      </c>
      <c r="EA124" s="276">
        <v>-19.214258599065769</v>
      </c>
      <c r="EB124" s="276">
        <v>-19.166606547465879</v>
      </c>
      <c r="EC124" s="276">
        <v>-19.119078551520591</v>
      </c>
      <c r="ED124" s="276">
        <v>-19.071676469844881</v>
      </c>
      <c r="EE124" s="276">
        <v>-19.024402119169672</v>
      </c>
      <c r="EF124" s="276">
        <v>-18.977257270368732</v>
      </c>
      <c r="EG124" s="276">
        <v>-18.93024364433213</v>
      </c>
      <c r="EH124" s="276">
        <v>-18.88336290769664</v>
      </c>
      <c r="EI124" s="276">
        <v>-18.836616668444339</v>
      </c>
      <c r="EJ124" s="276">
        <v>-18.790006471383339</v>
      </c>
      <c r="EK124" s="276">
        <v>-18.743533793526598</v>
      </c>
      <c r="EL124" s="276">
        <v>-18.697200039386669</v>
      </c>
      <c r="EM124" s="276">
        <v>-18.651006536205958</v>
      </c>
      <c r="EN124" s="276">
        <v>-18.60495452914482</v>
      </c>
      <c r="EO124" s="276">
        <v>-18.559045176450681</v>
      </c>
      <c r="EP124" s="276">
        <v>-18.513279544633559</v>
      </c>
      <c r="EQ124" s="276">
        <v>-18.46765860367486</v>
      </c>
      <c r="ER124" s="276">
        <v>-18.422183222297399</v>
      </c>
      <c r="ES124" s="276">
        <v>-18.37685416332593</v>
      </c>
      <c r="ET124" s="276">
        <v>-18.3316720791682</v>
      </c>
      <c r="EU124" s="276">
        <v>-18.286637507447391</v>
      </c>
      <c r="EV124" s="276">
        <v>-18.24175086681667</v>
      </c>
      <c r="EW124" s="276">
        <v>-18.19701245298722</v>
      </c>
      <c r="EX124" s="276">
        <v>-18.152422435000421</v>
      </c>
      <c r="EY124" s="276">
        <v>-18.107980851774631</v>
      </c>
      <c r="EZ124" s="276">
        <v>-18.06368760895575</v>
      </c>
      <c r="FA124" s="276">
        <v>-18.019542476100089</v>
      </c>
      <c r="FB124" s="276">
        <v>-17.975545084215991</v>
      </c>
      <c r="FC124" s="276">
        <v>-17.931694923689349</v>
      </c>
      <c r="FD124" s="276">
        <v>-17.887991342616122</v>
      </c>
      <c r="FE124" s="276">
        <v>-17.84443354556165</v>
      </c>
      <c r="FF124" s="276">
        <v>-17.80102059276582</v>
      </c>
      <c r="FG124" s="276">
        <v>-17.75775139980815</v>
      </c>
      <c r="FH124" s="276">
        <v>-17.714624737745691</v>
      </c>
      <c r="FI124" s="276">
        <v>-17.67163923373241</v>
      </c>
      <c r="FJ124" s="272">
        <v>-17.628793372125671</v>
      </c>
      <c r="FK124" s="272">
        <v>-17.586085496082109</v>
      </c>
      <c r="FL124" s="272">
        <v>-17.543513809642029</v>
      </c>
      <c r="FM124" s="272">
        <v>-17.501076380297309</v>
      </c>
      <c r="FN124" s="272">
        <v>-17.458771142034621</v>
      </c>
      <c r="FO124" s="272">
        <v>-17.416595898843131</v>
      </c>
      <c r="FP124" s="272">
        <v>-17.374548328671111</v>
      </c>
      <c r="FQ124" s="272">
        <v>-17.332625987814328</v>
      </c>
      <c r="FR124" s="272">
        <v>-17.29082631571449</v>
      </c>
      <c r="FS124" s="272">
        <v>-17.24914664014474</v>
      </c>
      <c r="FT124" s="272">
        <v>-17.2075841827555</v>
      </c>
      <c r="FU124" s="272">
        <v>-17.166136064952241</v>
      </c>
      <c r="FV124" s="272">
        <v>-17.124799314074721</v>
      </c>
      <c r="FW124" s="272">
        <v>-17.083570869844941</v>
      </c>
      <c r="FX124" s="272">
        <v>-17.042447591050461</v>
      </c>
      <c r="FY124" s="272">
        <v>-17.001426262427859</v>
      </c>
      <c r="FZ124" s="272">
        <v>-16.960503601711011</v>
      </c>
      <c r="GA124" s="272">
        <v>-16.919676266807361</v>
      </c>
      <c r="GB124" s="272">
        <v>-16.878940863066688</v>
      </c>
      <c r="GC124" s="272">
        <v>-16.838293950605578</v>
      </c>
    </row>
    <row r="125" spans="2:185" ht="15" thickBot="1" x14ac:dyDescent="0.4">
      <c r="B125" s="298">
        <v>119</v>
      </c>
      <c r="C125" s="275">
        <v>-19.216226808576369</v>
      </c>
      <c r="D125" s="275">
        <v>-19.17461234744766</v>
      </c>
      <c r="E125" s="275">
        <v>-19.132951850447871</v>
      </c>
      <c r="F125" s="275">
        <v>-19.091246641853608</v>
      </c>
      <c r="G125" s="275">
        <v>-19.049498128204</v>
      </c>
      <c r="H125" s="275">
        <v>-19.007707799140071</v>
      </c>
      <c r="I125" s="275">
        <v>-18.96587722809462</v>
      </c>
      <c r="J125" s="275">
        <v>-18.924008072824329</v>
      </c>
      <c r="K125" s="275">
        <v>-18.882102075776061</v>
      </c>
      <c r="L125" s="275">
        <v>-18.840161064279581</v>
      </c>
      <c r="M125" s="275">
        <v>-18.798186950559131</v>
      </c>
      <c r="N125" s="275">
        <v>-18.75618173155711</v>
      </c>
      <c r="O125" s="275">
        <v>-18.714147488563029</v>
      </c>
      <c r="P125" s="275">
        <v>-18.6720863866421</v>
      </c>
      <c r="Q125" s="275">
        <v>-18.630000673857531</v>
      </c>
      <c r="R125" s="275">
        <v>-18.587892680282021</v>
      </c>
      <c r="S125" s="275">
        <v>-18.545764816794041</v>
      </c>
      <c r="T125" s="275">
        <v>-18.503619573655438</v>
      </c>
      <c r="U125" s="275">
        <v>-18.461459518867539</v>
      </c>
      <c r="V125" s="275">
        <v>-18.41928729630364</v>
      </c>
      <c r="W125" s="275">
        <v>-18.377105623616771</v>
      </c>
      <c r="X125" s="275">
        <v>-18.334917289922089</v>
      </c>
      <c r="Y125" s="275">
        <v>-18.292725153254541</v>
      </c>
      <c r="Z125" s="275">
        <v>-18.250532137802811</v>
      </c>
      <c r="AA125" s="275">
        <v>-18.208341230921921</v>
      </c>
      <c r="AB125" s="275">
        <v>-18.16615547992744</v>
      </c>
      <c r="AC125" s="275">
        <v>-18.123977988675119</v>
      </c>
      <c r="AD125" s="275">
        <v>-18.08181191393107</v>
      </c>
      <c r="AE125" s="275">
        <v>-18.039660461537959</v>
      </c>
      <c r="AF125" s="275">
        <v>-17.997526882383951</v>
      </c>
      <c r="AG125" s="275">
        <v>-17.955414468181999</v>
      </c>
      <c r="AH125" s="275">
        <v>-17.913326547067729</v>
      </c>
      <c r="AI125" s="275">
        <v>-17.871266479025291</v>
      </c>
      <c r="AJ125" s="275">
        <v>-17.829237651151079</v>
      </c>
      <c r="AK125" s="275">
        <v>-17.78724347276637</v>
      </c>
      <c r="AL125" s="275">
        <v>-17.745287370390411</v>
      </c>
      <c r="AM125" s="275">
        <v>-17.703372782586321</v>
      </c>
      <c r="AN125" s="275">
        <v>-17.661503154692909</v>
      </c>
      <c r="AO125" s="275">
        <v>-17.6196819334561</v>
      </c>
      <c r="AP125" s="275">
        <v>-17.577912561574411</v>
      </c>
      <c r="AQ125" s="275">
        <v>-17.536198472173179</v>
      </c>
      <c r="AR125" s="275">
        <v>-17.494543083223121</v>
      </c>
      <c r="AS125" s="275">
        <v>-17.452949791919</v>
      </c>
      <c r="AT125" s="275">
        <v>-17.411421969034659</v>
      </c>
      <c r="AU125" s="275">
        <v>-17.36996295327117</v>
      </c>
      <c r="AV125" s="275">
        <v>-17.328576045614561</v>
      </c>
      <c r="AW125" s="275">
        <v>-17.287264503720849</v>
      </c>
      <c r="AX125" s="275">
        <v>-17.246031536344919</v>
      </c>
      <c r="AY125" s="275">
        <v>-17.204880297831021</v>
      </c>
      <c r="AZ125" s="275">
        <v>-17.163813882682021</v>
      </c>
      <c r="BA125" s="275">
        <v>-17.122835320224471</v>
      </c>
      <c r="BB125" s="275">
        <v>-17.081947569386902</v>
      </c>
      <c r="BC125" s="275">
        <v>-17.04115351360776</v>
      </c>
      <c r="BD125" s="275">
        <v>-17.00045595588989</v>
      </c>
      <c r="BE125" s="275">
        <v>-16.959857614017402</v>
      </c>
      <c r="BF125" s="275">
        <v>-16.919361115950831</v>
      </c>
      <c r="BG125" s="275">
        <v>-16.878968995415541</v>
      </c>
      <c r="BH125" s="275">
        <v>-16.838683687697959</v>
      </c>
      <c r="BI125" s="275">
        <v>-16.798507525663439</v>
      </c>
      <c r="BJ125" s="275">
        <v>-16.758442736008849</v>
      </c>
      <c r="BK125" s="275">
        <v>-16.718491435761791</v>
      </c>
      <c r="BL125" s="275">
        <v>-16.678655629038332</v>
      </c>
      <c r="BM125" s="275">
        <v>-16.63893720406865</v>
      </c>
      <c r="BN125" s="275">
        <v>-16.599337930500749</v>
      </c>
      <c r="BO125" s="275">
        <v>-16.55985945698983</v>
      </c>
      <c r="BP125" s="275">
        <v>-16.520503309080411</v>
      </c>
      <c r="BQ125" s="275">
        <v>-16.481270887387272</v>
      </c>
      <c r="BR125" s="275">
        <v>-16.442163466079439</v>
      </c>
      <c r="BS125" s="275">
        <v>-16.403182191670911</v>
      </c>
      <c r="BT125" s="275">
        <v>-16.36432808211984</v>
      </c>
      <c r="BU125" s="275">
        <v>-16.325602026237259</v>
      </c>
      <c r="BV125" s="275">
        <v>-16.287004783404591</v>
      </c>
      <c r="BW125" s="275">
        <v>-16.248536983598111</v>
      </c>
      <c r="BX125" s="275">
        <v>-16.210199127717541</v>
      </c>
      <c r="BY125" s="275">
        <v>-16.171991588214009</v>
      </c>
      <c r="BZ125" s="275">
        <v>-16.133914610012152</v>
      </c>
      <c r="CA125" s="275">
        <v>-16.095968311719339</v>
      </c>
      <c r="CB125" s="275">
        <v>-16.05815268711423</v>
      </c>
      <c r="CC125" s="275">
        <v>-16.02046760690563</v>
      </c>
      <c r="CD125" s="275">
        <v>-15.98291282075162</v>
      </c>
      <c r="CE125" s="275">
        <v>-15.94548795952794</v>
      </c>
      <c r="CF125" s="275">
        <v>-15.908192537833861</v>
      </c>
      <c r="CG125" s="275">
        <v>-15.871025956722759</v>
      </c>
      <c r="CH125" s="275">
        <v>-15.833987506644201</v>
      </c>
      <c r="CI125" s="275">
        <v>-15.79707637058327</v>
      </c>
      <c r="CJ125" s="275">
        <v>-15.760291627382861</v>
      </c>
      <c r="CK125" s="275">
        <v>-15.72363225523382</v>
      </c>
      <c r="CL125" s="275">
        <v>-15.687097135317639</v>
      </c>
      <c r="CM125" s="275">
        <v>-15.65068505558612</v>
      </c>
      <c r="CN125" s="275">
        <v>-15.61439471466225</v>
      </c>
      <c r="CO125" s="275">
        <v>-15.5782247258465</v>
      </c>
      <c r="CP125" s="275"/>
      <c r="CQ125" s="276">
        <v>-21.227945725635038</v>
      </c>
      <c r="CR125" s="276">
        <v>-21.177257095625269</v>
      </c>
      <c r="CS125" s="276">
        <v>-21.12661902398845</v>
      </c>
      <c r="CT125" s="276">
        <v>-21.07603339168427</v>
      </c>
      <c r="CU125" s="276">
        <v>-21.02550209730407</v>
      </c>
      <c r="CV125" s="276">
        <v>-20.9750270563685</v>
      </c>
      <c r="CW125" s="276">
        <v>-20.924610200612559</v>
      </c>
      <c r="CX125" s="276">
        <v>-20.874253477256691</v>
      </c>
      <c r="CY125" s="276">
        <v>-20.82395884826332</v>
      </c>
      <c r="CZ125" s="276">
        <v>-20.773728289577718</v>
      </c>
      <c r="DA125" s="276">
        <v>-20.723563790351079</v>
      </c>
      <c r="DB125" s="276">
        <v>-20.67346735214403</v>
      </c>
      <c r="DC125" s="276">
        <v>-20.623440988107578</v>
      </c>
      <c r="DD125" s="276">
        <v>-20.57348672213935</v>
      </c>
      <c r="DE125" s="276">
        <v>-20.52360658801005</v>
      </c>
      <c r="DF125" s="276">
        <v>-20.47380262845752</v>
      </c>
      <c r="DG125" s="276">
        <v>-20.42407689424288</v>
      </c>
      <c r="DH125" s="276">
        <v>-20.374431443164411</v>
      </c>
      <c r="DI125" s="276">
        <v>-20.32486833902292</v>
      </c>
      <c r="DJ125" s="276">
        <v>-20.275389650533299</v>
      </c>
      <c r="DK125" s="276">
        <v>-20.225997450175669</v>
      </c>
      <c r="DL125" s="276">
        <v>-20.17669381297905</v>
      </c>
      <c r="DM125" s="276">
        <v>-20.127480815231181</v>
      </c>
      <c r="DN125" s="276">
        <v>-20.078360533106341</v>
      </c>
      <c r="DO125" s="276">
        <v>-20.029335041204479</v>
      </c>
      <c r="DP125" s="276">
        <v>-19.980406410993272</v>
      </c>
      <c r="DQ125" s="276">
        <v>-19.931576709145968</v>
      </c>
      <c r="DR125" s="276">
        <v>-19.8828479957673</v>
      </c>
      <c r="DS125" s="276">
        <v>-19.83422232249983</v>
      </c>
      <c r="DT125" s="276">
        <v>-19.785701730504009</v>
      </c>
      <c r="DU125" s="276">
        <v>-19.73728824830475</v>
      </c>
      <c r="DV125" s="276">
        <v>-19.688983889498761</v>
      </c>
      <c r="DW125" s="276">
        <v>-19.640790650316831</v>
      </c>
      <c r="DX125" s="276">
        <v>-19.592710507036351</v>
      </c>
      <c r="DY125" s="276">
        <v>-19.544745413240161</v>
      </c>
      <c r="DZ125" s="276">
        <v>-19.496897296919439</v>
      </c>
      <c r="EA125" s="276">
        <v>-19.449168057417989</v>
      </c>
      <c r="EB125" s="276">
        <v>-19.401559562218651</v>
      </c>
      <c r="EC125" s="276">
        <v>-19.354073643572349</v>
      </c>
      <c r="ED125" s="276">
        <v>-19.306712094972418</v>
      </c>
      <c r="EE125" s="276">
        <v>-19.259476667478729</v>
      </c>
      <c r="EF125" s="276">
        <v>-19.2123690658971</v>
      </c>
      <c r="EG125" s="276">
        <v>-19.165390944822299</v>
      </c>
      <c r="EH125" s="276">
        <v>-19.118543904553441</v>
      </c>
      <c r="EI125" s="276">
        <v>-19.07182948689406</v>
      </c>
      <c r="EJ125" s="276">
        <v>-19.025249170849101</v>
      </c>
      <c r="EK125" s="276">
        <v>-18.97880436823506</v>
      </c>
      <c r="EL125" s="276">
        <v>-18.932496419219611</v>
      </c>
      <c r="EM125" s="276">
        <v>-18.886326587809421</v>
      </c>
      <c r="EN125" s="276">
        <v>-18.840296057307331</v>
      </c>
      <c r="EO125" s="276">
        <v>-18.79440592576017</v>
      </c>
      <c r="EP125" s="276">
        <v>-18.748657201421668</v>
      </c>
      <c r="EQ125" s="276">
        <v>-18.70305079825447</v>
      </c>
      <c r="ER125" s="276">
        <v>-18.657587531498169</v>
      </c>
      <c r="ES125" s="276">
        <v>-18.612268113330039</v>
      </c>
      <c r="ET125" s="276">
        <v>-18.567093148646201</v>
      </c>
      <c r="EU125" s="276">
        <v>-18.522063130991601</v>
      </c>
      <c r="EV125" s="276">
        <v>-18.477178438667639</v>
      </c>
      <c r="EW125" s="276">
        <v>-18.432439331045629</v>
      </c>
      <c r="EX125" s="276">
        <v>-18.387845945114631</v>
      </c>
      <c r="EY125" s="276">
        <v>-18.343398292291511</v>
      </c>
      <c r="EZ125" s="276">
        <v>-18.299096255519789</v>
      </c>
      <c r="FA125" s="276">
        <v>-18.254939586683509</v>
      </c>
      <c r="FB125" s="276">
        <v>-18.210927904360251</v>
      </c>
      <c r="FC125" s="276">
        <v>-18.167060691936211</v>
      </c>
      <c r="FD125" s="276">
        <v>-18.123337296104069</v>
      </c>
      <c r="FE125" s="276">
        <v>-18.079756925762371</v>
      </c>
      <c r="FF125" s="276">
        <v>-18.036318651332749</v>
      </c>
      <c r="FG125" s="276">
        <v>-17.993021404508529</v>
      </c>
      <c r="FH125" s="276">
        <v>-17.949863978445901</v>
      </c>
      <c r="FI125" s="276">
        <v>-17.906845028405499</v>
      </c>
      <c r="FJ125" s="272">
        <v>-17.863963072849561</v>
      </c>
      <c r="FK125" s="272">
        <v>-17.82121649499625</v>
      </c>
      <c r="FL125" s="272">
        <v>-17.77860354483051</v>
      </c>
      <c r="FM125" s="272">
        <v>-17.736122341566361</v>
      </c>
      <c r="FN125" s="272">
        <v>-17.693770876553589</v>
      </c>
      <c r="FO125" s="272">
        <v>-17.65154701661784</v>
      </c>
      <c r="FP125" s="272">
        <v>-17.609448507820659</v>
      </c>
      <c r="FQ125" s="272">
        <v>-17.567472979622782</v>
      </c>
      <c r="FR125" s="272">
        <v>-17.52561794943146</v>
      </c>
      <c r="FS125" s="272">
        <v>-17.483880827509971</v>
      </c>
      <c r="FT125" s="272">
        <v>-17.442258922224969</v>
      </c>
      <c r="FU125" s="272">
        <v>-17.400749445605491</v>
      </c>
      <c r="FV125" s="272">
        <v>-17.35934951918545</v>
      </c>
      <c r="FW125" s="272">
        <v>-17.318056180099401</v>
      </c>
      <c r="FX125" s="272">
        <v>-17.276866387400979</v>
      </c>
      <c r="FY125" s="272">
        <v>-17.235777028571309</v>
      </c>
      <c r="FZ125" s="272">
        <v>-17.19478492618482</v>
      </c>
      <c r="GA125" s="272">
        <v>-17.153886844698441</v>
      </c>
      <c r="GB125" s="272">
        <v>-17.11307949733138</v>
      </c>
      <c r="GC125" s="272">
        <v>-17.07235955300111</v>
      </c>
    </row>
    <row r="126" spans="2:185" ht="15" thickBot="1" x14ac:dyDescent="0.4">
      <c r="B126" s="298">
        <v>120</v>
      </c>
      <c r="C126" s="275">
        <v>-19.42902636066766</v>
      </c>
      <c r="D126" s="275">
        <v>-19.38744393149863</v>
      </c>
      <c r="E126" s="275">
        <v>-19.345816859987622</v>
      </c>
      <c r="F126" s="275">
        <v>-19.30414646890231</v>
      </c>
      <c r="G126" s="275">
        <v>-19.26243416075576</v>
      </c>
      <c r="H126" s="275">
        <v>-19.220681418557501</v>
      </c>
      <c r="I126" s="275">
        <v>-19.178889806419829</v>
      </c>
      <c r="J126" s="275">
        <v>-19.137060970011561</v>
      </c>
      <c r="K126" s="275">
        <v>-19.095196636851689</v>
      </c>
      <c r="L126" s="275">
        <v>-19.053298616435651</v>
      </c>
      <c r="M126" s="275">
        <v>-19.011368800187402</v>
      </c>
      <c r="N126" s="275">
        <v>-18.969409161230701</v>
      </c>
      <c r="O126" s="275">
        <v>-18.927421753973679</v>
      </c>
      <c r="P126" s="275">
        <v>-18.885408713500919</v>
      </c>
      <c r="Q126" s="275">
        <v>-18.843372254768351</v>
      </c>
      <c r="R126" s="275">
        <v>-18.801314671596121</v>
      </c>
      <c r="S126" s="275">
        <v>-18.759238335455851</v>
      </c>
      <c r="T126" s="275">
        <v>-18.717145694049069</v>
      </c>
      <c r="U126" s="275">
        <v>-18.67503926967418</v>
      </c>
      <c r="V126" s="275">
        <v>-18.63292165738029</v>
      </c>
      <c r="W126" s="275">
        <v>-18.590795522906941</v>
      </c>
      <c r="X126" s="275">
        <v>-18.548663600409238</v>
      </c>
      <c r="Y126" s="275">
        <v>-18.506528689969191</v>
      </c>
      <c r="Z126" s="275">
        <v>-18.464393654894451</v>
      </c>
      <c r="AA126" s="275">
        <v>-18.42226141880672</v>
      </c>
      <c r="AB126" s="275">
        <v>-18.380134962522831</v>
      </c>
      <c r="AC126" s="275">
        <v>-18.338017320732241</v>
      </c>
      <c r="AD126" s="275">
        <v>-18.295911578476119</v>
      </c>
      <c r="AE126" s="275">
        <v>-18.253820867432889</v>
      </c>
      <c r="AF126" s="275">
        <v>-18.211748362017339</v>
      </c>
      <c r="AG126" s="275">
        <v>-18.169697275300141</v>
      </c>
      <c r="AH126" s="275">
        <v>-18.127670854755959</v>
      </c>
      <c r="AI126" s="275">
        <v>-18.085672377849061</v>
      </c>
      <c r="AJ126" s="275">
        <v>-18.043705147466071</v>
      </c>
      <c r="AK126" s="275">
        <v>-18.001772487206249</v>
      </c>
      <c r="AL126" s="275">
        <v>-17.959877736540271</v>
      </c>
      <c r="AM126" s="275">
        <v>-17.918024245849811</v>
      </c>
      <c r="AN126" s="275">
        <v>-17.87621537135978</v>
      </c>
      <c r="AO126" s="275">
        <v>-17.83445446997678</v>
      </c>
      <c r="AP126" s="275">
        <v>-17.792744894047239</v>
      </c>
      <c r="AQ126" s="275">
        <v>-17.751089986049411</v>
      </c>
      <c r="AR126" s="275">
        <v>-17.709493073234</v>
      </c>
      <c r="AS126" s="275">
        <v>-17.667957462228429</v>
      </c>
      <c r="AT126" s="275">
        <v>-17.626486433620212</v>
      </c>
      <c r="AU126" s="275">
        <v>-17.585083236535251</v>
      </c>
      <c r="AV126" s="275">
        <v>-17.543751083227029</v>
      </c>
      <c r="AW126" s="275">
        <v>-17.502493143692941</v>
      </c>
      <c r="AX126" s="275">
        <v>-17.46131254033412</v>
      </c>
      <c r="AY126" s="275">
        <v>-17.4202123426751</v>
      </c>
      <c r="AZ126" s="275">
        <v>-17.379195562159701</v>
      </c>
      <c r="BA126" s="275">
        <v>-17.338265147039579</v>
      </c>
      <c r="BB126" s="275">
        <v>-17.297423977371341</v>
      </c>
      <c r="BC126" s="275">
        <v>-17.256674860138361</v>
      </c>
      <c r="BD126" s="275">
        <v>-17.216020524512839</v>
      </c>
      <c r="BE126" s="275">
        <v>-17.175463617273419</v>
      </c>
      <c r="BF126" s="275">
        <v>-17.135006698392921</v>
      </c>
      <c r="BG126" s="275">
        <v>-17.094652236810951</v>
      </c>
      <c r="BH126" s="275">
        <v>-17.054402606404491</v>
      </c>
      <c r="BI126" s="275">
        <v>-17.01426008217004</v>
      </c>
      <c r="BJ126" s="275">
        <v>-16.97422683662915</v>
      </c>
      <c r="BK126" s="275">
        <v>-16.934304936469189</v>
      </c>
      <c r="BL126" s="275">
        <v>-16.894496339429711</v>
      </c>
      <c r="BM126" s="275">
        <v>-16.854802891444251</v>
      </c>
      <c r="BN126" s="275">
        <v>-16.815226324046279</v>
      </c>
      <c r="BO126" s="275">
        <v>-16.775768252046859</v>
      </c>
      <c r="BP126" s="275">
        <v>-16.736430171490849</v>
      </c>
      <c r="BQ126" s="275">
        <v>-16.6972134578969</v>
      </c>
      <c r="BR126" s="275">
        <v>-16.65811936478568</v>
      </c>
      <c r="BS126" s="275">
        <v>-16.619149022499631</v>
      </c>
      <c r="BT126" s="275">
        <v>-16.58030343731588</v>
      </c>
      <c r="BU126" s="275">
        <v>-16.541583490853512</v>
      </c>
      <c r="BV126" s="275">
        <v>-16.502989939774238</v>
      </c>
      <c r="BW126" s="275">
        <v>-16.464523415775329</v>
      </c>
      <c r="BX126" s="275">
        <v>-16.426184425871419</v>
      </c>
      <c r="BY126" s="275">
        <v>-16.387973352961669</v>
      </c>
      <c r="BZ126" s="275">
        <v>-16.349890456676579</v>
      </c>
      <c r="CA126" s="275">
        <v>-16.31193587449863</v>
      </c>
      <c r="CB126" s="275">
        <v>-16.274109623149069</v>
      </c>
      <c r="CC126" s="275">
        <v>-16.236411600232501</v>
      </c>
      <c r="CD126" s="275">
        <v>-16.19884158613019</v>
      </c>
      <c r="CE126" s="275">
        <v>-16.161399246131449</v>
      </c>
      <c r="CF126" s="275">
        <v>-16.124084132792351</v>
      </c>
      <c r="CG126" s="275">
        <v>-16.086895688509781</v>
      </c>
      <c r="CH126" s="275">
        <v>-16.049833248298459</v>
      </c>
      <c r="CI126" s="275">
        <v>-16.012896042757578</v>
      </c>
      <c r="CJ126" s="275">
        <v>-15.97608320121393</v>
      </c>
      <c r="CK126" s="275">
        <v>-15.93939375502689</v>
      </c>
      <c r="CL126" s="275">
        <v>-15.902826641041401</v>
      </c>
      <c r="CM126" s="275">
        <v>-15.866380705174089</v>
      </c>
      <c r="CN126" s="275">
        <v>-15.830054706117711</v>
      </c>
      <c r="CO126" s="275">
        <v>-15.793847319149259</v>
      </c>
      <c r="CP126" s="275"/>
      <c r="CQ126" s="276">
        <v>-21.46077878833146</v>
      </c>
      <c r="CR126" s="276">
        <v>-21.410151758497811</v>
      </c>
      <c r="CS126" s="276">
        <v>-21.35957543103487</v>
      </c>
      <c r="CT126" s="276">
        <v>-21.309051657652841</v>
      </c>
      <c r="CU126" s="276">
        <v>-21.2585823069833</v>
      </c>
      <c r="CV126" s="276">
        <v>-21.208169263873309</v>
      </c>
      <c r="CW126" s="276">
        <v>-21.157814428664171</v>
      </c>
      <c r="CX126" s="276">
        <v>-21.1075197164546</v>
      </c>
      <c r="CY126" s="276">
        <v>-21.057287056346681</v>
      </c>
      <c r="CZ126" s="276">
        <v>-21.007118390673931</v>
      </c>
      <c r="DA126" s="276">
        <v>-20.957015674209259</v>
      </c>
      <c r="DB126" s="276">
        <v>-20.906980873350939</v>
      </c>
      <c r="DC126" s="276">
        <v>-20.857015965284049</v>
      </c>
      <c r="DD126" s="276">
        <v>-20.807122937114229</v>
      </c>
      <c r="DE126" s="276">
        <v>-20.757303784970642</v>
      </c>
      <c r="DF126" s="276">
        <v>-20.707560513073819</v>
      </c>
      <c r="DG126" s="276">
        <v>-20.65789513276485</v>
      </c>
      <c r="DH126" s="276">
        <v>-20.608309661490281</v>
      </c>
      <c r="DI126" s="276">
        <v>-20.558806121738311</v>
      </c>
      <c r="DJ126" s="276">
        <v>-20.509386539920541</v>
      </c>
      <c r="DK126" s="276">
        <v>-20.460052945193301</v>
      </c>
      <c r="DL126" s="276">
        <v>-20.410807368212559</v>
      </c>
      <c r="DM126" s="276">
        <v>-20.361651839815881</v>
      </c>
      <c r="DN126" s="276">
        <v>-20.312588389624871</v>
      </c>
      <c r="DO126" s="276">
        <v>-20.26361904456115</v>
      </c>
      <c r="DP126" s="276">
        <v>-20.214745827269422</v>
      </c>
      <c r="DQ126" s="276">
        <v>-20.16597075444011</v>
      </c>
      <c r="DR126" s="276">
        <v>-20.117295835025669</v>
      </c>
      <c r="DS126" s="276">
        <v>-20.068723068343441</v>
      </c>
      <c r="DT126" s="276">
        <v>-20.02025444205886</v>
      </c>
      <c r="DU126" s="276">
        <v>-19.97189193004375</v>
      </c>
      <c r="DV126" s="276">
        <v>-19.923637490103761</v>
      </c>
      <c r="DW126" s="276">
        <v>-19.875493061570531</v>
      </c>
      <c r="DX126" s="276">
        <v>-19.827460562754951</v>
      </c>
      <c r="DY126" s="276">
        <v>-19.77954188825818</v>
      </c>
      <c r="DZ126" s="276">
        <v>-19.731738906138361</v>
      </c>
      <c r="EA126" s="276">
        <v>-19.684053454932432</v>
      </c>
      <c r="EB126" s="276">
        <v>-19.636487340533058</v>
      </c>
      <c r="EC126" s="276">
        <v>-19.589042332922229</v>
      </c>
      <c r="ED126" s="276">
        <v>-19.541720162764971</v>
      </c>
      <c r="EE126" s="276">
        <v>-19.494522517866908</v>
      </c>
      <c r="EF126" s="276">
        <v>-19.447451039502742</v>
      </c>
      <c r="EG126" s="276">
        <v>-19.400507318622431</v>
      </c>
      <c r="EH126" s="276">
        <v>-19.35369289194497</v>
      </c>
      <c r="EI126" s="276">
        <v>-19.307009237950901</v>
      </c>
      <c r="EJ126" s="276">
        <v>-19.260457772785781</v>
      </c>
      <c r="EK126" s="276">
        <v>-19.214039846089879</v>
      </c>
      <c r="EL126" s="276">
        <v>-19.167756736769441</v>
      </c>
      <c r="EM126" s="276">
        <v>-19.121609648728001</v>
      </c>
      <c r="EN126" s="276">
        <v>-19.075599706576391</v>
      </c>
      <c r="EO126" s="276">
        <v>-19.029727951342739</v>
      </c>
      <c r="EP126" s="276">
        <v>-18.983995336203861</v>
      </c>
      <c r="EQ126" s="276">
        <v>-18.938402722262129</v>
      </c>
      <c r="ER126" s="276">
        <v>-18.892950874391019</v>
      </c>
      <c r="ES126" s="276">
        <v>-18.84764045717538</v>
      </c>
      <c r="ET126" s="276">
        <v>-18.802472030971451</v>
      </c>
      <c r="EU126" s="276">
        <v>-18.757446048113259</v>
      </c>
      <c r="EV126" s="276">
        <v>-18.712562849291171</v>
      </c>
      <c r="EW126" s="276">
        <v>-18.667822660129669</v>
      </c>
      <c r="EX126" s="276">
        <v>-18.62322558798947</v>
      </c>
      <c r="EY126" s="276">
        <v>-18.578771619020142</v>
      </c>
      <c r="EZ126" s="276">
        <v>-18.534460615487681</v>
      </c>
      <c r="FA126" s="276">
        <v>-18.49029231340025</v>
      </c>
      <c r="FB126" s="276">
        <v>-18.446266320455219</v>
      </c>
      <c r="FC126" s="276">
        <v>-18.40238211432731</v>
      </c>
      <c r="FD126" s="276">
        <v>-18.35863904131751</v>
      </c>
      <c r="FE126" s="276">
        <v>-18.315036315379508</v>
      </c>
      <c r="FF126" s="276">
        <v>-18.27157301753823</v>
      </c>
      <c r="FG126" s="276">
        <v>-18.228248095713269</v>
      </c>
      <c r="FH126" s="276">
        <v>-18.185060364956591</v>
      </c>
      <c r="FI126" s="276">
        <v>-18.1420085081125</v>
      </c>
      <c r="FJ126" s="272">
        <v>-18.09909107690299</v>
      </c>
      <c r="FK126" s="272">
        <v>-18.056306493441781</v>
      </c>
      <c r="FL126" s="272">
        <v>-18.01365305217406</v>
      </c>
      <c r="FM126" s="272">
        <v>-17.971128922239139</v>
      </c>
      <c r="FN126" s="272">
        <v>-17.92873215024785</v>
      </c>
      <c r="FO126" s="272">
        <v>-17.886460663465449</v>
      </c>
      <c r="FP126" s="272">
        <v>-17.844312273387239</v>
      </c>
      <c r="FQ126" s="272">
        <v>-17.802284679691329</v>
      </c>
      <c r="FR126" s="272">
        <v>-17.760375474551068</v>
      </c>
      <c r="FS126" s="272">
        <v>-17.718582147286529</v>
      </c>
      <c r="FT126" s="272">
        <v>-17.676902089333421</v>
      </c>
      <c r="FU126" s="272">
        <v>-17.635332599504039</v>
      </c>
      <c r="FV126" s="272">
        <v>-17.593870889515571</v>
      </c>
      <c r="FW126" s="272">
        <v>-17.552514089756869</v>
      </c>
      <c r="FX126" s="272">
        <v>-17.511259255266062</v>
      </c>
      <c r="FY126" s="272">
        <v>-17.470103371888388</v>
      </c>
      <c r="FZ126" s="272">
        <v>-17.429043362584292</v>
      </c>
      <c r="GA126" s="272">
        <v>-17.38807609385665</v>
      </c>
      <c r="GB126" s="272">
        <v>-17.347198382265809</v>
      </c>
      <c r="GC126" s="272">
        <v>-17.30640700100188</v>
      </c>
    </row>
    <row r="127" spans="2:185" ht="15" thickBot="1" x14ac:dyDescent="0.4">
      <c r="B127" s="298">
        <v>121</v>
      </c>
      <c r="C127" s="275">
        <v>-19.641841177828638</v>
      </c>
      <c r="D127" s="275">
        <v>-19.600290856060159</v>
      </c>
      <c r="E127" s="275">
        <v>-19.55869724946594</v>
      </c>
      <c r="F127" s="275">
        <v>-19.517061678390771</v>
      </c>
      <c r="G127" s="275">
        <v>-19.475385540480051</v>
      </c>
      <c r="H127" s="275">
        <v>-19.433670311348401</v>
      </c>
      <c r="I127" s="275">
        <v>-19.391917545108111</v>
      </c>
      <c r="J127" s="275">
        <v>-19.350128874749998</v>
      </c>
      <c r="K127" s="275">
        <v>-19.30830601236979</v>
      </c>
      <c r="L127" s="275">
        <v>-19.266450749233218</v>
      </c>
      <c r="M127" s="275">
        <v>-19.224564955673351</v>
      </c>
      <c r="N127" s="275">
        <v>-19.1826505808143</v>
      </c>
      <c r="O127" s="275">
        <v>-19.140709652115518</v>
      </c>
      <c r="P127" s="275">
        <v>-19.098744274731661</v>
      </c>
      <c r="Q127" s="275">
        <v>-19.056756630683481</v>
      </c>
      <c r="R127" s="275">
        <v>-19.014748977835389</v>
      </c>
      <c r="S127" s="275">
        <v>-18.97272364867656</v>
      </c>
      <c r="T127" s="275">
        <v>-18.930683048902349</v>
      </c>
      <c r="U127" s="275">
        <v>-18.888629655794151</v>
      </c>
      <c r="V127" s="275">
        <v>-18.846566016395901</v>
      </c>
      <c r="W127" s="275">
        <v>-18.804494745486469</v>
      </c>
      <c r="X127" s="275">
        <v>-18.76241852334795</v>
      </c>
      <c r="Y127" s="275">
        <v>-18.720340093330449</v>
      </c>
      <c r="Z127" s="275">
        <v>-18.678262259214659</v>
      </c>
      <c r="AA127" s="275">
        <v>-18.63618788237472</v>
      </c>
      <c r="AB127" s="275">
        <v>-18.594119878744198</v>
      </c>
      <c r="AC127" s="275">
        <v>-18.552061215588981</v>
      </c>
      <c r="AD127" s="275">
        <v>-18.510014908091811</v>
      </c>
      <c r="AE127" s="275">
        <v>-18.467984015753821</v>
      </c>
      <c r="AF127" s="275">
        <v>-18.425971638619291</v>
      </c>
      <c r="AG127" s="275">
        <v>-18.383980913330522</v>
      </c>
      <c r="AH127" s="275">
        <v>-18.342015009020859</v>
      </c>
      <c r="AI127" s="275">
        <v>-18.300077123054091</v>
      </c>
      <c r="AJ127" s="275">
        <v>-18.258170476619618</v>
      </c>
      <c r="AK127" s="275">
        <v>-18.21629831019348</v>
      </c>
      <c r="AL127" s="275">
        <v>-18.17446387887551</v>
      </c>
      <c r="AM127" s="275">
        <v>-18.132670447614441</v>
      </c>
      <c r="AN127" s="275">
        <v>-18.090921286332389</v>
      </c>
      <c r="AO127" s="275">
        <v>-18.04921966496148</v>
      </c>
      <c r="AP127" s="275">
        <v>-18.007568848405661</v>
      </c>
      <c r="AQ127" s="275">
        <v>-17.965972091440939</v>
      </c>
      <c r="AR127" s="275">
        <v>-17.924432633568379</v>
      </c>
      <c r="AS127" s="275">
        <v>-17.882953693833912</v>
      </c>
      <c r="AT127" s="275">
        <v>-17.841538465629849</v>
      </c>
      <c r="AU127" s="275">
        <v>-17.800190111493009</v>
      </c>
      <c r="AV127" s="275">
        <v>-17.758911757914689</v>
      </c>
      <c r="AW127" s="275">
        <v>-17.717706490177729</v>
      </c>
      <c r="AX127" s="275">
        <v>-17.67657734723662</v>
      </c>
      <c r="AY127" s="275">
        <v>-17.635527316655541</v>
      </c>
      <c r="AZ127" s="275">
        <v>-17.594559329620431</v>
      </c>
      <c r="BA127" s="275">
        <v>-17.55367625604022</v>
      </c>
      <c r="BB127" s="275">
        <v>-17.512880899752609</v>
      </c>
      <c r="BC127" s="275">
        <v>-17.472175993849419</v>
      </c>
      <c r="BD127" s="275">
        <v>-17.431564196136421</v>
      </c>
      <c r="BE127" s="275">
        <v>-17.391048084741801</v>
      </c>
      <c r="BF127" s="275">
        <v>-17.35063015388754</v>
      </c>
      <c r="BG127" s="275">
        <v>-17.31031280983709</v>
      </c>
      <c r="BH127" s="275">
        <v>-17.27009836703202</v>
      </c>
      <c r="BI127" s="275">
        <v>-17.229989044430461</v>
      </c>
      <c r="BJ127" s="275">
        <v>-17.18998696205837</v>
      </c>
      <c r="BK127" s="275">
        <v>-17.150094137784851</v>
      </c>
      <c r="BL127" s="275">
        <v>-17.110312484331342</v>
      </c>
      <c r="BM127" s="275">
        <v>-17.070643806523972</v>
      </c>
      <c r="BN127" s="275">
        <v>-17.031089798797019</v>
      </c>
      <c r="BO127" s="275">
        <v>-16.99165204295516</v>
      </c>
      <c r="BP127" s="275">
        <v>-16.952332006200301</v>
      </c>
      <c r="BQ127" s="275">
        <v>-16.913131039428482</v>
      </c>
      <c r="BR127" s="275">
        <v>-16.874050375800799</v>
      </c>
      <c r="BS127" s="275">
        <v>-16.835091129591429</v>
      </c>
      <c r="BT127" s="275">
        <v>-16.796254295314611</v>
      </c>
      <c r="BU127" s="275">
        <v>-16.757540747131241</v>
      </c>
      <c r="BV127" s="275">
        <v>-16.71895123853492</v>
      </c>
      <c r="BW127" s="275">
        <v>-16.680486402315651</v>
      </c>
      <c r="BX127" s="275">
        <v>-16.642146750798862</v>
      </c>
      <c r="BY127" s="275">
        <v>-16.60393267635553</v>
      </c>
      <c r="BZ127" s="275">
        <v>-16.56584445217937</v>
      </c>
      <c r="CA127" s="275">
        <v>-16.52788223332433</v>
      </c>
      <c r="CB127" s="275">
        <v>-16.490046057996221</v>
      </c>
      <c r="CC127" s="275">
        <v>-16.452335849090382</v>
      </c>
      <c r="CD127" s="275">
        <v>-16.41475141596673</v>
      </c>
      <c r="CE127" s="275">
        <v>-16.37729245645253</v>
      </c>
      <c r="CF127" s="275">
        <v>-16.33995855906285</v>
      </c>
      <c r="CG127" s="275">
        <v>-16.302749205427229</v>
      </c>
      <c r="CH127" s="275">
        <v>-16.265663772911271</v>
      </c>
      <c r="CI127" s="275">
        <v>-16.228701537420719</v>
      </c>
      <c r="CJ127" s="275">
        <v>-16.191861676375169</v>
      </c>
      <c r="CK127" s="275">
        <v>-16.155143271838661</v>
      </c>
      <c r="CL127" s="275">
        <v>-16.118545313793209</v>
      </c>
      <c r="CM127" s="275">
        <v>-16.082066703541798</v>
      </c>
      <c r="CN127" s="275">
        <v>-16.045706257227099</v>
      </c>
      <c r="CO127" s="275">
        <v>-16.00946270945148</v>
      </c>
      <c r="CP127" s="275"/>
      <c r="CQ127" s="276">
        <v>-21.69362509468764</v>
      </c>
      <c r="CR127" s="276">
        <v>-21.64305885666597</v>
      </c>
      <c r="CS127" s="276">
        <v>-21.592543448182251</v>
      </c>
      <c r="CT127" s="276">
        <v>-21.542080691911959</v>
      </c>
      <c r="CU127" s="276">
        <v>-21.491672426745151</v>
      </c>
      <c r="CV127" s="276">
        <v>-21.441320507076551</v>
      </c>
      <c r="CW127" s="276">
        <v>-21.391026802078621</v>
      </c>
      <c r="CX127" s="276">
        <v>-21.340793194956831</v>
      </c>
      <c r="CY127" s="276">
        <v>-21.290621582186041</v>
      </c>
      <c r="CZ127" s="276">
        <v>-21.240513872726769</v>
      </c>
      <c r="DA127" s="276">
        <v>-21.19047198721935</v>
      </c>
      <c r="DB127" s="276">
        <v>-21.14049785715434</v>
      </c>
      <c r="DC127" s="276">
        <v>-21.09059342401595</v>
      </c>
      <c r="DD127" s="276">
        <v>-21.04076063839662</v>
      </c>
      <c r="DE127" s="276">
        <v>-20.991001459078682</v>
      </c>
      <c r="DF127" s="276">
        <v>-20.94131785207987</v>
      </c>
      <c r="DG127" s="276">
        <v>-20.891711789658441</v>
      </c>
      <c r="DH127" s="276">
        <v>-20.84218524927379</v>
      </c>
      <c r="DI127" s="276">
        <v>-20.79274021249763</v>
      </c>
      <c r="DJ127" s="276">
        <v>-20.743378663870509</v>
      </c>
      <c r="DK127" s="276">
        <v>-20.69410258969868</v>
      </c>
      <c r="DL127" s="276">
        <v>-20.644913976785311</v>
      </c>
      <c r="DM127" s="276">
        <v>-20.59581481109046</v>
      </c>
      <c r="DN127" s="276">
        <v>-20.546807076313559</v>
      </c>
      <c r="DO127" s="276">
        <v>-20.497892752392641</v>
      </c>
      <c r="DP127" s="276">
        <v>-20.44907381391382</v>
      </c>
      <c r="DQ127" s="276">
        <v>-20.400352228425341</v>
      </c>
      <c r="DR127" s="276">
        <v>-20.351729954649802</v>
      </c>
      <c r="DS127" s="276">
        <v>-20.303208940589379</v>
      </c>
      <c r="DT127" s="276">
        <v>-20.254791121518121</v>
      </c>
      <c r="DU127" s="276">
        <v>-20.20647841785668</v>
      </c>
      <c r="DV127" s="276">
        <v>-20.158272732924988</v>
      </c>
      <c r="DW127" s="276">
        <v>-20.110175950568671</v>
      </c>
      <c r="DX127" s="276">
        <v>-20.062189932656619</v>
      </c>
      <c r="DY127" s="276">
        <v>-20.014316516447071</v>
      </c>
      <c r="DZ127" s="276">
        <v>-19.966557511820699</v>
      </c>
      <c r="EA127" s="276">
        <v>-19.918914698380959</v>
      </c>
      <c r="EB127" s="276">
        <v>-19.87138982242195</v>
      </c>
      <c r="EC127" s="276">
        <v>-19.8239845937659</v>
      </c>
      <c r="ED127" s="276">
        <v>-19.776700682474122</v>
      </c>
      <c r="EE127" s="276">
        <v>-19.72953971543534</v>
      </c>
      <c r="EF127" s="276">
        <v>-19.682503272838339</v>
      </c>
      <c r="EG127" s="276">
        <v>-19.635592884536059</v>
      </c>
      <c r="EH127" s="276">
        <v>-19.58881002631064</v>
      </c>
      <c r="EI127" s="276">
        <v>-19.542156116049799</v>
      </c>
      <c r="EJ127" s="276">
        <v>-19.49563250984729</v>
      </c>
      <c r="EK127" s="276">
        <v>-19.449240498040741</v>
      </c>
      <c r="EL127" s="276">
        <v>-19.402981301202701</v>
      </c>
      <c r="EM127" s="276">
        <v>-19.35685606610107</v>
      </c>
      <c r="EN127" s="276">
        <v>-19.310865861647809</v>
      </c>
      <c r="EO127" s="276">
        <v>-19.265011674854399</v>
      </c>
      <c r="EP127" s="276">
        <v>-19.21929440681566</v>
      </c>
      <c r="EQ127" s="276">
        <v>-19.173714868742589</v>
      </c>
      <c r="ER127" s="276">
        <v>-19.12827377806769</v>
      </c>
      <c r="ES127" s="276">
        <v>-19.082971754645111</v>
      </c>
      <c r="ET127" s="276">
        <v>-19.037809317070199</v>
      </c>
      <c r="EU127" s="276">
        <v>-18.99278687914213</v>
      </c>
      <c r="EV127" s="276">
        <v>-18.94790474649373</v>
      </c>
      <c r="EW127" s="276">
        <v>-18.903163113413619</v>
      </c>
      <c r="EX127" s="276">
        <v>-18.858562059883251</v>
      </c>
      <c r="EY127" s="276">
        <v>-18.814101548853259</v>
      </c>
      <c r="EZ127" s="276">
        <v>-18.769781423781229</v>
      </c>
      <c r="FA127" s="276">
        <v>-18.7256014064527</v>
      </c>
      <c r="FB127" s="276">
        <v>-18.681561095105341</v>
      </c>
      <c r="FC127" s="276">
        <v>-18.637659962876061</v>
      </c>
      <c r="FD127" s="276">
        <v>-18.59389735658732</v>
      </c>
      <c r="FE127" s="276">
        <v>-18.550272495889001</v>
      </c>
      <c r="FF127" s="276">
        <v>-18.506784472768629</v>
      </c>
      <c r="FG127" s="276">
        <v>-18.463432251441422</v>
      </c>
      <c r="FH127" s="276">
        <v>-18.42021466862905</v>
      </c>
      <c r="FI127" s="276">
        <v>-18.377130434233599</v>
      </c>
      <c r="FJ127" s="272">
        <v>-18.33417813241045</v>
      </c>
      <c r="FK127" s="272">
        <v>-18.291356223041639</v>
      </c>
      <c r="FL127" s="272">
        <v>-18.248663043608261</v>
      </c>
      <c r="FM127" s="272">
        <v>-18.20609681145767</v>
      </c>
      <c r="FN127" s="272">
        <v>-18.163655626459569</v>
      </c>
      <c r="FO127" s="272">
        <v>-18.121337474040761</v>
      </c>
      <c r="FP127" s="272">
        <v>-18.07914022858764</v>
      </c>
      <c r="FQ127" s="272">
        <v>-18.0370616572019</v>
      </c>
      <c r="FR127" s="272">
        <v>-17.995099423792851</v>
      </c>
      <c r="FS127" s="272">
        <v>-17.95325109348811</v>
      </c>
      <c r="FT127" s="272">
        <v>-17.91151413734152</v>
      </c>
      <c r="FU127" s="272">
        <v>-17.869885937316351</v>
      </c>
      <c r="FV127" s="272">
        <v>-17.828363791519241</v>
      </c>
      <c r="FW127" s="272">
        <v>-17.786944919660112</v>
      </c>
      <c r="FX127" s="272">
        <v>-17.745626468710629</v>
      </c>
      <c r="FY127" s="272">
        <v>-17.704405518734351</v>
      </c>
      <c r="FZ127" s="272">
        <v>-17.663279088860278</v>
      </c>
      <c r="GA127" s="272">
        <v>-17.62224414337059</v>
      </c>
      <c r="GB127" s="272">
        <v>-17.58129759787462</v>
      </c>
      <c r="GC127" s="272">
        <v>-17.540436325539211</v>
      </c>
    </row>
    <row r="128" spans="2:185" ht="15" thickBot="1" x14ac:dyDescent="0.4">
      <c r="B128" s="298">
        <v>122</v>
      </c>
      <c r="C128" s="275">
        <v>-19.854671101774191</v>
      </c>
      <c r="D128" s="275">
        <v>-19.813152945025639</v>
      </c>
      <c r="E128" s="275">
        <v>-19.771592825745969</v>
      </c>
      <c r="F128" s="275">
        <v>-19.729992061005611</v>
      </c>
      <c r="G128" s="275">
        <v>-19.6883520428017</v>
      </c>
      <c r="H128" s="275">
        <v>-19.646674238649751</v>
      </c>
      <c r="I128" s="275">
        <v>-19.60496019203941</v>
      </c>
      <c r="J128" s="275">
        <v>-19.563211522747711</v>
      </c>
      <c r="K128" s="275">
        <v>-19.5214299270033</v>
      </c>
      <c r="L128" s="275">
        <v>-19.479617177494951</v>
      </c>
      <c r="M128" s="275">
        <v>-19.43777512321898</v>
      </c>
      <c r="N128" s="275">
        <v>-19.395905689159552</v>
      </c>
      <c r="O128" s="275">
        <v>-19.354010875796881</v>
      </c>
      <c r="P128" s="275">
        <v>-19.312092758438428</v>
      </c>
      <c r="Q128" s="275">
        <v>-19.270153486369271</v>
      </c>
      <c r="R128" s="275">
        <v>-19.228195281817271</v>
      </c>
      <c r="S128" s="275">
        <v>-19.186220438730501</v>
      </c>
      <c r="T128" s="275">
        <v>-19.144231321364011</v>
      </c>
      <c r="U128" s="275">
        <v>-19.102230362674</v>
      </c>
      <c r="V128" s="275">
        <v>-19.06022006251823</v>
      </c>
      <c r="W128" s="275">
        <v>-19.018202985661961</v>
      </c>
      <c r="X128" s="275">
        <v>-18.976181759589391</v>
      </c>
      <c r="Y128" s="275">
        <v>-18.934159072121439</v>
      </c>
      <c r="Z128" s="275">
        <v>-18.89213766884161</v>
      </c>
      <c r="AA128" s="275">
        <v>-18.850120350331679</v>
      </c>
      <c r="AB128" s="275">
        <v>-18.808109969220538</v>
      </c>
      <c r="AC128" s="275">
        <v>-18.766109427050051</v>
      </c>
      <c r="AD128" s="275">
        <v>-18.724121670962059</v>
      </c>
      <c r="AE128" s="275">
        <v>-18.682149690212071</v>
      </c>
      <c r="AF128" s="275">
        <v>-18.640196512515558</v>
      </c>
      <c r="AG128" s="275">
        <v>-18.598265200233669</v>
      </c>
      <c r="AH128" s="275">
        <v>-18.55635884640569</v>
      </c>
      <c r="AI128" s="275">
        <v>-18.5144805706366</v>
      </c>
      <c r="AJ128" s="275">
        <v>-18.472633514848511</v>
      </c>
      <c r="AK128" s="275">
        <v>-18.430820838905589</v>
      </c>
      <c r="AL128" s="275">
        <v>-18.389045716122538</v>
      </c>
      <c r="AM128" s="275">
        <v>-18.347311328667651</v>
      </c>
      <c r="AN128" s="275">
        <v>-18.305620862871461</v>
      </c>
      <c r="AO128" s="275">
        <v>-18.263977504453369</v>
      </c>
      <c r="AP128" s="275">
        <v>-18.22238443367814</v>
      </c>
      <c r="AQ128" s="275">
        <v>-18.18084482045564</v>
      </c>
      <c r="AR128" s="275">
        <v>-18.139361819396768</v>
      </c>
      <c r="AS128" s="275">
        <v>-18.097938564839321</v>
      </c>
      <c r="AT128" s="275">
        <v>-18.056578165857889</v>
      </c>
      <c r="AU128" s="275">
        <v>-18.015283701271841</v>
      </c>
      <c r="AV128" s="275">
        <v>-17.974058214666051</v>
      </c>
      <c r="AW128" s="275">
        <v>-17.932904709438759</v>
      </c>
      <c r="AX128" s="275">
        <v>-17.891826143891471</v>
      </c>
      <c r="AY128" s="275">
        <v>-17.85082542637554</v>
      </c>
      <c r="AZ128" s="275">
        <v>-17.809905410510041</v>
      </c>
      <c r="BA128" s="275">
        <v>-17.769068890485901</v>
      </c>
      <c r="BB128" s="275">
        <v>-17.728318596470292</v>
      </c>
      <c r="BC128" s="275">
        <v>-17.687657190126039</v>
      </c>
      <c r="BD128" s="275">
        <v>-17.64708726025955</v>
      </c>
      <c r="BE128" s="275">
        <v>-17.606611318611371</v>
      </c>
      <c r="BF128" s="275">
        <v>-17.56623179580205</v>
      </c>
      <c r="BG128" s="275">
        <v>-17.525951037446639</v>
      </c>
      <c r="BH128" s="275">
        <v>-17.48577130044956</v>
      </c>
      <c r="BI128" s="275">
        <v>-17.44569474949169</v>
      </c>
      <c r="BJ128" s="275">
        <v>-17.405723453720469</v>
      </c>
      <c r="BK128" s="275">
        <v>-17.365859383653511</v>
      </c>
      <c r="BL128" s="275">
        <v>-17.326104408304762</v>
      </c>
      <c r="BM128" s="275">
        <v>-17.28646029254217</v>
      </c>
      <c r="BN128" s="275">
        <v>-17.246928694684559</v>
      </c>
      <c r="BO128" s="275">
        <v>-17.2075111643444</v>
      </c>
      <c r="BP128" s="275">
        <v>-17.16820914052256</v>
      </c>
      <c r="BQ128" s="275">
        <v>-17.129023949959709</v>
      </c>
      <c r="BR128" s="275">
        <v>-17.089956805748638</v>
      </c>
      <c r="BS128" s="275">
        <v>-17.051008806209811</v>
      </c>
      <c r="BT128" s="275">
        <v>-17.012180934032529</v>
      </c>
      <c r="BU128" s="275">
        <v>-16.97347405568204</v>
      </c>
      <c r="BV128" s="275">
        <v>-16.9348889210723</v>
      </c>
      <c r="BW128" s="275">
        <v>-16.896426163503381</v>
      </c>
      <c r="BX128" s="275">
        <v>-16.85808629986051</v>
      </c>
      <c r="BY128" s="275">
        <v>-16.819869731071879</v>
      </c>
      <c r="BZ128" s="275">
        <v>-16.781776742820181</v>
      </c>
      <c r="CA128" s="275">
        <v>-16.743807506502961</v>
      </c>
      <c r="CB128" s="275">
        <v>-16.705962080435079</v>
      </c>
      <c r="CC128" s="275">
        <v>-16.6682404112859</v>
      </c>
      <c r="CD128" s="275">
        <v>-16.630642335743701</v>
      </c>
      <c r="CE128" s="275">
        <v>-16.593167582397449</v>
      </c>
      <c r="CF128" s="275">
        <v>-16.55581577382722</v>
      </c>
      <c r="CG128" s="275">
        <v>-16.518586428892259</v>
      </c>
      <c r="CH128" s="275">
        <v>-16.481478965206168</v>
      </c>
      <c r="CI128" s="275">
        <v>-16.444492701787521</v>
      </c>
      <c r="CJ128" s="275">
        <v>-16.407626861874071</v>
      </c>
      <c r="CK128" s="275">
        <v>-16.370880575888361</v>
      </c>
      <c r="CL128" s="275">
        <v>-16.334252884541691</v>
      </c>
      <c r="CM128" s="275">
        <v>-16.297742742064099</v>
      </c>
      <c r="CN128" s="275">
        <v>-16.261349019546859</v>
      </c>
      <c r="CO128" s="275">
        <v>-16.225070508384679</v>
      </c>
      <c r="CP128" s="275"/>
      <c r="CQ128" s="276">
        <v>-21.92648399254379</v>
      </c>
      <c r="CR128" s="276">
        <v>-21.875977743071651</v>
      </c>
      <c r="CS128" s="276">
        <v>-21.825522433883101</v>
      </c>
      <c r="CT128" s="276">
        <v>-21.775119858839801</v>
      </c>
      <c r="CU128" s="276">
        <v>-21.724771827315848</v>
      </c>
      <c r="CV128" s="276">
        <v>-21.67448016348439</v>
      </c>
      <c r="CW128" s="276">
        <v>-21.624246705584941</v>
      </c>
      <c r="CX128" s="276">
        <v>-21.574073305171499</v>
      </c>
      <c r="CY128" s="276">
        <v>-21.523961826340191</v>
      </c>
      <c r="CZ128" s="276">
        <v>-21.4739141449346</v>
      </c>
      <c r="DA128" s="276">
        <v>-21.42393214772796</v>
      </c>
      <c r="DB128" s="276">
        <v>-21.37401773157918</v>
      </c>
      <c r="DC128" s="276">
        <v>-21.324172802561002</v>
      </c>
      <c r="DD128" s="276">
        <v>-21.274399275057199</v>
      </c>
      <c r="DE128" s="276">
        <v>-21.22469907082613</v>
      </c>
      <c r="DF128" s="276">
        <v>-21.175074118026501</v>
      </c>
      <c r="DG128" s="276">
        <v>-21.125526350202598</v>
      </c>
      <c r="DH128" s="276">
        <v>-21.076057705223828</v>
      </c>
      <c r="DI128" s="276">
        <v>-21.026670124175102</v>
      </c>
      <c r="DJ128" s="276">
        <v>-20.977365550192719</v>
      </c>
      <c r="DK128" s="276">
        <v>-20.928145927241221</v>
      </c>
      <c r="DL128" s="276">
        <v>-20.87901319882603</v>
      </c>
      <c r="DM128" s="276">
        <v>-20.829969306636229</v>
      </c>
      <c r="DN128" s="276">
        <v>-20.781016189112751</v>
      </c>
      <c r="DO128" s="276">
        <v>-20.73215577993594</v>
      </c>
      <c r="DP128" s="276">
        <v>-20.683390006427022</v>
      </c>
      <c r="DQ128" s="276">
        <v>-20.634720787858669</v>
      </c>
      <c r="DR128" s="276">
        <v>-20.58615003366894</v>
      </c>
      <c r="DS128" s="276">
        <v>-20.537679641573469</v>
      </c>
      <c r="DT128" s="276">
        <v>-20.489311495572071</v>
      </c>
      <c r="DU128" s="276">
        <v>-20.44104746384442</v>
      </c>
      <c r="DV128" s="276">
        <v>-20.392889396531981</v>
      </c>
      <c r="DW128" s="276">
        <v>-20.344839123402551</v>
      </c>
      <c r="DX128" s="276">
        <v>-20.29689845139503</v>
      </c>
      <c r="DY128" s="276">
        <v>-20.249069162043011</v>
      </c>
      <c r="DZ128" s="276">
        <v>-20.20135300877601</v>
      </c>
      <c r="EA128" s="276">
        <v>-20.153751714098949</v>
      </c>
      <c r="EB128" s="276">
        <v>-20.10626696665085</v>
      </c>
      <c r="EC128" s="276">
        <v>-20.05890041814536</v>
      </c>
      <c r="ED128" s="276">
        <v>-20.011653680196421</v>
      </c>
      <c r="EE128" s="276">
        <v>-19.964528321034191</v>
      </c>
      <c r="EF128" s="276">
        <v>-19.917525862117671</v>
      </c>
      <c r="EG128" s="276">
        <v>-19.870647774650639</v>
      </c>
      <c r="EH128" s="276">
        <v>-19.82389547601122</v>
      </c>
      <c r="EI128" s="276">
        <v>-19.77727032610418</v>
      </c>
      <c r="EJ128" s="276">
        <v>-19.730773623648759</v>
      </c>
      <c r="EK128" s="276">
        <v>-19.684406602414391</v>
      </c>
      <c r="EL128" s="276">
        <v>-19.63817042741929</v>
      </c>
      <c r="EM128" s="276">
        <v>-19.592066191107762</v>
      </c>
      <c r="EN128" s="276">
        <v>-19.546094909522871</v>
      </c>
      <c r="EO128" s="276">
        <v>-19.5002575184932</v>
      </c>
      <c r="EP128" s="276">
        <v>-19.454554869852441</v>
      </c>
      <c r="EQ128" s="276">
        <v>-19.408987727712489</v>
      </c>
      <c r="ER128" s="276">
        <v>-19.363556764810351</v>
      </c>
      <c r="ES128" s="276">
        <v>-19.31826255895114</v>
      </c>
      <c r="ET128" s="276">
        <v>-19.273105589568509</v>
      </c>
      <c r="EU128" s="276">
        <v>-19.22808623442533</v>
      </c>
      <c r="EV128" s="276">
        <v>-19.18320476647671</v>
      </c>
      <c r="EW128" s="276">
        <v>-19.13846135091784</v>
      </c>
      <c r="EX128" s="276">
        <v>-19.09385604243824</v>
      </c>
      <c r="EY128" s="276">
        <v>-19.049388782704629</v>
      </c>
      <c r="EZ128" s="276">
        <v>-19.005059398092222</v>
      </c>
      <c r="FA128" s="276">
        <v>-18.960867597684761</v>
      </c>
      <c r="FB128" s="276">
        <v>-18.91681297156191</v>
      </c>
      <c r="FC128" s="276">
        <v>-18.872894989391071</v>
      </c>
      <c r="FD128" s="276">
        <v>-18.82911299933949</v>
      </c>
      <c r="FE128" s="276">
        <v>-18.785466227320789</v>
      </c>
      <c r="FF128" s="276">
        <v>-18.741953776587909</v>
      </c>
      <c r="FG128" s="276">
        <v>-18.698574627682738</v>
      </c>
      <c r="FH128" s="276">
        <v>-18.65532763875056</v>
      </c>
      <c r="FI128" s="276">
        <v>-18.612211546224788</v>
      </c>
      <c r="FJ128" s="272">
        <v>-18.569224965885709</v>
      </c>
      <c r="FK128" s="272">
        <v>-18.526366394294278</v>
      </c>
      <c r="FL128" s="272">
        <v>-18.483634210599462</v>
      </c>
      <c r="FM128" s="272">
        <v>-18.441026678715311</v>
      </c>
      <c r="FN128" s="272">
        <v>-18.398541949861741</v>
      </c>
      <c r="FO128" s="272">
        <v>-18.35617806546032</v>
      </c>
      <c r="FP128" s="272">
        <v>-18.31393296037405</v>
      </c>
      <c r="FQ128" s="272">
        <v>-18.271804466478091</v>
      </c>
      <c r="FR128" s="272">
        <v>-18.22979031654635</v>
      </c>
      <c r="FS128" s="272">
        <v>-18.187888148436059</v>
      </c>
      <c r="FT128" s="272">
        <v>-18.14609550955241</v>
      </c>
      <c r="FU128" s="272">
        <v>-18.10440986157111</v>
      </c>
      <c r="FV128" s="272">
        <v>-18.062828585397821</v>
      </c>
      <c r="FW128" s="272">
        <v>-18.02134898634025</v>
      </c>
      <c r="FX128" s="272">
        <v>-17.97996829946857</v>
      </c>
      <c r="FY128" s="272">
        <v>-17.938683695138831</v>
      </c>
      <c r="FZ128" s="272">
        <v>-17.897492284652738</v>
      </c>
      <c r="GA128" s="272">
        <v>-17.85639112602804</v>
      </c>
      <c r="GB128" s="272">
        <v>-17.81537722985188</v>
      </c>
      <c r="GC128" s="272">
        <v>-17.77444756519116</v>
      </c>
    </row>
    <row r="129" spans="2:185" ht="15" thickBot="1" x14ac:dyDescent="0.4">
      <c r="B129" s="298">
        <v>123</v>
      </c>
      <c r="C129" s="275">
        <v>-20.067515967236702</v>
      </c>
      <c r="D129" s="275">
        <v>-20.026030016212559</v>
      </c>
      <c r="E129" s="275">
        <v>-19.98450339051579</v>
      </c>
      <c r="F129" s="275">
        <v>-19.9429374031502</v>
      </c>
      <c r="G129" s="275">
        <v>-19.90133343974178</v>
      </c>
      <c r="H129" s="275">
        <v>-19.859692959058421</v>
      </c>
      <c r="I129" s="275">
        <v>-19.818017493398109</v>
      </c>
      <c r="J129" s="275">
        <v>-19.776308648839471</v>
      </c>
      <c r="K129" s="275">
        <v>-19.734568105348291</v>
      </c>
      <c r="L129" s="275">
        <v>-19.69279761673436</v>
      </c>
      <c r="M129" s="275">
        <v>-19.650999010452939</v>
      </c>
      <c r="N129" s="275">
        <v>-19.609174187245891</v>
      </c>
      <c r="O129" s="275">
        <v>-19.567325120617291</v>
      </c>
      <c r="P129" s="275">
        <v>-19.525453856139769</v>
      </c>
      <c r="Q129" s="275">
        <v>-19.483562510587038</v>
      </c>
      <c r="R129" s="275">
        <v>-19.441653270889699</v>
      </c>
      <c r="S129" s="275">
        <v>-19.399728392911221</v>
      </c>
      <c r="T129" s="275">
        <v>-19.357790200041901</v>
      </c>
      <c r="U129" s="275">
        <v>-19.315841081608969</v>
      </c>
      <c r="V129" s="275">
        <v>-19.273883491101909</v>
      </c>
      <c r="W129" s="275">
        <v>-19.2319199442124</v>
      </c>
      <c r="X129" s="275">
        <v>-19.189953016689039</v>
      </c>
      <c r="Y129" s="275">
        <v>-19.147985342007971</v>
      </c>
      <c r="Z129" s="275">
        <v>-19.106019608860571</v>
      </c>
      <c r="AA129" s="275">
        <v>-19.064058558460889</v>
      </c>
      <c r="AB129" s="275">
        <v>-19.022104981675451</v>
      </c>
      <c r="AC129" s="275">
        <v>-18.98016171597931</v>
      </c>
      <c r="AD129" s="275">
        <v>-18.938231642242709</v>
      </c>
      <c r="AE129" s="275">
        <v>-18.896317681353349</v>
      </c>
      <c r="AF129" s="275">
        <v>-18.85442279068026</v>
      </c>
      <c r="AG129" s="275">
        <v>-18.812549960385631</v>
      </c>
      <c r="AH129" s="275">
        <v>-18.770702209591839</v>
      </c>
      <c r="AI129" s="275">
        <v>-18.72888258241159</v>
      </c>
      <c r="AJ129" s="275">
        <v>-18.687094143849642</v>
      </c>
      <c r="AK129" s="275">
        <v>-18.64533997558522</v>
      </c>
      <c r="AL129" s="275">
        <v>-18.603623171644909</v>
      </c>
      <c r="AM129" s="275">
        <v>-18.561946833976432</v>
      </c>
      <c r="AN129" s="275">
        <v>-18.520314067933899</v>
      </c>
      <c r="AO129" s="275">
        <v>-18.478727977686219</v>
      </c>
      <c r="AP129" s="275">
        <v>-18.437191661560341</v>
      </c>
      <c r="AQ129" s="275">
        <v>-18.395708207331509</v>
      </c>
      <c r="AR129" s="275">
        <v>-18.354280687473409</v>
      </c>
      <c r="AS129" s="275">
        <v>-18.312912154381049</v>
      </c>
      <c r="AT129" s="275">
        <v>-18.271605635579601</v>
      </c>
      <c r="AU129" s="275">
        <v>-18.230364128933001</v>
      </c>
      <c r="AV129" s="275">
        <v>-18.189190597865711</v>
      </c>
      <c r="AW129" s="275">
        <v>-18.14808796661174</v>
      </c>
      <c r="AX129" s="275">
        <v>-18.10705911550486</v>
      </c>
      <c r="AY129" s="275">
        <v>-18.066106876323762</v>
      </c>
      <c r="AZ129" s="275">
        <v>-18.025234027706482</v>
      </c>
      <c r="BA129" s="275">
        <v>-17.984443290647679</v>
      </c>
      <c r="BB129" s="275">
        <v>-17.943737324092432</v>
      </c>
      <c r="BC129" s="275">
        <v>-17.903118720640428</v>
      </c>
      <c r="BD129" s="275">
        <v>-17.862590002373231</v>
      </c>
      <c r="BE129" s="275">
        <v>-17.822153616817999</v>
      </c>
      <c r="BF129" s="275">
        <v>-17.781811933059839</v>
      </c>
      <c r="BG129" s="275">
        <v>-17.74156723801504</v>
      </c>
      <c r="BH129" s="275">
        <v>-17.701421732876561</v>
      </c>
      <c r="BI129" s="275">
        <v>-17.66137752974279</v>
      </c>
      <c r="BJ129" s="275">
        <v>-17.621436648440021</v>
      </c>
      <c r="BK129" s="275">
        <v>-17.581601013548109</v>
      </c>
      <c r="BL129" s="275">
        <v>-17.541872451638291</v>
      </c>
      <c r="BM129" s="275">
        <v>-17.502252688731492</v>
      </c>
      <c r="BN129" s="275">
        <v>-17.462743347984059</v>
      </c>
      <c r="BO129" s="275">
        <v>-17.42334594760791</v>
      </c>
      <c r="BP129" s="275">
        <v>-17.38406189903009</v>
      </c>
      <c r="BQ129" s="275">
        <v>-17.344892505296919</v>
      </c>
      <c r="BR129" s="275">
        <v>-17.305838959725889</v>
      </c>
      <c r="BS129" s="275">
        <v>-17.266902344808589</v>
      </c>
      <c r="BT129" s="275">
        <v>-17.22808363136582</v>
      </c>
      <c r="BU129" s="275">
        <v>-17.18938367795614</v>
      </c>
      <c r="BV129" s="275">
        <v>-17.1508032305372</v>
      </c>
      <c r="BW129" s="275">
        <v>-17.112342922378851</v>
      </c>
      <c r="BX129" s="275">
        <v>-17.0740032742256</v>
      </c>
      <c r="BY129" s="275">
        <v>-17.035784694705459</v>
      </c>
      <c r="BZ129" s="275">
        <v>-16.99768748098078</v>
      </c>
      <c r="CA129" s="275">
        <v>-16.959711819636158</v>
      </c>
      <c r="CB129" s="275">
        <v>-16.921857787797439</v>
      </c>
      <c r="CC129" s="275">
        <v>-16.884125354475081</v>
      </c>
      <c r="CD129" s="275">
        <v>-16.846514382124251</v>
      </c>
      <c r="CE129" s="275">
        <v>-16.80902462841323</v>
      </c>
      <c r="CF129" s="275">
        <v>-16.771655748191399</v>
      </c>
      <c r="CG129" s="275">
        <v>-16.734407295646861</v>
      </c>
      <c r="CH129" s="275">
        <v>-16.697278726643638</v>
      </c>
      <c r="CI129" s="275">
        <v>-16.660269401227659</v>
      </c>
      <c r="CJ129" s="275">
        <v>-16.623378586290372</v>
      </c>
      <c r="CK129" s="275">
        <v>-16.586605458378418</v>
      </c>
      <c r="CL129" s="275">
        <v>-16.54994910663758</v>
      </c>
      <c r="CM129" s="275">
        <v>-16.51340853587871</v>
      </c>
      <c r="CN129" s="275">
        <v>-16.476982669753649</v>
      </c>
      <c r="CO129" s="275">
        <v>-16.44067035402853</v>
      </c>
      <c r="CP129" s="275"/>
      <c r="CQ129" s="276">
        <v>-22.159354845426119</v>
      </c>
      <c r="CR129" s="276">
        <v>-22.108907786587888</v>
      </c>
      <c r="CS129" s="276">
        <v>-22.05851176277293</v>
      </c>
      <c r="CT129" s="276">
        <v>-22.008168539255792</v>
      </c>
      <c r="CU129" s="276">
        <v>-21.957879896128478</v>
      </c>
      <c r="CV129" s="276">
        <v>-21.90764762758252</v>
      </c>
      <c r="CW129" s="276">
        <v>-21.857473541171601</v>
      </c>
      <c r="CX129" s="276">
        <v>-21.80735945705301</v>
      </c>
      <c r="CY129" s="276">
        <v>-21.757307207207251</v>
      </c>
      <c r="CZ129" s="276">
        <v>-21.707318634634031</v>
      </c>
      <c r="DA129" s="276">
        <v>-21.657395592523319</v>
      </c>
      <c r="DB129" s="276">
        <v>-21.607539943399221</v>
      </c>
      <c r="DC129" s="276">
        <v>-21.55775355823441</v>
      </c>
      <c r="DD129" s="276">
        <v>-21.508038315532929</v>
      </c>
      <c r="DE129" s="276">
        <v>-21.458396100377399</v>
      </c>
      <c r="DF129" s="276">
        <v>-21.40882880343888</v>
      </c>
      <c r="DG129" s="276">
        <v>-21.359338319944751</v>
      </c>
      <c r="DH129" s="276">
        <v>-21.309926548601201</v>
      </c>
      <c r="DI129" s="276">
        <v>-21.260595390466339</v>
      </c>
      <c r="DJ129" s="276">
        <v>-21.211346747769671</v>
      </c>
      <c r="DK129" s="276">
        <v>-21.16218252267328</v>
      </c>
      <c r="DL129" s="276">
        <v>-21.113104615970069</v>
      </c>
      <c r="DM129" s="276">
        <v>-21.06411492571463</v>
      </c>
      <c r="DN129" s="276">
        <v>-21.01521534578136</v>
      </c>
      <c r="DO129" s="276">
        <v>-20.966407764345249</v>
      </c>
      <c r="DP129" s="276">
        <v>-20.91769406228067</v>
      </c>
      <c r="DQ129" s="276">
        <v>-20.869076111472879</v>
      </c>
      <c r="DR129" s="276">
        <v>-20.820555773038169</v>
      </c>
      <c r="DS129" s="276">
        <v>-20.772134895448371</v>
      </c>
      <c r="DT129" s="276">
        <v>-20.723815312555079</v>
      </c>
      <c r="DU129" s="276">
        <v>-20.675598841510869</v>
      </c>
      <c r="DV129" s="276">
        <v>-20.627487280583839</v>
      </c>
      <c r="DW129" s="276">
        <v>-20.579482406863281</v>
      </c>
      <c r="DX129" s="276">
        <v>-20.531585973854231</v>
      </c>
      <c r="DY129" s="276">
        <v>-20.483799708960479</v>
      </c>
      <c r="DZ129" s="276">
        <v>-20.436125310854901</v>
      </c>
      <c r="EA129" s="276">
        <v>-20.38856444673867</v>
      </c>
      <c r="EB129" s="276">
        <v>-20.341118749490239</v>
      </c>
      <c r="EC129" s="276">
        <v>-20.293789814707189</v>
      </c>
      <c r="ED129" s="276">
        <v>-20.246579197644628</v>
      </c>
      <c r="EE129" s="276">
        <v>-20.19948841005516</v>
      </c>
      <c r="EF129" s="276">
        <v>-20.15251891693654</v>
      </c>
      <c r="EG129" s="276">
        <v>-20.10567213319457</v>
      </c>
      <c r="EH129" s="276">
        <v>-20.058949420229911</v>
      </c>
      <c r="EI129" s="276">
        <v>-20.012352082458769</v>
      </c>
      <c r="EJ129" s="276">
        <v>-19.96588136377888</v>
      </c>
      <c r="EK129" s="276">
        <v>-19.919538443993059</v>
      </c>
      <c r="EL129" s="276">
        <v>-19.87332443520452</v>
      </c>
      <c r="EM129" s="276">
        <v>-19.827240378198258</v>
      </c>
      <c r="EN129" s="276">
        <v>-19.78128723882531</v>
      </c>
      <c r="EO129" s="276">
        <v>-19.735465904406091</v>
      </c>
      <c r="EP129" s="276">
        <v>-19.68977718017161</v>
      </c>
      <c r="EQ129" s="276">
        <v>-19.644221785760649</v>
      </c>
      <c r="ER129" s="276">
        <v>-19.598800351792988</v>
      </c>
      <c r="ES129" s="276">
        <v>-19.553513416537939</v>
      </c>
      <c r="ET129" s="276">
        <v>-19.50836142269954</v>
      </c>
      <c r="EU129" s="276">
        <v>-19.463344714338071</v>
      </c>
      <c r="EV129" s="276">
        <v>-19.4184635339492</v>
      </c>
      <c r="EW129" s="276">
        <v>-19.37371801972095</v>
      </c>
      <c r="EX129" s="276">
        <v>-19.329108202988898</v>
      </c>
      <c r="EY129" s="276">
        <v>-19.284634005909169</v>
      </c>
      <c r="EZ129" s="276">
        <v>-19.24029523936823</v>
      </c>
      <c r="FA129" s="276">
        <v>-19.196091601147739</v>
      </c>
      <c r="FB129" s="276">
        <v>-19.152022674361181</v>
      </c>
      <c r="FC129" s="276">
        <v>-19.108087926178641</v>
      </c>
      <c r="FD129" s="276">
        <v>-19.064286706853231</v>
      </c>
      <c r="FE129" s="276">
        <v>-19.020618249062821</v>
      </c>
      <c r="FF129" s="276">
        <v>-18.977081667577661</v>
      </c>
      <c r="FG129" s="276">
        <v>-18.933675959263081</v>
      </c>
      <c r="FH129" s="276">
        <v>-18.890400003424741</v>
      </c>
      <c r="FI129" s="276">
        <v>-18.8472525625013</v>
      </c>
      <c r="FJ129" s="272">
        <v>-18.804232283107961</v>
      </c>
      <c r="FK129" s="272">
        <v>-18.76133769743122</v>
      </c>
      <c r="FL129" s="272">
        <v>-18.71856722497386</v>
      </c>
      <c r="FM129" s="272">
        <v>-18.675919174646129</v>
      </c>
      <c r="FN129" s="272">
        <v>-18.633391747197969</v>
      </c>
      <c r="FO129" s="272">
        <v>-18.590983037983381</v>
      </c>
      <c r="FP129" s="272">
        <v>-18.548691040047281</v>
      </c>
      <c r="FQ129" s="272">
        <v>-18.50651364752315</v>
      </c>
      <c r="FR129" s="272">
        <v>-18.4644486593259</v>
      </c>
      <c r="FS129" s="272">
        <v>-18.422493783125621</v>
      </c>
      <c r="FT129" s="272">
        <v>-18.38064663958345</v>
      </c>
      <c r="FU129" s="272">
        <v>-18.338904766830801</v>
      </c>
      <c r="FV129" s="272">
        <v>-18.297265625171569</v>
      </c>
      <c r="FW129" s="272">
        <v>-18.255726601984879</v>
      </c>
      <c r="FX129" s="272">
        <v>-18.214285016806549</v>
      </c>
      <c r="FY129" s="272">
        <v>-18.172938126564819</v>
      </c>
      <c r="FZ129" s="272">
        <v>-18.131683130946762</v>
      </c>
      <c r="GA129" s="272">
        <v>-18.090517177870431</v>
      </c>
      <c r="GB129" s="272">
        <v>-18.049437369037989</v>
      </c>
      <c r="GC129" s="272">
        <v>-18.008440765544911</v>
      </c>
    </row>
    <row r="130" spans="2:185" ht="15" thickBot="1" x14ac:dyDescent="0.4">
      <c r="B130" s="298">
        <v>124</v>
      </c>
      <c r="C130" s="275">
        <v>-20.280375602725059</v>
      </c>
      <c r="D130" s="275">
        <v>-20.238921882085119</v>
      </c>
      <c r="E130" s="275">
        <v>-20.197428740973709</v>
      </c>
      <c r="F130" s="275">
        <v>-20.15589748759178</v>
      </c>
      <c r="G130" s="275">
        <v>-20.114329500525731</v>
      </c>
      <c r="H130" s="275">
        <v>-20.07272622919988</v>
      </c>
      <c r="I130" s="275">
        <v>-20.031089194201989</v>
      </c>
      <c r="J130" s="275">
        <v>-19.989419987475461</v>
      </c>
      <c r="K130" s="275">
        <v>-19.947720272372809</v>
      </c>
      <c r="L130" s="275">
        <v>-19.905991783564762</v>
      </c>
      <c r="M130" s="275">
        <v>-19.864236326800022</v>
      </c>
      <c r="N130" s="275">
        <v>-19.82245577851079</v>
      </c>
      <c r="O130" s="275">
        <v>-19.78065208525949</v>
      </c>
      <c r="P130" s="275">
        <v>-19.738827263023101</v>
      </c>
      <c r="Q130" s="275">
        <v>-19.696983396311051</v>
      </c>
      <c r="R130" s="275">
        <v>-19.655122637113919</v>
      </c>
      <c r="S130" s="275">
        <v>-19.613247203680199</v>
      </c>
      <c r="T130" s="275">
        <v>-19.571359379119151</v>
      </c>
      <c r="U130" s="275">
        <v>-19.529461509828199</v>
      </c>
      <c r="V130" s="275">
        <v>-19.487556003744029</v>
      </c>
      <c r="W130" s="275">
        <v>-19.445645328416958</v>
      </c>
      <c r="X130" s="275">
        <v>-19.403732008909039</v>
      </c>
      <c r="Y130" s="275">
        <v>-19.361818625516751</v>
      </c>
      <c r="Z130" s="275">
        <v>-19.31990781131999</v>
      </c>
      <c r="AA130" s="275">
        <v>-19.278002249559432</v>
      </c>
      <c r="AB130" s="275">
        <v>-19.23610467084545</v>
      </c>
      <c r="AC130" s="275">
        <v>-19.19421785020203</v>
      </c>
      <c r="AD130" s="275">
        <v>-19.152344603949999</v>
      </c>
      <c r="AE130" s="275">
        <v>-19.11048778643454</v>
      </c>
      <c r="AF130" s="275">
        <v>-19.068650286602679</v>
      </c>
      <c r="AG130" s="275">
        <v>-19.026835024436888</v>
      </c>
      <c r="AH130" s="275">
        <v>-18.985044947251819</v>
      </c>
      <c r="AI130" s="275">
        <v>-18.943283025861671</v>
      </c>
      <c r="AJ130" s="275">
        <v>-18.901552250626509</v>
      </c>
      <c r="AK130" s="275">
        <v>-18.85985562738594</v>
      </c>
      <c r="AL130" s="275">
        <v>-18.818196173289941</v>
      </c>
      <c r="AM130" s="275">
        <v>-18.776576912536331</v>
      </c>
      <c r="AN130" s="275">
        <v>-18.735000872025289</v>
      </c>
      <c r="AO130" s="275">
        <v>-18.69347107694206</v>
      </c>
      <c r="AP130" s="275">
        <v>-18.651990546278729</v>
      </c>
      <c r="AQ130" s="275">
        <v>-18.610562288307051</v>
      </c>
      <c r="AR130" s="275">
        <v>-18.569189296014219</v>
      </c>
      <c r="AS130" s="275">
        <v>-18.52787454251402</v>
      </c>
      <c r="AT130" s="275">
        <v>-18.48662097644598</v>
      </c>
      <c r="AU130" s="275">
        <v>-18.44543151737528</v>
      </c>
      <c r="AV130" s="275">
        <v>-18.404309051206731</v>
      </c>
      <c r="AW130" s="275">
        <v>-18.363256425625721</v>
      </c>
      <c r="AX130" s="275">
        <v>-18.322276445579359</v>
      </c>
      <c r="AY130" s="275">
        <v>-18.28137186881143</v>
      </c>
      <c r="AZ130" s="275">
        <v>-18.240545401463841</v>
      </c>
      <c r="BA130" s="275">
        <v>-18.199799693758269</v>
      </c>
      <c r="BB130" s="275">
        <v>-18.159137335770481</v>
      </c>
      <c r="BC130" s="275">
        <v>-18.118560853310509</v>
      </c>
      <c r="BD130" s="275">
        <v>-18.07807270392081</v>
      </c>
      <c r="BE130" s="275">
        <v>-18.037675273005089</v>
      </c>
      <c r="BF130" s="275">
        <v>-17.997370870099139</v>
      </c>
      <c r="BG130" s="275">
        <v>-17.95716172529529</v>
      </c>
      <c r="BH130" s="275">
        <v>-17.917049985831461</v>
      </c>
      <c r="BI130" s="275">
        <v>-17.87703771285495</v>
      </c>
      <c r="BJ130" s="275">
        <v>-17.837126878370931</v>
      </c>
      <c r="BK130" s="275">
        <v>-17.797319362384538</v>
      </c>
      <c r="BL130" s="275">
        <v>-17.75761695024535</v>
      </c>
      <c r="BM130" s="275">
        <v>-17.71802133020141</v>
      </c>
      <c r="BN130" s="275">
        <v>-17.678534091170331</v>
      </c>
      <c r="BO130" s="275">
        <v>-17.639156720733101</v>
      </c>
      <c r="BP130" s="275">
        <v>-17.599890603356052</v>
      </c>
      <c r="BQ130" s="275">
        <v>-17.560737018845451</v>
      </c>
      <c r="BR130" s="275">
        <v>-17.5216971410381</v>
      </c>
      <c r="BS130" s="275">
        <v>-17.482772036730541</v>
      </c>
      <c r="BT130" s="275">
        <v>-17.443962664848652</v>
      </c>
      <c r="BU130" s="275">
        <v>-17.405269875858099</v>
      </c>
      <c r="BV130" s="275">
        <v>-17.366694411415871</v>
      </c>
      <c r="BW130" s="275">
        <v>-17.328236904261249</v>
      </c>
      <c r="BX130" s="275">
        <v>-17.28989787834454</v>
      </c>
      <c r="BY130" s="275">
        <v>-17.251677749190531</v>
      </c>
      <c r="BZ130" s="275">
        <v>-17.213576824492559</v>
      </c>
      <c r="CA130" s="275">
        <v>-17.175595304932951</v>
      </c>
      <c r="CB130" s="275">
        <v>-17.13773328522392</v>
      </c>
      <c r="CC130" s="275">
        <v>-17.099990755362711</v>
      </c>
      <c r="CD130" s="275">
        <v>-17.062367602093989</v>
      </c>
      <c r="CE130" s="275">
        <v>-17.024863610571661</v>
      </c>
      <c r="CF130" s="275">
        <v>-16.987478466211648</v>
      </c>
      <c r="CG130" s="275">
        <v>-16.950211756726691</v>
      </c>
      <c r="CH130" s="275">
        <v>-16.913062974333549</v>
      </c>
      <c r="CI130" s="275">
        <v>-16.87603151812247</v>
      </c>
      <c r="CJ130" s="275">
        <v>-16.839116696578699</v>
      </c>
      <c r="CK130" s="275">
        <v>-16.802317730244969</v>
      </c>
      <c r="CL130" s="275">
        <v>-16.765633754513772</v>
      </c>
      <c r="CM130" s="275">
        <v>-16.7290638225384</v>
      </c>
      <c r="CN130" s="275">
        <v>-16.69260690825082</v>
      </c>
      <c r="CO130" s="275">
        <v>-16.656261909475031</v>
      </c>
      <c r="CP130" s="275"/>
      <c r="CQ130" s="276">
        <v>-22.392237032424379</v>
      </c>
      <c r="CR130" s="276">
        <v>-22.341848371888041</v>
      </c>
      <c r="CS130" s="276">
        <v>-22.291510825528619</v>
      </c>
      <c r="CT130" s="276">
        <v>-22.241226130267719</v>
      </c>
      <c r="CU130" s="276">
        <v>-22.190996037156459</v>
      </c>
      <c r="CV130" s="276">
        <v>-22.140822310654489</v>
      </c>
      <c r="CW130" s="276">
        <v>-22.090706727887682</v>
      </c>
      <c r="CX130" s="276">
        <v>-22.040651077884021</v>
      </c>
      <c r="CY130" s="276">
        <v>-21.990657160785911</v>
      </c>
      <c r="CZ130" s="276">
        <v>-21.940726787037811</v>
      </c>
      <c r="DA130" s="276">
        <v>-21.890861776548029</v>
      </c>
      <c r="DB130" s="276">
        <v>-21.841063957821781</v>
      </c>
      <c r="DC130" s="276">
        <v>-21.79133516706414</v>
      </c>
      <c r="DD130" s="276">
        <v>-21.741677247250049</v>
      </c>
      <c r="DE130" s="276">
        <v>-21.692092047158731</v>
      </c>
      <c r="DF130" s="276">
        <v>-21.642581420369531</v>
      </c>
      <c r="DG130" s="276">
        <v>-21.59314722421588</v>
      </c>
      <c r="DH130" s="276">
        <v>-21.543791318693941</v>
      </c>
      <c r="DI130" s="276">
        <v>-21.494515565322182</v>
      </c>
      <c r="DJ130" s="276">
        <v>-21.445321825947961</v>
      </c>
      <c r="DK130" s="276">
        <v>-21.39621196149708</v>
      </c>
      <c r="DL130" s="276">
        <v>-21.347187830662008</v>
      </c>
      <c r="DM130" s="276">
        <v>-21.298251288524551</v>
      </c>
      <c r="DN130" s="276">
        <v>-21.249404185108681</v>
      </c>
      <c r="DO130" s="276">
        <v>-21.20064836385896</v>
      </c>
      <c r="DP130" s="276">
        <v>-21.151985660040449</v>
      </c>
      <c r="DQ130" s="276">
        <v>-21.10341789905603</v>
      </c>
      <c r="DR130" s="276">
        <v>-21.054946894676931</v>
      </c>
      <c r="DS130" s="276">
        <v>-21.0065744471828</v>
      </c>
      <c r="DT130" s="276">
        <v>-20.958302341408181</v>
      </c>
      <c r="DU130" s="276">
        <v>-20.910132344692169</v>
      </c>
      <c r="DV130" s="276">
        <v>-20.862066204728631</v>
      </c>
      <c r="DW130" s="276">
        <v>-20.814105647315522</v>
      </c>
      <c r="DX130" s="276">
        <v>-20.766252374001361</v>
      </c>
      <c r="DY130" s="276">
        <v>-20.718508059628871</v>
      </c>
      <c r="DZ130" s="276">
        <v>-20.670874349775371</v>
      </c>
      <c r="EA130" s="276">
        <v>-20.623352858091319</v>
      </c>
      <c r="EB130" s="276">
        <v>-20.57594516353916</v>
      </c>
      <c r="EC130" s="276">
        <v>-20.52865280753457</v>
      </c>
      <c r="ED130" s="276">
        <v>-20.481477290995109</v>
      </c>
      <c r="EE130" s="276">
        <v>-20.434420071300529</v>
      </c>
      <c r="EF130" s="276">
        <v>-20.387482559171271</v>
      </c>
      <c r="EG130" s="276">
        <v>-20.340666115472342</v>
      </c>
      <c r="EH130" s="276">
        <v>-20.293972047951311</v>
      </c>
      <c r="EI130" s="276">
        <v>-20.247401607919262</v>
      </c>
      <c r="EJ130" s="276">
        <v>-20.2009559868868</v>
      </c>
      <c r="EK130" s="276">
        <v>-20.15463631316571</v>
      </c>
      <c r="EL130" s="276">
        <v>-20.108443648450091</v>
      </c>
      <c r="EM130" s="276">
        <v>-20.062378984391039</v>
      </c>
      <c r="EN130" s="276">
        <v>-20.01644323917936</v>
      </c>
      <c r="EO130" s="276">
        <v>-19.97063725415304</v>
      </c>
      <c r="EP130" s="276">
        <v>-19.924961790445771</v>
      </c>
      <c r="EQ130" s="276">
        <v>-19.87941752569424</v>
      </c>
      <c r="ER130" s="276">
        <v>-19.834005050822171</v>
      </c>
      <c r="ES130" s="276">
        <v>-19.78872486691985</v>
      </c>
      <c r="ET130" s="276">
        <v>-19.743577382237842</v>
      </c>
      <c r="EU130" s="276">
        <v>-19.698562909314049</v>
      </c>
      <c r="EV130" s="276">
        <v>-19.65368166225333</v>
      </c>
      <c r="EW130" s="276">
        <v>-19.608933754178171</v>
      </c>
      <c r="EX130" s="276">
        <v>-19.564319194869501</v>
      </c>
      <c r="EY130" s="276">
        <v>-19.519837888615431</v>
      </c>
      <c r="EZ130" s="276">
        <v>-19.47548963228547</v>
      </c>
      <c r="FA130" s="276">
        <v>-19.431274113646779</v>
      </c>
      <c r="FB130" s="276">
        <v>-19.387190909938159</v>
      </c>
      <c r="FC130" s="276">
        <v>-19.343239486715891</v>
      </c>
      <c r="FD130" s="276">
        <v>-19.299419196985099</v>
      </c>
      <c r="FE130" s="276">
        <v>-19.255729280627559</v>
      </c>
      <c r="FF130" s="276">
        <v>-19.21216886413654</v>
      </c>
      <c r="FG130" s="276">
        <v>-19.16873696066698</v>
      </c>
      <c r="FH130" s="276">
        <v>-19.125432470407119</v>
      </c>
      <c r="FI130" s="276">
        <v>-19.082254181276639</v>
      </c>
      <c r="FJ130" s="272">
        <v>-19.039200769953698</v>
      </c>
      <c r="FK130" s="272">
        <v>-18.996270803231781</v>
      </c>
      <c r="FL130" s="272">
        <v>-18.953462739704431</v>
      </c>
      <c r="FM130" s="272">
        <v>-18.91077493177519</v>
      </c>
      <c r="FN130" s="272">
        <v>-18.868205627986509</v>
      </c>
      <c r="FO130" s="272">
        <v>-18.825752975660599</v>
      </c>
      <c r="FP130" s="272">
        <v>-18.783415023842569</v>
      </c>
      <c r="FQ130" s="272">
        <v>-18.741189726534749</v>
      </c>
      <c r="FR130" s="272">
        <v>-18.699074946208668</v>
      </c>
      <c r="FS130" s="272">
        <v>-18.65706845758044</v>
      </c>
      <c r="FT130" s="272">
        <v>-18.61516795163271</v>
      </c>
      <c r="FU130" s="272">
        <v>-18.573371039865791</v>
      </c>
      <c r="FV130" s="272">
        <v>-18.531675258758739</v>
      </c>
      <c r="FW130" s="272">
        <v>-18.49007807442003</v>
      </c>
      <c r="FX130" s="272">
        <v>-18.448576887407409</v>
      </c>
      <c r="FY130" s="272">
        <v>-18.40716903769431</v>
      </c>
      <c r="FZ130" s="272">
        <v>-18.36585180976077</v>
      </c>
      <c r="GA130" s="272">
        <v>-18.3246224377861</v>
      </c>
      <c r="GB130" s="272">
        <v>-18.283478110919901</v>
      </c>
      <c r="GC130" s="272">
        <v>-18.24241597860868</v>
      </c>
    </row>
    <row r="131" spans="2:185" ht="15" thickBot="1" x14ac:dyDescent="0.4">
      <c r="B131" s="298">
        <v>125</v>
      </c>
      <c r="C131" s="275">
        <v>-20.49324983123168</v>
      </c>
      <c r="D131" s="275">
        <v>-20.45182835042603</v>
      </c>
      <c r="E131" s="275">
        <v>-20.410368670463921</v>
      </c>
      <c r="F131" s="275">
        <v>-20.368872094060201</v>
      </c>
      <c r="G131" s="275">
        <v>-20.327339992144509</v>
      </c>
      <c r="H131" s="275">
        <v>-20.285773804251349</v>
      </c>
      <c r="I131" s="275">
        <v>-20.244175038787009</v>
      </c>
      <c r="J131" s="275">
        <v>-20.202545273167878</v>
      </c>
      <c r="K131" s="275">
        <v>-20.16088615382499</v>
      </c>
      <c r="L131" s="275">
        <v>-20.119199396069259</v>
      </c>
      <c r="M131" s="275">
        <v>-20.077486783813331</v>
      </c>
      <c r="N131" s="275">
        <v>-20.035750169144919</v>
      </c>
      <c r="O131" s="275">
        <v>-19.99399147174794</v>
      </c>
      <c r="P131" s="275">
        <v>-19.952212678167701</v>
      </c>
      <c r="Q131" s="275">
        <v>-19.910415840916869</v>
      </c>
      <c r="R131" s="275">
        <v>-19.86860307741928</v>
      </c>
      <c r="S131" s="275">
        <v>-19.826776568789469</v>
      </c>
      <c r="T131" s="275">
        <v>-19.78493855844599</v>
      </c>
      <c r="U131" s="275">
        <v>-19.74309135055729</v>
      </c>
      <c r="V131" s="275">
        <v>-19.701237308319161</v>
      </c>
      <c r="W131" s="275">
        <v>-19.659378852064201</v>
      </c>
      <c r="X131" s="275">
        <v>-19.617518457202909</v>
      </c>
      <c r="Y131" s="275">
        <v>-19.575658651998069</v>
      </c>
      <c r="Z131" s="275">
        <v>-19.53380201517389</v>
      </c>
      <c r="AA131" s="275">
        <v>-19.491951173362011</v>
      </c>
      <c r="AB131" s="275">
        <v>-19.450108798387411</v>
      </c>
      <c r="AC131" s="275">
        <v>-19.408277604397892</v>
      </c>
      <c r="AD131" s="275">
        <v>-19.366460344841009</v>
      </c>
      <c r="AE131" s="275">
        <v>-19.324659809293529</v>
      </c>
      <c r="AF131" s="275">
        <v>-19.282878820148611</v>
      </c>
      <c r="AG131" s="275">
        <v>-19.241120229167091</v>
      </c>
      <c r="AH131" s="275">
        <v>-19.199386913899168</v>
      </c>
      <c r="AI131" s="275">
        <v>-19.157681773983949</v>
      </c>
      <c r="AJ131" s="275">
        <v>-19.11600772733469</v>
      </c>
      <c r="AK131" s="275">
        <v>-19.074367706218069</v>
      </c>
      <c r="AL131" s="275">
        <v>-19.03276465323642</v>
      </c>
      <c r="AM131" s="275">
        <v>-18.991201517222311</v>
      </c>
      <c r="AN131" s="275">
        <v>-18.949681249055409</v>
      </c>
      <c r="AO131" s="275">
        <v>-18.90820679741207</v>
      </c>
      <c r="AP131" s="275">
        <v>-18.866781104458159</v>
      </c>
      <c r="AQ131" s="275">
        <v>-18.825407101496491</v>
      </c>
      <c r="AR131" s="275">
        <v>-18.784087704580219</v>
      </c>
      <c r="AS131" s="275">
        <v>-18.742825810104058</v>
      </c>
      <c r="AT131" s="275">
        <v>-18.701624290385041</v>
      </c>
      <c r="AU131" s="275">
        <v>-18.660485989245601</v>
      </c>
      <c r="AV131" s="275">
        <v>-18.619413717610701</v>
      </c>
      <c r="AW131" s="275">
        <v>-18.57841024913213</v>
      </c>
      <c r="AX131" s="275">
        <v>-18.53747831585202</v>
      </c>
      <c r="AY131" s="275">
        <v>-18.496620603918529</v>
      </c>
      <c r="AZ131" s="275">
        <v>-18.455839749366021</v>
      </c>
      <c r="BA131" s="275">
        <v>-18.415138333972241</v>
      </c>
      <c r="BB131" s="275">
        <v>-18.37451888120485</v>
      </c>
      <c r="BC131" s="275">
        <v>-18.333983852269292</v>
      </c>
      <c r="BD131" s="275">
        <v>-18.293535642270001</v>
      </c>
      <c r="BE131" s="275">
        <v>-18.25317657649633</v>
      </c>
      <c r="BF131" s="275">
        <v>-18.212908906844518</v>
      </c>
      <c r="BG131" s="275">
        <v>-18.172734808386309</v>
      </c>
      <c r="BH131" s="275">
        <v>-18.13265637609474</v>
      </c>
      <c r="BI131" s="275">
        <v>-18.09267562173665</v>
      </c>
      <c r="BJ131" s="275">
        <v>-18.05279447094134</v>
      </c>
      <c r="BK131" s="275">
        <v>-18.0130147604538</v>
      </c>
      <c r="BL131" s="275">
        <v>-17.97333823558073</v>
      </c>
      <c r="BM131" s="275">
        <v>-17.933766547836381</v>
      </c>
      <c r="BN131" s="275">
        <v>-17.894301252794801</v>
      </c>
      <c r="BO131" s="275">
        <v>-17.854943808154498</v>
      </c>
      <c r="BP131" s="275">
        <v>-17.815695572020189</v>
      </c>
      <c r="BQ131" s="275">
        <v>-17.77655780140595</v>
      </c>
      <c r="BR131" s="275">
        <v>-17.737531650963181</v>
      </c>
      <c r="BS131" s="275">
        <v>-17.69861817193566</v>
      </c>
      <c r="BT131" s="275">
        <v>-17.65981831134345</v>
      </c>
      <c r="BU131" s="275">
        <v>-17.621132911396309</v>
      </c>
      <c r="BV131" s="275">
        <v>-17.582562709136429</v>
      </c>
      <c r="BW131" s="275">
        <v>-17.544108336309609</v>
      </c>
      <c r="BX131" s="275">
        <v>-17.505770319462702</v>
      </c>
      <c r="BY131" s="275">
        <v>-17.467549080265051</v>
      </c>
      <c r="BZ131" s="275">
        <v>-17.42944493604972</v>
      </c>
      <c r="CA131" s="275">
        <v>-17.39145810057083</v>
      </c>
      <c r="CB131" s="275">
        <v>-17.353588684971289</v>
      </c>
      <c r="CC131" s="275">
        <v>-17.315836698955248</v>
      </c>
      <c r="CD131" s="275">
        <v>-17.278202052158939</v>
      </c>
      <c r="CE131" s="275">
        <v>-17.240684555711979</v>
      </c>
      <c r="CF131" s="275">
        <v>-17.203283923981999</v>
      </c>
      <c r="CG131" s="275">
        <v>-17.16599977649367</v>
      </c>
      <c r="CH131" s="275">
        <v>-17.12883164001331</v>
      </c>
      <c r="CI131" s="275">
        <v>-17.091778950789731</v>
      </c>
      <c r="CJ131" s="275">
        <v>-17.054841056941449</v>
      </c>
      <c r="CK131" s="275">
        <v>-17.018017220979932</v>
      </c>
      <c r="CL131" s="275">
        <v>-16.981306622458771</v>
      </c>
      <c r="CM131" s="275">
        <v>-16.944708360737781</v>
      </c>
      <c r="CN131" s="275">
        <v>-16.908221457851269</v>
      </c>
      <c r="CO131" s="275">
        <v>-16.871844861469729</v>
      </c>
      <c r="CP131" s="275"/>
      <c r="CQ131" s="276">
        <v>-22.625129948054148</v>
      </c>
      <c r="CR131" s="276">
        <v>-22.57479889929785</v>
      </c>
      <c r="CS131" s="276">
        <v>-22.524519028710291</v>
      </c>
      <c r="CT131" s="276">
        <v>-22.47429204510064</v>
      </c>
      <c r="CU131" s="276">
        <v>-22.42411967072886</v>
      </c>
      <c r="CV131" s="276">
        <v>-22.374003640581559</v>
      </c>
      <c r="CW131" s="276">
        <v>-22.323945701625831</v>
      </c>
      <c r="CX131" s="276">
        <v>-22.273947612039649</v>
      </c>
      <c r="CY131" s="276">
        <v>-22.224011140418352</v>
      </c>
      <c r="CZ131" s="276">
        <v>-22.17413806495512</v>
      </c>
      <c r="DA131" s="276">
        <v>-22.124330172594512</v>
      </c>
      <c r="DB131" s="276">
        <v>-22.074589258156699</v>
      </c>
      <c r="DC131" s="276">
        <v>-22.024917123430651</v>
      </c>
      <c r="DD131" s="276">
        <v>-21.975315576233609</v>
      </c>
      <c r="DE131" s="276">
        <v>-21.925786429434989</v>
      </c>
      <c r="DF131" s="276">
        <v>-21.876331499940829</v>
      </c>
      <c r="DG131" s="276">
        <v>-21.826952607636841</v>
      </c>
      <c r="DH131" s="276">
        <v>-21.777651574286171</v>
      </c>
      <c r="DI131" s="276">
        <v>-21.72843022237873</v>
      </c>
      <c r="DJ131" s="276">
        <v>-21.679290373928371</v>
      </c>
      <c r="DK131" s="276">
        <v>-21.630233849214449</v>
      </c>
      <c r="DL131" s="276">
        <v>-21.58126246546378</v>
      </c>
      <c r="DM131" s="276">
        <v>-21.532378035469009</v>
      </c>
      <c r="DN131" s="276">
        <v>-21.483582366140109</v>
      </c>
      <c r="DO131" s="276">
        <v>-21.43487725698413</v>
      </c>
      <c r="DP131" s="276">
        <v>-21.386264498510489</v>
      </c>
      <c r="DQ131" s="276">
        <v>-21.33774587055763</v>
      </c>
      <c r="DR131" s="276">
        <v>-21.289323140537562</v>
      </c>
      <c r="DS131" s="276">
        <v>-21.240998061595381</v>
      </c>
      <c r="DT131" s="276">
        <v>-21.192772370680771</v>
      </c>
      <c r="DU131" s="276">
        <v>-21.144647786529131</v>
      </c>
      <c r="DV131" s="276">
        <v>-21.09662600755016</v>
      </c>
      <c r="DW131" s="276">
        <v>-21.048708709622659</v>
      </c>
      <c r="DX131" s="276">
        <v>-21.000897543794611</v>
      </c>
      <c r="DY131" s="276">
        <v>-20.953194133888282</v>
      </c>
      <c r="DZ131" s="276">
        <v>-20.905600074011211</v>
      </c>
      <c r="EA131" s="276">
        <v>-20.8581169259738</v>
      </c>
      <c r="EB131" s="276">
        <v>-20.81074621661644</v>
      </c>
      <c r="EC131" s="276">
        <v>-20.763489435048921</v>
      </c>
      <c r="ED131" s="276">
        <v>-20.716348029806099</v>
      </c>
      <c r="EE131" s="276">
        <v>-20.669323405925152</v>
      </c>
      <c r="EF131" s="276">
        <v>-20.6224169219504</v>
      </c>
      <c r="EG131" s="276">
        <v>-20.575629886872811</v>
      </c>
      <c r="EH131" s="276">
        <v>-20.52896355701241</v>
      </c>
      <c r="EI131" s="276">
        <v>-20.482419132852861</v>
      </c>
      <c r="EJ131" s="276">
        <v>-20.435997755838621</v>
      </c>
      <c r="EK131" s="276">
        <v>-20.389700505145871</v>
      </c>
      <c r="EL131" s="276">
        <v>-20.343528394439669</v>
      </c>
      <c r="EM131" s="276">
        <v>-20.297482368630501</v>
      </c>
      <c r="EN131" s="276">
        <v>-20.25156330064458</v>
      </c>
      <c r="EO131" s="276">
        <v>-20.20577198822269</v>
      </c>
      <c r="EP131" s="276">
        <v>-20.16010915076323</v>
      </c>
      <c r="EQ131" s="276">
        <v>-20.114575426226128</v>
      </c>
      <c r="ER131" s="276">
        <v>-20.069171368113999</v>
      </c>
      <c r="ES131" s="276">
        <v>-20.02389744254819</v>
      </c>
      <c r="ET131" s="276">
        <v>-19.97875402545694</v>
      </c>
      <c r="EU131" s="276">
        <v>-19.93374139989335</v>
      </c>
      <c r="EV131" s="276">
        <v>-19.888859753500959</v>
      </c>
      <c r="EW131" s="276">
        <v>-19.84410917614402</v>
      </c>
      <c r="EX131" s="276">
        <v>-19.799489657720091</v>
      </c>
      <c r="EY131" s="276">
        <v>-19.755001086170779</v>
      </c>
      <c r="EZ131" s="276">
        <v>-19.710643245707899</v>
      </c>
      <c r="FA131" s="276">
        <v>-19.666415815268781</v>
      </c>
      <c r="FB131" s="276">
        <v>-19.622318367216199</v>
      </c>
      <c r="FC131" s="276">
        <v>-19.578350366295538</v>
      </c>
      <c r="FD131" s="276">
        <v>-19.534511168861169</v>
      </c>
      <c r="FE131" s="276">
        <v>-19.490800022382949</v>
      </c>
      <c r="FF131" s="276">
        <v>-19.44721606524142</v>
      </c>
      <c r="FG131" s="276">
        <v>-19.403758326820132</v>
      </c>
      <c r="FH131" s="276">
        <v>-19.36042572789972</v>
      </c>
      <c r="FI131" s="276">
        <v>-19.31721708135936</v>
      </c>
      <c r="FJ131" s="272">
        <v>-19.27413109318644</v>
      </c>
      <c r="FK131" s="272">
        <v>-19.231166363796131</v>
      </c>
      <c r="FL131" s="272">
        <v>-19.18832138965859</v>
      </c>
      <c r="FM131" s="272">
        <v>-19.145594565231139</v>
      </c>
      <c r="FN131" s="272">
        <v>-19.102984185189531</v>
      </c>
      <c r="FO131" s="272">
        <v>-19.060488446952341</v>
      </c>
      <c r="FP131" s="272">
        <v>-19.018105453488449</v>
      </c>
      <c r="FQ131" s="272">
        <v>-18.975833216398129</v>
      </c>
      <c r="FR131" s="272">
        <v>-18.933669659255049</v>
      </c>
      <c r="FS131" s="272">
        <v>-18.891612621195389</v>
      </c>
      <c r="FT131" s="272">
        <v>-18.8496598607395</v>
      </c>
      <c r="FU131" s="272">
        <v>-18.807809059828731</v>
      </c>
      <c r="FV131" s="272">
        <v>-18.766057828060848</v>
      </c>
      <c r="FW131" s="272">
        <v>-18.72440370710423</v>
      </c>
      <c r="FX131" s="272">
        <v>-18.68284417527245</v>
      </c>
      <c r="FY131" s="272">
        <v>-18.641376652237909</v>
      </c>
      <c r="FZ131" s="272">
        <v>-18.59999850386469</v>
      </c>
      <c r="GA131" s="272">
        <v>-18.558707047138331</v>
      </c>
      <c r="GB131" s="272">
        <v>-18.517499555172229</v>
      </c>
      <c r="GC131" s="272">
        <v>-18.476373262268499</v>
      </c>
    </row>
    <row r="132" spans="2:185" ht="15" thickBot="1" x14ac:dyDescent="0.4">
      <c r="B132" s="298">
        <v>126</v>
      </c>
      <c r="C132" s="275">
        <v>-20.706138470890831</v>
      </c>
      <c r="D132" s="275">
        <v>-20.664749224960769</v>
      </c>
      <c r="E132" s="275">
        <v>-20.6233229690658</v>
      </c>
      <c r="F132" s="275">
        <v>-20.581860999801432</v>
      </c>
      <c r="G132" s="275">
        <v>-20.54036467987207</v>
      </c>
      <c r="H132" s="275">
        <v>-20.498835438422681</v>
      </c>
      <c r="I132" s="275">
        <v>-20.457274771251431</v>
      </c>
      <c r="J132" s="275">
        <v>-20.41568424089813</v>
      </c>
      <c r="K132" s="275">
        <v>-20.374065476603569</v>
      </c>
      <c r="L132" s="275">
        <v>-20.332420174134811</v>
      </c>
      <c r="M132" s="275">
        <v>-20.29075009547233</v>
      </c>
      <c r="N132" s="275">
        <v>-20.249057068354631</v>
      </c>
      <c r="O132" s="275">
        <v>-20.207342985676661</v>
      </c>
      <c r="P132" s="275">
        <v>-20.165609804738629</v>
      </c>
      <c r="Q132" s="275">
        <v>-20.12385954634242</v>
      </c>
      <c r="R132" s="275">
        <v>-20.08209429373262</v>
      </c>
      <c r="S132" s="275">
        <v>-20.040316191380619</v>
      </c>
      <c r="T132" s="275">
        <v>-19.99852744360976</v>
      </c>
      <c r="U132" s="275">
        <v>-19.956730313060611</v>
      </c>
      <c r="V132" s="275">
        <v>-19.914927118995781</v>
      </c>
      <c r="W132" s="275">
        <v>-19.87312023544419</v>
      </c>
      <c r="X132" s="275">
        <v>-19.831312089185339</v>
      </c>
      <c r="Y132" s="275">
        <v>-19.78950515757472</v>
      </c>
      <c r="Z132" s="275">
        <v>-19.747701966211981</v>
      </c>
      <c r="AA132" s="275">
        <v>-19.705905086454109</v>
      </c>
      <c r="AB132" s="275">
        <v>-19.66411713277661</v>
      </c>
      <c r="AC132" s="275">
        <v>-19.622340759985939</v>
      </c>
      <c r="AD132" s="275">
        <v>-19.580578660287529</v>
      </c>
      <c r="AE132" s="275">
        <v>-19.53883356021376</v>
      </c>
      <c r="AF132" s="275">
        <v>-19.497108217417491</v>
      </c>
      <c r="AG132" s="275">
        <v>-19.455405417336589</v>
      </c>
      <c r="AH132" s="275">
        <v>-19.413727969736229</v>
      </c>
      <c r="AI132" s="275">
        <v>-19.372078705135671</v>
      </c>
      <c r="AJ132" s="275">
        <v>-19.3304604711272</v>
      </c>
      <c r="AK132" s="275">
        <v>-19.28887612859517</v>
      </c>
      <c r="AL132" s="275">
        <v>-19.247328547843651</v>
      </c>
      <c r="AM132" s="275">
        <v>-19.20582060464184</v>
      </c>
      <c r="AN132" s="275">
        <v>-19.164355176196459</v>
      </c>
      <c r="AO132" s="275">
        <v>-19.12293513706129</v>
      </c>
      <c r="AP132" s="275">
        <v>-19.08156335499379</v>
      </c>
      <c r="AQ132" s="275">
        <v>-19.04024268676973</v>
      </c>
      <c r="AR132" s="275">
        <v>-18.998975973966321</v>
      </c>
      <c r="AS132" s="275">
        <v>-18.95776603872574</v>
      </c>
      <c r="AT132" s="275">
        <v>-18.91661567950954</v>
      </c>
      <c r="AU132" s="275">
        <v>-18.87552766685646</v>
      </c>
      <c r="AV132" s="275">
        <v>-18.834504739154809</v>
      </c>
      <c r="AW132" s="275">
        <v>-18.793549598441611</v>
      </c>
      <c r="AX132" s="275">
        <v>-18.752664906240181</v>
      </c>
      <c r="AY132" s="275">
        <v>-18.711853279448398</v>
      </c>
      <c r="AZ132" s="275">
        <v>-18.671117286289171</v>
      </c>
      <c r="BA132" s="275">
        <v>-18.630459442335258</v>
      </c>
      <c r="BB132" s="275">
        <v>-18.58988220661983</v>
      </c>
      <c r="BC132" s="275">
        <v>-18.549387977844422</v>
      </c>
      <c r="BD132" s="275">
        <v>-18.508979090695291</v>
      </c>
      <c r="BE132" s="275">
        <v>-18.468657812279339</v>
      </c>
      <c r="BF132" s="275">
        <v>-18.428426338690048</v>
      </c>
      <c r="BG132" s="275">
        <v>-18.388286791713551</v>
      </c>
      <c r="BH132" s="275">
        <v>-18.34824121568473</v>
      </c>
      <c r="BI132" s="275">
        <v>-18.30829157450253</v>
      </c>
      <c r="BJ132" s="275">
        <v>-18.268439748813179</v>
      </c>
      <c r="BK132" s="275">
        <v>-18.228687533369509</v>
      </c>
      <c r="BL132" s="275">
        <v>-18.189036634573899</v>
      </c>
      <c r="BM132" s="275">
        <v>-18.14948866821172</v>
      </c>
      <c r="BN132" s="275">
        <v>-18.110045157381471</v>
      </c>
      <c r="BO132" s="275">
        <v>-18.07070753062704</v>
      </c>
      <c r="BP132" s="275">
        <v>-18.0314771202769</v>
      </c>
      <c r="BQ132" s="275">
        <v>-17.99235516099413</v>
      </c>
      <c r="BR132" s="275">
        <v>-17.953342788540422</v>
      </c>
      <c r="BS132" s="275">
        <v>-17.914441038756461</v>
      </c>
      <c r="BT132" s="275">
        <v>-17.87565084676017</v>
      </c>
      <c r="BU132" s="275">
        <v>-17.83697304636366</v>
      </c>
      <c r="BV132" s="275">
        <v>-17.798408369708639</v>
      </c>
      <c r="BW132" s="275">
        <v>-17.759957447119419</v>
      </c>
      <c r="BX132" s="275">
        <v>-17.72162080717181</v>
      </c>
      <c r="BY132" s="275">
        <v>-17.683398876975339</v>
      </c>
      <c r="BZ132" s="275">
        <v>-17.64529198266543</v>
      </c>
      <c r="CA132" s="275">
        <v>-17.60730035010177</v>
      </c>
      <c r="CB132" s="275">
        <v>-17.569424105767411</v>
      </c>
      <c r="CC132" s="275">
        <v>-17.531663277863931</v>
      </c>
      <c r="CD132" s="275">
        <v>-17.494017797596001</v>
      </c>
      <c r="CE132" s="275">
        <v>-17.456487500638399</v>
      </c>
      <c r="CF132" s="275">
        <v>-17.419072128778819</v>
      </c>
      <c r="CG132" s="275">
        <v>-17.381771331727759</v>
      </c>
      <c r="CH132" s="275">
        <v>-17.344584669087659</v>
      </c>
      <c r="CI132" s="275">
        <v>-17.307511612472279</v>
      </c>
      <c r="CJ132" s="275">
        <v>-17.270551547766988</v>
      </c>
      <c r="CK132" s="275">
        <v>-17.233703777520692</v>
      </c>
      <c r="CL132" s="275">
        <v>-17.196967523459261</v>
      </c>
      <c r="CM132" s="275">
        <v>-17.160341929110761</v>
      </c>
      <c r="CN132" s="275">
        <v>-17.123826062531851</v>
      </c>
      <c r="CO132" s="275">
        <v>-17.087418919125561</v>
      </c>
      <c r="CP132" s="275"/>
      <c r="CQ132" s="276">
        <v>-22.858033002104332</v>
      </c>
      <c r="CR132" s="276">
        <v>-22.807758784633151</v>
      </c>
      <c r="CS132" s="276">
        <v>-22.757535794587099</v>
      </c>
      <c r="CT132" s="276">
        <v>-22.70736571291048</v>
      </c>
      <c r="CU132" s="276">
        <v>-22.65725023332973</v>
      </c>
      <c r="CV132" s="276">
        <v>-22.607191061626629</v>
      </c>
      <c r="CW132" s="276">
        <v>-22.557189914888539</v>
      </c>
      <c r="CX132" s="276">
        <v>-22.50724852073472</v>
      </c>
      <c r="CY132" s="276">
        <v>-22.457368616517321</v>
      </c>
      <c r="CZ132" s="276">
        <v>-22.40755194849627</v>
      </c>
      <c r="DA132" s="276">
        <v>-22.357800270985638</v>
      </c>
      <c r="DB132" s="276">
        <v>-22.308115345470991</v>
      </c>
      <c r="DC132" s="276">
        <v>-22.25849893969426</v>
      </c>
      <c r="DD132" s="276">
        <v>-22.2089528267052</v>
      </c>
      <c r="DE132" s="276">
        <v>-22.159478783876391</v>
      </c>
      <c r="DF132" s="276">
        <v>-22.110078591879368</v>
      </c>
      <c r="DG132" s="276">
        <v>-22.060754033619041</v>
      </c>
      <c r="DH132" s="276">
        <v>-22.011506893123642</v>
      </c>
      <c r="DI132" s="276">
        <v>-21.962338954386691</v>
      </c>
      <c r="DJ132" s="276">
        <v>-21.913252000158099</v>
      </c>
      <c r="DK132" s="276">
        <v>-21.86424781068111</v>
      </c>
      <c r="DL132" s="276">
        <v>-21.815328162371081</v>
      </c>
      <c r="DM132" s="276">
        <v>-21.76649482643359</v>
      </c>
      <c r="DN132" s="276">
        <v>-21.717749567417439</v>
      </c>
      <c r="DO132" s="276">
        <v>-21.669094141699858</v>
      </c>
      <c r="DP132" s="276">
        <v>-21.620530295900469</v>
      </c>
      <c r="DQ132" s="276">
        <v>-21.57205976522042</v>
      </c>
      <c r="DR132" s="276">
        <v>-21.523684271704479</v>
      </c>
      <c r="DS132" s="276">
        <v>-21.475405522422829</v>
      </c>
      <c r="DT132" s="276">
        <v>-21.427225207570441</v>
      </c>
      <c r="DU132" s="276">
        <v>-21.379144998481969</v>
      </c>
      <c r="DV132" s="276">
        <v>-21.331166545561</v>
      </c>
      <c r="DW132" s="276">
        <v>-21.283291476121811</v>
      </c>
      <c r="DX132" s="276">
        <v>-21.23552139214436</v>
      </c>
      <c r="DY132" s="276">
        <v>-21.187857867941421</v>
      </c>
      <c r="DZ132" s="276">
        <v>-21.14030244773998</v>
      </c>
      <c r="EA132" s="276">
        <v>-21.09285664317748</v>
      </c>
      <c r="EB132" s="276">
        <v>-21.04552193071601</v>
      </c>
      <c r="EC132" s="276">
        <v>-20.99829974897736</v>
      </c>
      <c r="ED132" s="276">
        <v>-20.951191496003339</v>
      </c>
      <c r="EE132" s="276">
        <v>-20.904198526446091</v>
      </c>
      <c r="EF132" s="276">
        <v>-20.857322148694799</v>
      </c>
      <c r="EG132" s="276">
        <v>-20.81056362194542</v>
      </c>
      <c r="EH132" s="276">
        <v>-20.763924153221549</v>
      </c>
      <c r="EI132" s="276">
        <v>-20.717404894355369</v>
      </c>
      <c r="EJ132" s="276">
        <v>-20.671006938938209</v>
      </c>
      <c r="EK132" s="276">
        <v>-20.62473131925206</v>
      </c>
      <c r="EL132" s="276">
        <v>-20.578579003193209</v>
      </c>
      <c r="EM132" s="276">
        <v>-20.532550891200621</v>
      </c>
      <c r="EN132" s="276">
        <v>-20.486647813202701</v>
      </c>
      <c r="EO132" s="276">
        <v>-20.440870525596111</v>
      </c>
      <c r="EP132" s="276">
        <v>-20.395219708271309</v>
      </c>
      <c r="EQ132" s="276">
        <v>-20.34969596170059</v>
      </c>
      <c r="ER132" s="276">
        <v>-20.304299804103302</v>
      </c>
      <c r="ES132" s="276">
        <v>-20.259031668705379</v>
      </c>
      <c r="ET132" s="276">
        <v>-20.213891901108521</v>
      </c>
      <c r="EU132" s="276">
        <v>-20.168880756785711</v>
      </c>
      <c r="EV132" s="276">
        <v>-20.123998398719539</v>
      </c>
      <c r="EW132" s="276">
        <v>-20.079244895198858</v>
      </c>
      <c r="EX132" s="276">
        <v>-20.034620217790199</v>
      </c>
      <c r="EY132" s="276">
        <v>-19.990124239498691</v>
      </c>
      <c r="EZ132" s="276">
        <v>-19.945756733133521</v>
      </c>
      <c r="FA132" s="276">
        <v>-19.901517369891881</v>
      </c>
      <c r="FB132" s="276">
        <v>-19.857405718174348</v>
      </c>
      <c r="FC132" s="276">
        <v>-19.813421242643681</v>
      </c>
      <c r="FD132" s="276">
        <v>-19.769563303538341</v>
      </c>
      <c r="FE132" s="276">
        <v>-19.725831156249821</v>
      </c>
      <c r="FF132" s="276">
        <v>-19.682223951172741</v>
      </c>
      <c r="FG132" s="276">
        <v>-19.63874073383397</v>
      </c>
      <c r="FH132" s="276">
        <v>-19.59538044530623</v>
      </c>
      <c r="FI132" s="276">
        <v>-19.552141922910259</v>
      </c>
      <c r="FJ132" s="272">
        <v>-19.509023901206969</v>
      </c>
      <c r="FK132" s="272">
        <v>-19.466025013280159</v>
      </c>
      <c r="FL132" s="272">
        <v>-19.423143792308679</v>
      </c>
      <c r="FM132" s="272">
        <v>-19.380378673424271</v>
      </c>
      <c r="FN132" s="272">
        <v>-19.33772799585066</v>
      </c>
      <c r="FO132" s="272">
        <v>-19.295190005317568</v>
      </c>
      <c r="FP132" s="272">
        <v>-19.252762856740571</v>
      </c>
      <c r="FQ132" s="272">
        <v>-19.210444617157979</v>
      </c>
      <c r="FR132" s="272">
        <v>-19.168233268913031</v>
      </c>
      <c r="FS132" s="272">
        <v>-19.126126713068189</v>
      </c>
      <c r="FT132" s="272">
        <v>-19.084122773038601</v>
      </c>
      <c r="FU132" s="272">
        <v>-19.04221919842815</v>
      </c>
      <c r="FV132" s="272">
        <v>-19.00041366905284</v>
      </c>
      <c r="FW132" s="272">
        <v>-18.958703799133328</v>
      </c>
      <c r="FX132" s="272">
        <v>-18.91708714163941</v>
      </c>
      <c r="FY132" s="272">
        <v>-18.87556119276633</v>
      </c>
      <c r="FZ132" s="272">
        <v>-18.834123396525111</v>
      </c>
      <c r="GA132" s="272">
        <v>-18.792771149425899</v>
      </c>
      <c r="GB132" s="272">
        <v>-18.751501805235151</v>
      </c>
      <c r="GC132" s="272">
        <v>-18.71031267978649</v>
      </c>
    </row>
    <row r="133" spans="2:185" ht="15" thickBot="1" x14ac:dyDescent="0.4">
      <c r="B133" s="298">
        <v>127</v>
      </c>
      <c r="C133" s="275">
        <v>-20.91904133559137</v>
      </c>
      <c r="D133" s="275">
        <v>-20.877684305937141</v>
      </c>
      <c r="E133" s="275">
        <v>-20.83629142413956</v>
      </c>
      <c r="F133" s="275">
        <v>-20.794863980089001</v>
      </c>
      <c r="G133" s="275">
        <v>-20.7534033277418</v>
      </c>
      <c r="H133" s="275">
        <v>-20.711910885397671</v>
      </c>
      <c r="I133" s="275">
        <v>-20.67038813586187</v>
      </c>
      <c r="J133" s="275">
        <v>-20.628836626487551</v>
      </c>
      <c r="K133" s="275">
        <v>-20.587257969093489</v>
      </c>
      <c r="L133" s="275">
        <v>-20.545653839752919</v>
      </c>
      <c r="M133" s="275">
        <v>-20.504025978449171</v>
      </c>
      <c r="N133" s="275">
        <v>-20.462376188594551</v>
      </c>
      <c r="O133" s="275">
        <v>-20.42070633640877</v>
      </c>
      <c r="P133" s="275">
        <v>-20.379018350154119</v>
      </c>
      <c r="Q133" s="275">
        <v>-20.33731421922424</v>
      </c>
      <c r="R133" s="275">
        <v>-20.295595993084518</v>
      </c>
      <c r="S133" s="275">
        <v>-20.25386578006227</v>
      </c>
      <c r="T133" s="275">
        <v>-20.21212574598492</v>
      </c>
      <c r="U133" s="275">
        <v>-20.17037811266572</v>
      </c>
      <c r="V133" s="275">
        <v>-20.128625156236179</v>
      </c>
      <c r="W133" s="275">
        <v>-20.086869205325669</v>
      </c>
      <c r="X133" s="275">
        <v>-20.04511263908833</v>
      </c>
      <c r="Y133" s="275">
        <v>-20.00335788507893</v>
      </c>
      <c r="Z133" s="275">
        <v>-19.961607416979039</v>
      </c>
      <c r="AA133" s="275">
        <v>-19.919863752175921</v>
      </c>
      <c r="AB133" s="275">
        <v>-19.878129449196969</v>
      </c>
      <c r="AC133" s="275">
        <v>-19.836407105002969</v>
      </c>
      <c r="AD133" s="275">
        <v>-19.794699352144281</v>
      </c>
      <c r="AE133" s="275">
        <v>-19.75300885578449</v>
      </c>
      <c r="AF133" s="275">
        <v>-19.711338310596311</v>
      </c>
      <c r="AG133" s="275">
        <v>-19.669690437535781</v>
      </c>
      <c r="AH133" s="275">
        <v>-19.62806798050066</v>
      </c>
      <c r="AI133" s="275">
        <v>-19.586473702879729</v>
      </c>
      <c r="AJ133" s="275">
        <v>-19.54491038400036</v>
      </c>
      <c r="AK133" s="275">
        <v>-19.503380815481801</v>
      </c>
      <c r="AL133" s="275">
        <v>-19.461887797502609</v>
      </c>
      <c r="AM133" s="275">
        <v>-19.420434134990611</v>
      </c>
      <c r="AN133" s="275">
        <v>-19.37902263374459</v>
      </c>
      <c r="AO133" s="275">
        <v>-19.33765609649695</v>
      </c>
      <c r="AP133" s="275">
        <v>-19.296337318927339</v>
      </c>
      <c r="AQ133" s="275">
        <v>-19.255069085637128</v>
      </c>
      <c r="AR133" s="275">
        <v>-19.21385416609527</v>
      </c>
      <c r="AS133" s="275">
        <v>-19.17269531056618</v>
      </c>
      <c r="AT133" s="275">
        <v>-19.131595246030489</v>
      </c>
      <c r="AU133" s="275">
        <v>-19.09055667210966</v>
      </c>
      <c r="AV133" s="275">
        <v>-19.04958225700577</v>
      </c>
      <c r="AW133" s="275">
        <v>-19.00867463346766</v>
      </c>
      <c r="AX133" s="275">
        <v>-18.967836394794691</v>
      </c>
      <c r="AY133" s="275">
        <v>-18.927070090889639</v>
      </c>
      <c r="AZ133" s="275">
        <v>-18.886378224371779</v>
      </c>
      <c r="BA133" s="275">
        <v>-18.845763246761472</v>
      </c>
      <c r="BB133" s="275">
        <v>-18.805227554747329</v>
      </c>
      <c r="BC133" s="275">
        <v>-18.764773486546591</v>
      </c>
      <c r="BD133" s="275">
        <v>-18.724403318369731</v>
      </c>
      <c r="BE133" s="275">
        <v>-18.684119260999239</v>
      </c>
      <c r="BF133" s="275">
        <v>-18.643923456492789</v>
      </c>
      <c r="BG133" s="275">
        <v>-18.603817975020441</v>
      </c>
      <c r="BH133" s="275">
        <v>-18.56380481184501</v>
      </c>
      <c r="BI133" s="275">
        <v>-18.523885884454518</v>
      </c>
      <c r="BJ133" s="275">
        <v>-18.484063029854681</v>
      </c>
      <c r="BK133" s="275">
        <v>-18.444338002029529</v>
      </c>
      <c r="BL133" s="275">
        <v>-18.404712469576911</v>
      </c>
      <c r="BM133" s="275">
        <v>-18.3651880135257</v>
      </c>
      <c r="BN133" s="275">
        <v>-18.325766125340351</v>
      </c>
      <c r="BO133" s="275">
        <v>-18.286448205118091</v>
      </c>
      <c r="BP133" s="275">
        <v>-18.247235559983231</v>
      </c>
      <c r="BQ133" s="275">
        <v>-18.208129402682221</v>
      </c>
      <c r="BR133" s="275">
        <v>-18.169130850382668</v>
      </c>
      <c r="BS133" s="275">
        <v>-18.130240923678461</v>
      </c>
      <c r="BT133" s="275">
        <v>-18.09146054580237</v>
      </c>
      <c r="BU133" s="275">
        <v>-18.052790542047099</v>
      </c>
      <c r="BV133" s="275">
        <v>-18.014231639394541</v>
      </c>
      <c r="BW133" s="275">
        <v>-17.975784466352401</v>
      </c>
      <c r="BX133" s="275">
        <v>-17.93744955299675</v>
      </c>
      <c r="BY133" s="275">
        <v>-17.899227331218022</v>
      </c>
      <c r="BZ133" s="275">
        <v>-17.861118135167491</v>
      </c>
      <c r="CA133" s="275">
        <v>-17.82312220190029</v>
      </c>
      <c r="CB133" s="275">
        <v>-17.785239672210711</v>
      </c>
      <c r="CC133" s="275">
        <v>-17.747470591654501</v>
      </c>
      <c r="CD133" s="275">
        <v>-17.709814911752481</v>
      </c>
      <c r="CE133" s="275">
        <v>-17.672272491369132</v>
      </c>
      <c r="CF133" s="275">
        <v>-17.634843098259179</v>
      </c>
      <c r="CG133" s="275">
        <v>-17.59752641077495</v>
      </c>
      <c r="CH133" s="275">
        <v>-17.560322019726541</v>
      </c>
      <c r="CI133" s="275">
        <v>-17.52322943038639</v>
      </c>
      <c r="CJ133" s="275">
        <v>-17.486248064629962</v>
      </c>
      <c r="CK133" s="275">
        <v>-17.449377263203189</v>
      </c>
      <c r="CL133" s="275">
        <v>-17.412616288107749</v>
      </c>
      <c r="CM133" s="275">
        <v>-17.3759643250945</v>
      </c>
      <c r="CN133" s="275">
        <v>-17.339420486255641</v>
      </c>
      <c r="CO133" s="275">
        <v>-17.30298381270574</v>
      </c>
      <c r="CP133" s="275"/>
      <c r="CQ133" s="276">
        <v>-23.09094561947169</v>
      </c>
      <c r="CR133" s="276">
        <v>-23.040727459023621</v>
      </c>
      <c r="CS133" s="276">
        <v>-22.990560560949401</v>
      </c>
      <c r="CT133" s="276">
        <v>-22.940446578583039</v>
      </c>
      <c r="CU133" s="276">
        <v>-22.89038717738292</v>
      </c>
      <c r="CV133" s="276">
        <v>-22.84038403420309</v>
      </c>
      <c r="CW133" s="276">
        <v>-22.790438836540371</v>
      </c>
      <c r="CX133" s="276">
        <v>-22.74055328175746</v>
      </c>
      <c r="CY133" s="276">
        <v>-22.690729076279499</v>
      </c>
      <c r="CZ133" s="276">
        <v>-22.640967934764149</v>
      </c>
      <c r="DA133" s="276">
        <v>-22.591271579242871</v>
      </c>
      <c r="DB133" s="276">
        <v>-22.541641738232059</v>
      </c>
      <c r="DC133" s="276">
        <v>-22.49208014581199</v>
      </c>
      <c r="DD133" s="276">
        <v>-22.442588540671782</v>
      </c>
      <c r="DE133" s="276">
        <v>-22.393168665118111</v>
      </c>
      <c r="DF133" s="276">
        <v>-22.34382226404469</v>
      </c>
      <c r="DG133" s="276">
        <v>-22.29455108386119</v>
      </c>
      <c r="DH133" s="276">
        <v>-22.245356871377471</v>
      </c>
      <c r="DI133" s="276">
        <v>-22.196241372641371</v>
      </c>
      <c r="DJ133" s="276">
        <v>-22.147206331726519</v>
      </c>
      <c r="DK133" s="276">
        <v>-22.098253489467609</v>
      </c>
      <c r="DL133" s="276">
        <v>-22.049384582139421</v>
      </c>
      <c r="DM133" s="276">
        <v>-22.00060134007725</v>
      </c>
      <c r="DN133" s="276">
        <v>-21.95190548623534</v>
      </c>
      <c r="DO133" s="276">
        <v>-21.903298734680071</v>
      </c>
      <c r="DP133" s="276">
        <v>-21.8547827890158</v>
      </c>
      <c r="DQ133" s="276">
        <v>-21.806359340739728</v>
      </c>
      <c r="DR133" s="276">
        <v>-21.758030067524039</v>
      </c>
      <c r="DS133" s="276">
        <v>-21.709796631422691</v>
      </c>
      <c r="DT133" s="276">
        <v>-21.66166067700097</v>
      </c>
      <c r="DU133" s="276">
        <v>-21.613623829386491</v>
      </c>
      <c r="DV133" s="276">
        <v>-21.56568769224015</v>
      </c>
      <c r="DW133" s="276">
        <v>-21.517853845646911</v>
      </c>
      <c r="DX133" s="276">
        <v>-21.470123843925741</v>
      </c>
      <c r="DY133" s="276">
        <v>-21.422499213359711</v>
      </c>
      <c r="DZ133" s="276">
        <v>-21.374981449847208</v>
      </c>
      <c r="EA133" s="276">
        <v>-21.327572016475919</v>
      </c>
      <c r="EB133" s="276">
        <v>-21.280272341022791</v>
      </c>
      <c r="EC133" s="276">
        <v>-21.233083813382411</v>
      </c>
      <c r="ED133" s="276">
        <v>-21.18600778292906</v>
      </c>
      <c r="EE133" s="276">
        <v>-21.139045555816399</v>
      </c>
      <c r="EF133" s="276">
        <v>-21.092198392221629</v>
      </c>
      <c r="EG133" s="276">
        <v>-21.04546750354039</v>
      </c>
      <c r="EH133" s="276">
        <v>-20.998854049539911</v>
      </c>
      <c r="EI133" s="276">
        <v>-20.952359135479622</v>
      </c>
      <c r="EJ133" s="276">
        <v>-20.905983809207839</v>
      </c>
      <c r="EK133" s="276">
        <v>-20.859729058245289</v>
      </c>
      <c r="EL133" s="276">
        <v>-20.813595806866381</v>
      </c>
      <c r="EM133" s="276">
        <v>-20.767584913189911</v>
      </c>
      <c r="EN133" s="276">
        <v>-20.721697166291971</v>
      </c>
      <c r="EO133" s="276">
        <v>-20.675933283353789</v>
      </c>
      <c r="EP133" s="276">
        <v>-20.63029390685897</v>
      </c>
      <c r="EQ133" s="276">
        <v>-20.58477960185327</v>
      </c>
      <c r="ER133" s="276">
        <v>-20.539390853282558</v>
      </c>
      <c r="ES133" s="276">
        <v>-20.494128063423211</v>
      </c>
      <c r="ET133" s="276">
        <v>-20.448991549420001</v>
      </c>
      <c r="EU133" s="276">
        <v>-20.403981540946951</v>
      </c>
      <c r="EV133" s="276">
        <v>-20.359098178005919</v>
      </c>
      <c r="EW133" s="276">
        <v>-20.3143415088776</v>
      </c>
      <c r="EX133" s="276">
        <v>-20.269711488239992</v>
      </c>
      <c r="EY133" s="276">
        <v>-20.225207975467921</v>
      </c>
      <c r="EZ133" s="276">
        <v>-20.180830733127451</v>
      </c>
      <c r="FA133" s="276">
        <v>-20.13657942567772</v>
      </c>
      <c r="FB133" s="276">
        <v>-20.092453618392501</v>
      </c>
      <c r="FC133" s="276">
        <v>-20.048452776512299</v>
      </c>
      <c r="FD133" s="276">
        <v>-20.00457626463691</v>
      </c>
      <c r="FE133" s="276">
        <v>-19.96082334636748</v>
      </c>
      <c r="FF133" s="276">
        <v>-19.917193184205392</v>
      </c>
      <c r="FG133" s="276">
        <v>-19.8736848397144</v>
      </c>
      <c r="FH133" s="276">
        <v>-19.830297273950301</v>
      </c>
      <c r="FI133" s="276">
        <v>-19.787029348162221</v>
      </c>
      <c r="FJ133" s="272">
        <v>-19.743879824766459</v>
      </c>
      <c r="FK133" s="272">
        <v>-19.700847368593589</v>
      </c>
      <c r="FL133" s="272">
        <v>-19.657930548407119</v>
      </c>
      <c r="FM133" s="272">
        <v>-19.615127838691009</v>
      </c>
      <c r="FN133" s="272">
        <v>-19.57243762170123</v>
      </c>
      <c r="FO133" s="272">
        <v>-19.52985818977508</v>
      </c>
      <c r="FP133" s="272">
        <v>-19.487387747891159</v>
      </c>
      <c r="FQ133" s="272">
        <v>-19.445024416470179</v>
      </c>
      <c r="FR133" s="272">
        <v>-19.40276623440673</v>
      </c>
      <c r="FS133" s="272">
        <v>-19.360611162319771</v>
      </c>
      <c r="FT133" s="272">
        <v>-19.318557086008578</v>
      </c>
      <c r="FU133" s="272">
        <v>-19.276601820100911</v>
      </c>
      <c r="FV133" s="272">
        <v>-19.234743111877052</v>
      </c>
      <c r="FW133" s="272">
        <v>-19.192978645254371</v>
      </c>
      <c r="FX133" s="272">
        <v>-19.151306044915248</v>
      </c>
      <c r="FY133" s="272">
        <v>-19.10972288056135</v>
      </c>
      <c r="FZ133" s="272">
        <v>-19.068226671275411</v>
      </c>
      <c r="GA133" s="272">
        <v>-19.026814889973139</v>
      </c>
      <c r="GB133" s="272">
        <v>-18.985484967926201</v>
      </c>
      <c r="GC133" s="272">
        <v>-18.944234299337449</v>
      </c>
    </row>
    <row r="134" spans="2:185" ht="15" thickBot="1" x14ac:dyDescent="0.4">
      <c r="B134" s="298">
        <v>128</v>
      </c>
      <c r="C134" s="275">
        <v>-21.1319582355463</v>
      </c>
      <c r="D134" s="275">
        <v>-21.090633390662919</v>
      </c>
      <c r="E134" s="275">
        <v>-21.04927382083137</v>
      </c>
      <c r="F134" s="275">
        <v>-21.00788080869577</v>
      </c>
      <c r="G134" s="275">
        <v>-20.96645569898482</v>
      </c>
      <c r="H134" s="275">
        <v>-20.924999898738552</v>
      </c>
      <c r="I134" s="275">
        <v>-20.88351487742386</v>
      </c>
      <c r="J134" s="275">
        <v>-20.842002166934151</v>
      </c>
      <c r="K134" s="275">
        <v>-20.800463361469031</v>
      </c>
      <c r="L134" s="275">
        <v>-20.758900117289571</v>
      </c>
      <c r="M134" s="275">
        <v>-20.717314152345779</v>
      </c>
      <c r="N134" s="275">
        <v>-20.675707245772379</v>
      </c>
      <c r="O134" s="275">
        <v>-20.63408123724998</v>
      </c>
      <c r="P134" s="275">
        <v>-20.592438026228528</v>
      </c>
      <c r="Q134" s="275">
        <v>-20.550779571010949</v>
      </c>
      <c r="R134" s="275">
        <v>-20.509107887694441</v>
      </c>
      <c r="S134" s="275">
        <v>-20.46742504896811</v>
      </c>
      <c r="T134" s="275">
        <v>-20.425733182765399</v>
      </c>
      <c r="U134" s="275">
        <v>-20.384034470771031</v>
      </c>
      <c r="V134" s="275">
        <v>-20.342331146781522</v>
      </c>
      <c r="W134" s="275">
        <v>-20.300625494919949</v>
      </c>
      <c r="X134" s="275">
        <v>-20.258919847705489</v>
      </c>
      <c r="Y134" s="275">
        <v>-20.217216583978839</v>
      </c>
      <c r="Z134" s="275">
        <v>-20.1755181266854</v>
      </c>
      <c r="AA134" s="275">
        <v>-20.133826940518361</v>
      </c>
      <c r="AB134" s="275">
        <v>-20.09214552942456</v>
      </c>
      <c r="AC134" s="275">
        <v>-20.050476433976289</v>
      </c>
      <c r="AD134" s="275">
        <v>-20.008822228613049</v>
      </c>
      <c r="AE134" s="275">
        <v>-19.967185518757599</v>
      </c>
      <c r="AF134" s="275">
        <v>-19.925568937811128</v>
      </c>
      <c r="AG134" s="275">
        <v>-19.883975144033059</v>
      </c>
      <c r="AH134" s="275">
        <v>-19.842406817311449</v>
      </c>
      <c r="AI134" s="275">
        <v>-19.80086665583023</v>
      </c>
      <c r="AJ134" s="275">
        <v>-19.759357372640501</v>
      </c>
      <c r="AK134" s="275">
        <v>-19.717881692142939</v>
      </c>
      <c r="AL134" s="275">
        <v>-19.676442346489271</v>
      </c>
      <c r="AM134" s="275">
        <v>-19.63504207191118</v>
      </c>
      <c r="AN134" s="275">
        <v>-19.5936836049849</v>
      </c>
      <c r="AO134" s="275">
        <v>-19.552369678840861</v>
      </c>
      <c r="AP134" s="275">
        <v>-19.511103019327539</v>
      </c>
      <c r="AQ134" s="275">
        <v>-19.46988634113907</v>
      </c>
      <c r="AR134" s="275">
        <v>-19.428722343916679</v>
      </c>
      <c r="AS134" s="275">
        <v>-19.387613708333991</v>
      </c>
      <c r="AT134" s="275">
        <v>-19.34656309217651</v>
      </c>
      <c r="AU134" s="275">
        <v>-19.305573126425941</v>
      </c>
      <c r="AV134" s="275">
        <v>-19.26464641135972</v>
      </c>
      <c r="AW134" s="275">
        <v>-19.223785512676731</v>
      </c>
      <c r="AX134" s="275">
        <v>-19.182992957659689</v>
      </c>
      <c r="AY134" s="275">
        <v>-19.142271231385241</v>
      </c>
      <c r="AZ134" s="275">
        <v>-19.101622772992169</v>
      </c>
      <c r="BA134" s="275">
        <v>-19.061049972018491</v>
      </c>
      <c r="BB134" s="275">
        <v>-19.020555164817932</v>
      </c>
      <c r="BC134" s="275">
        <v>-18.980140631065829</v>
      </c>
      <c r="BD134" s="275">
        <v>-18.939808590365011</v>
      </c>
      <c r="BE134" s="275">
        <v>-18.899561198960839</v>
      </c>
      <c r="BF134" s="275">
        <v>-18.859400546575369</v>
      </c>
      <c r="BG134" s="275">
        <v>-18.819328653369549</v>
      </c>
      <c r="BH134" s="275">
        <v>-18.779347467042172</v>
      </c>
      <c r="BI134" s="275">
        <v>-18.739458860073999</v>
      </c>
      <c r="BJ134" s="275">
        <v>-18.699664627124729</v>
      </c>
      <c r="BK134" s="275">
        <v>-18.6599664825901</v>
      </c>
      <c r="BL134" s="275">
        <v>-18.620366058326081</v>
      </c>
      <c r="BM134" s="275">
        <v>-18.58086490154599</v>
      </c>
      <c r="BN134" s="275">
        <v>-18.54146447289639</v>
      </c>
      <c r="BO134" s="275">
        <v>-18.50216614471643</v>
      </c>
      <c r="BP134" s="275">
        <v>-18.46297119948515</v>
      </c>
      <c r="BQ134" s="275">
        <v>-18.42388082846001</v>
      </c>
      <c r="BR134" s="275">
        <v>-18.384896130509691</v>
      </c>
      <c r="BS134" s="275">
        <v>-18.346018111143461</v>
      </c>
      <c r="BT134" s="275">
        <v>-18.307247681738119</v>
      </c>
      <c r="BU134" s="275">
        <v>-18.268585658963691</v>
      </c>
      <c r="BV134" s="275">
        <v>-18.2300327644076</v>
      </c>
      <c r="BW134" s="275">
        <v>-18.191589624396538</v>
      </c>
      <c r="BX134" s="275">
        <v>-18.153256770014849</v>
      </c>
      <c r="BY134" s="275">
        <v>-18.115034637316931</v>
      </c>
      <c r="BZ134" s="275">
        <v>-18.076923567731061</v>
      </c>
      <c r="CA134" s="275">
        <v>-18.038923808650949</v>
      </c>
      <c r="CB134" s="275">
        <v>-18.001035514211061</v>
      </c>
      <c r="CC134" s="275">
        <v>-17.96325874624074</v>
      </c>
      <c r="CD134" s="275">
        <v>-17.925593475391739</v>
      </c>
      <c r="CE134" s="275">
        <v>-17.888039582433489</v>
      </c>
      <c r="CF134" s="275">
        <v>-17.85059685970943</v>
      </c>
      <c r="CG134" s="275">
        <v>-17.813265012747401</v>
      </c>
      <c r="CH134" s="275">
        <v>-17.776043662017159</v>
      </c>
      <c r="CI134" s="275">
        <v>-17.738932344826669</v>
      </c>
      <c r="CJ134" s="275">
        <v>-17.701930517349531</v>
      </c>
      <c r="CK134" s="275">
        <v>-17.665037556774969</v>
      </c>
      <c r="CL134" s="275">
        <v>-17.628252763571549</v>
      </c>
      <c r="CM134" s="275">
        <v>-17.591575363856009</v>
      </c>
      <c r="CN134" s="275">
        <v>-17.555004511858019</v>
      </c>
      <c r="CO134" s="275">
        <v>-17.518539292471619</v>
      </c>
      <c r="CP134" s="275"/>
      <c r="CQ134" s="276">
        <v>-23.323867239982992</v>
      </c>
      <c r="CR134" s="276">
        <v>-23.27370436872398</v>
      </c>
      <c r="CS134" s="276">
        <v>-23.223592780908</v>
      </c>
      <c r="CT134" s="276">
        <v>-23.173534102520058</v>
      </c>
      <c r="CU134" s="276">
        <v>-23.12352997102381</v>
      </c>
      <c r="CV134" s="276">
        <v>-23.073582034631059</v>
      </c>
      <c r="CW134" s="276">
        <v>-23.02369195154704</v>
      </c>
      <c r="CX134" s="276">
        <v>-22.973861389190251</v>
      </c>
      <c r="CY134" s="276">
        <v>-22.924092023386379</v>
      </c>
      <c r="CZ134" s="276">
        <v>-22.874385537534408</v>
      </c>
      <c r="DA134" s="276">
        <v>-22.824743621743739</v>
      </c>
      <c r="DB134" s="276">
        <v>-22.775167971941229</v>
      </c>
      <c r="DC134" s="276">
        <v>-22.725660288945551</v>
      </c>
      <c r="DD134" s="276">
        <v>-22.676222277507431</v>
      </c>
      <c r="DE134" s="276">
        <v>-22.62685564531407</v>
      </c>
      <c r="DF134" s="276">
        <v>-22.57756210195442</v>
      </c>
      <c r="DG134" s="276">
        <v>-22.528343357844459</v>
      </c>
      <c r="DH134" s="276">
        <v>-22.479201123108648</v>
      </c>
      <c r="DI134" s="276">
        <v>-22.430137106415749</v>
      </c>
      <c r="DJ134" s="276">
        <v>-22.381153013766191</v>
      </c>
      <c r="DK134" s="276">
        <v>-22.332250547228369</v>
      </c>
      <c r="DL134" s="276">
        <v>-22.283431403620739</v>
      </c>
      <c r="DM134" s="276">
        <v>-22.234697273137609</v>
      </c>
      <c r="DN134" s="276">
        <v>-22.186049837915281</v>
      </c>
      <c r="DO134" s="276">
        <v>-22.137490770536701</v>
      </c>
      <c r="DP134" s="276">
        <v>-22.089021732471529</v>
      </c>
      <c r="DQ134" s="276">
        <v>-22.040644372449339</v>
      </c>
      <c r="DR134" s="276">
        <v>-21.99236032476427</v>
      </c>
      <c r="DS134" s="276">
        <v>-21.944171207509189</v>
      </c>
      <c r="DT134" s="276">
        <v>-21.896078620737189</v>
      </c>
      <c r="DU134" s="276">
        <v>-21.848084144550398</v>
      </c>
      <c r="DV134" s="276">
        <v>-21.800189337114311</v>
      </c>
      <c r="DW134" s="276">
        <v>-21.75239573259795</v>
      </c>
      <c r="DX134" s="276">
        <v>-21.70470483903992</v>
      </c>
      <c r="DY134" s="276">
        <v>-21.65711813614092</v>
      </c>
      <c r="DZ134" s="276">
        <v>-21.609637072984508</v>
      </c>
      <c r="EA134" s="276">
        <v>-21.562263065688011</v>
      </c>
      <c r="EB134" s="276">
        <v>-21.51499749498609</v>
      </c>
      <c r="EC134" s="276">
        <v>-21.467841703750398</v>
      </c>
      <c r="ED134" s="276">
        <v>-21.420796994450381</v>
      </c>
      <c r="EE134" s="276">
        <v>-21.373864626558721</v>
      </c>
      <c r="EF134" s="276">
        <v>-21.327045813908569</v>
      </c>
      <c r="EG134" s="276">
        <v>-21.280341722008359</v>
      </c>
      <c r="EH134" s="276">
        <v>-21.233753465321811</v>
      </c>
      <c r="EI134" s="276">
        <v>-21.187282104521501</v>
      </c>
      <c r="EJ134" s="276">
        <v>-21.140928643724429</v>
      </c>
      <c r="EK134" s="276">
        <v>-21.094694027720021</v>
      </c>
      <c r="EL134" s="276">
        <v>-21.04857913920031</v>
      </c>
      <c r="EM134" s="276">
        <v>-21.002584796003941</v>
      </c>
      <c r="EN134" s="276">
        <v>-20.956711748385619</v>
      </c>
      <c r="EO134" s="276">
        <v>-20.910960676323189</v>
      </c>
      <c r="EP134" s="276">
        <v>-20.865332186875229</v>
      </c>
      <c r="EQ134" s="276">
        <v>-20.81982681160255</v>
      </c>
      <c r="ER134" s="276">
        <v>-20.774445004067331</v>
      </c>
      <c r="ES134" s="276">
        <v>-20.72918713742289</v>
      </c>
      <c r="ET134" s="276">
        <v>-20.684053502109201</v>
      </c>
      <c r="EU134" s="276">
        <v>-20.639044303667259</v>
      </c>
      <c r="EV134" s="276">
        <v>-20.594159660686689</v>
      </c>
      <c r="EW134" s="276">
        <v>-20.549399602900021</v>
      </c>
      <c r="EX134" s="276">
        <v>-20.504764069437289</v>
      </c>
      <c r="EY134" s="276">
        <v>-20.46025290725353</v>
      </c>
      <c r="EZ134" s="276">
        <v>-20.415865869742341</v>
      </c>
      <c r="FA134" s="276">
        <v>-20.37160261554623</v>
      </c>
      <c r="FB134" s="276">
        <v>-20.32746270757578</v>
      </c>
      <c r="FC134" s="276">
        <v>-20.28344561224683</v>
      </c>
      <c r="FD134" s="276">
        <v>-20.23955069894561</v>
      </c>
      <c r="FE134" s="276">
        <v>-20.195777239728979</v>
      </c>
      <c r="FF134" s="276">
        <v>-20.15212440926755</v>
      </c>
      <c r="FG134" s="276">
        <v>-20.108591285036539</v>
      </c>
      <c r="FH134" s="276">
        <v>-20.065176847759041</v>
      </c>
      <c r="FI134" s="276">
        <v>-20.021879982104561</v>
      </c>
      <c r="FJ134" s="272">
        <v>-19.978699477644341</v>
      </c>
      <c r="FK134" s="272">
        <v>-19.935634030063522</v>
      </c>
      <c r="FL134" s="272">
        <v>-19.892682242628489</v>
      </c>
      <c r="FM134" s="272">
        <v>-19.849842627907329</v>
      </c>
      <c r="FN134" s="272">
        <v>-19.807113609737929</v>
      </c>
      <c r="FO134" s="272">
        <v>-19.76449352543893</v>
      </c>
      <c r="FP134" s="272">
        <v>-19.721980628255881</v>
      </c>
      <c r="FQ134" s="272">
        <v>-19.679573090034339</v>
      </c>
      <c r="FR134" s="272">
        <v>-19.637269004109701</v>
      </c>
      <c r="FS134" s="272">
        <v>-19.59506638840346</v>
      </c>
      <c r="FT134" s="272">
        <v>-19.55296318871315</v>
      </c>
      <c r="FU134" s="272">
        <v>-19.510957282182819</v>
      </c>
      <c r="FV134" s="272">
        <v>-19.469046480940509</v>
      </c>
      <c r="FW134" s="272">
        <v>-19.42722853588716</v>
      </c>
      <c r="FX134" s="272">
        <v>-19.385501140621361</v>
      </c>
      <c r="FY134" s="272">
        <v>-19.34386193548438</v>
      </c>
      <c r="FZ134" s="272">
        <v>-19.302308511707569</v>
      </c>
      <c r="GA134" s="272">
        <v>-19.260838415646479</v>
      </c>
      <c r="GB134" s="272">
        <v>-19.219449153083211</v>
      </c>
      <c r="GC134" s="272">
        <v>-19.178138193580349</v>
      </c>
    </row>
    <row r="135" spans="2:185" ht="15" thickBot="1" x14ac:dyDescent="0.4">
      <c r="B135" s="298">
        <v>129</v>
      </c>
      <c r="C135" s="275">
        <v>-21.344888977822169</v>
      </c>
      <c r="D135" s="275">
        <v>-21.3035962740042</v>
      </c>
      <c r="E135" s="275">
        <v>-21.26226994254009</v>
      </c>
      <c r="F135" s="275">
        <v>-21.220911258328869</v>
      </c>
      <c r="G135" s="275">
        <v>-21.179521556432601</v>
      </c>
      <c r="H135" s="275">
        <v>-21.138102232256209</v>
      </c>
      <c r="I135" s="275">
        <v>-21.096654741619599</v>
      </c>
      <c r="J135" s="275">
        <v>-21.055180600718082</v>
      </c>
      <c r="K135" s="275">
        <v>-21.01368138596699</v>
      </c>
      <c r="L135" s="275">
        <v>-20.972158733726619</v>
      </c>
      <c r="M135" s="275">
        <v>-20.930614339904061</v>
      </c>
      <c r="N135" s="275">
        <v>-20.889049959428711</v>
      </c>
      <c r="O135" s="275">
        <v>-20.847467405598291</v>
      </c>
      <c r="P135" s="275">
        <v>-20.805868549293141</v>
      </c>
      <c r="Q135" s="275">
        <v>-20.76425531805614</v>
      </c>
      <c r="R135" s="275">
        <v>-20.72262969503673</v>
      </c>
      <c r="S135" s="275">
        <v>-20.68099371779725</v>
      </c>
      <c r="T135" s="275">
        <v>-20.639349476980669</v>
      </c>
      <c r="U135" s="275">
        <v>-20.597699114839269</v>
      </c>
      <c r="V135" s="275">
        <v>-20.556044823623711</v>
      </c>
      <c r="W135" s="275">
        <v>-20.51438884383294</v>
      </c>
      <c r="X135" s="275">
        <v>-20.472733462325881</v>
      </c>
      <c r="Y135" s="275">
        <v>-20.431081010295799</v>
      </c>
      <c r="Z135" s="275">
        <v>-20.389433861109389</v>
      </c>
      <c r="AA135" s="275">
        <v>-20.34779442801252</v>
      </c>
      <c r="AB135" s="275">
        <v>-20.306165161705739</v>
      </c>
      <c r="AC135" s="275">
        <v>-20.26454854779233</v>
      </c>
      <c r="AD135" s="275">
        <v>-20.22294710410317</v>
      </c>
      <c r="AE135" s="275">
        <v>-20.18136337790212</v>
      </c>
      <c r="AF135" s="275">
        <v>-20.139799942977142</v>
      </c>
      <c r="AG135" s="275">
        <v>-20.09825939662209</v>
      </c>
      <c r="AH135" s="275">
        <v>-20.05674435651499</v>
      </c>
      <c r="AI135" s="275">
        <v>-20.015257457498969</v>
      </c>
      <c r="AJ135" s="275">
        <v>-19.973801348272399</v>
      </c>
      <c r="AK135" s="275">
        <v>-19.932378687995541</v>
      </c>
      <c r="AL135" s="275">
        <v>-19.890992142820799</v>
      </c>
      <c r="AM135" s="275">
        <v>-19.849644382354739</v>
      </c>
      <c r="AN135" s="275">
        <v>-19.80833807606</v>
      </c>
      <c r="AO135" s="275">
        <v>-19.767075889605671</v>
      </c>
      <c r="AP135" s="275">
        <v>-19.725860481175079</v>
      </c>
      <c r="AQ135" s="275">
        <v>-19.684694497740011</v>
      </c>
      <c r="AR135" s="275">
        <v>-19.643580571311059</v>
      </c>
      <c r="AS135" s="275">
        <v>-19.60252131517348</v>
      </c>
      <c r="AT135" s="275">
        <v>-19.561519320118538</v>
      </c>
      <c r="AU135" s="275">
        <v>-19.520577150680332</v>
      </c>
      <c r="AV135" s="275">
        <v>-19.479697341388121</v>
      </c>
      <c r="AW135" s="275">
        <v>-19.43888239304432</v>
      </c>
      <c r="AX135" s="275">
        <v>-19.398134769038609</v>
      </c>
      <c r="AY135" s="275">
        <v>-19.357456891707791</v>
      </c>
      <c r="AZ135" s="275">
        <v>-19.31685113875232</v>
      </c>
      <c r="BA135" s="275">
        <v>-19.276319839718852</v>
      </c>
      <c r="BB135" s="275">
        <v>-19.235865272559199</v>
      </c>
      <c r="BC135" s="275">
        <v>-19.195489660275161</v>
      </c>
      <c r="BD135" s="275">
        <v>-19.155195167658999</v>
      </c>
      <c r="BE135" s="275">
        <v>-19.114983898138689</v>
      </c>
      <c r="BF135" s="275">
        <v>-19.07485789073689</v>
      </c>
      <c r="BG135" s="275">
        <v>-19.03481911715247</v>
      </c>
      <c r="BH135" s="275">
        <v>-18.99486947897266</v>
      </c>
      <c r="BI135" s="275">
        <v>-18.95501080502369</v>
      </c>
      <c r="BJ135" s="275">
        <v>-18.915244848867498</v>
      </c>
      <c r="BK135" s="275">
        <v>-18.875573286451178</v>
      </c>
      <c r="BL135" s="275">
        <v>-18.835997713915631</v>
      </c>
      <c r="BM135" s="275">
        <v>-18.796519645569369</v>
      </c>
      <c r="BN135" s="275">
        <v>-18.757140512032642</v>
      </c>
      <c r="BO135" s="275">
        <v>-18.717861658556391</v>
      </c>
      <c r="BP135" s="275">
        <v>-18.67868434352048</v>
      </c>
      <c r="BQ135" s="275">
        <v>-18.639609737114039</v>
      </c>
      <c r="BR135" s="275">
        <v>-18.60063892020122</v>
      </c>
      <c r="BS135" s="275">
        <v>-18.56177288337399</v>
      </c>
      <c r="BT135" s="275">
        <v>-18.523012526193579</v>
      </c>
      <c r="BU135" s="275">
        <v>-18.484358656621229</v>
      </c>
      <c r="BV135" s="275">
        <v>-18.445811990638251</v>
      </c>
      <c r="BW135" s="275">
        <v>-18.407373152054731</v>
      </c>
      <c r="BX135" s="275">
        <v>-18.369042672505628</v>
      </c>
      <c r="BY135" s="275">
        <v>-18.330820991632159</v>
      </c>
      <c r="BZ135" s="275">
        <v>-18.292708457445841</v>
      </c>
      <c r="CA135" s="275">
        <v>-18.254705326872099</v>
      </c>
      <c r="CB135" s="275">
        <v>-18.216811766469259</v>
      </c>
      <c r="CC135" s="275">
        <v>-18.179027853318811</v>
      </c>
      <c r="CD135" s="275">
        <v>-18.141353576081471</v>
      </c>
      <c r="CE135" s="275">
        <v>-18.103788836214111</v>
      </c>
      <c r="CF135" s="275">
        <v>-18.066333449340949</v>
      </c>
      <c r="CG135" s="275">
        <v>-18.028987146772781</v>
      </c>
      <c r="CH135" s="275">
        <v>-17.99174957716739</v>
      </c>
      <c r="CI135" s="275">
        <v>-17.954620308323761</v>
      </c>
      <c r="CJ135" s="275">
        <v>-17.917598829102481</v>
      </c>
      <c r="CK135" s="275">
        <v>-17.88068455146443</v>
      </c>
      <c r="CL135" s="275">
        <v>-17.84387681261973</v>
      </c>
      <c r="CM135" s="275">
        <v>-17.807174877278239</v>
      </c>
      <c r="CN135" s="275">
        <v>-17.770577939993661</v>
      </c>
      <c r="CO135" s="275">
        <v>-17.734085127591889</v>
      </c>
      <c r="CP135" s="275"/>
      <c r="CQ135" s="276">
        <v>-23.556797318206321</v>
      </c>
      <c r="CR135" s="276">
        <v>-23.50668897491412</v>
      </c>
      <c r="CS135" s="276">
        <v>-23.456631922682028</v>
      </c>
      <c r="CT135" s="276">
        <v>-23.40662776041404</v>
      </c>
      <c r="CU135" s="276">
        <v>-23.35667809785966</v>
      </c>
      <c r="CV135" s="276">
        <v>-23.306784554882409</v>
      </c>
      <c r="CW135" s="276">
        <v>-23.256948760703509</v>
      </c>
      <c r="CX135" s="276">
        <v>-23.207172353119869</v>
      </c>
      <c r="CY135" s="276">
        <v>-23.15745697769567</v>
      </c>
      <c r="CZ135" s="276">
        <v>-23.10780428692587</v>
      </c>
      <c r="DA135" s="276">
        <v>-23.058215939370822</v>
      </c>
      <c r="DB135" s="276">
        <v>-23.008693598760019</v>
      </c>
      <c r="DC135" s="276">
        <v>-22.959238933063641</v>
      </c>
      <c r="DD135" s="276">
        <v>-22.90985361353011</v>
      </c>
      <c r="DE135" s="276">
        <v>-22.860539313687539</v>
      </c>
      <c r="DF135" s="276">
        <v>-22.811297708307379</v>
      </c>
      <c r="DG135" s="276">
        <v>-22.762130472327812</v>
      </c>
      <c r="DH135" s="276">
        <v>-22.713039279734641</v>
      </c>
      <c r="DI135" s="276">
        <v>-22.664025802397941</v>
      </c>
      <c r="DJ135" s="276">
        <v>-22.615091708860952</v>
      </c>
      <c r="DK135" s="276">
        <v>-22.56623866308011</v>
      </c>
      <c r="DL135" s="276">
        <v>-22.51746832311272</v>
      </c>
      <c r="DM135" s="276">
        <v>-22.468782339750572</v>
      </c>
      <c r="DN135" s="276">
        <v>-22.420182355096859</v>
      </c>
      <c r="DO135" s="276">
        <v>-22.371670001083888</v>
      </c>
      <c r="DP135" s="276">
        <v>-22.323246897930279</v>
      </c>
      <c r="DQ135" s="276">
        <v>-22.274914652534751</v>
      </c>
      <c r="DR135" s="276">
        <v>-22.22667485680546</v>
      </c>
      <c r="DS135" s="276">
        <v>-22.178529085922989</v>
      </c>
      <c r="DT135" s="276">
        <v>-22.130478896536051</v>
      </c>
      <c r="DU135" s="276">
        <v>-22.082525824889039</v>
      </c>
      <c r="DV135" s="276">
        <v>-22.034671384880848</v>
      </c>
      <c r="DW135" s="276">
        <v>-21.986917066055199</v>
      </c>
      <c r="DX135" s="276">
        <v>-21.93926433152269</v>
      </c>
      <c r="DY135" s="276">
        <v>-21.891714615815971</v>
      </c>
      <c r="DZ135" s="276">
        <v>-21.84426932267931</v>
      </c>
      <c r="EA135" s="276">
        <v>-21.796929822794631</v>
      </c>
      <c r="EB135" s="276">
        <v>-21.749697451447339</v>
      </c>
      <c r="EC135" s="276">
        <v>-21.702573506135138</v>
      </c>
      <c r="ED135" s="276">
        <v>-21.65555924412379</v>
      </c>
      <c r="EE135" s="276">
        <v>-21.60865587995541</v>
      </c>
      <c r="EF135" s="276">
        <v>-21.56186458291403</v>
      </c>
      <c r="EG135" s="276">
        <v>-21.515186474455749</v>
      </c>
      <c r="EH135" s="276">
        <v>-21.468622625609871</v>
      </c>
      <c r="EI135" s="276">
        <v>-21.422174054359029</v>
      </c>
      <c r="EJ135" s="276">
        <v>-21.375841723007241</v>
      </c>
      <c r="EK135" s="276">
        <v>-21.32962653554446</v>
      </c>
      <c r="EL135" s="276">
        <v>-21.28352933501807</v>
      </c>
      <c r="EM135" s="276">
        <v>-21.237550900921448</v>
      </c>
      <c r="EN135" s="276">
        <v>-21.191691946610909</v>
      </c>
      <c r="EO135" s="276">
        <v>-21.145953116762449</v>
      </c>
      <c r="EP135" s="276">
        <v>-21.100334984880259</v>
      </c>
      <c r="EQ135" s="276">
        <v>-21.05483805086946</v>
      </c>
      <c r="ER135" s="276">
        <v>-21.009462738685752</v>
      </c>
      <c r="ES135" s="276">
        <v>-20.964209394074722</v>
      </c>
      <c r="ET135" s="276">
        <v>-20.919078282413679</v>
      </c>
      <c r="EU135" s="276">
        <v>-20.874069586669339</v>
      </c>
      <c r="EV135" s="276">
        <v>-20.82918340548385</v>
      </c>
      <c r="EW135" s="276">
        <v>-20.78441975140181</v>
      </c>
      <c r="EX135" s="276">
        <v>-20.739778549251231</v>
      </c>
      <c r="EY135" s="276">
        <v>-20.69525963468941</v>
      </c>
      <c r="EZ135" s="276">
        <v>-20.65086275292613</v>
      </c>
      <c r="FA135" s="276">
        <v>-20.606587557634381</v>
      </c>
      <c r="FB135" s="276">
        <v>-20.562433610058662</v>
      </c>
      <c r="FC135" s="276">
        <v>-20.51840037833075</v>
      </c>
      <c r="FD135" s="276">
        <v>-20.474487237000211</v>
      </c>
      <c r="FE135" s="276">
        <v>-20.43069346678806</v>
      </c>
      <c r="FF135" s="276">
        <v>-20.38701825456905</v>
      </c>
      <c r="FG135" s="276">
        <v>-20.34346069358795</v>
      </c>
      <c r="FH135" s="276">
        <v>-20.300019783913889</v>
      </c>
      <c r="FI135" s="276">
        <v>-20.256694433134669</v>
      </c>
      <c r="FJ135" s="272">
        <v>-20.213483457293361</v>
      </c>
      <c r="FK135" s="272">
        <v>-20.17038558206616</v>
      </c>
      <c r="FL135" s="272">
        <v>-20.127399444180831</v>
      </c>
      <c r="FM135" s="272">
        <v>-20.084523593072451</v>
      </c>
      <c r="FN135" s="272">
        <v>-20.041756492772979</v>
      </c>
      <c r="FO135" s="272">
        <v>-19.999096524028609</v>
      </c>
      <c r="FP135" s="272">
        <v>-19.956541986638619</v>
      </c>
      <c r="FQ135" s="272">
        <v>-19.914091102007831</v>
      </c>
      <c r="FR135" s="272">
        <v>-19.871742015902988</v>
      </c>
      <c r="FS135" s="272">
        <v>-19.829492801403848</v>
      </c>
      <c r="FT135" s="272">
        <v>-19.787341462036419</v>
      </c>
      <c r="FU135" s="272">
        <v>-19.745285935077099</v>
      </c>
      <c r="FV135" s="272">
        <v>-19.703324095014331</v>
      </c>
      <c r="FW135" s="272">
        <v>-19.661453757153449</v>
      </c>
      <c r="FX135" s="272">
        <v>-19.619672681350671</v>
      </c>
      <c r="FY135" s="272">
        <v>-19.577978575861081</v>
      </c>
      <c r="FZ135" s="272">
        <v>-19.536369101284858</v>
      </c>
      <c r="GA135" s="272">
        <v>-19.494841874595789</v>
      </c>
      <c r="GB135" s="272">
        <v>-19.453394473236191</v>
      </c>
      <c r="GC135" s="272">
        <v>-19.412024439262339</v>
      </c>
    </row>
    <row r="136" spans="2:185" ht="15" thickBot="1" x14ac:dyDescent="0.4">
      <c r="B136" s="298">
        <v>130</v>
      </c>
      <c r="C136" s="275">
        <v>-21.557833366830611</v>
      </c>
      <c r="D136" s="275">
        <v>-21.516572748847061</v>
      </c>
      <c r="E136" s="275">
        <v>-21.47527957134854</v>
      </c>
      <c r="F136" s="275">
        <v>-21.433955101030001</v>
      </c>
      <c r="G136" s="275">
        <v>-21.392600662886299</v>
      </c>
      <c r="H136" s="275">
        <v>-21.35121764034831</v>
      </c>
      <c r="I136" s="275">
        <v>-21.30980747531499</v>
      </c>
      <c r="J136" s="275">
        <v>-21.268371668077609</v>
      </c>
      <c r="K136" s="275">
        <v>-21.226911777132148</v>
      </c>
      <c r="L136" s="275">
        <v>-21.1854294188769</v>
      </c>
      <c r="M136" s="275">
        <v>-21.143926267191201</v>
      </c>
      <c r="N136" s="275">
        <v>-21.10240405289294</v>
      </c>
      <c r="O136" s="275">
        <v>-21.060864563071899</v>
      </c>
      <c r="P136" s="275">
        <v>-21.019309640296559</v>
      </c>
      <c r="Q136" s="275">
        <v>-20.97774118169227</v>
      </c>
      <c r="R136" s="275">
        <v>-20.936161137889201</v>
      </c>
      <c r="S136" s="275">
        <v>-20.894571511838731</v>
      </c>
      <c r="T136" s="275">
        <v>-20.852974357497349</v>
      </c>
      <c r="U136" s="275">
        <v>-20.811371778377531</v>
      </c>
      <c r="V136" s="275">
        <v>-20.76976592596559</v>
      </c>
      <c r="W136" s="275">
        <v>-20.72815899800684</v>
      </c>
      <c r="X136" s="275">
        <v>-20.686553236658789</v>
      </c>
      <c r="Y136" s="275">
        <v>-20.644950926513889</v>
      </c>
      <c r="Z136" s="275">
        <v>-20.603354392493191</v>
      </c>
      <c r="AA136" s="275">
        <v>-20.561765997613509</v>
      </c>
      <c r="AB136" s="275">
        <v>-20.52018814063063</v>
      </c>
      <c r="AC136" s="275">
        <v>-20.478623253561551</v>
      </c>
      <c r="AD136" s="275">
        <v>-20.437073799089699</v>
      </c>
      <c r="AE136" s="275">
        <v>-20.395542267857099</v>
      </c>
      <c r="AF136" s="275">
        <v>-20.354031175647979</v>
      </c>
      <c r="AG136" s="275">
        <v>-20.312543060469089</v>
      </c>
      <c r="AH136" s="275">
        <v>-20.27108047953196</v>
      </c>
      <c r="AI136" s="275">
        <v>-20.229646006143248</v>
      </c>
      <c r="AJ136" s="275">
        <v>-20.18824222650942</v>
      </c>
      <c r="AK136" s="275">
        <v>-20.146871736462561</v>
      </c>
      <c r="AL136" s="275">
        <v>-20.1055371381144</v>
      </c>
      <c r="AM136" s="275">
        <v>-20.064241036446219</v>
      </c>
      <c r="AN136" s="275">
        <v>-20.02298603584229</v>
      </c>
      <c r="AO136" s="275">
        <v>-19.981774736575261</v>
      </c>
      <c r="AP136" s="275">
        <v>-19.94060973125179</v>
      </c>
      <c r="AQ136" s="275">
        <v>-19.89949360122726</v>
      </c>
      <c r="AR136" s="275">
        <v>-19.85842891299853</v>
      </c>
      <c r="AS136" s="275">
        <v>-19.817418214583871</v>
      </c>
      <c r="AT136" s="275">
        <v>-19.776464031899579</v>
      </c>
      <c r="AU136" s="275">
        <v>-19.7355688651426</v>
      </c>
      <c r="AV136" s="275">
        <v>-19.69473518518878</v>
      </c>
      <c r="AW136" s="275">
        <v>-19.653965430016559</v>
      </c>
      <c r="AX136" s="275">
        <v>-19.613262001165651</v>
      </c>
      <c r="AY136" s="275">
        <v>-19.572627260240392</v>
      </c>
      <c r="AZ136" s="275">
        <v>-19.532063525467478</v>
      </c>
      <c r="BA136" s="275">
        <v>-19.491573068317511</v>
      </c>
      <c r="BB136" s="275">
        <v>-19.45115811019993</v>
      </c>
      <c r="BC136" s="275">
        <v>-19.410820819240449</v>
      </c>
      <c r="BD136" s="275">
        <v>-19.37056330714999</v>
      </c>
      <c r="BE136" s="275">
        <v>-19.330387626194039</v>
      </c>
      <c r="BF136" s="275">
        <v>-19.290295766271001</v>
      </c>
      <c r="BG136" s="275">
        <v>-19.25028965210733</v>
      </c>
      <c r="BH136" s="275">
        <v>-19.210371140577902</v>
      </c>
      <c r="BI136" s="275">
        <v>-19.170542018158301</v>
      </c>
      <c r="BJ136" s="275">
        <v>-19.130803998516821</v>
      </c>
      <c r="BK136" s="275">
        <v>-19.091158720252022</v>
      </c>
      <c r="BL136" s="275">
        <v>-19.051607744782359</v>
      </c>
      <c r="BM136" s="275">
        <v>-19.012152554393229</v>
      </c>
      <c r="BN136" s="275">
        <v>-18.972794550446359</v>
      </c>
      <c r="BO136" s="275">
        <v>-18.933535051756241</v>
      </c>
      <c r="BP136" s="275">
        <v>-18.89437529313695</v>
      </c>
      <c r="BQ136" s="275">
        <v>-18.85531642412321</v>
      </c>
      <c r="BR136" s="275">
        <v>-18.81635950786772</v>
      </c>
      <c r="BS136" s="275">
        <v>-18.77750552021709</v>
      </c>
      <c r="BT136" s="275">
        <v>-18.73875534896758</v>
      </c>
      <c r="BU136" s="275">
        <v>-18.700109793301451</v>
      </c>
      <c r="BV136" s="275">
        <v>-18.661569563403781</v>
      </c>
      <c r="BW136" s="275">
        <v>-18.623135280259369</v>
      </c>
      <c r="BX136" s="275">
        <v>-18.58480747562843</v>
      </c>
      <c r="BY136" s="275">
        <v>-18.546586592199262</v>
      </c>
      <c r="BZ136" s="275">
        <v>-18.50847298391534</v>
      </c>
      <c r="CA136" s="275">
        <v>-18.470466916473981</v>
      </c>
      <c r="CB136" s="275">
        <v>-18.432568567992782</v>
      </c>
      <c r="CC136" s="275">
        <v>-18.394778029839749</v>
      </c>
      <c r="CD136" s="275">
        <v>-18.357095307622568</v>
      </c>
      <c r="CE136" s="275">
        <v>-18.319520322331378</v>
      </c>
      <c r="CF136" s="275">
        <v>-18.282052911630171</v>
      </c>
      <c r="CG136" s="275">
        <v>-18.24469283128979</v>
      </c>
      <c r="CH136" s="275">
        <v>-18.20743975675698</v>
      </c>
      <c r="CI136" s="275">
        <v>-18.170293284851951</v>
      </c>
      <c r="CJ136" s="275">
        <v>-18.133252935587649</v>
      </c>
      <c r="CK136" s="275">
        <v>-18.096318154103329</v>
      </c>
      <c r="CL136" s="275">
        <v>-18.059488312704531</v>
      </c>
      <c r="CM136" s="275">
        <v>-18.022762713001821</v>
      </c>
      <c r="CN136" s="275">
        <v>-17.986140588140081</v>
      </c>
      <c r="CO136" s="275">
        <v>-17.949621105110271</v>
      </c>
      <c r="CP136" s="275"/>
      <c r="CQ136" s="276">
        <v>-23.78973532325217</v>
      </c>
      <c r="CR136" s="276">
        <v>-23.739680753488901</v>
      </c>
      <c r="CS136" s="276">
        <v>-23.689677469376551</v>
      </c>
      <c r="CT136" s="276">
        <v>-23.639727043012471</v>
      </c>
      <c r="CU136" s="276">
        <v>-23.58983105671982</v>
      </c>
      <c r="CV136" s="276">
        <v>-23.539991102315479</v>
      </c>
      <c r="CW136" s="276">
        <v>-23.490208780352869</v>
      </c>
      <c r="CX136" s="276">
        <v>-23.44048569933874</v>
      </c>
      <c r="CY136" s="276">
        <v>-23.390823474923589</v>
      </c>
      <c r="CZ136" s="276">
        <v>-23.341223729063621</v>
      </c>
      <c r="DA136" s="276">
        <v>-23.291688089153819</v>
      </c>
      <c r="DB136" s="276">
        <v>-23.242218187129989</v>
      </c>
      <c r="DC136" s="276">
        <v>-23.19281565853894</v>
      </c>
      <c r="DD136" s="276">
        <v>-23.14348214157479</v>
      </c>
      <c r="DE136" s="276">
        <v>-23.094219276079649</v>
      </c>
      <c r="DF136" s="276">
        <v>-23.045028702506819</v>
      </c>
      <c r="DG136" s="276">
        <v>-22.99591206084478</v>
      </c>
      <c r="DH136" s="276">
        <v>-22.94687098949975</v>
      </c>
      <c r="DI136" s="276">
        <v>-22.897907124134509</v>
      </c>
      <c r="DJ136" s="276">
        <v>-22.849022096462011</v>
      </c>
      <c r="DK136" s="276">
        <v>-22.800217532990761</v>
      </c>
      <c r="DL136" s="276">
        <v>-22.75149505372065</v>
      </c>
      <c r="DM136" s="276">
        <v>-22.702856270786601</v>
      </c>
      <c r="DN136" s="276">
        <v>-22.654302787048209</v>
      </c>
      <c r="DO136" s="276">
        <v>-22.60583619462334</v>
      </c>
      <c r="DP136" s="276">
        <v>-22.557458073364131</v>
      </c>
      <c r="DQ136" s="276">
        <v>-22.509169989273239</v>
      </c>
      <c r="DR136" s="276">
        <v>-22.46097349285985</v>
      </c>
      <c r="DS136" s="276">
        <v>-22.41287011743314</v>
      </c>
      <c r="DT136" s="276">
        <v>-22.364861377333341</v>
      </c>
      <c r="DU136" s="276">
        <v>-22.31694876609907</v>
      </c>
      <c r="DV136" s="276">
        <v>-22.269133754571651</v>
      </c>
      <c r="DW136" s="276">
        <v>-22.221417788935849</v>
      </c>
      <c r="DX136" s="276">
        <v>-22.17380228869801</v>
      </c>
      <c r="DY136" s="276">
        <v>-22.126288644603271</v>
      </c>
      <c r="DZ136" s="276">
        <v>-22.078878216492971</v>
      </c>
      <c r="EA136" s="276">
        <v>-22.03157233110495</v>
      </c>
      <c r="EB136" s="276">
        <v>-21.984372279819361</v>
      </c>
      <c r="EC136" s="276">
        <v>-21.937279316353901</v>
      </c>
      <c r="ED136" s="276">
        <v>-21.890294654412319</v>
      </c>
      <c r="EE136" s="276">
        <v>-21.843419465291191</v>
      </c>
      <c r="EF136" s="276">
        <v>-21.79665487545012</v>
      </c>
      <c r="EG136" s="276">
        <v>-21.750001964052171</v>
      </c>
      <c r="EH136" s="276">
        <v>-21.70346176048092</v>
      </c>
      <c r="EI136" s="276">
        <v>-21.65703524184131</v>
      </c>
      <c r="EJ136" s="276">
        <v>-21.610723330453339</v>
      </c>
      <c r="EK136" s="276">
        <v>-21.5645268913464</v>
      </c>
      <c r="EL136" s="276">
        <v>-21.518446729764381</v>
      </c>
      <c r="EM136" s="276">
        <v>-21.472483588690771</v>
      </c>
      <c r="EN136" s="276">
        <v>-21.426638146404681</v>
      </c>
      <c r="EO136" s="276">
        <v>-21.380911014078201</v>
      </c>
      <c r="EP136" s="276">
        <v>-21.33530273342673</v>
      </c>
      <c r="EQ136" s="276">
        <v>-21.28981377442345</v>
      </c>
      <c r="ER136" s="276">
        <v>-21.244444533090029</v>
      </c>
      <c r="ES136" s="276">
        <v>-21.199195329375101</v>
      </c>
      <c r="ET136" s="276">
        <v>-21.154066405133239</v>
      </c>
      <c r="EU136" s="276">
        <v>-21.10905792221557</v>
      </c>
      <c r="EV136" s="276">
        <v>-21.064169960684762</v>
      </c>
      <c r="EW136" s="276">
        <v>-21.019402517165329</v>
      </c>
      <c r="EX136" s="276">
        <v>-20.97475550334147</v>
      </c>
      <c r="EY136" s="276">
        <v>-20.93022874461256</v>
      </c>
      <c r="EZ136" s="276">
        <v>-20.885821978917729</v>
      </c>
      <c r="FA136" s="276">
        <v>-20.84153485573863</v>
      </c>
      <c r="FB136" s="276">
        <v>-20.79736693529021</v>
      </c>
      <c r="FC136" s="276">
        <v>-20.753317687907749</v>
      </c>
      <c r="FD136" s="276">
        <v>-20.70938649363762</v>
      </c>
      <c r="FE136" s="276">
        <v>-20.665572642038889</v>
      </c>
      <c r="FF136" s="276">
        <v>-20.62187533220073</v>
      </c>
      <c r="FG136" s="276">
        <v>-20.578293672981282</v>
      </c>
      <c r="FH136" s="276">
        <v>-20.53482668347004</v>
      </c>
      <c r="FI136" s="276">
        <v>-20.49147329367765</v>
      </c>
      <c r="FJ136" s="272">
        <v>-20.448232345452901</v>
      </c>
      <c r="FK136" s="272">
        <v>-20.40510259362738</v>
      </c>
      <c r="FL136" s="272">
        <v>-20.362082707386669</v>
      </c>
      <c r="FM136" s="272">
        <v>-20.319171271864722</v>
      </c>
      <c r="FN136" s="272">
        <v>-20.276366789958342</v>
      </c>
      <c r="FO136" s="272">
        <v>-20.23366768435605</v>
      </c>
      <c r="FP136" s="272">
        <v>-20.19107229977563</v>
      </c>
      <c r="FQ136" s="272">
        <v>-20.14857890540231</v>
      </c>
      <c r="FR136" s="272">
        <v>-20.10618569751999</v>
      </c>
      <c r="FS136" s="272">
        <v>-20.063890802324732</v>
      </c>
      <c r="FT136" s="272">
        <v>-20.02169227891142</v>
      </c>
      <c r="FU136" s="272">
        <v>-19.97958812242064</v>
      </c>
      <c r="FV136" s="272">
        <v>-19.937576267335</v>
      </c>
      <c r="FW136" s="272">
        <v>-19.895654590911281</v>
      </c>
      <c r="FX136" s="272">
        <v>-19.853820916734399</v>
      </c>
      <c r="FY136" s="272">
        <v>-19.812073018380449</v>
      </c>
      <c r="FZ136" s="272">
        <v>-19.770408623172951</v>
      </c>
      <c r="GA136" s="272">
        <v>-19.728825416018228</v>
      </c>
      <c r="GB136" s="272">
        <v>-19.687321043305001</v>
      </c>
      <c r="GC136" s="272">
        <v>-19.645893116852719</v>
      </c>
    </row>
    <row r="137" spans="2:185" ht="15" thickBot="1" x14ac:dyDescent="0.4">
      <c r="B137" s="298">
        <v>131</v>
      </c>
      <c r="C137" s="275">
        <v>-21.770791204784182</v>
      </c>
      <c r="D137" s="275">
        <v>-21.729562606524549</v>
      </c>
      <c r="E137" s="275">
        <v>-21.688302488421161</v>
      </c>
      <c r="F137" s="275">
        <v>-21.64701210854362</v>
      </c>
      <c r="G137" s="275">
        <v>-21.605692781455058</v>
      </c>
      <c r="H137" s="275">
        <v>-21.564345878307819</v>
      </c>
      <c r="I137" s="275">
        <v>-21.522972826838341</v>
      </c>
      <c r="J137" s="275">
        <v>-21.48157511125811</v>
      </c>
      <c r="K137" s="275">
        <v>-21.440154272036871</v>
      </c>
      <c r="L137" s="275">
        <v>-21.398711905575048</v>
      </c>
      <c r="M137" s="275">
        <v>-21.357249663762069</v>
      </c>
      <c r="N137" s="275">
        <v>-21.31576925341821</v>
      </c>
      <c r="O137" s="275">
        <v>-21.274272435617021</v>
      </c>
      <c r="P137" s="275">
        <v>-21.23276102488656</v>
      </c>
      <c r="Q137" s="275">
        <v>-21.19123688828741</v>
      </c>
      <c r="R137" s="275">
        <v>-21.14970194436594</v>
      </c>
      <c r="S137" s="275">
        <v>-21.108158161981649</v>
      </c>
      <c r="T137" s="275">
        <v>-21.06660755900791</v>
      </c>
      <c r="U137" s="275">
        <v>-21.025052200905801</v>
      </c>
      <c r="V137" s="275">
        <v>-20.98349419917075</v>
      </c>
      <c r="W137" s="275">
        <v>-20.941935709652739</v>
      </c>
      <c r="X137" s="275">
        <v>-20.900378930750669</v>
      </c>
      <c r="Y137" s="275">
        <v>-20.85882610148261</v>
      </c>
      <c r="Z137" s="275">
        <v>-20.81727949943301</v>
      </c>
      <c r="AA137" s="275">
        <v>-20.77574143857975</v>
      </c>
      <c r="AB137" s="275">
        <v>-20.734214267003249</v>
      </c>
      <c r="AC137" s="275">
        <v>-20.692700364480771</v>
      </c>
      <c r="AD137" s="275">
        <v>-20.65120213996974</v>
      </c>
      <c r="AE137" s="275">
        <v>-20.609722028983519</v>
      </c>
      <c r="AF137" s="275">
        <v>-20.568262490864761</v>
      </c>
      <c r="AG137" s="275">
        <v>-20.526826005960569</v>
      </c>
      <c r="AH137" s="275">
        <v>-20.48541507270518</v>
      </c>
      <c r="AI137" s="275">
        <v>-20.4440322046155</v>
      </c>
      <c r="AJ137" s="275">
        <v>-20.40267992720613</v>
      </c>
      <c r="AK137" s="275">
        <v>-20.361360774829649</v>
      </c>
      <c r="AL137" s="275">
        <v>-20.320077287449561</v>
      </c>
      <c r="AM137" s="275">
        <v>-20.278832007352911</v>
      </c>
      <c r="AN137" s="275">
        <v>-20.23762747580999</v>
      </c>
      <c r="AO137" s="275">
        <v>-20.196466229689051</v>
      </c>
      <c r="AP137" s="275">
        <v>-20.155350798034121</v>
      </c>
      <c r="AQ137" s="275">
        <v>-20.114283698614159</v>
      </c>
      <c r="AR137" s="275">
        <v>-20.07326743445218</v>
      </c>
      <c r="AS137" s="275">
        <v>-20.032304490343162</v>
      </c>
      <c r="AT137" s="275">
        <v>-19.991397329369409</v>
      </c>
      <c r="AU137" s="275">
        <v>-19.95054838942271</v>
      </c>
      <c r="AV137" s="275">
        <v>-19.909760079742089</v>
      </c>
      <c r="AW137" s="275">
        <v>-19.869034777476649</v>
      </c>
      <c r="AX137" s="275">
        <v>-19.82837482428252</v>
      </c>
      <c r="AY137" s="275">
        <v>-19.787782522962949</v>
      </c>
      <c r="AZ137" s="275">
        <v>-19.74726013416123</v>
      </c>
      <c r="BA137" s="275">
        <v>-19.7068098731148</v>
      </c>
      <c r="BB137" s="275">
        <v>-19.666433906480009</v>
      </c>
      <c r="BC137" s="275">
        <v>-19.62613434923605</v>
      </c>
      <c r="BD137" s="275">
        <v>-19.585913261676669</v>
      </c>
      <c r="BE137" s="275">
        <v>-19.545772646497959</v>
      </c>
      <c r="BF137" s="275">
        <v>-19.505714445990481</v>
      </c>
      <c r="BG137" s="275">
        <v>-19.465740539343159</v>
      </c>
      <c r="BH137" s="275">
        <v>-19.425852740066631</v>
      </c>
      <c r="BI137" s="275">
        <v>-19.386052793543001</v>
      </c>
      <c r="BJ137" s="275">
        <v>-19.346342374708531</v>
      </c>
      <c r="BK137" s="275">
        <v>-19.30672308587571</v>
      </c>
      <c r="BL137" s="275">
        <v>-19.26719645470012</v>
      </c>
      <c r="BM137" s="275">
        <v>-19.227763932297648</v>
      </c>
      <c r="BN137" s="275">
        <v>-19.18842689151661</v>
      </c>
      <c r="BO137" s="275">
        <v>-19.149186625368891</v>
      </c>
      <c r="BP137" s="275">
        <v>-19.110044345624111</v>
      </c>
      <c r="BQ137" s="275">
        <v>-19.07100118156939</v>
      </c>
      <c r="BR137" s="275">
        <v>-19.0320581789376</v>
      </c>
      <c r="BS137" s="275">
        <v>-18.993216299005869</v>
      </c>
      <c r="BT137" s="275">
        <v>-18.954476417865479</v>
      </c>
      <c r="BU137" s="275">
        <v>-18.91583932586423</v>
      </c>
      <c r="BV137" s="275">
        <v>-18.87730572722084</v>
      </c>
      <c r="BW137" s="275">
        <v>-18.83887623981138</v>
      </c>
      <c r="BX137" s="275">
        <v>-18.800551395126291</v>
      </c>
      <c r="BY137" s="275">
        <v>-18.762331638396411</v>
      </c>
      <c r="BZ137" s="275">
        <v>-18.724217328885789</v>
      </c>
      <c r="CA137" s="275">
        <v>-18.686208740348341</v>
      </c>
      <c r="CB137" s="275">
        <v>-18.648306061644991</v>
      </c>
      <c r="CC137" s="275">
        <v>-18.610509397517632</v>
      </c>
      <c r="CD137" s="275">
        <v>-18.572818769515219</v>
      </c>
      <c r="CE137" s="275">
        <v>-18.535234117067329</v>
      </c>
      <c r="CF137" s="275">
        <v>-18.497755298699829</v>
      </c>
      <c r="CG137" s="275">
        <v>-18.46038209338699</v>
      </c>
      <c r="CH137" s="275">
        <v>-18.423114202034011</v>
      </c>
      <c r="CI137" s="275">
        <v>-18.385951249083469</v>
      </c>
      <c r="CJ137" s="275">
        <v>-18.348892784238959</v>
      </c>
      <c r="CK137" s="275">
        <v>-18.31193828429906</v>
      </c>
      <c r="CL137" s="275">
        <v>-18.275087155094301</v>
      </c>
      <c r="CM137" s="275">
        <v>-18.238338733519701</v>
      </c>
      <c r="CN137" s="275">
        <v>-18.201692289655469</v>
      </c>
      <c r="CO137" s="275">
        <v>-18.165147028967869</v>
      </c>
      <c r="CP137" s="275"/>
      <c r="CQ137" s="276">
        <v>-24.022680738565821</v>
      </c>
      <c r="CR137" s="276">
        <v>-23.972679194839149</v>
      </c>
      <c r="CS137" s="276">
        <v>-23.922728918751179</v>
      </c>
      <c r="CT137" s="276">
        <v>-23.872831455873431</v>
      </c>
      <c r="CU137" s="276">
        <v>-23.822988361397261</v>
      </c>
      <c r="CV137" s="276">
        <v>-23.77320119940179</v>
      </c>
      <c r="CW137" s="276">
        <v>-23.723471542096579</v>
      </c>
      <c r="CX137" s="276">
        <v>-23.673800969038361</v>
      </c>
      <c r="CY137" s="276">
        <v>-23.62419106632063</v>
      </c>
      <c r="CZ137" s="276">
        <v>-23.574643425735559</v>
      </c>
      <c r="DA137" s="276">
        <v>-23.525159643906221</v>
      </c>
      <c r="DB137" s="276">
        <v>-23.47574132138876</v>
      </c>
      <c r="DC137" s="276">
        <v>-23.426390061742289</v>
      </c>
      <c r="DD137" s="276">
        <v>-23.377107470565392</v>
      </c>
      <c r="DE137" s="276">
        <v>-23.32789515449771</v>
      </c>
      <c r="DF137" s="276">
        <v>-23.2787547201847</v>
      </c>
      <c r="DG137" s="276">
        <v>-23.229687773203771</v>
      </c>
      <c r="DH137" s="276">
        <v>-23.180695916950189</v>
      </c>
      <c r="DI137" s="276">
        <v>-23.131780751480768</v>
      </c>
      <c r="DJ137" s="276">
        <v>-23.08294387231328</v>
      </c>
      <c r="DK137" s="276">
        <v>-23.034186869180129</v>
      </c>
      <c r="DL137" s="276">
        <v>-22.985511324733611</v>
      </c>
      <c r="DM137" s="276">
        <v>-22.936918813202229</v>
      </c>
      <c r="DN137" s="276">
        <v>-22.888410898994671</v>
      </c>
      <c r="DO137" s="276">
        <v>-22.83998913525128</v>
      </c>
      <c r="DP137" s="276">
        <v>-22.79165506234078</v>
      </c>
      <c r="DQ137" s="276">
        <v>-22.74341020630072</v>
      </c>
      <c r="DR137" s="276">
        <v>-22.695256077221352</v>
      </c>
      <c r="DS137" s="276">
        <v>-22.647194167571229</v>
      </c>
      <c r="DT137" s="276">
        <v>-22.599225950464358</v>
      </c>
      <c r="DU137" s="276">
        <v>-22.55135287786868</v>
      </c>
      <c r="DV137" s="276">
        <v>-22.503576378755859</v>
      </c>
      <c r="DW137" s="276">
        <v>-22.455897857192571</v>
      </c>
      <c r="DX137" s="276">
        <v>-22.40831869037504</v>
      </c>
      <c r="DY137" s="276">
        <v>-22.36084022660733</v>
      </c>
      <c r="DZ137" s="276">
        <v>-22.31346378322554</v>
      </c>
      <c r="EA137" s="276">
        <v>-22.266190644470939</v>
      </c>
      <c r="EB137" s="276">
        <v>-22.219022059313829</v>
      </c>
      <c r="EC137" s="276">
        <v>-22.171959239232649</v>
      </c>
      <c r="ED137" s="276">
        <v>-22.125003355952341</v>
      </c>
      <c r="EE137" s="276">
        <v>-22.078155539145701</v>
      </c>
      <c r="EF137" s="276">
        <v>-22.031416874104661</v>
      </c>
      <c r="EG137" s="276">
        <v>-21.98478839938614</v>
      </c>
      <c r="EH137" s="276">
        <v>-21.938271104439579</v>
      </c>
      <c r="EI137" s="276">
        <v>-21.891865927223371</v>
      </c>
      <c r="EJ137" s="276">
        <v>-21.84557375181749</v>
      </c>
      <c r="EK137" s="276">
        <v>-21.799395406041359</v>
      </c>
      <c r="EL137" s="276">
        <v>-21.753331659085049</v>
      </c>
      <c r="EM137" s="276">
        <v>-21.7073832191635</v>
      </c>
      <c r="EN137" s="276">
        <v>-21.66155073120353</v>
      </c>
      <c r="EO137" s="276">
        <v>-21.61583477457377</v>
      </c>
      <c r="EP137" s="276">
        <v>-21.570235860867829</v>
      </c>
      <c r="EQ137" s="276">
        <v>-21.524754431751891</v>
      </c>
      <c r="ER137" s="276">
        <v>-21.479390856887282</v>
      </c>
      <c r="ES137" s="276">
        <v>-21.434145431939349</v>
      </c>
      <c r="ET137" s="276">
        <v>-21.38901837668395</v>
      </c>
      <c r="EU137" s="276">
        <v>-21.344009833222259</v>
      </c>
      <c r="EV137" s="276">
        <v>-21.299119864315511</v>
      </c>
      <c r="EW137" s="276">
        <v>-21.254348451849861</v>
      </c>
      <c r="EX137" s="276">
        <v>-21.20969549544256</v>
      </c>
      <c r="EY137" s="276">
        <v>-21.165160811198909</v>
      </c>
      <c r="EZ137" s="276">
        <v>-21.120744130630388</v>
      </c>
      <c r="FA137" s="276">
        <v>-21.076445099742308</v>
      </c>
      <c r="FB137" s="276">
        <v>-21.03226327830037</v>
      </c>
      <c r="FC137" s="276">
        <v>-20.988198139282751</v>
      </c>
      <c r="FD137" s="276">
        <v>-20.944249068526091</v>
      </c>
      <c r="FE137" s="276">
        <v>-20.900415364570129</v>
      </c>
      <c r="FF137" s="276">
        <v>-20.85669623870691</v>
      </c>
      <c r="FG137" s="276">
        <v>-20.813090815238692</v>
      </c>
      <c r="FH137" s="276">
        <v>-20.76959813194722</v>
      </c>
      <c r="FI137" s="276">
        <v>-20.726217140777091</v>
      </c>
      <c r="FJ137" s="272">
        <v>-20.68294670873351</v>
      </c>
      <c r="FK137" s="272">
        <v>-20.639785618994619</v>
      </c>
      <c r="FL137" s="272">
        <v>-20.596732572236871</v>
      </c>
      <c r="FM137" s="272">
        <v>-20.55378618817107</v>
      </c>
      <c r="FN137" s="272">
        <v>-20.510945007285361</v>
      </c>
      <c r="FO137" s="272">
        <v>-20.468207492790171</v>
      </c>
      <c r="FP137" s="272">
        <v>-20.425572032759838</v>
      </c>
      <c r="FQ137" s="272">
        <v>-20.383036942463331</v>
      </c>
      <c r="FR137" s="272">
        <v>-20.34060046687657</v>
      </c>
      <c r="FS137" s="272">
        <v>-20.298260783367201</v>
      </c>
      <c r="FT137" s="272">
        <v>-20.25601600454204</v>
      </c>
      <c r="FU137" s="272">
        <v>-20.213864181246819</v>
      </c>
      <c r="FV137" s="272">
        <v>-20.17180330570659</v>
      </c>
      <c r="FW137" s="272">
        <v>-20.129831314794821</v>
      </c>
      <c r="FX137" s="272">
        <v>-20.087946093418509</v>
      </c>
      <c r="FY137" s="272">
        <v>-20.046145478006569</v>
      </c>
      <c r="FZ137" s="272">
        <v>-20.004427260087439</v>
      </c>
      <c r="GA137" s="272">
        <v>-19.96278918994253</v>
      </c>
      <c r="GB137" s="272">
        <v>-19.921228980321239</v>
      </c>
      <c r="GC137" s="272">
        <v>-19.879744310203801</v>
      </c>
    </row>
    <row r="138" spans="2:185" ht="15" thickBot="1" x14ac:dyDescent="0.4">
      <c r="B138" s="298">
        <v>132</v>
      </c>
      <c r="C138" s="275">
        <v>-21.983762292119181</v>
      </c>
      <c r="D138" s="275">
        <v>-21.94256563721148</v>
      </c>
      <c r="E138" s="275">
        <v>-21.90133847437065</v>
      </c>
      <c r="F138" s="275">
        <v>-21.86008205265502</v>
      </c>
      <c r="G138" s="275">
        <v>-21.818797675865579</v>
      </c>
      <c r="H138" s="275">
        <v>-21.777486702603809</v>
      </c>
      <c r="I138" s="275">
        <v>-21.73615054623254</v>
      </c>
      <c r="J138" s="275">
        <v>-21.694790674736112</v>
      </c>
      <c r="K138" s="275">
        <v>-21.653408610477051</v>
      </c>
      <c r="L138" s="275">
        <v>-21.61200592984574</v>
      </c>
      <c r="M138" s="275">
        <v>-21.57058426280064</v>
      </c>
      <c r="N138" s="275">
        <v>-21.529145292296409</v>
      </c>
      <c r="O138" s="275">
        <v>-21.487690753597349</v>
      </c>
      <c r="P138" s="275">
        <v>-21.446222433474912</v>
      </c>
      <c r="Q138" s="275">
        <v>-21.404742169286671</v>
      </c>
      <c r="R138" s="275">
        <v>-21.363251847936201</v>
      </c>
      <c r="S138" s="275">
        <v>-21.321753404712378</v>
      </c>
      <c r="T138" s="275">
        <v>-21.280248822007721</v>
      </c>
      <c r="U138" s="275">
        <v>-21.238740127915239</v>
      </c>
      <c r="V138" s="275">
        <v>-21.19722939470423</v>
      </c>
      <c r="W138" s="275">
        <v>-21.155718737175231</v>
      </c>
      <c r="X138" s="275">
        <v>-21.11421031089516</v>
      </c>
      <c r="Y138" s="275">
        <v>-21.072706310313968</v>
      </c>
      <c r="Z138" s="275">
        <v>-21.031208966764691</v>
      </c>
      <c r="AA138" s="275">
        <v>-20.989720546348611</v>
      </c>
      <c r="AB138" s="275">
        <v>-20.948243347708679</v>
      </c>
      <c r="AC138" s="275">
        <v>-20.906779699693821</v>
      </c>
      <c r="AD138" s="275">
        <v>-20.8653319589177</v>
      </c>
      <c r="AE138" s="275">
        <v>-20.823902507215909</v>
      </c>
      <c r="AF138" s="275">
        <v>-20.782493749005521</v>
      </c>
      <c r="AG138" s="275">
        <v>-20.74110810855213</v>
      </c>
      <c r="AH138" s="275">
        <v>-20.69974802714912</v>
      </c>
      <c r="AI138" s="275">
        <v>-20.658415960214821</v>
      </c>
      <c r="AJ138" s="275">
        <v>-20.617114374313239</v>
      </c>
      <c r="AK138" s="275">
        <v>-20.57584574410479</v>
      </c>
      <c r="AL138" s="275">
        <v>-20.534612549233369</v>
      </c>
      <c r="AM138" s="275">
        <v>-20.49341727115667</v>
      </c>
      <c r="AN138" s="275">
        <v>-20.452262389927139</v>
      </c>
      <c r="AO138" s="275">
        <v>-20.411150380930621</v>
      </c>
      <c r="AP138" s="275">
        <v>-20.370083711590919</v>
      </c>
      <c r="AQ138" s="275">
        <v>-20.329064838047628</v>
      </c>
      <c r="AR138" s="275">
        <v>-20.28809620181601</v>
      </c>
      <c r="AS138" s="275">
        <v>-20.24718022643663</v>
      </c>
      <c r="AT138" s="275">
        <v>-20.2063193141238</v>
      </c>
      <c r="AU138" s="275">
        <v>-20.16551584242093</v>
      </c>
      <c r="AV138" s="275">
        <v>-20.124772160871832</v>
      </c>
      <c r="AW138" s="275">
        <v>-20.084090587716421</v>
      </c>
      <c r="AX138" s="275">
        <v>-20.043473406619739</v>
      </c>
      <c r="AY138" s="275">
        <v>-20.00292286344299</v>
      </c>
      <c r="AZ138" s="275">
        <v>-19.962441163065201</v>
      </c>
      <c r="BA138" s="275">
        <v>-19.922030466264172</v>
      </c>
      <c r="BB138" s="275">
        <v>-19.881692886665121</v>
      </c>
      <c r="BC138" s="275">
        <v>-19.84143048776545</v>
      </c>
      <c r="BD138" s="275">
        <v>-19.80124528004357</v>
      </c>
      <c r="BE138" s="275">
        <v>-19.761139218159911</v>
      </c>
      <c r="BF138" s="275">
        <v>-19.721114198257631</v>
      </c>
      <c r="BG138" s="275">
        <v>-19.68117205537029</v>
      </c>
      <c r="BH138" s="275">
        <v>-19.64131456094373</v>
      </c>
      <c r="BI138" s="275">
        <v>-19.601543420478741</v>
      </c>
      <c r="BJ138" s="275">
        <v>-19.561860271300599</v>
      </c>
      <c r="BK138" s="275">
        <v>-19.522266680461829</v>
      </c>
      <c r="BL138" s="275">
        <v>-19.482764142783029</v>
      </c>
      <c r="BM138" s="275">
        <v>-19.443354079037309</v>
      </c>
      <c r="BN138" s="275">
        <v>-19.404037834282342</v>
      </c>
      <c r="BO138" s="275">
        <v>-19.364816676344439</v>
      </c>
      <c r="BP138" s="275">
        <v>-19.325691794457729</v>
      </c>
      <c r="BQ138" s="275">
        <v>-19.286664298061751</v>
      </c>
      <c r="BR138" s="275">
        <v>-19.247735215759359</v>
      </c>
      <c r="BS138" s="275">
        <v>-19.20890549443742</v>
      </c>
      <c r="BT138" s="275">
        <v>-19.170175998550761</v>
      </c>
      <c r="BU138" s="275">
        <v>-19.131547509570879</v>
      </c>
      <c r="BV138" s="275">
        <v>-19.093020725598699</v>
      </c>
      <c r="BW138" s="275">
        <v>-19.054596261141722</v>
      </c>
      <c r="BX138" s="275">
        <v>-19.016274647053979</v>
      </c>
      <c r="BY138" s="275">
        <v>-18.978056330637511</v>
      </c>
      <c r="BZ138" s="275">
        <v>-18.939941675903089</v>
      </c>
      <c r="CA138" s="275">
        <v>-18.90193096398778</v>
      </c>
      <c r="CB138" s="275">
        <v>-18.864024393726119</v>
      </c>
      <c r="CC138" s="275">
        <v>-18.82622208237094</v>
      </c>
      <c r="CD138" s="275">
        <v>-18.788524066460539</v>
      </c>
      <c r="CE138" s="275">
        <v>-18.750930302826681</v>
      </c>
      <c r="CF138" s="275">
        <v>-18.71344066973932</v>
      </c>
      <c r="CG138" s="275">
        <v>-18.676054968182111</v>
      </c>
      <c r="CH138" s="275">
        <v>-18.63877292325353</v>
      </c>
      <c r="CI138" s="275">
        <v>-18.601594185686931</v>
      </c>
      <c r="CJ138" s="275">
        <v>-18.56451833348401</v>
      </c>
      <c r="CK138" s="275">
        <v>-18.527544873654328</v>
      </c>
      <c r="CL138" s="275">
        <v>-18.490673244054779</v>
      </c>
      <c r="CM138" s="275">
        <v>-18.453902815321481</v>
      </c>
      <c r="CN138" s="275">
        <v>-18.41723289288732</v>
      </c>
      <c r="CO138" s="275">
        <v>-18.380662719077719</v>
      </c>
      <c r="CP138" s="275"/>
      <c r="CQ138" s="276">
        <v>-24.255633061711482</v>
      </c>
      <c r="CR138" s="276">
        <v>-24.205683803624289</v>
      </c>
      <c r="CS138" s="276">
        <v>-24.1557857829809</v>
      </c>
      <c r="CT138" s="276">
        <v>-24.10594051911346</v>
      </c>
      <c r="CU138" s="276">
        <v>-24.056149540382481</v>
      </c>
      <c r="CV138" s="276">
        <v>-24.006414383445058</v>
      </c>
      <c r="CW138" s="276">
        <v>-23.95673659249838</v>
      </c>
      <c r="CX138" s="276">
        <v>-23.907117718496671</v>
      </c>
      <c r="CY138" s="276">
        <v>-23.857559318341501</v>
      </c>
      <c r="CZ138" s="276">
        <v>-23.80806295404404</v>
      </c>
      <c r="DA138" s="276">
        <v>-23.75863019185806</v>
      </c>
      <c r="DB138" s="276">
        <v>-23.709262601383049</v>
      </c>
      <c r="DC138" s="276">
        <v>-23.659961754635169</v>
      </c>
      <c r="DD138" s="276">
        <v>-23.61072922508567</v>
      </c>
      <c r="DE138" s="276">
        <v>-23.561566586664721</v>
      </c>
      <c r="DF138" s="276">
        <v>-23.512475412729049</v>
      </c>
      <c r="DG138" s="276">
        <v>-23.46345727499229</v>
      </c>
      <c r="DH138" s="276">
        <v>-23.414513742415931</v>
      </c>
      <c r="DI138" s="276">
        <v>-23.36564638005931</v>
      </c>
      <c r="DJ138" s="276">
        <v>-23.31685674788713</v>
      </c>
      <c r="DK138" s="276">
        <v>-23.268146399532689</v>
      </c>
      <c r="DL138" s="276">
        <v>-23.219516881015171</v>
      </c>
      <c r="DM138" s="276">
        <v>-23.17096972940945</v>
      </c>
      <c r="DN138" s="276">
        <v>-23.122506471467119</v>
      </c>
      <c r="DO138" s="276">
        <v>-23.074128622186912</v>
      </c>
      <c r="DP138" s="276">
        <v>-23.025837683333741</v>
      </c>
      <c r="DQ138" s="276">
        <v>-22.977635141905019</v>
      </c>
      <c r="DR138" s="276">
        <v>-22.92952246854356</v>
      </c>
      <c r="DS138" s="276">
        <v>-22.88150111589626</v>
      </c>
      <c r="DT138" s="276">
        <v>-22.83357251691849</v>
      </c>
      <c r="DU138" s="276">
        <v>-22.785738083123849</v>
      </c>
      <c r="DV138" s="276">
        <v>-22.73799920278001</v>
      </c>
      <c r="DW138" s="276">
        <v>-22.690357239050719</v>
      </c>
      <c r="DX138" s="276">
        <v>-22.64281352808591</v>
      </c>
      <c r="DY138" s="276">
        <v>-22.595369377060429</v>
      </c>
      <c r="DZ138" s="276">
        <v>-22.548026062164318</v>
      </c>
      <c r="EA138" s="276">
        <v>-22.50078482654644</v>
      </c>
      <c r="EB138" s="276">
        <v>-22.453646878214979</v>
      </c>
      <c r="EC138" s="276">
        <v>-22.40661338789776</v>
      </c>
      <c r="ED138" s="276">
        <v>-22.359685486866891</v>
      </c>
      <c r="EE138" s="276">
        <v>-22.31286426473245</v>
      </c>
      <c r="EF138" s="276">
        <v>-22.26615076720973</v>
      </c>
      <c r="EG138" s="276">
        <v>-22.219545993866468</v>
      </c>
      <c r="EH138" s="276">
        <v>-22.173050895856129</v>
      </c>
      <c r="EI138" s="276">
        <v>-22.12666637364395</v>
      </c>
      <c r="EJ138" s="276">
        <v>-22.080393274733272</v>
      </c>
      <c r="EK138" s="276">
        <v>-22.034232391399989</v>
      </c>
      <c r="EL138" s="276">
        <v>-21.988184458443349</v>
      </c>
      <c r="EM138" s="276">
        <v>-21.94225015096211</v>
      </c>
      <c r="EN138" s="276">
        <v>-21.896430082165171</v>
      </c>
      <c r="EO138" s="276">
        <v>-21.85072480122593</v>
      </c>
      <c r="EP138" s="276">
        <v>-21.80513479119071</v>
      </c>
      <c r="EQ138" s="276">
        <v>-21.759660466950731</v>
      </c>
      <c r="ER138" s="276">
        <v>-21.71430217328853</v>
      </c>
      <c r="ES138" s="276">
        <v>-21.669060183008519</v>
      </c>
      <c r="ET138" s="276">
        <v>-21.623934695162589</v>
      </c>
      <c r="EU138" s="276">
        <v>-21.578925833380691</v>
      </c>
      <c r="EV138" s="276">
        <v>-21.534033644316828</v>
      </c>
      <c r="EW138" s="276">
        <v>-21.489258096220659</v>
      </c>
      <c r="EX138" s="276">
        <v>-21.444599077643751</v>
      </c>
      <c r="EY138" s="276">
        <v>-21.400056396290701</v>
      </c>
      <c r="EZ138" s="276">
        <v>-21.355629778023619</v>
      </c>
      <c r="FA138" s="276">
        <v>-21.31131886602811</v>
      </c>
      <c r="FB138" s="276">
        <v>-21.267123220148939</v>
      </c>
      <c r="FC138" s="276">
        <v>-21.223042316402701</v>
      </c>
      <c r="FD138" s="276">
        <v>-21.179075546673069</v>
      </c>
      <c r="FE138" s="276">
        <v>-21.135222218594841</v>
      </c>
      <c r="FF138" s="276">
        <v>-21.091481555631461</v>
      </c>
      <c r="FG138" s="276">
        <v>-21.047852697349409</v>
      </c>
      <c r="FH138" s="276">
        <v>-21.004334699892301</v>
      </c>
      <c r="FI138" s="276">
        <v>-20.96092653665729</v>
      </c>
      <c r="FJ138" s="272">
        <v>-20.91762709917327</v>
      </c>
      <c r="FK138" s="272">
        <v>-20.874435198181651</v>
      </c>
      <c r="FL138" s="272">
        <v>-20.83134956491789</v>
      </c>
      <c r="FM138" s="272">
        <v>-20.788368852591571</v>
      </c>
      <c r="FN138" s="272">
        <v>-20.745491638061221</v>
      </c>
      <c r="FO138" s="272">
        <v>-20.702716423700139</v>
      </c>
      <c r="FP138" s="272">
        <v>-20.66004163944682</v>
      </c>
      <c r="FQ138" s="272">
        <v>-20.61746564503402</v>
      </c>
      <c r="FR138" s="272">
        <v>-20.574986732389259</v>
      </c>
      <c r="FS138" s="272">
        <v>-20.53260312819755</v>
      </c>
      <c r="FT138" s="272">
        <v>-20.490312996618421</v>
      </c>
      <c r="FU138" s="272">
        <v>-20.448114442146132</v>
      </c>
      <c r="FV138" s="272">
        <v>-20.406005512603759</v>
      </c>
      <c r="FW138" s="272">
        <v>-20.36398420225844</v>
      </c>
      <c r="FX138" s="272">
        <v>-20.322048455047529</v>
      </c>
      <c r="FY138" s="272">
        <v>-20.28019616790229</v>
      </c>
      <c r="FZ138" s="272">
        <v>-20.238425194157301</v>
      </c>
      <c r="GA138" s="272">
        <v>-20.19673334703204</v>
      </c>
      <c r="GB138" s="272">
        <v>-20.155118403172409</v>
      </c>
      <c r="GC138" s="272">
        <v>-20.113578106238059</v>
      </c>
    </row>
    <row r="139" spans="2:185" ht="15" thickBot="1" x14ac:dyDescent="0.4">
      <c r="B139" s="298">
        <v>133</v>
      </c>
      <c r="C139" s="275">
        <v>-22.196746427886922</v>
      </c>
      <c r="D139" s="275">
        <v>-22.155581630289049</v>
      </c>
      <c r="E139" s="275">
        <v>-22.114387309595219</v>
      </c>
      <c r="F139" s="275">
        <v>-22.073164705500229</v>
      </c>
      <c r="G139" s="275">
        <v>-22.03191511074434</v>
      </c>
      <c r="H139" s="275">
        <v>-21.990639871136381</v>
      </c>
      <c r="I139" s="275">
        <v>-21.949340385482749</v>
      </c>
      <c r="J139" s="275">
        <v>-21.908018105419782</v>
      </c>
      <c r="K139" s="275">
        <v>-21.866674535146</v>
      </c>
      <c r="L139" s="275">
        <v>-21.825311231051501</v>
      </c>
      <c r="M139" s="275">
        <v>-21.783929801241971</v>
      </c>
      <c r="N139" s="275">
        <v>-21.742531904955111</v>
      </c>
      <c r="O139" s="275">
        <v>-21.701119251866992</v>
      </c>
      <c r="P139" s="275">
        <v>-21.6596936012869</v>
      </c>
      <c r="Q139" s="275">
        <v>-21.618256761239032</v>
      </c>
      <c r="R139" s="275">
        <v>-21.576810587429851</v>
      </c>
      <c r="S139" s="275">
        <v>-21.53535698210019</v>
      </c>
      <c r="T139" s="275">
        <v>-21.49389789276168</v>
      </c>
      <c r="U139" s="275">
        <v>-21.452435310817091</v>
      </c>
      <c r="V139" s="275">
        <v>-21.4109712700652</v>
      </c>
      <c r="W139" s="275">
        <v>-21.36950784509024</v>
      </c>
      <c r="X139" s="275">
        <v>-21.328047149537269</v>
      </c>
      <c r="Y139" s="275">
        <v>-21.286591334274672</v>
      </c>
      <c r="Z139" s="275">
        <v>-21.245142585445329</v>
      </c>
      <c r="AA139" s="275">
        <v>-21.203703122409049</v>
      </c>
      <c r="AB139" s="275">
        <v>-21.16227519557831</v>
      </c>
      <c r="AC139" s="275">
        <v>-21.12086108415053</v>
      </c>
      <c r="AD139" s="275">
        <v>-21.07946309374012</v>
      </c>
      <c r="AE139" s="275">
        <v>-21.038083553914159</v>
      </c>
      <c r="AF139" s="275">
        <v>-20.996724815635559</v>
      </c>
      <c r="AG139" s="275">
        <v>-20.95538924861863</v>
      </c>
      <c r="AH139" s="275">
        <v>-20.914079238601509</v>
      </c>
      <c r="AI139" s="275">
        <v>-20.872797184541021</v>
      </c>
      <c r="AJ139" s="275">
        <v>-20.83154549573544</v>
      </c>
      <c r="AK139" s="275">
        <v>-20.790326588881161</v>
      </c>
      <c r="AL139" s="275">
        <v>-20.7491428850694</v>
      </c>
      <c r="AM139" s="275">
        <v>-20.707996806729771</v>
      </c>
      <c r="AN139" s="275">
        <v>-20.6668907745273</v>
      </c>
      <c r="AO139" s="275">
        <v>-20.62582720422008</v>
      </c>
      <c r="AP139" s="275">
        <v>-20.584808503485199</v>
      </c>
      <c r="AQ139" s="275">
        <v>-20.543837068719998</v>
      </c>
      <c r="AR139" s="275">
        <v>-20.502915281826919</v>
      </c>
      <c r="AS139" s="275">
        <v>-20.462045506989529</v>
      </c>
      <c r="AT139" s="275">
        <v>-20.421230087448041</v>
      </c>
      <c r="AU139" s="275">
        <v>-20.38047134228222</v>
      </c>
      <c r="AV139" s="275">
        <v>-20.33977156321027</v>
      </c>
      <c r="AW139" s="275">
        <v>-20.299133011411641</v>
      </c>
      <c r="AX139" s="275">
        <v>-20.25855791438234</v>
      </c>
      <c r="AY139" s="275">
        <v>-20.218048462830851</v>
      </c>
      <c r="AZ139" s="275">
        <v>-20.177606807623089</v>
      </c>
      <c r="BA139" s="275">
        <v>-20.13723505678426</v>
      </c>
      <c r="BB139" s="275">
        <v>-20.09693527256599</v>
      </c>
      <c r="BC139" s="275">
        <v>-20.05670946858638</v>
      </c>
      <c r="BD139" s="275">
        <v>-20.016559607050841</v>
      </c>
      <c r="BE139" s="275">
        <v>-19.976487596061069</v>
      </c>
      <c r="BF139" s="275">
        <v>-19.936495287019479</v>
      </c>
      <c r="BG139" s="275">
        <v>-19.896584472136119</v>
      </c>
      <c r="BH139" s="275">
        <v>-19.85675688204466</v>
      </c>
      <c r="BI139" s="275">
        <v>-19.817014183533729</v>
      </c>
      <c r="BJ139" s="275">
        <v>-19.77735797739966</v>
      </c>
      <c r="BK139" s="275">
        <v>-19.73778979642627</v>
      </c>
      <c r="BL139" s="275">
        <v>-19.698311103496621</v>
      </c>
      <c r="BM139" s="275">
        <v>-19.658923289841681</v>
      </c>
      <c r="BN139" s="275">
        <v>-19.619627673430081</v>
      </c>
      <c r="BO139" s="275">
        <v>-19.580425497502748</v>
      </c>
      <c r="BP139" s="275">
        <v>-19.54131792925563</v>
      </c>
      <c r="BQ139" s="275">
        <v>-19.502306058673589</v>
      </c>
      <c r="BR139" s="275">
        <v>-19.463390897517382</v>
      </c>
      <c r="BS139" s="275">
        <v>-19.424573378465599</v>
      </c>
      <c r="BT139" s="275">
        <v>-19.385854354412931</v>
      </c>
      <c r="BU139" s="275">
        <v>-19.347234597925279</v>
      </c>
      <c r="BV139" s="275">
        <v>-19.308714800851789</v>
      </c>
      <c r="BW139" s="275">
        <v>-19.27029557409363</v>
      </c>
      <c r="BX139" s="275">
        <v>-19.2319774475285</v>
      </c>
      <c r="BY139" s="275">
        <v>-19.193760870089299</v>
      </c>
      <c r="BZ139" s="275">
        <v>-19.155646209995211</v>
      </c>
      <c r="CA139" s="275">
        <v>-19.117633755132701</v>
      </c>
      <c r="CB139" s="275">
        <v>-19.07972371358332</v>
      </c>
      <c r="CC139" s="275">
        <v>-19.04191621429533</v>
      </c>
      <c r="CD139" s="275">
        <v>-19.004211307894789</v>
      </c>
      <c r="CE139" s="275">
        <v>-18.96660896763246</v>
      </c>
      <c r="CF139" s="275">
        <v>-18.929109090461239</v>
      </c>
      <c r="CG139" s="275">
        <v>-18.891711498239729</v>
      </c>
      <c r="CH139" s="275">
        <v>-18.854415939056121</v>
      </c>
      <c r="CI139" s="275">
        <v>-18.817222088667108</v>
      </c>
      <c r="CJ139" s="275">
        <v>-18.780129552045519</v>
      </c>
      <c r="CK139" s="275">
        <v>-18.743137865030899</v>
      </c>
      <c r="CL139" s="275">
        <v>-18.7062464960763</v>
      </c>
      <c r="CM139" s="275">
        <v>-18.66945484808484</v>
      </c>
      <c r="CN139" s="275">
        <v>-18.632762260329411</v>
      </c>
      <c r="CO139" s="275">
        <v>-18.59616801044848</v>
      </c>
      <c r="CP139" s="275"/>
      <c r="CQ139" s="276">
        <v>-24.488591804149461</v>
      </c>
      <c r="CR139" s="276">
        <v>-24.438694098538289</v>
      </c>
      <c r="CS139" s="276">
        <v>-24.388847588409622</v>
      </c>
      <c r="CT139" s="276">
        <v>-24.339053767148389</v>
      </c>
      <c r="CU139" s="276">
        <v>-24.289314136590971</v>
      </c>
      <c r="CV139" s="276">
        <v>-24.239630206294741</v>
      </c>
      <c r="CW139" s="276">
        <v>-24.19000349278237</v>
      </c>
      <c r="CX139" s="276">
        <v>-24.14043551876042</v>
      </c>
      <c r="CY139" s="276">
        <v>-24.09092781231082</v>
      </c>
      <c r="CZ139" s="276">
        <v>-24.041481906054489</v>
      </c>
      <c r="DA139" s="276">
        <v>-23.992099336286302</v>
      </c>
      <c r="DB139" s="276">
        <v>-23.942781642079961</v>
      </c>
      <c r="DC139" s="276">
        <v>-23.89353036436173</v>
      </c>
      <c r="DD139" s="276">
        <v>-23.844347044951601</v>
      </c>
      <c r="DE139" s="276">
        <v>-23.7952332255709</v>
      </c>
      <c r="DF139" s="276">
        <v>-23.746190446814591</v>
      </c>
      <c r="DG139" s="276">
        <v>-23.69722024708685</v>
      </c>
      <c r="DH139" s="276">
        <v>-23.64832416149908</v>
      </c>
      <c r="DI139" s="276">
        <v>-23.599503720727451</v>
      </c>
      <c r="DJ139" s="276">
        <v>-23.55076044983057</v>
      </c>
      <c r="DK139" s="276">
        <v>-23.502095867023471</v>
      </c>
      <c r="DL139" s="276">
        <v>-23.453511482408778</v>
      </c>
      <c r="DM139" s="276">
        <v>-23.405008796661829</v>
      </c>
      <c r="DN139" s="276">
        <v>-23.356589299669739</v>
      </c>
      <c r="DO139" s="276">
        <v>-23.30825446912263</v>
      </c>
      <c r="DP139" s="276">
        <v>-23.260005769056281</v>
      </c>
      <c r="DQ139" s="276">
        <v>-23.211844648345341</v>
      </c>
      <c r="DR139" s="276">
        <v>-23.163772539146361</v>
      </c>
      <c r="DS139" s="276">
        <v>-23.115790855290609</v>
      </c>
      <c r="DT139" s="276">
        <v>-23.067900990625919</v>
      </c>
      <c r="DU139" s="276">
        <v>-23.02010431730859</v>
      </c>
      <c r="DV139" s="276">
        <v>-22.97240218404497</v>
      </c>
      <c r="DW139" s="276">
        <v>-22.924795914284189</v>
      </c>
      <c r="DX139" s="276">
        <v>-22.87728680436317</v>
      </c>
      <c r="DY139" s="276">
        <v>-22.829876121605189</v>
      </c>
      <c r="DZ139" s="276">
        <v>-22.782565102374459</v>
      </c>
      <c r="EA139" s="276">
        <v>-22.735354950089381</v>
      </c>
      <c r="EB139" s="276">
        <v>-22.688246833196651</v>
      </c>
      <c r="EC139" s="276">
        <v>-22.641241883110979</v>
      </c>
      <c r="ED139" s="276">
        <v>-22.594341192123022</v>
      </c>
      <c r="EE139" s="276">
        <v>-22.547545811281399</v>
      </c>
      <c r="EF139" s="276">
        <v>-22.500856748252769</v>
      </c>
      <c r="EG139" s="276">
        <v>-22.454274965165819</v>
      </c>
      <c r="EH139" s="276">
        <v>-22.407801376445391</v>
      </c>
      <c r="EI139" s="276">
        <v>-22.361436846643262</v>
      </c>
      <c r="EJ139" s="276">
        <v>-22.315182188272271</v>
      </c>
      <c r="EK139" s="276">
        <v>-22.269038159651469</v>
      </c>
      <c r="EL139" s="276">
        <v>-22.223005462770129</v>
      </c>
      <c r="EM139" s="276">
        <v>-22.17708474117924</v>
      </c>
      <c r="EN139" s="276">
        <v>-22.13127657791831</v>
      </c>
      <c r="EO139" s="276">
        <v>-22.08558149348729</v>
      </c>
      <c r="EP139" s="276">
        <v>-22.039999943872289</v>
      </c>
      <c r="EQ139" s="276">
        <v>-21.994532318634722</v>
      </c>
      <c r="ER139" s="276">
        <v>-21.949178939073271</v>
      </c>
      <c r="ES139" s="276">
        <v>-21.903940056468539</v>
      </c>
      <c r="ET139" s="276">
        <v>-21.85881585041971</v>
      </c>
      <c r="EU139" s="276">
        <v>-21.813806427283051</v>
      </c>
      <c r="EV139" s="276">
        <v>-21.768911818721751</v>
      </c>
      <c r="EW139" s="276">
        <v>-21.7241319803761</v>
      </c>
      <c r="EX139" s="276">
        <v>-21.679466790663369</v>
      </c>
      <c r="EY139" s="276">
        <v>-21.6349160497155</v>
      </c>
      <c r="EZ139" s="276">
        <v>-21.59047947846355</v>
      </c>
      <c r="FA139" s="276">
        <v>-21.546156717875871</v>
      </c>
      <c r="FB139" s="276">
        <v>-21.50194732835763</v>
      </c>
      <c r="FC139" s="276">
        <v>-21.457850789318162</v>
      </c>
      <c r="FD139" s="276">
        <v>-21.413866498911741</v>
      </c>
      <c r="FE139" s="276">
        <v>-21.369993773957091</v>
      </c>
      <c r="FF139" s="276">
        <v>-21.326231850039939</v>
      </c>
      <c r="FG139" s="276">
        <v>-21.282579881801428</v>
      </c>
      <c r="FH139" s="276">
        <v>-21.23903694341606</v>
      </c>
      <c r="FI139" s="276">
        <v>-21.195602029259561</v>
      </c>
      <c r="FJ139" s="272">
        <v>-21.152274054767979</v>
      </c>
      <c r="FK139" s="272">
        <v>-21.109051857487579</v>
      </c>
      <c r="FL139" s="272">
        <v>-21.065934198314341</v>
      </c>
      <c r="FM139" s="272">
        <v>-21.022919762920189</v>
      </c>
      <c r="FN139" s="272">
        <v>-20.98000716336345</v>
      </c>
      <c r="FO139" s="272">
        <v>-20.937194939878971</v>
      </c>
      <c r="FP139" s="272">
        <v>-20.894481562842369</v>
      </c>
      <c r="FQ139" s="272">
        <v>-20.851865434903331</v>
      </c>
      <c r="FR139" s="272">
        <v>-20.809344893279711</v>
      </c>
      <c r="FS139" s="272">
        <v>-20.76691821220588</v>
      </c>
      <c r="FT139" s="272">
        <v>-20.724583605525911</v>
      </c>
      <c r="FU139" s="272">
        <v>-20.682339229423022</v>
      </c>
      <c r="FV139" s="272">
        <v>-20.640183185274779</v>
      </c>
      <c r="FW139" s="272">
        <v>-20.598113522624342</v>
      </c>
      <c r="FX139" s="272">
        <v>-20.556128242255841</v>
      </c>
      <c r="FY139" s="272">
        <v>-20.514225299363371</v>
      </c>
      <c r="FZ139" s="272">
        <v>-20.47240260680158</v>
      </c>
      <c r="GA139" s="272">
        <v>-20.430658038405241</v>
      </c>
      <c r="GB139" s="272">
        <v>-20.388989432366621</v>
      </c>
      <c r="GC139" s="272">
        <v>-20.347394594657651</v>
      </c>
    </row>
    <row r="140" spans="2:185" ht="15" thickBot="1" x14ac:dyDescent="0.4">
      <c r="B140" s="298">
        <v>134</v>
      </c>
      <c r="C140" s="275">
        <v>-22.409743410115979</v>
      </c>
      <c r="D140" s="275">
        <v>-22.368610374680902</v>
      </c>
      <c r="E140" s="275">
        <v>-22.32744877458866</v>
      </c>
      <c r="F140" s="275">
        <v>-22.28625983984972</v>
      </c>
      <c r="G140" s="275">
        <v>-22.24504485187526</v>
      </c>
      <c r="H140" s="275">
        <v>-22.2038051434678</v>
      </c>
      <c r="I140" s="275">
        <v>-22.162542098721399</v>
      </c>
      <c r="J140" s="275">
        <v>-22.121257152828068</v>
      </c>
      <c r="K140" s="275">
        <v>-22.07995179178808</v>
      </c>
      <c r="L140" s="275">
        <v>-22.038627552021168</v>
      </c>
      <c r="M140" s="275">
        <v>-21.99728601987632</v>
      </c>
      <c r="N140" s="275">
        <v>-21.955928831038172</v>
      </c>
      <c r="O140" s="275">
        <v>-21.91455766982784</v>
      </c>
      <c r="P140" s="275">
        <v>-21.873174268396699</v>
      </c>
      <c r="Q140" s="275">
        <v>-21.831780405811841</v>
      </c>
      <c r="R140" s="275">
        <v>-21.790377907031878</v>
      </c>
      <c r="S140" s="275">
        <v>-21.748968641772539</v>
      </c>
      <c r="T140" s="275">
        <v>-21.70755452326172</v>
      </c>
      <c r="U140" s="275">
        <v>-21.666137506883679</v>
      </c>
      <c r="V140" s="275">
        <v>-21.62471958871263</v>
      </c>
      <c r="W140" s="275">
        <v>-21.58330280393675</v>
      </c>
      <c r="X140" s="275">
        <v>-21.541889225172952</v>
      </c>
      <c r="Y140" s="275">
        <v>-21.500480960674381</v>
      </c>
      <c r="Z140" s="275">
        <v>-21.459080152431952</v>
      </c>
      <c r="AA140" s="275">
        <v>-21.417688974172151</v>
      </c>
      <c r="AB140" s="275">
        <v>-21.37630962925364</v>
      </c>
      <c r="AC140" s="275">
        <v>-21.33494434846553</v>
      </c>
      <c r="AD140" s="275">
        <v>-21.293595387730381</v>
      </c>
      <c r="AE140" s="275">
        <v>-21.252265025715921</v>
      </c>
      <c r="AF140" s="275">
        <v>-21.210955561358912</v>
      </c>
      <c r="AG140" s="275">
        <v>-21.169669311306151</v>
      </c>
      <c r="AH140" s="275">
        <v>-21.128408607276778</v>
      </c>
      <c r="AI140" s="275">
        <v>-21.08717579335125</v>
      </c>
      <c r="AJ140" s="275">
        <v>-21.04597322319221</v>
      </c>
      <c r="AK140" s="275">
        <v>-21.004803257203051</v>
      </c>
      <c r="AL140" s="275">
        <v>-20.963668259630062</v>
      </c>
      <c r="AM140" s="275">
        <v>-20.92257059561453</v>
      </c>
      <c r="AN140" s="275">
        <v>-20.88151262820131</v>
      </c>
      <c r="AO140" s="275">
        <v>-20.8404967153106</v>
      </c>
      <c r="AP140" s="275">
        <v>-20.799525206680158</v>
      </c>
      <c r="AQ140" s="275">
        <v>-20.758600440784839</v>
      </c>
      <c r="AR140" s="275">
        <v>-20.71772474174109</v>
      </c>
      <c r="AS140" s="275">
        <v>-20.676900416204099</v>
      </c>
      <c r="AT140" s="275">
        <v>-20.636129750264718</v>
      </c>
      <c r="AU140" s="275">
        <v>-20.595415006354688</v>
      </c>
      <c r="AV140" s="275">
        <v>-20.554758420167261</v>
      </c>
      <c r="AW140" s="275">
        <v>-20.514162197601738</v>
      </c>
      <c r="AX140" s="275">
        <v>-20.473628511739381</v>
      </c>
      <c r="AY140" s="275">
        <v>-20.4331594998588</v>
      </c>
      <c r="AZ140" s="275">
        <v>-20.392757260498581</v>
      </c>
      <c r="BA140" s="275">
        <v>-20.352423850574809</v>
      </c>
      <c r="BB140" s="275">
        <v>-20.31216128256133</v>
      </c>
      <c r="BC140" s="275">
        <v>-20.271971521739999</v>
      </c>
      <c r="BD140" s="275">
        <v>-20.23185648352834</v>
      </c>
      <c r="BE140" s="275">
        <v>-20.191818030891881</v>
      </c>
      <c r="BF140" s="275">
        <v>-20.151857971847559</v>
      </c>
      <c r="BG140" s="275">
        <v>-20.111978057065539</v>
      </c>
      <c r="BH140" s="275">
        <v>-20.072179977574979</v>
      </c>
      <c r="BI140" s="275">
        <v>-20.032465362580311</v>
      </c>
      <c r="BJ140" s="275">
        <v>-19.992835777393509</v>
      </c>
      <c r="BK140" s="275">
        <v>-19.953292721487529</v>
      </c>
      <c r="BL140" s="275">
        <v>-19.913837626675949</v>
      </c>
      <c r="BM140" s="275">
        <v>-19.874471855423291</v>
      </c>
      <c r="BN140" s="275">
        <v>-19.83519669928998</v>
      </c>
      <c r="BO140" s="275">
        <v>-19.796013377515639</v>
      </c>
      <c r="BP140" s="275">
        <v>-19.756923035743789</v>
      </c>
      <c r="BQ140" s="275">
        <v>-19.71792674489069</v>
      </c>
      <c r="BR140" s="275">
        <v>-19.679025500160371</v>
      </c>
      <c r="BS140" s="275">
        <v>-19.640220220207681</v>
      </c>
      <c r="BT140" s="275">
        <v>-19.601511746450459</v>
      </c>
      <c r="BU140" s="275">
        <v>-19.56290084253143</v>
      </c>
      <c r="BV140" s="275">
        <v>-19.52438819393009</v>
      </c>
      <c r="BW140" s="275">
        <v>-19.48597440772425</v>
      </c>
      <c r="BX140" s="275">
        <v>-19.447660012500329</v>
      </c>
      <c r="BY140" s="275">
        <v>-19.409445458411099</v>
      </c>
      <c r="BZ140" s="275">
        <v>-19.371331117379189</v>
      </c>
      <c r="CA140" s="275">
        <v>-19.333317283443819</v>
      </c>
      <c r="CB140" s="275">
        <v>-19.295404173248329</v>
      </c>
      <c r="CC140" s="275">
        <v>-19.257591926665111</v>
      </c>
      <c r="CD140" s="275">
        <v>-19.219880607554629</v>
      </c>
      <c r="CE140" s="275">
        <v>-19.182270204654159</v>
      </c>
      <c r="CF140" s="275">
        <v>-19.144760632592359</v>
      </c>
      <c r="CG140" s="275">
        <v>-19.107351733024512</v>
      </c>
      <c r="CH140" s="275">
        <v>-19.070043275883901</v>
      </c>
      <c r="CI140" s="275">
        <v>-19.03283496074361</v>
      </c>
      <c r="CJ140" s="275">
        <v>-18.995726418283351</v>
      </c>
      <c r="CK140" s="275">
        <v>-18.958717211855429</v>
      </c>
      <c r="CL140" s="275">
        <v>-18.921806839144011</v>
      </c>
      <c r="CM140" s="275">
        <v>-18.884994733911238</v>
      </c>
      <c r="CN140" s="275">
        <v>-18.84828026782391</v>
      </c>
      <c r="CO140" s="275">
        <v>-18.81166275235449</v>
      </c>
      <c r="CP140" s="275"/>
      <c r="CQ140" s="276">
        <v>-24.721556491007171</v>
      </c>
      <c r="CR140" s="276">
        <v>-24.67170961206952</v>
      </c>
      <c r="CS140" s="276">
        <v>-24.621913875298389</v>
      </c>
      <c r="CT140" s="276">
        <v>-24.57217074842892</v>
      </c>
      <c r="CU140" s="276">
        <v>-24.522481707085749</v>
      </c>
      <c r="CV140" s="276">
        <v>-24.472848234054261</v>
      </c>
      <c r="CW140" s="276">
        <v>-24.42327181852696</v>
      </c>
      <c r="CX140" s="276">
        <v>-24.373753955323821</v>
      </c>
      <c r="CY140" s="276">
        <v>-24.324296144085839</v>
      </c>
      <c r="CZ140" s="276">
        <v>-24.274899888441428</v>
      </c>
      <c r="DA140" s="276">
        <v>-24.22556669514362</v>
      </c>
      <c r="DB140" s="276">
        <v>-24.17629807317838</v>
      </c>
      <c r="DC140" s="276">
        <v>-24.127095532841722</v>
      </c>
      <c r="DD140" s="276">
        <v>-24.077960584785298</v>
      </c>
      <c r="DE140" s="276">
        <v>-24.028894739028878</v>
      </c>
      <c r="DF140" s="276">
        <v>-23.979899503938579</v>
      </c>
      <c r="DG140" s="276">
        <v>-23.930976385169298</v>
      </c>
      <c r="DH140" s="276">
        <v>-23.882126884570681</v>
      </c>
      <c r="DI140" s="276">
        <v>-23.833352499054669</v>
      </c>
      <c r="DJ140" s="276">
        <v>-23.784654719423479</v>
      </c>
      <c r="DK140" s="276">
        <v>-23.73603502915719</v>
      </c>
      <c r="DL140" s="276">
        <v>-23.68749490315907</v>
      </c>
      <c r="DM140" s="276">
        <v>-23.639035806458001</v>
      </c>
      <c r="DN140" s="276">
        <v>-23.590659192866859</v>
      </c>
      <c r="DO140" s="276">
        <v>-23.542366503595652</v>
      </c>
      <c r="DP140" s="276">
        <v>-23.494159165818949</v>
      </c>
      <c r="DQ140" s="276">
        <v>-23.446038591197009</v>
      </c>
      <c r="DR140" s="276">
        <v>-23.398006174349899</v>
      </c>
      <c r="DS140" s="276">
        <v>-23.350063291284691</v>
      </c>
      <c r="DT140" s="276">
        <v>-23.30221129777577</v>
      </c>
      <c r="DU140" s="276">
        <v>-23.254451527698539</v>
      </c>
      <c r="DV140" s="276">
        <v>-23.20678529131705</v>
      </c>
      <c r="DW140" s="276">
        <v>-23.159213873526951</v>
      </c>
      <c r="DX140" s="276">
        <v>-23.111738532054819</v>
      </c>
      <c r="DY140" s="276">
        <v>-23.064360495615329</v>
      </c>
      <c r="DZ140" s="276">
        <v>-23.017080962029301</v>
      </c>
      <c r="EA140" s="276">
        <v>-22.969901096304071</v>
      </c>
      <c r="EB140" s="276">
        <v>-22.92282202867996</v>
      </c>
      <c r="EC140" s="276">
        <v>-22.875844852646239</v>
      </c>
      <c r="ED140" s="276">
        <v>-22.828970622929869</v>
      </c>
      <c r="EE140" s="276">
        <v>-22.78220035346234</v>
      </c>
      <c r="EF140" s="276">
        <v>-22.735535015328519</v>
      </c>
      <c r="EG140" s="276">
        <v>-22.688975534703861</v>
      </c>
      <c r="EH140" s="276">
        <v>-22.642522790784511</v>
      </c>
      <c r="EI140" s="276">
        <v>-22.59617761371776</v>
      </c>
      <c r="EJ140" s="276">
        <v>-22.549940782538769</v>
      </c>
      <c r="EK140" s="276">
        <v>-22.5038130231206</v>
      </c>
      <c r="EL140" s="276">
        <v>-22.457795006145759</v>
      </c>
      <c r="EM140" s="276">
        <v>-22.41188734510601</v>
      </c>
      <c r="EN140" s="276">
        <v>-22.366090594339319</v>
      </c>
      <c r="EO140" s="276">
        <v>-22.32040524711222</v>
      </c>
      <c r="EP140" s="276">
        <v>-22.274831733755921</v>
      </c>
      <c r="EQ140" s="276">
        <v>-22.22937041986518</v>
      </c>
      <c r="ER140" s="276">
        <v>-22.18402160456878</v>
      </c>
      <c r="ES140" s="276">
        <v>-22.138785518880709</v>
      </c>
      <c r="ET140" s="276">
        <v>-22.093662324140659</v>
      </c>
      <c r="EU140" s="276">
        <v>-22.04865211055326</v>
      </c>
      <c r="EV140" s="276">
        <v>-22.003754895834309</v>
      </c>
      <c r="EW140" s="276">
        <v>-21.958970623973052</v>
      </c>
      <c r="EX140" s="276">
        <v>-21.914299164118329</v>
      </c>
      <c r="EY140" s="276">
        <v>-21.86974030959702</v>
      </c>
      <c r="EZ140" s="276">
        <v>-21.82529377707208</v>
      </c>
      <c r="FA140" s="276">
        <v>-21.780959205847321</v>
      </c>
      <c r="FB140" s="276">
        <v>-21.73673615732557</v>
      </c>
      <c r="FC140" s="276">
        <v>-21.692624114626241</v>
      </c>
      <c r="FD140" s="276">
        <v>-21.648622482367269</v>
      </c>
      <c r="FE140" s="276">
        <v>-21.604730586616949</v>
      </c>
      <c r="FF140" s="276">
        <v>-21.560947675018259</v>
      </c>
      <c r="FG140" s="276">
        <v>-21.517272917089841</v>
      </c>
      <c r="FH140" s="276">
        <v>-21.473705404705498</v>
      </c>
      <c r="FI140" s="276">
        <v>-21.430244152753531</v>
      </c>
      <c r="FJ140" s="272">
        <v>-21.386888099976581</v>
      </c>
      <c r="FK140" s="272">
        <v>-21.343636109991461</v>
      </c>
      <c r="FL140" s="272">
        <v>-21.300486972487889</v>
      </c>
      <c r="FM140" s="272">
        <v>-21.25743940460363</v>
      </c>
      <c r="FN140" s="272">
        <v>-21.21449205247357</v>
      </c>
      <c r="FO140" s="272">
        <v>-21.171643492947531</v>
      </c>
      <c r="FP140" s="272">
        <v>-21.128892235473561</v>
      </c>
      <c r="FQ140" s="272">
        <v>-21.08623672413961</v>
      </c>
      <c r="FR140" s="272">
        <v>-21.043675339868059</v>
      </c>
      <c r="FS140" s="272">
        <v>-21.001206402755109</v>
      </c>
      <c r="FT140" s="272">
        <v>-20.95882817454785</v>
      </c>
      <c r="FU140" s="272">
        <v>-20.916538861249538</v>
      </c>
      <c r="FV140" s="272">
        <v>-20.87433661584463</v>
      </c>
      <c r="FW140" s="272">
        <v>-20.83221954113322</v>
      </c>
      <c r="FX140" s="272">
        <v>-20.790185692665052</v>
      </c>
      <c r="FY140" s="272">
        <v>-20.748233081762152</v>
      </c>
      <c r="FZ140" s="272">
        <v>-20.706359678619389</v>
      </c>
      <c r="GA140" s="272">
        <v>-20.66456341547152</v>
      </c>
      <c r="GB140" s="272">
        <v>-20.622842189815419</v>
      </c>
      <c r="GC140" s="272">
        <v>-20.581193867676131</v>
      </c>
    </row>
    <row r="141" spans="2:185" ht="15" thickBot="1" x14ac:dyDescent="0.4">
      <c r="B141" s="298">
        <v>135</v>
      </c>
      <c r="C141" s="275">
        <v>-22.622753036146801</v>
      </c>
      <c r="D141" s="275">
        <v>-22.581651659163011</v>
      </c>
      <c r="E141" s="275">
        <v>-22.54052265022495</v>
      </c>
      <c r="F141" s="275">
        <v>-22.499367229367799</v>
      </c>
      <c r="G141" s="275">
        <v>-22.458186666433441</v>
      </c>
      <c r="H141" s="275">
        <v>-22.41698228103138</v>
      </c>
      <c r="I141" s="275">
        <v>-22.375755442412029</v>
      </c>
      <c r="J141" s="275">
        <v>-22.334507569249851</v>
      </c>
      <c r="K141" s="275">
        <v>-22.293240129333579</v>
      </c>
      <c r="L141" s="275">
        <v>-22.251954639161141</v>
      </c>
      <c r="M141" s="275">
        <v>-22.21065266343717</v>
      </c>
      <c r="N141" s="275">
        <v>-22.169335814470951</v>
      </c>
      <c r="O141" s="275">
        <v>-22.128005751473211</v>
      </c>
      <c r="P141" s="275">
        <v>-22.086664179750159</v>
      </c>
      <c r="Q141" s="275">
        <v>-22.045312849793561</v>
      </c>
      <c r="R141" s="275">
        <v>-22.00395355626608</v>
      </c>
      <c r="S141" s="275">
        <v>-21.962588136880999</v>
      </c>
      <c r="T141" s="275">
        <v>-21.921218471176179</v>
      </c>
      <c r="U141" s="275">
        <v>-21.87984647918223</v>
      </c>
      <c r="V141" s="275">
        <v>-21.83847411998503</v>
      </c>
      <c r="W141" s="275">
        <v>-21.797103390183619</v>
      </c>
      <c r="X141" s="275">
        <v>-21.755736322244029</v>
      </c>
      <c r="Y141" s="275">
        <v>-21.714374982750879</v>
      </c>
      <c r="Z141" s="275">
        <v>-21.67302147055792</v>
      </c>
      <c r="AA141" s="275">
        <v>-21.63167791484009</v>
      </c>
      <c r="AB141" s="275">
        <v>-21.590346473049308</v>
      </c>
      <c r="AC141" s="275">
        <v>-21.54902932877663</v>
      </c>
      <c r="AD141" s="275">
        <v>-21.507728689524189</v>
      </c>
      <c r="AE141" s="275">
        <v>-21.46644678439031</v>
      </c>
      <c r="AF141" s="275">
        <v>-21.42518586167153</v>
      </c>
      <c r="AG141" s="275">
        <v>-21.383948186385989</v>
      </c>
      <c r="AH141" s="275">
        <v>-21.342736037722339</v>
      </c>
      <c r="AI141" s="275">
        <v>-21.30155170641947</v>
      </c>
      <c r="AJ141" s="275">
        <v>-21.260397492081729</v>
      </c>
      <c r="AK141" s="275">
        <v>-21.21927570043546</v>
      </c>
      <c r="AL141" s="275">
        <v>-21.178188640532522</v>
      </c>
      <c r="AM141" s="275">
        <v>-21.13713862190658</v>
      </c>
      <c r="AN141" s="275">
        <v>-21.096127951688761</v>
      </c>
      <c r="AO141" s="275">
        <v>-21.055158931688879</v>
      </c>
      <c r="AP141" s="275">
        <v>-21.014233855449081</v>
      </c>
      <c r="AQ141" s="275">
        <v>-20.973355005276868</v>
      </c>
      <c r="AR141" s="275">
        <v>-20.93252464926416</v>
      </c>
      <c r="AS141" s="275">
        <v>-20.89174503830024</v>
      </c>
      <c r="AT141" s="275">
        <v>-20.85101840308522</v>
      </c>
      <c r="AU141" s="275">
        <v>-20.810346951151889</v>
      </c>
      <c r="AV141" s="275">
        <v>-20.769732863903211</v>
      </c>
      <c r="AW141" s="275">
        <v>-20.72917829367297</v>
      </c>
      <c r="AX141" s="275">
        <v>-20.688685360817178</v>
      </c>
      <c r="AY141" s="275">
        <v>-20.648256150843569</v>
      </c>
      <c r="AZ141" s="275">
        <v>-20.607892711586679</v>
      </c>
      <c r="BA141" s="275">
        <v>-20.567597050436071</v>
      </c>
      <c r="BB141" s="275">
        <v>-20.527371131624442</v>
      </c>
      <c r="BC141" s="275">
        <v>-20.487216873583382</v>
      </c>
      <c r="BD141" s="275">
        <v>-20.447136146373111</v>
      </c>
      <c r="BE141" s="275">
        <v>-20.40713076919333</v>
      </c>
      <c r="BF141" s="275">
        <v>-20.367202507981592</v>
      </c>
      <c r="BG141" s="275">
        <v>-20.32735307310541</v>
      </c>
      <c r="BH141" s="275">
        <v>-20.287584117154179</v>
      </c>
      <c r="BI141" s="275">
        <v>-20.247897232836561</v>
      </c>
      <c r="BJ141" s="275">
        <v>-20.208293950988789</v>
      </c>
      <c r="BK141" s="275">
        <v>-20.16877573869861</v>
      </c>
      <c r="BL141" s="275">
        <v>-20.129343997550031</v>
      </c>
      <c r="BM141" s="275">
        <v>-20.09000006199263</v>
      </c>
      <c r="BN141" s="275">
        <v>-20.050745197839539</v>
      </c>
      <c r="BO141" s="275">
        <v>-20.011580600897521</v>
      </c>
      <c r="BP141" s="275">
        <v>-19.972507395732009</v>
      </c>
      <c r="BQ141" s="275">
        <v>-19.933526634569731</v>
      </c>
      <c r="BR141" s="275">
        <v>-19.89463929634104</v>
      </c>
      <c r="BS141" s="275">
        <v>-19.855846285863429</v>
      </c>
      <c r="BT141" s="275">
        <v>-19.8171484331675</v>
      </c>
      <c r="BU141" s="275">
        <v>-19.778546492965951</v>
      </c>
      <c r="BV141" s="275">
        <v>-19.740041144265881</v>
      </c>
      <c r="BW141" s="275">
        <v>-19.701632990124011</v>
      </c>
      <c r="BX141" s="275">
        <v>-19.663322557544031</v>
      </c>
      <c r="BY141" s="275">
        <v>-19.62511029751521</v>
      </c>
      <c r="BZ141" s="275">
        <v>-19.586996585189969</v>
      </c>
      <c r="CA141" s="275">
        <v>-19.54898172019892</v>
      </c>
      <c r="CB141" s="275">
        <v>-19.511065927100528</v>
      </c>
      <c r="CC141" s="275">
        <v>-19.47324935596242</v>
      </c>
      <c r="CD141" s="275">
        <v>-19.435532083071109</v>
      </c>
      <c r="CE141" s="275">
        <v>-19.397914111766411</v>
      </c>
      <c r="CF141" s="275">
        <v>-19.360395373396351</v>
      </c>
      <c r="CG141" s="275">
        <v>-19.322975728388279</v>
      </c>
      <c r="CH141" s="275">
        <v>-19.285654967431519</v>
      </c>
      <c r="CI141" s="275">
        <v>-19.248432812766399</v>
      </c>
      <c r="CJ141" s="275">
        <v>-19.21130891957446</v>
      </c>
      <c r="CK141" s="275">
        <v>-19.17428287746457</v>
      </c>
      <c r="CL141" s="275">
        <v>-19.137354212048979</v>
      </c>
      <c r="CM141" s="275">
        <v>-19.100522386603679</v>
      </c>
      <c r="CN141" s="275">
        <v>-19.063786803806909</v>
      </c>
      <c r="CO141" s="275">
        <v>-19.027146807550039</v>
      </c>
      <c r="CP141" s="275"/>
      <c r="CQ141" s="276">
        <v>-24.954526660844859</v>
      </c>
      <c r="CR141" s="276">
        <v>-24.904729890255201</v>
      </c>
      <c r="CS141" s="276">
        <v>-24.854984197568221</v>
      </c>
      <c r="CT141" s="276">
        <v>-24.805291025171421</v>
      </c>
      <c r="CU141" s="276">
        <v>-24.755651822795009</v>
      </c>
      <c r="CV141" s="276">
        <v>-24.706068046785699</v>
      </c>
      <c r="CW141" s="276">
        <v>-24.65654115935541</v>
      </c>
      <c r="CX141" s="276">
        <v>-24.60707262780425</v>
      </c>
      <c r="CY141" s="276">
        <v>-24.5576639237172</v>
      </c>
      <c r="CZ141" s="276">
        <v>-24.50831652213332</v>
      </c>
      <c r="DA141" s="276">
        <v>-24.459031900687108</v>
      </c>
      <c r="DB141" s="276">
        <v>-24.409811538720561</v>
      </c>
      <c r="DC141" s="276">
        <v>-24.360656916365031</v>
      </c>
      <c r="DD141" s="276">
        <v>-24.311569513592321</v>
      </c>
      <c r="DE141" s="276">
        <v>-24.262550809233101</v>
      </c>
      <c r="DF141" s="276">
        <v>-24.213602279962309</v>
      </c>
      <c r="DG141" s="276">
        <v>-24.164725399249971</v>
      </c>
      <c r="DH141" s="276">
        <v>-24.115921636276269</v>
      </c>
      <c r="DI141" s="276">
        <v>-24.06719245480998</v>
      </c>
      <c r="DJ141" s="276">
        <v>-24.018539312048961</v>
      </c>
      <c r="DK141" s="276">
        <v>-23.96996365742163</v>
      </c>
      <c r="DL141" s="276">
        <v>-23.921466931348601</v>
      </c>
      <c r="DM141" s="276">
        <v>-23.87305056396308</v>
      </c>
      <c r="DN141" s="276">
        <v>-23.824715973789761</v>
      </c>
      <c r="DO141" s="276">
        <v>-23.77646456638109</v>
      </c>
      <c r="DP141" s="276">
        <v>-23.72829773291047</v>
      </c>
      <c r="DQ141" s="276">
        <v>-23.680216848721809</v>
      </c>
      <c r="DR141" s="276">
        <v>-23.632223271835539</v>
      </c>
      <c r="DS141" s="276">
        <v>-23.584318341410938</v>
      </c>
      <c r="DT141" s="276">
        <v>-23.536503376164571</v>
      </c>
      <c r="DU141" s="276">
        <v>-23.488779672746329</v>
      </c>
      <c r="DV141" s="276">
        <v>-23.44114850407275</v>
      </c>
      <c r="DW141" s="276">
        <v>-23.393611117619692</v>
      </c>
      <c r="DX141" s="276">
        <v>-23.346168733675039</v>
      </c>
      <c r="DY141" s="276">
        <v>-23.298822543553879</v>
      </c>
      <c r="DZ141" s="276">
        <v>-23.251573707777919</v>
      </c>
      <c r="EA141" s="276">
        <v>-23.204423354221891</v>
      </c>
      <c r="EB141" s="276">
        <v>-23.157372576229861</v>
      </c>
      <c r="EC141" s="276">
        <v>-23.110422430704919</v>
      </c>
      <c r="ED141" s="276">
        <v>-23.063573936176109</v>
      </c>
      <c r="EE141" s="276">
        <v>-23.01682807084666</v>
      </c>
      <c r="EF141" s="276">
        <v>-22.97018577062839</v>
      </c>
      <c r="EG141" s="276">
        <v>-22.923647927167291</v>
      </c>
      <c r="EH141" s="276">
        <v>-22.877215385866119</v>
      </c>
      <c r="EI141" s="276">
        <v>-22.83088894390929</v>
      </c>
      <c r="EJ141" s="276">
        <v>-22.784669348297211</v>
      </c>
      <c r="EK141" s="276">
        <v>-22.738557293896079</v>
      </c>
      <c r="EL141" s="276">
        <v>-22.69255342151062</v>
      </c>
      <c r="EM141" s="276">
        <v>-22.64665831598688</v>
      </c>
      <c r="EN141" s="276">
        <v>-22.600872504352822</v>
      </c>
      <c r="EO141" s="276">
        <v>-22.555196454004669</v>
      </c>
      <c r="EP141" s="276">
        <v>-22.50963057094679</v>
      </c>
      <c r="EQ141" s="276">
        <v>-22.464175198093709</v>
      </c>
      <c r="ER141" s="276">
        <v>-22.418830613642118</v>
      </c>
      <c r="ES141" s="276">
        <v>-22.373597029521839</v>
      </c>
      <c r="ET141" s="276">
        <v>-22.328474589933421</v>
      </c>
      <c r="EU141" s="276">
        <v>-22.28346336998111</v>
      </c>
      <c r="EV141" s="276">
        <v>-22.238563374409161</v>
      </c>
      <c r="EW141" s="276">
        <v>-22.193774536449389</v>
      </c>
      <c r="EX141" s="276">
        <v>-22.149096716787891</v>
      </c>
      <c r="EY141" s="276">
        <v>-22.104529702657729</v>
      </c>
      <c r="EZ141" s="276">
        <v>-22.060073207065429</v>
      </c>
      <c r="FA141" s="276">
        <v>-22.015726868156911</v>
      </c>
      <c r="FB141" s="276">
        <v>-21.97149024872969</v>
      </c>
      <c r="FC141" s="276">
        <v>-21.92736283589624</v>
      </c>
      <c r="FD141" s="276">
        <v>-21.883344040903751</v>
      </c>
      <c r="FE141" s="276">
        <v>-21.839433199114399</v>
      </c>
      <c r="FF141" s="276">
        <v>-21.79562957014971</v>
      </c>
      <c r="FG141" s="276">
        <v>-21.751932338201531</v>
      </c>
      <c r="FH141" s="276">
        <v>-21.708340612512281</v>
      </c>
      <c r="FI141" s="276">
        <v>-21.664853428024848</v>
      </c>
      <c r="FJ141" s="272">
        <v>-21.62146974620342</v>
      </c>
      <c r="FK141" s="272">
        <v>-21.57818845602403</v>
      </c>
      <c r="FL141" s="272">
        <v>-21.535008375134112</v>
      </c>
      <c r="FM141" s="272">
        <v>-21.49192825117882</v>
      </c>
      <c r="FN141" s="272">
        <v>-21.448946763290991</v>
      </c>
      <c r="FO141" s="272">
        <v>-21.406062523741241</v>
      </c>
      <c r="FP141" s="272">
        <v>-21.363274079743469</v>
      </c>
      <c r="FQ141" s="272">
        <v>-21.32057991541058</v>
      </c>
      <c r="FR141" s="272">
        <v>-21.277978453854111</v>
      </c>
      <c r="FS141" s="272">
        <v>-21.235468059421251</v>
      </c>
      <c r="FT141" s="272">
        <v>-21.19304704006165</v>
      </c>
      <c r="FU141" s="272">
        <v>-21.150713649815909</v>
      </c>
      <c r="FV141" s="272">
        <v>-21.108466091417331</v>
      </c>
      <c r="FW141" s="272">
        <v>-21.066302518997691</v>
      </c>
      <c r="FX141" s="272">
        <v>-21.02422104088728</v>
      </c>
      <c r="FY141" s="272">
        <v>-20.9822197224997</v>
      </c>
      <c r="FZ141" s="272">
        <v>-20.94029658929097</v>
      </c>
      <c r="GA141" s="272">
        <v>-20.89844962978195</v>
      </c>
      <c r="GB141" s="272">
        <v>-20.856676798634549</v>
      </c>
      <c r="GC141" s="272">
        <v>-20.814976019769819</v>
      </c>
    </row>
    <row r="142" spans="2:185" ht="15" thickBot="1" x14ac:dyDescent="0.4">
      <c r="B142" s="298">
        <v>136</v>
      </c>
      <c r="C142" s="275">
        <v>-22.835775102940762</v>
      </c>
      <c r="D142" s="275">
        <v>-22.7947052726485</v>
      </c>
      <c r="E142" s="275">
        <v>-22.75360871801897</v>
      </c>
      <c r="F142" s="275">
        <v>-22.71248664884898</v>
      </c>
      <c r="G142" s="275">
        <v>-22.671340323197612</v>
      </c>
      <c r="H142" s="275">
        <v>-22.630171047319489</v>
      </c>
      <c r="I142" s="275">
        <v>-22.58898017551353</v>
      </c>
      <c r="J142" s="275">
        <v>-22.54776910988469</v>
      </c>
      <c r="K142" s="275">
        <v>-22.506539300016229</v>
      </c>
      <c r="L142" s="275">
        <v>-22.465292242550131</v>
      </c>
      <c r="M142" s="275">
        <v>-22.424029480673941</v>
      </c>
      <c r="N142" s="275">
        <v>-22.382752603511872</v>
      </c>
      <c r="O142" s="275">
        <v>-22.341463245418851</v>
      </c>
      <c r="P142" s="275">
        <v>-22.300163085175878</v>
      </c>
      <c r="Q142" s="275">
        <v>-22.258853845086001</v>
      </c>
      <c r="R142" s="275">
        <v>-22.21753728996962</v>
      </c>
      <c r="S142" s="275">
        <v>-22.17621522605906</v>
      </c>
      <c r="T142" s="275">
        <v>-22.13488949979175</v>
      </c>
      <c r="U142" s="275">
        <v>-22.093561996502491</v>
      </c>
      <c r="V142" s="275">
        <v>-22.05223463901476</v>
      </c>
      <c r="W142" s="275">
        <v>-22.010909386132059</v>
      </c>
      <c r="X142" s="275">
        <v>-21.969588231030311</v>
      </c>
      <c r="Y142" s="275">
        <v>-21.928273199552461</v>
      </c>
      <c r="Z142" s="275">
        <v>-21.88696634840726</v>
      </c>
      <c r="AA142" s="275">
        <v>-21.845669763274</v>
      </c>
      <c r="AB142" s="275">
        <v>-21.804385556815721</v>
      </c>
      <c r="AC142" s="275">
        <v>-21.76311586660362</v>
      </c>
      <c r="AD142" s="275">
        <v>-21.721862852955649</v>
      </c>
      <c r="AE142" s="275">
        <v>-21.68062869669274</v>
      </c>
      <c r="AF142" s="275">
        <v>-21.639415596816281</v>
      </c>
      <c r="AG142" s="275">
        <v>-21.59822576811095</v>
      </c>
      <c r="AH142" s="275">
        <v>-21.557061438677369</v>
      </c>
      <c r="AI142" s="275">
        <v>-21.515924847398932</v>
      </c>
      <c r="AJ142" s="275">
        <v>-21.47481824134805</v>
      </c>
      <c r="AK142" s="275">
        <v>-21.433743873136908</v>
      </c>
      <c r="AL142" s="275">
        <v>-21.392703998218291</v>
      </c>
      <c r="AM142" s="275">
        <v>-21.351700872142001</v>
      </c>
      <c r="AN142" s="275">
        <v>-21.310736747773358</v>
      </c>
      <c r="AO142" s="275">
        <v>-21.269813872479322</v>
      </c>
      <c r="AP142" s="275">
        <v>-21.228934485289109</v>
      </c>
      <c r="AQ142" s="275">
        <v>-21.18810081403576</v>
      </c>
      <c r="AR142" s="275">
        <v>-21.147315072485281</v>
      </c>
      <c r="AS142" s="275">
        <v>-21.106579457460239</v>
      </c>
      <c r="AT142" s="275">
        <v>-21.06589614596486</v>
      </c>
      <c r="AU142" s="275">
        <v>-21.02526729231861</v>
      </c>
      <c r="AV142" s="275">
        <v>-20.984695025305271</v>
      </c>
      <c r="AW142" s="275">
        <v>-20.94418144534496</v>
      </c>
      <c r="AX142" s="275">
        <v>-20.903728621695681</v>
      </c>
      <c r="AY142" s="275">
        <v>-20.863338589692098</v>
      </c>
      <c r="AZ142" s="275">
        <v>-20.823013348028251</v>
      </c>
      <c r="BA142" s="275">
        <v>-20.782754856091191</v>
      </c>
      <c r="BB142" s="275">
        <v>-20.74256503135264</v>
      </c>
      <c r="BC142" s="275">
        <v>-20.702445746825251</v>
      </c>
      <c r="BD142" s="275">
        <v>-20.662398828590021</v>
      </c>
      <c r="BE142" s="275">
        <v>-20.622426053401441</v>
      </c>
      <c r="BF142" s="275">
        <v>-20.582529146376331</v>
      </c>
      <c r="BG142" s="275">
        <v>-20.542709778772618</v>
      </c>
      <c r="BH142" s="275">
        <v>-20.50296956586342</v>
      </c>
      <c r="BI142" s="275">
        <v>-20.46331006491209</v>
      </c>
      <c r="BJ142" s="275">
        <v>-20.423732773253139</v>
      </c>
      <c r="BK142" s="275">
        <v>-20.384239126484001</v>
      </c>
      <c r="BL142" s="275">
        <v>-20.344830496771781</v>
      </c>
      <c r="BM142" s="275">
        <v>-20.30550819127939</v>
      </c>
      <c r="BN142" s="275">
        <v>-20.266273450714291</v>
      </c>
      <c r="BO142" s="275">
        <v>-20.227127448003589</v>
      </c>
      <c r="BP142" s="275">
        <v>-20.188071287097848</v>
      </c>
      <c r="BQ142" s="275">
        <v>-20.149106001906489</v>
      </c>
      <c r="BR142" s="275">
        <v>-20.110232555366451</v>
      </c>
      <c r="BS142" s="275">
        <v>-20.0714518386458</v>
      </c>
      <c r="BT142" s="275">
        <v>-20.03276467048325</v>
      </c>
      <c r="BU142" s="275">
        <v>-19.994171796664581</v>
      </c>
      <c r="BV142" s="275">
        <v>-19.95567388963573</v>
      </c>
      <c r="BW142" s="275">
        <v>-19.917271548252639</v>
      </c>
      <c r="BX142" s="275">
        <v>-19.878965297666969</v>
      </c>
      <c r="BY142" s="275">
        <v>-19.840755589346799</v>
      </c>
      <c r="BZ142" s="275">
        <v>-19.80264280123043</v>
      </c>
      <c r="CA142" s="275">
        <v>-19.764627238011709</v>
      </c>
      <c r="CB142" s="275">
        <v>-19.726709131554141</v>
      </c>
      <c r="CC142" s="275">
        <v>-19.688888641431411</v>
      </c>
      <c r="CD142" s="275">
        <v>-19.651165855590751</v>
      </c>
      <c r="CE142" s="275">
        <v>-19.613540791136089</v>
      </c>
      <c r="CF142" s="275">
        <v>-19.576013395226848</v>
      </c>
      <c r="CG142" s="275">
        <v>-19.53858354608855</v>
      </c>
      <c r="CH142" s="275">
        <v>-19.501251054130339</v>
      </c>
      <c r="CI142" s="275">
        <v>-19.464015663165419</v>
      </c>
      <c r="CJ142" s="275">
        <v>-19.426877051728731</v>
      </c>
      <c r="CK142" s="275">
        <v>-19.38983483448725</v>
      </c>
      <c r="CL142" s="275">
        <v>-19.35288856373738</v>
      </c>
      <c r="CM142" s="275">
        <v>-19.316037730983769</v>
      </c>
      <c r="CN142" s="275">
        <v>-19.279281768594281</v>
      </c>
      <c r="CO142" s="275">
        <v>-19.242620051525019</v>
      </c>
      <c r="CP142" s="275"/>
      <c r="CQ142" s="276">
        <v>-25.187501865416589</v>
      </c>
      <c r="CR142" s="276">
        <v>-25.13775449243191</v>
      </c>
      <c r="CS142" s="276">
        <v>-25.088058122539231</v>
      </c>
      <c r="CT142" s="276">
        <v>-25.03841417308497</v>
      </c>
      <c r="CU142" s="276">
        <v>-24.988824068227029</v>
      </c>
      <c r="CV142" s="276">
        <v>-24.939289238211469</v>
      </c>
      <c r="CW142" s="276">
        <v>-24.88981111862406</v>
      </c>
      <c r="CX142" s="276">
        <v>-24.840391149616831</v>
      </c>
      <c r="CY142" s="276">
        <v>-24.79103077510851</v>
      </c>
      <c r="CZ142" s="276">
        <v>-24.741731441957459</v>
      </c>
      <c r="DA142" s="276">
        <v>-24.6924945991077</v>
      </c>
      <c r="DB142" s="276">
        <v>-24.643321696705978</v>
      </c>
      <c r="DC142" s="276">
        <v>-24.594214185189461</v>
      </c>
      <c r="DD142" s="276">
        <v>-24.5451735143428</v>
      </c>
      <c r="DE142" s="276">
        <v>-24.496201132324231</v>
      </c>
      <c r="DF142" s="276">
        <v>-24.447298484658969</v>
      </c>
      <c r="DG142" s="276">
        <v>-24.398467013199379</v>
      </c>
      <c r="DH142" s="276">
        <v>-24.349708155050511</v>
      </c>
      <c r="DI142" s="276">
        <v>-24.301023341460802</v>
      </c>
      <c r="DJ142" s="276">
        <v>-24.252413996675781</v>
      </c>
      <c r="DK142" s="276">
        <v>-24.203881536754992</v>
      </c>
      <c r="DL142" s="276">
        <v>-24.155427368350612</v>
      </c>
      <c r="DM142" s="276">
        <v>-24.107052887447249</v>
      </c>
      <c r="DN142" s="276">
        <v>-24.058759478062289</v>
      </c>
      <c r="DO142" s="276">
        <v>-24.01054851090603</v>
      </c>
      <c r="DP142" s="276">
        <v>-23.962421342001232</v>
      </c>
      <c r="DQ142" s="276">
        <v>-23.914379311262241</v>
      </c>
      <c r="DR142" s="276">
        <v>-23.866423741033149</v>
      </c>
      <c r="DS142" s="276">
        <v>-23.81855593458512</v>
      </c>
      <c r="DT142" s="276">
        <v>-23.770777174574</v>
      </c>
      <c r="DU142" s="276">
        <v>-23.723088721457721</v>
      </c>
      <c r="DV142" s="276">
        <v>-23.675491811875489</v>
      </c>
      <c r="DW142" s="276">
        <v>-23.62798765698922</v>
      </c>
      <c r="DX142" s="276">
        <v>-23.580577440789281</v>
      </c>
      <c r="DY142" s="276">
        <v>-23.533262318365871</v>
      </c>
      <c r="DZ142" s="276">
        <v>-23.486043414148899</v>
      </c>
      <c r="EA142" s="276">
        <v>-23.438921820118221</v>
      </c>
      <c r="EB142" s="276">
        <v>-23.3918985939879</v>
      </c>
      <c r="EC142" s="276">
        <v>-23.344974757367279</v>
      </c>
      <c r="ED142" s="276">
        <v>-23.298151293902929</v>
      </c>
      <c r="EE142" s="276">
        <v>-23.251429147405322</v>
      </c>
      <c r="EF142" s="276">
        <v>-23.204809219965291</v>
      </c>
      <c r="EG142" s="276">
        <v>-23.15829237006438</v>
      </c>
      <c r="EH142" s="276">
        <v>-23.111879410685141</v>
      </c>
      <c r="EI142" s="276">
        <v>-23.06557110742645</v>
      </c>
      <c r="EJ142" s="276">
        <v>-23.019368176630479</v>
      </c>
      <c r="EK142" s="276">
        <v>-22.973271283527129</v>
      </c>
      <c r="EL142" s="276">
        <v>-22.927281040402541</v>
      </c>
      <c r="EM142" s="276">
        <v>-22.881398004799319</v>
      </c>
      <c r="EN142" s="276">
        <v>-22.83562267775487</v>
      </c>
      <c r="EO142" s="276">
        <v>-22.789955502085611</v>
      </c>
      <c r="EP142" s="276">
        <v>-22.744396860724631</v>
      </c>
      <c r="EQ142" s="276">
        <v>-22.698947075120319</v>
      </c>
      <c r="ER142" s="276">
        <v>-22.653606403703829</v>
      </c>
      <c r="ES142" s="276">
        <v>-22.608375040433291</v>
      </c>
      <c r="ET142" s="276">
        <v>-22.563253113422071</v>
      </c>
      <c r="EU142" s="276">
        <v>-22.518240683659489</v>
      </c>
      <c r="EV142" s="276">
        <v>-22.47333774383079</v>
      </c>
      <c r="EW142" s="276">
        <v>-22.428544217244202</v>
      </c>
      <c r="EX142" s="276">
        <v>-22.383859956872179</v>
      </c>
      <c r="EY142" s="276">
        <v>-22.33928474451335</v>
      </c>
      <c r="EZ142" s="276">
        <v>-22.294818290081849</v>
      </c>
      <c r="FA142" s="276">
        <v>-22.250460231030011</v>
      </c>
      <c r="FB142" s="276">
        <v>-22.20621013190982</v>
      </c>
      <c r="FC142" s="276">
        <v>-22.16206748407858</v>
      </c>
      <c r="FD142" s="276">
        <v>-22.11803170555271</v>
      </c>
      <c r="FE142" s="276">
        <v>-22.074102141013931</v>
      </c>
      <c r="FF142" s="276">
        <v>-22.030278061970911</v>
      </c>
      <c r="FG142" s="276">
        <v>-21.98655866707902</v>
      </c>
      <c r="FH142" s="276">
        <v>-21.942943082619621</v>
      </c>
      <c r="FI142" s="276">
        <v>-21.899430363140599</v>
      </c>
      <c r="FJ142" s="272">
        <v>-21.856019492257911</v>
      </c>
      <c r="FK142" s="272">
        <v>-21.812709383617779</v>
      </c>
      <c r="FL142" s="272">
        <v>-21.76949888201861</v>
      </c>
      <c r="FM142" s="272">
        <v>-21.726386764690371</v>
      </c>
      <c r="FN142" s="272">
        <v>-21.683371742728418</v>
      </c>
      <c r="FO142" s="272">
        <v>-21.640452462678908</v>
      </c>
      <c r="FP142" s="272">
        <v>-21.59762750827074</v>
      </c>
      <c r="FQ142" s="272">
        <v>-21.554895402289581</v>
      </c>
      <c r="FR142" s="272">
        <v>-21.512254608587892</v>
      </c>
      <c r="FS142" s="272">
        <v>-21.46970353422488</v>
      </c>
      <c r="FT142" s="272">
        <v>-21.427240531729151</v>
      </c>
      <c r="FU142" s="272">
        <v>-21.384863901477079</v>
      </c>
      <c r="FV142" s="272">
        <v>-21.342571894177741</v>
      </c>
      <c r="FW142" s="272">
        <v>-21.300362713457261</v>
      </c>
      <c r="FX142" s="272">
        <v>-21.258234518532561</v>
      </c>
      <c r="FY142" s="272">
        <v>-21.216185426965801</v>
      </c>
      <c r="FZ142" s="272">
        <v>-21.174213517489491</v>
      </c>
      <c r="GA142" s="272">
        <v>-21.13231683289299</v>
      </c>
      <c r="GB142" s="272">
        <v>-21.090493382960151</v>
      </c>
      <c r="GC142" s="272">
        <v>-21.04874114744764</v>
      </c>
    </row>
    <row r="143" spans="2:185" ht="15" thickBot="1" x14ac:dyDescent="0.4">
      <c r="B143" s="298">
        <v>137</v>
      </c>
      <c r="C143" s="275">
        <v>-23.048809407364981</v>
      </c>
      <c r="D143" s="275">
        <v>-23.007771004449481</v>
      </c>
      <c r="E143" s="275">
        <v>-22.966706760364971</v>
      </c>
      <c r="F143" s="275">
        <v>-22.925617874433311</v>
      </c>
      <c r="G143" s="275">
        <v>-22.884505592742109</v>
      </c>
      <c r="H143" s="275">
        <v>-22.843371208052702</v>
      </c>
      <c r="I143" s="275">
        <v>-22.80221605962636</v>
      </c>
      <c r="J143" s="275">
        <v>-22.761041532966509</v>
      </c>
      <c r="K143" s="275">
        <v>-22.719849059474921</v>
      </c>
      <c r="L143" s="275">
        <v>-22.67864011601937</v>
      </c>
      <c r="M143" s="275">
        <v>-22.63741622441124</v>
      </c>
      <c r="N143" s="275">
        <v>-22.596178950791298</v>
      </c>
      <c r="O143" s="275">
        <v>-22.554929904922091</v>
      </c>
      <c r="P143" s="275">
        <v>-22.51367073938594</v>
      </c>
      <c r="Q143" s="275">
        <v>-22.472403148687309</v>
      </c>
      <c r="R143" s="275">
        <v>-22.431128868259162</v>
      </c>
      <c r="S143" s="275">
        <v>-22.38984967337252</v>
      </c>
      <c r="T143" s="275">
        <v>-22.34856737794944</v>
      </c>
      <c r="U143" s="275">
        <v>-22.307283833279168</v>
      </c>
      <c r="V143" s="275">
        <v>-22.266000926638132</v>
      </c>
      <c r="W143" s="275">
        <v>-22.224720579814541</v>
      </c>
      <c r="X143" s="275">
        <v>-22.183444747538381</v>
      </c>
      <c r="Y143" s="275">
        <v>-22.142175415818521</v>
      </c>
      <c r="Z143" s="275">
        <v>-22.100914600188229</v>
      </c>
      <c r="AA143" s="275">
        <v>-22.059664343861439</v>
      </c>
      <c r="AB143" s="275">
        <v>-22.018426715801869</v>
      </c>
      <c r="AC143" s="275">
        <v>-21.977203808707682</v>
      </c>
      <c r="AD143" s="275">
        <v>-21.935997736914789</v>
      </c>
      <c r="AE143" s="275">
        <v>-21.894810634221709</v>
      </c>
      <c r="AF143" s="275">
        <v>-21.853644651640071</v>
      </c>
      <c r="AG143" s="275">
        <v>-21.81250195507425</v>
      </c>
      <c r="AH143" s="275">
        <v>-21.77138472293441</v>
      </c>
      <c r="AI143" s="275">
        <v>-21.730295143687641</v>
      </c>
      <c r="AJ143" s="275">
        <v>-21.689235413351589</v>
      </c>
      <c r="AK143" s="275">
        <v>-21.64820773293587</v>
      </c>
      <c r="AL143" s="275">
        <v>-21.60721430583639</v>
      </c>
      <c r="AM143" s="275">
        <v>-21.56625733518813</v>
      </c>
      <c r="AN143" s="275">
        <v>-21.525339021182091</v>
      </c>
      <c r="AO143" s="275">
        <v>-21.484461558352251</v>
      </c>
      <c r="AP143" s="275">
        <v>-21.44362713283876</v>
      </c>
      <c r="AQ143" s="275">
        <v>-21.402837919633569</v>
      </c>
      <c r="AR143" s="275">
        <v>-21.36209607981483</v>
      </c>
      <c r="AS143" s="275">
        <v>-21.321403757776832</v>
      </c>
      <c r="AT143" s="275">
        <v>-21.2807630784617</v>
      </c>
      <c r="AU143" s="275">
        <v>-21.240176144600071</v>
      </c>
      <c r="AV143" s="275">
        <v>-21.199645033967009</v>
      </c>
      <c r="AW143" s="275">
        <v>-21.159171796660331</v>
      </c>
      <c r="AX143" s="275">
        <v>-21.118758452407789</v>
      </c>
      <c r="AY143" s="275">
        <v>-21.07840698791026</v>
      </c>
      <c r="AZ143" s="275">
        <v>-21.038119354227199</v>
      </c>
      <c r="BA143" s="275">
        <v>-20.997897464211441</v>
      </c>
      <c r="BB143" s="275">
        <v>-20.95774318999954</v>
      </c>
      <c r="BC143" s="275">
        <v>-20.917658360564221</v>
      </c>
      <c r="BD143" s="275">
        <v>-20.877644759335201</v>
      </c>
      <c r="BE143" s="275">
        <v>-20.837704121894429</v>
      </c>
      <c r="BF143" s="275">
        <v>-20.79783813375154</v>
      </c>
      <c r="BG143" s="275">
        <v>-20.758048428205338</v>
      </c>
      <c r="BH143" s="275">
        <v>-20.718336584296601</v>
      </c>
      <c r="BI143" s="275">
        <v>-20.678704124857351</v>
      </c>
      <c r="BJ143" s="275">
        <v>-20.639152514661461</v>
      </c>
      <c r="BK143" s="275">
        <v>-20.599683158681032</v>
      </c>
      <c r="BL143" s="275">
        <v>-20.560297400452971</v>
      </c>
      <c r="BM143" s="275">
        <v>-20.520996520559262</v>
      </c>
      <c r="BN143" s="275">
        <v>-20.481781735224679</v>
      </c>
      <c r="BO143" s="275">
        <v>-20.442654195035011</v>
      </c>
      <c r="BP143" s="275">
        <v>-20.403614983778429</v>
      </c>
      <c r="BQ143" s="275">
        <v>-20.364665117412368</v>
      </c>
      <c r="BR143" s="275">
        <v>-20.325805543157738</v>
      </c>
      <c r="BS143" s="275">
        <v>-20.28703713872217</v>
      </c>
      <c r="BT143" s="275">
        <v>-20.24836071165311</v>
      </c>
      <c r="BU143" s="275">
        <v>-20.209776998821528</v>
      </c>
      <c r="BV143" s="275">
        <v>-20.171286666036501</v>
      </c>
      <c r="BW143" s="275">
        <v>-20.132890307790468</v>
      </c>
      <c r="BX143" s="275">
        <v>-20.094588447134321</v>
      </c>
      <c r="BY143" s="275">
        <v>-20.05638153568173</v>
      </c>
      <c r="BZ143" s="275">
        <v>-20.018269953740809</v>
      </c>
      <c r="CA143" s="275">
        <v>-19.980254010571709</v>
      </c>
      <c r="CB143" s="275">
        <v>-19.94233394476754</v>
      </c>
      <c r="CC143" s="275">
        <v>-19.90450992475651</v>
      </c>
      <c r="CD143" s="275">
        <v>-19.86678204942174</v>
      </c>
      <c r="CE143" s="275">
        <v>-19.829150348836201</v>
      </c>
      <c r="CF143" s="275">
        <v>-19.791614785108621</v>
      </c>
      <c r="CG143" s="275">
        <v>-19.754175253336719</v>
      </c>
      <c r="CH143" s="275">
        <v>-19.716831582663659</v>
      </c>
      <c r="CI143" s="275">
        <v>-19.679583537433139</v>
      </c>
      <c r="CJ143" s="275">
        <v>-19.64243081843869</v>
      </c>
      <c r="CK143" s="275">
        <v>-19.605373064262128</v>
      </c>
      <c r="CL143" s="275">
        <v>-19.568409852696259</v>
      </c>
      <c r="CM143" s="275">
        <v>-19.531540702246421</v>
      </c>
      <c r="CN143" s="275">
        <v>-19.49476507370608</v>
      </c>
      <c r="CO143" s="275">
        <v>-19.458082371800231</v>
      </c>
      <c r="CP143" s="275"/>
      <c r="CQ143" s="276">
        <v>-25.42048166942778</v>
      </c>
      <c r="CR143" s="276">
        <v>-25.3707829909822</v>
      </c>
      <c r="CS143" s="276">
        <v>-25.321135230666119</v>
      </c>
      <c r="CT143" s="276">
        <v>-25.27153978109558</v>
      </c>
      <c r="CU143" s="276">
        <v>-25.221998041182381</v>
      </c>
      <c r="CV143" s="276">
        <v>-25.172511415413929</v>
      </c>
      <c r="CW143" s="276">
        <v>-25.123081313108958</v>
      </c>
      <c r="CX143" s="276">
        <v>-25.07370914764757</v>
      </c>
      <c r="CY143" s="276">
        <v>-25.024396335676141</v>
      </c>
      <c r="CZ143" s="276">
        <v>-24.975144296285201</v>
      </c>
      <c r="DA143" s="276">
        <v>-24.92595445016083</v>
      </c>
      <c r="DB143" s="276">
        <v>-24.876828218707232</v>
      </c>
      <c r="DC143" s="276">
        <v>-24.827767023141259</v>
      </c>
      <c r="DD143" s="276">
        <v>-24.778772283557011</v>
      </c>
      <c r="DE143" s="276">
        <v>-24.729845417959702</v>
      </c>
      <c r="DF143" s="276">
        <v>-24.680987841268681</v>
      </c>
      <c r="DG143" s="276">
        <v>-24.632200964287641</v>
      </c>
      <c r="DH143" s="276">
        <v>-24.583486192642169</v>
      </c>
      <c r="DI143" s="276">
        <v>-24.53484492568294</v>
      </c>
      <c r="DJ143" s="276">
        <v>-24.486278555354382</v>
      </c>
      <c r="DK143" s="276">
        <v>-24.437788465027712</v>
      </c>
      <c r="DL143" s="276">
        <v>-24.389376028297679</v>
      </c>
      <c r="DM143" s="276">
        <v>-24.341042607742509</v>
      </c>
      <c r="DN143" s="276">
        <v>-24.292789553646379</v>
      </c>
      <c r="DO143" s="276">
        <v>-24.24461820268445</v>
      </c>
      <c r="DP143" s="276">
        <v>-24.196529876569411</v>
      </c>
      <c r="DQ143" s="276">
        <v>-24.148525880660319</v>
      </c>
      <c r="DR143" s="276">
        <v>-24.10060750253335</v>
      </c>
      <c r="DS143" s="276">
        <v>-24.05277601051478</v>
      </c>
      <c r="DT143" s="276">
        <v>-24.00503265217684</v>
      </c>
      <c r="DU143" s="276">
        <v>-23.957378652797129</v>
      </c>
      <c r="DV143" s="276">
        <v>-23.909815213782672</v>
      </c>
      <c r="DW143" s="276">
        <v>-23.862343511059791</v>
      </c>
      <c r="DX143" s="276">
        <v>-23.814964693431559</v>
      </c>
      <c r="DY143" s="276">
        <v>-23.767679880904598</v>
      </c>
      <c r="DZ143" s="276">
        <v>-23.720490162987449</v>
      </c>
      <c r="EA143" s="276">
        <v>-23.6733965969633</v>
      </c>
      <c r="EB143" s="276">
        <v>-23.626400206139749</v>
      </c>
      <c r="EC143" s="276">
        <v>-23.579501978078941</v>
      </c>
      <c r="ED143" s="276">
        <v>-23.53270286281175</v>
      </c>
      <c r="EE143" s="276">
        <v>-23.486003771040171</v>
      </c>
      <c r="EF143" s="276">
        <v>-23.439405572331811</v>
      </c>
      <c r="EG143" s="276">
        <v>-23.392909093311779</v>
      </c>
      <c r="EH143" s="276">
        <v>-23.34651511585659</v>
      </c>
      <c r="EI143" s="276">
        <v>-23.300224375295631</v>
      </c>
      <c r="EJ143" s="276">
        <v>-23.254037558626099</v>
      </c>
      <c r="EK143" s="276">
        <v>-23.20795530274702</v>
      </c>
      <c r="EL143" s="276">
        <v>-23.16197819271899</v>
      </c>
      <c r="EM143" s="276">
        <v>-23.11610676005601</v>
      </c>
      <c r="EN143" s="276">
        <v>-23.07034148105625</v>
      </c>
      <c r="EO143" s="276">
        <v>-23.024682775178491</v>
      </c>
      <c r="EP143" s="276">
        <v>-22.979131003471711</v>
      </c>
      <c r="EQ143" s="276">
        <v>-22.933686467064529</v>
      </c>
      <c r="ER143" s="276">
        <v>-22.888349405722082</v>
      </c>
      <c r="ES143" s="276">
        <v>-22.843119996477618</v>
      </c>
      <c r="ET143" s="276">
        <v>-22.797998352345559</v>
      </c>
      <c r="EU143" s="276">
        <v>-22.752984521124009</v>
      </c>
      <c r="EV143" s="276">
        <v>-22.70807848429277</v>
      </c>
      <c r="EW143" s="276">
        <v>-22.663280156014508</v>
      </c>
      <c r="EX143" s="276">
        <v>-22.618589382245041</v>
      </c>
      <c r="EY143" s="276">
        <v>-22.57400593995937</v>
      </c>
      <c r="EZ143" s="276">
        <v>-22.529529536499481</v>
      </c>
      <c r="FA143" s="276">
        <v>-22.48515980904887</v>
      </c>
      <c r="FB143" s="276">
        <v>-22.440896324239869</v>
      </c>
      <c r="FC143" s="276">
        <v>-22.39673857789743</v>
      </c>
      <c r="FD143" s="276">
        <v>-22.352685994924261</v>
      </c>
      <c r="FE143" s="276">
        <v>-22.30873792932999</v>
      </c>
      <c r="FF143" s="276">
        <v>-22.264893664408291</v>
      </c>
      <c r="FG143" s="276">
        <v>-22.2211524130634</v>
      </c>
      <c r="FH143" s="276">
        <v>-22.177513318288131</v>
      </c>
      <c r="FI143" s="276">
        <v>-22.133975453793969</v>
      </c>
      <c r="FJ143" s="272">
        <v>-22.090537824793749</v>
      </c>
      <c r="FK143" s="272">
        <v>-22.047199368936528</v>
      </c>
      <c r="FL143" s="272">
        <v>-22.003958957392879</v>
      </c>
      <c r="FM143" s="272">
        <v>-21.96081539608948</v>
      </c>
      <c r="FN143" s="272">
        <v>-21.91776742708937</v>
      </c>
      <c r="FO143" s="272">
        <v>-21.874813730115861</v>
      </c>
      <c r="FP143" s="272">
        <v>-21.831952924214381</v>
      </c>
      <c r="FQ143" s="272">
        <v>-21.789183569549451</v>
      </c>
      <c r="FR143" s="272">
        <v>-21.746504169329221</v>
      </c>
      <c r="FS143" s="272">
        <v>-21.703913171854119</v>
      </c>
      <c r="FT143" s="272">
        <v>-21.66140897268086</v>
      </c>
      <c r="FU143" s="272">
        <v>-21.61898991689624</v>
      </c>
      <c r="FV143" s="272">
        <v>-21.576654301492351</v>
      </c>
      <c r="FW143" s="272">
        <v>-21.534400377835649</v>
      </c>
      <c r="FX143" s="272">
        <v>-21.4922263542216</v>
      </c>
      <c r="FY143" s="272">
        <v>-21.450130398505621</v>
      </c>
      <c r="FZ143" s="272">
        <v>-21.408110640802281</v>
      </c>
      <c r="GA143" s="272">
        <v>-21.366165176242301</v>
      </c>
      <c r="GB143" s="272">
        <v>-21.324292067779751</v>
      </c>
      <c r="GC143" s="272">
        <v>-21.28248934903797</v>
      </c>
    </row>
    <row r="144" spans="2:185" ht="15" thickBot="1" x14ac:dyDescent="0.4">
      <c r="B144" s="298">
        <v>138</v>
      </c>
      <c r="C144" s="275">
        <v>-23.261855746454771</v>
      </c>
      <c r="D144" s="275">
        <v>-23.22084864451713</v>
      </c>
      <c r="E144" s="275">
        <v>-23.179816560754499</v>
      </c>
      <c r="F144" s="275">
        <v>-23.138760683801799</v>
      </c>
      <c r="G144" s="275">
        <v>-23.09768224761012</v>
      </c>
      <c r="H144" s="275">
        <v>-23.056582531330921</v>
      </c>
      <c r="I144" s="275">
        <v>-23.0154628591219</v>
      </c>
      <c r="J144" s="275">
        <v>-22.97432459987153</v>
      </c>
      <c r="K144" s="275">
        <v>-22.933169166840639</v>
      </c>
      <c r="L144" s="275">
        <v>-22.891998017219041</v>
      </c>
      <c r="M144" s="275">
        <v>-22.85081265159543</v>
      </c>
      <c r="N144" s="275">
        <v>-22.809614613338901</v>
      </c>
      <c r="O144" s="275">
        <v>-22.76840548789103</v>
      </c>
      <c r="P144" s="275">
        <v>-22.727186901967229</v>
      </c>
      <c r="Q144" s="275">
        <v>-22.68596052266658</v>
      </c>
      <c r="R144" s="275">
        <v>-22.64472805648963</v>
      </c>
      <c r="S144" s="275">
        <v>-22.603491248263509</v>
      </c>
      <c r="T144" s="275">
        <v>-22.562251879974731</v>
      </c>
      <c r="U144" s="275">
        <v>-22.521011769509379</v>
      </c>
      <c r="V144" s="275">
        <v>-22.479772769301579</v>
      </c>
      <c r="W144" s="275">
        <v>-22.43853676489076</v>
      </c>
      <c r="X144" s="275">
        <v>-22.397305673388871</v>
      </c>
      <c r="Y144" s="275">
        <v>-22.35608144185877</v>
      </c>
      <c r="Z144" s="275">
        <v>-22.314866045605719</v>
      </c>
      <c r="AA144" s="275">
        <v>-22.273661486383649</v>
      </c>
      <c r="AB144" s="275">
        <v>-22.232469790518628</v>
      </c>
      <c r="AC144" s="275">
        <v>-22.19129300695208</v>
      </c>
      <c r="AD144" s="275">
        <v>-22.15013320520659</v>
      </c>
      <c r="AE144" s="275">
        <v>-22.10899247327745</v>
      </c>
      <c r="AF144" s="275">
        <v>-22.06787291545351</v>
      </c>
      <c r="AG144" s="275">
        <v>-22.026776650070971</v>
      </c>
      <c r="AH144" s="275">
        <v>-21.98570580720407</v>
      </c>
      <c r="AI144" s="275">
        <v>-21.94466252629725</v>
      </c>
      <c r="AJ144" s="275">
        <v>-21.903648953743051</v>
      </c>
      <c r="AK144" s="275">
        <v>-21.862667240410659</v>
      </c>
      <c r="AL144" s="275">
        <v>-21.821719539130211</v>
      </c>
      <c r="AM144" s="275">
        <v>-21.780808002137999</v>
      </c>
      <c r="AN144" s="275">
        <v>-21.739934778487982</v>
      </c>
      <c r="AO144" s="275">
        <v>-21.699102011435599</v>
      </c>
      <c r="AP144" s="275">
        <v>-21.65831183579926</v>
      </c>
      <c r="AQ144" s="275">
        <v>-21.617566375305731</v>
      </c>
      <c r="AR144" s="275">
        <v>-21.57686773992555</v>
      </c>
      <c r="AS144" s="275">
        <v>-21.53621802320464</v>
      </c>
      <c r="AT144" s="275">
        <v>-21.495619299598289</v>
      </c>
      <c r="AU144" s="275">
        <v>-21.455073621814218</v>
      </c>
      <c r="AV144" s="275">
        <v>-21.414583018170831</v>
      </c>
      <c r="AW144" s="275">
        <v>-21.374149489977231</v>
      </c>
      <c r="AX144" s="275">
        <v>-21.333775008941561</v>
      </c>
      <c r="AY144" s="275">
        <v>-21.293461514613909</v>
      </c>
      <c r="AZ144" s="275">
        <v>-21.25321091187023</v>
      </c>
      <c r="BA144" s="275">
        <v>-21.213025068443709</v>
      </c>
      <c r="BB144" s="275">
        <v>-21.172905812509551</v>
      </c>
      <c r="BC144" s="275">
        <v>-21.13285493032943</v>
      </c>
      <c r="BD144" s="275">
        <v>-21.09287416396166</v>
      </c>
      <c r="BE144" s="275">
        <v>-21.05296520904243</v>
      </c>
      <c r="BF144" s="275">
        <v>-21.013129712644311</v>
      </c>
      <c r="BG144" s="275">
        <v>-20.97336927121674</v>
      </c>
      <c r="BH144" s="275">
        <v>-20.93368542861414</v>
      </c>
      <c r="BI144" s="275">
        <v>-20.894079674216261</v>
      </c>
      <c r="BJ144" s="275">
        <v>-20.85455344114547</v>
      </c>
      <c r="BK144" s="275">
        <v>-20.81510810458516</v>
      </c>
      <c r="BL144" s="275">
        <v>-20.775744980203399</v>
      </c>
      <c r="BM144" s="275">
        <v>-20.736465322685412</v>
      </c>
      <c r="BN144" s="275">
        <v>-20.697270324378181</v>
      </c>
      <c r="BO144" s="275">
        <v>-20.65816111405028</v>
      </c>
      <c r="BP144" s="275">
        <v>-20.61913875576921</v>
      </c>
      <c r="BQ144" s="275">
        <v>-20.580204247898859</v>
      </c>
      <c r="BR144" s="275">
        <v>-20.54135852221852</v>
      </c>
      <c r="BS144" s="275">
        <v>-20.502602443165269</v>
      </c>
      <c r="BT144" s="275">
        <v>-20.463936807200341</v>
      </c>
      <c r="BU144" s="275">
        <v>-20.425362342300449</v>
      </c>
      <c r="BV144" s="275">
        <v>-20.38687970757432</v>
      </c>
      <c r="BW144" s="275">
        <v>-20.348489493003822</v>
      </c>
      <c r="BX144" s="275">
        <v>-20.310192219309808</v>
      </c>
      <c r="BY144" s="275">
        <v>-20.271988337941149</v>
      </c>
      <c r="BZ144" s="275">
        <v>-20.233878231186029</v>
      </c>
      <c r="CA144" s="275">
        <v>-20.19586221240349</v>
      </c>
      <c r="CB144" s="275">
        <v>-20.157940526373459</v>
      </c>
      <c r="CC144" s="275">
        <v>-20.12011334976269</v>
      </c>
      <c r="CD144" s="275">
        <v>-20.082380791703869</v>
      </c>
      <c r="CE144" s="275">
        <v>-20.044742894484909</v>
      </c>
      <c r="CF144" s="275">
        <v>-20.007199634345071</v>
      </c>
      <c r="CG144" s="275">
        <v>-19.969750922374171</v>
      </c>
      <c r="CH144" s="275">
        <v>-19.93239660551103</v>
      </c>
      <c r="CI144" s="275">
        <v>-19.895136467637109</v>
      </c>
      <c r="CJ144" s="275">
        <v>-19.857970230760792</v>
      </c>
      <c r="CK144" s="275">
        <v>-19.820897556287861</v>
      </c>
      <c r="CL144" s="275">
        <v>-19.783918046373248</v>
      </c>
      <c r="CM144" s="275">
        <v>-19.747031245349671</v>
      </c>
      <c r="CN144" s="275">
        <v>-19.710236641227159</v>
      </c>
      <c r="CO144" s="275">
        <v>-19.673533667259541</v>
      </c>
      <c r="CP144" s="275"/>
      <c r="CQ144" s="276">
        <v>-25.653465650289359</v>
      </c>
      <c r="CR144" s="276">
        <v>-25.603814971078531</v>
      </c>
      <c r="CS144" s="276">
        <v>-25.554215115271528</v>
      </c>
      <c r="CT144" s="276">
        <v>-25.504667451068261</v>
      </c>
      <c r="CU144" s="276">
        <v>-25.455173352464151</v>
      </c>
      <c r="CV144" s="276">
        <v>-25.405734198534159</v>
      </c>
      <c r="CW144" s="276">
        <v>-25.356351372692391</v>
      </c>
      <c r="CX144" s="276">
        <v>-25.307026261926879</v>
      </c>
      <c r="CY144" s="276">
        <v>-25.257760256009391</v>
      </c>
      <c r="CZ144" s="276">
        <v>-25.20855474667923</v>
      </c>
      <c r="DA144" s="276">
        <v>-25.15941112679997</v>
      </c>
      <c r="DB144" s="276">
        <v>-25.11033078948935</v>
      </c>
      <c r="DC144" s="276">
        <v>-25.061315127220919</v>
      </c>
      <c r="DD144" s="276">
        <v>-25.012365530896719</v>
      </c>
      <c r="DE144" s="276">
        <v>-24.963483388890669</v>
      </c>
      <c r="DF144" s="276">
        <v>-24.91467008606136</v>
      </c>
      <c r="DG144" s="276">
        <v>-24.865927002733681</v>
      </c>
      <c r="DH144" s="276">
        <v>-24.817255513648959</v>
      </c>
      <c r="DI144" s="276">
        <v>-24.768656986881961</v>
      </c>
      <c r="DJ144" s="276">
        <v>-24.72013278272517</v>
      </c>
      <c r="DK144" s="276">
        <v>-24.671684252538778</v>
      </c>
      <c r="DL144" s="276">
        <v>-24.62331273756649</v>
      </c>
      <c r="DM144" s="276">
        <v>-24.57501956771619</v>
      </c>
      <c r="DN144" s="276">
        <v>-24.526806060305709</v>
      </c>
      <c r="DO144" s="276">
        <v>-24.47867351877262</v>
      </c>
      <c r="DP144" s="276">
        <v>-24.430623231348779</v>
      </c>
      <c r="DQ144" s="276">
        <v>-24.382656469699111</v>
      </c>
      <c r="DR144" s="276">
        <v>-24.33477448752512</v>
      </c>
      <c r="DS144" s="276">
        <v>-24.286978519133431</v>
      </c>
      <c r="DT144" s="276">
        <v>-24.23926977797009</v>
      </c>
      <c r="DU144" s="276">
        <v>-24.19164945512146</v>
      </c>
      <c r="DV144" s="276">
        <v>-24.144118717782501</v>
      </c>
      <c r="DW144" s="276">
        <v>-24.096678707694469</v>
      </c>
      <c r="DX144" s="276">
        <v>-24.049330539553111</v>
      </c>
      <c r="DY144" s="276">
        <v>-24.002075299389301</v>
      </c>
      <c r="DZ144" s="276">
        <v>-23.95491404292488</v>
      </c>
      <c r="EA144" s="276">
        <v>-23.907847793905638</v>
      </c>
      <c r="EB144" s="276">
        <v>-23.86087754241462</v>
      </c>
      <c r="EC144" s="276">
        <v>-23.814004243168949</v>
      </c>
      <c r="ED144" s="276">
        <v>-23.767228813803779</v>
      </c>
      <c r="EE144" s="276">
        <v>-23.72055213314691</v>
      </c>
      <c r="EF144" s="276">
        <v>-23.673975039488539</v>
      </c>
      <c r="EG144" s="276">
        <v>-23.627498328851011</v>
      </c>
      <c r="EH144" s="276">
        <v>-23.581122753262331</v>
      </c>
      <c r="EI144" s="276">
        <v>-23.534849019039861</v>
      </c>
      <c r="EJ144" s="276">
        <v>-23.488677785088761</v>
      </c>
      <c r="EK144" s="276">
        <v>-23.442609661221159</v>
      </c>
      <c r="EL144" s="276">
        <v>-23.39664520650204</v>
      </c>
      <c r="EM144" s="276">
        <v>-23.350784927627949</v>
      </c>
      <c r="EN144" s="276">
        <v>-23.305029277344779</v>
      </c>
      <c r="EO144" s="276">
        <v>-23.25937865291143</v>
      </c>
      <c r="EP144" s="276">
        <v>-23.213833394615509</v>
      </c>
      <c r="EQ144" s="276">
        <v>-23.168393784348471</v>
      </c>
      <c r="ER144" s="276">
        <v>-23.123060044246142</v>
      </c>
      <c r="ES144" s="276">
        <v>-23.07783233540205</v>
      </c>
      <c r="ET144" s="276">
        <v>-23.032710756660322</v>
      </c>
      <c r="EU144" s="276">
        <v>-22.987695343493922</v>
      </c>
      <c r="EV144" s="276">
        <v>-22.94278606697593</v>
      </c>
      <c r="EW144" s="276">
        <v>-22.897982832849269</v>
      </c>
      <c r="EX144" s="276">
        <v>-22.85328548070143</v>
      </c>
      <c r="EY144" s="276">
        <v>-22.808693783249979</v>
      </c>
      <c r="EZ144" s="276">
        <v>-22.764207445743871</v>
      </c>
      <c r="FA144" s="276">
        <v>-22.719826105486671</v>
      </c>
      <c r="FB144" s="276">
        <v>-22.675549331485112</v>
      </c>
      <c r="FC144" s="276">
        <v>-22.631376624228551</v>
      </c>
      <c r="FD144" s="276">
        <v>-22.587307415601629</v>
      </c>
      <c r="FE144" s="276">
        <v>-22.543341068935089</v>
      </c>
      <c r="FF144" s="276">
        <v>-22.499476879195651</v>
      </c>
      <c r="FG144" s="276">
        <v>-22.455714073318351</v>
      </c>
      <c r="FH144" s="276">
        <v>-22.412051810681969</v>
      </c>
      <c r="FI144" s="276">
        <v>-22.368489183728649</v>
      </c>
      <c r="FJ144" s="272">
        <v>-22.325025218728179</v>
      </c>
      <c r="FK144" s="272">
        <v>-22.281658876685551</v>
      </c>
      <c r="FL144" s="272">
        <v>-22.2383890543917</v>
      </c>
      <c r="FM144" s="272">
        <v>-22.195214585614661</v>
      </c>
      <c r="FN144" s="272">
        <v>-22.152134242429181</v>
      </c>
      <c r="FO144" s="272">
        <v>-22.109146736681449</v>
      </c>
      <c r="FP144" s="272">
        <v>-22.06625072158516</v>
      </c>
      <c r="FQ144" s="272">
        <v>-22.023444793444071</v>
      </c>
      <c r="FR144" s="272">
        <v>-21.980727493497319</v>
      </c>
      <c r="FS144" s="272">
        <v>-21.938097309879829</v>
      </c>
      <c r="FT144" s="272">
        <v>-21.89555267969401</v>
      </c>
      <c r="FU144" s="272">
        <v>-21.85309199118436</v>
      </c>
      <c r="FV144" s="272">
        <v>-21.810713586008671</v>
      </c>
      <c r="FW144" s="272">
        <v>-21.768415761598629</v>
      </c>
      <c r="FX144" s="272">
        <v>-21.72619677360106</v>
      </c>
      <c r="FY144" s="272">
        <v>-21.684054838393099</v>
      </c>
      <c r="FZ144" s="272">
        <v>-21.641988135660839</v>
      </c>
      <c r="GA144" s="272">
        <v>-21.599994811035721</v>
      </c>
      <c r="GB144" s="272">
        <v>-21.55807297877644</v>
      </c>
      <c r="GC144" s="272">
        <v>-21.51622072449096</v>
      </c>
    </row>
    <row r="145" spans="2:185" ht="15" thickBot="1" x14ac:dyDescent="0.4">
      <c r="B145" s="298">
        <v>139</v>
      </c>
      <c r="C145" s="275">
        <v>-23.474913917654909</v>
      </c>
      <c r="D145" s="275">
        <v>-23.4339379836617</v>
      </c>
      <c r="E145" s="275">
        <v>-23.39293790397474</v>
      </c>
      <c r="F145" s="275">
        <v>-23.351914856353581</v>
      </c>
      <c r="G145" s="275">
        <v>-23.310870062469441</v>
      </c>
      <c r="H145" s="275">
        <v>-23.269804787768042</v>
      </c>
      <c r="I145" s="275">
        <v>-23.22872034125643</v>
      </c>
      <c r="J145" s="275">
        <v>-23.187618075211699</v>
      </c>
      <c r="K145" s="275">
        <v>-23.146499384809811</v>
      </c>
      <c r="L145" s="275">
        <v>-23.105365707672259</v>
      </c>
      <c r="M145" s="275">
        <v>-23.064218523329711</v>
      </c>
      <c r="N145" s="275">
        <v>-23.02305935260058</v>
      </c>
      <c r="O145" s="275">
        <v>-22.981889756883749</v>
      </c>
      <c r="P145" s="275">
        <v>-22.940711337364132</v>
      </c>
      <c r="Q145" s="275">
        <v>-22.899525734130751</v>
      </c>
      <c r="R145" s="275">
        <v>-22.858334625206389</v>
      </c>
      <c r="S145" s="275">
        <v>-22.81713972548874</v>
      </c>
      <c r="T145" s="275">
        <v>-22.775942785603071</v>
      </c>
      <c r="U145" s="275">
        <v>-22.73474559066652</v>
      </c>
      <c r="V145" s="275">
        <v>-22.693549958964699</v>
      </c>
      <c r="W145" s="275">
        <v>-22.652357740541259</v>
      </c>
      <c r="X145" s="275">
        <v>-22.611170815701499</v>
      </c>
      <c r="Y145" s="275">
        <v>-22.569991093431369</v>
      </c>
      <c r="Z145" s="275">
        <v>-22.528820509733741</v>
      </c>
      <c r="AA145" s="275">
        <v>-22.487661025883281</v>
      </c>
      <c r="AB145" s="275">
        <v>-22.446514626602969</v>
      </c>
      <c r="AC145" s="275">
        <v>-22.405383318163889</v>
      </c>
      <c r="AD145" s="275">
        <v>-22.36426912641172</v>
      </c>
      <c r="AE145" s="275">
        <v>-22.323174094722809</v>
      </c>
      <c r="AF145" s="275">
        <v>-22.282100281892902</v>
      </c>
      <c r="AG145" s="275">
        <v>-22.24104975996255</v>
      </c>
      <c r="AH145" s="275">
        <v>-22.20002461198273</v>
      </c>
      <c r="AI145" s="275">
        <v>-22.15902692972508</v>
      </c>
      <c r="AJ145" s="275">
        <v>-22.11805881134077</v>
      </c>
      <c r="AK145" s="275">
        <v>-22.077122358973089</v>
      </c>
      <c r="AL145" s="275">
        <v>-22.036219676328091</v>
      </c>
      <c r="AM145" s="275">
        <v>-21.99535286620857</v>
      </c>
      <c r="AN145" s="275">
        <v>-21.954524028016689</v>
      </c>
      <c r="AO145" s="275">
        <v>-21.91373525523035</v>
      </c>
      <c r="AP145" s="275">
        <v>-21.872988632859201</v>
      </c>
      <c r="AQ145" s="275">
        <v>-21.83228623488565</v>
      </c>
      <c r="AR145" s="275">
        <v>-21.791630121697121</v>
      </c>
      <c r="AS145" s="275">
        <v>-21.75102233751501</v>
      </c>
      <c r="AT145" s="275">
        <v>-21.710464907826761</v>
      </c>
      <c r="AU145" s="275">
        <v>-21.669959836826891</v>
      </c>
      <c r="AV145" s="275">
        <v>-21.62950910487325</v>
      </c>
      <c r="AW145" s="275">
        <v>-21.589114665964399</v>
      </c>
      <c r="AX145" s="275">
        <v>-21.548778445244661</v>
      </c>
      <c r="AY145" s="275">
        <v>-21.508502336542559</v>
      </c>
      <c r="AZ145" s="275">
        <v>-21.468288199948809</v>
      </c>
      <c r="BA145" s="275">
        <v>-21.428137859440159</v>
      </c>
      <c r="BB145" s="275">
        <v>-21.388053100554451</v>
      </c>
      <c r="BC145" s="275">
        <v>-21.348035668123199</v>
      </c>
      <c r="BD145" s="275">
        <v>-21.308087264066931</v>
      </c>
      <c r="BE145" s="275">
        <v>-21.26820954525909</v>
      </c>
      <c r="BF145" s="275">
        <v>-21.22840412146358</v>
      </c>
      <c r="BG145" s="275">
        <v>-21.188672553351111</v>
      </c>
      <c r="BH145" s="275">
        <v>-21.1490163505994</v>
      </c>
      <c r="BI145" s="275">
        <v>-21.109436970081429</v>
      </c>
      <c r="BJ145" s="275">
        <v>-21.069935814146579</v>
      </c>
      <c r="BK145" s="275">
        <v>-21.030514228998609</v>
      </c>
      <c r="BL145" s="275">
        <v>-20.991173503174011</v>
      </c>
      <c r="BM145" s="275">
        <v>-20.95191486612449</v>
      </c>
      <c r="BN145" s="275">
        <v>-20.912739486906709</v>
      </c>
      <c r="BO145" s="275">
        <v>-20.873648472982062</v>
      </c>
      <c r="BP145" s="275">
        <v>-20.8346428691288</v>
      </c>
      <c r="BQ145" s="275">
        <v>-20.795723656468908</v>
      </c>
      <c r="BR145" s="275">
        <v>-20.75689175161132</v>
      </c>
      <c r="BS145" s="275">
        <v>-20.71814800591283</v>
      </c>
      <c r="BT145" s="275">
        <v>-20.679493204857611</v>
      </c>
      <c r="BU145" s="275">
        <v>-20.640928067556501</v>
      </c>
      <c r="BV145" s="275">
        <v>-20.6024532463654</v>
      </c>
      <c r="BW145" s="275">
        <v>-20.564069326623539</v>
      </c>
      <c r="BX145" s="275">
        <v>-20.525776826510501</v>
      </c>
      <c r="BY145" s="275">
        <v>-20.48757619702161</v>
      </c>
      <c r="BZ145" s="275">
        <v>-20.449467822060001</v>
      </c>
      <c r="CA145" s="275">
        <v>-20.411452018644081</v>
      </c>
      <c r="CB145" s="275">
        <v>-20.373529037228661</v>
      </c>
      <c r="CC145" s="275">
        <v>-20.335699062136801</v>
      </c>
      <c r="CD145" s="275">
        <v>-20.29796221210065</v>
      </c>
      <c r="CE145" s="275">
        <v>-20.26031854090791</v>
      </c>
      <c r="CF145" s="275">
        <v>-20.222768038150821</v>
      </c>
      <c r="CG145" s="275">
        <v>-20.185310630074429</v>
      </c>
      <c r="CH145" s="275">
        <v>-20.147946180520261</v>
      </c>
      <c r="CI145" s="275">
        <v>-20.110674491961731</v>
      </c>
      <c r="CJ145" s="275">
        <v>-20.073495306626899</v>
      </c>
      <c r="CK145" s="275">
        <v>-20.03640830770453</v>
      </c>
      <c r="CL145" s="275">
        <v>-19.99941312062872</v>
      </c>
      <c r="CM145" s="275">
        <v>-19.962509314437771</v>
      </c>
      <c r="CN145" s="275">
        <v>-19.925696403202281</v>
      </c>
      <c r="CO145" s="275">
        <v>-19.888973847517729</v>
      </c>
      <c r="CP145" s="275"/>
      <c r="CQ145" s="276">
        <v>-25.88645339786969</v>
      </c>
      <c r="CR145" s="276">
        <v>-25.836850030425349</v>
      </c>
      <c r="CS145" s="276">
        <v>-25.7872973822776</v>
      </c>
      <c r="CT145" s="276">
        <v>-25.737796797527668</v>
      </c>
      <c r="CU145" s="276">
        <v>-25.688349625587911</v>
      </c>
      <c r="CV145" s="276">
        <v>-25.63895722046988</v>
      </c>
      <c r="CW145" s="276">
        <v>-25.589620940048821</v>
      </c>
      <c r="CX145" s="276">
        <v>-25.54034214530369</v>
      </c>
      <c r="CY145" s="276">
        <v>-25.491122199532612</v>
      </c>
      <c r="CZ145" s="276">
        <v>-25.441962467542488</v>
      </c>
      <c r="DA145" s="276">
        <v>-25.392864314812989</v>
      </c>
      <c r="DB145" s="276">
        <v>-25.3438291066335</v>
      </c>
      <c r="DC145" s="276">
        <v>-25.294858207213139</v>
      </c>
      <c r="DD145" s="276">
        <v>-25.24595297876224</v>
      </c>
      <c r="DE145" s="276">
        <v>-25.19711478054602</v>
      </c>
      <c r="DF145" s="276">
        <v>-25.148344967907718</v>
      </c>
      <c r="DG145" s="276">
        <v>-25.0996448912631</v>
      </c>
      <c r="DH145" s="276">
        <v>-25.051015895063362</v>
      </c>
      <c r="DI145" s="276">
        <v>-25.002459316727069</v>
      </c>
      <c r="DJ145" s="276">
        <v>-24.953976485540789</v>
      </c>
      <c r="DK145" s="276">
        <v>-24.905568721526759</v>
      </c>
      <c r="DL145" s="276">
        <v>-24.857237334278441</v>
      </c>
      <c r="DM145" s="276">
        <v>-24.808983621762611</v>
      </c>
      <c r="DN145" s="276">
        <v>-24.760808869088791</v>
      </c>
      <c r="DO145" s="276">
        <v>-24.7127143472445</v>
      </c>
      <c r="DP145" s="276">
        <v>-24.664701311798058</v>
      </c>
      <c r="DQ145" s="276">
        <v>-24.616771001567379</v>
      </c>
      <c r="DR145" s="276">
        <v>-24.568924637256551</v>
      </c>
      <c r="DS145" s="276">
        <v>-24.52116342005996</v>
      </c>
      <c r="DT145" s="276">
        <v>-24.47348853023437</v>
      </c>
      <c r="DU145" s="276">
        <v>-24.425901125641239</v>
      </c>
      <c r="DV145" s="276">
        <v>-24.378402340258539</v>
      </c>
      <c r="DW145" s="276">
        <v>-24.330993282665471</v>
      </c>
      <c r="DX145" s="276">
        <v>-24.283675034500071</v>
      </c>
      <c r="DY145" s="276">
        <v>-24.236448648892889</v>
      </c>
      <c r="DZ145" s="276">
        <v>-24.189315148878201</v>
      </c>
      <c r="EA145" s="276">
        <v>-24.14227552578576</v>
      </c>
      <c r="EB145" s="276">
        <v>-24.095330737615551</v>
      </c>
      <c r="EC145" s="276">
        <v>-24.048481707398938</v>
      </c>
      <c r="ED145" s="276">
        <v>-24.001729321549611</v>
      </c>
      <c r="EE145" s="276">
        <v>-23.95507442820773</v>
      </c>
      <c r="EF145" s="276">
        <v>-23.908517835582089</v>
      </c>
      <c r="EG145" s="276">
        <v>-23.862060310293408</v>
      </c>
      <c r="EH145" s="276">
        <v>-23.815702575724831</v>
      </c>
      <c r="EI145" s="276">
        <v>-23.769445310383229</v>
      </c>
      <c r="EJ145" s="276">
        <v>-23.723289146277398</v>
      </c>
      <c r="EK145" s="276">
        <v>-23.67723466731784</v>
      </c>
      <c r="EL145" s="276">
        <v>-23.631282407744269</v>
      </c>
      <c r="EM145" s="276">
        <v>-23.58543285058656</v>
      </c>
      <c r="EN145" s="276">
        <v>-23.539686426164639</v>
      </c>
      <c r="EO145" s="276">
        <v>-23.494043510634199</v>
      </c>
      <c r="EP145" s="276">
        <v>-23.448504424583842</v>
      </c>
      <c r="EQ145" s="276">
        <v>-23.403069431690291</v>
      </c>
      <c r="ER145" s="276">
        <v>-23.35773873743776</v>
      </c>
      <c r="ES145" s="276">
        <v>-23.31251248790791</v>
      </c>
      <c r="ET145" s="276">
        <v>-23.267390768646859</v>
      </c>
      <c r="EU145" s="276">
        <v>-23.22237360361488</v>
      </c>
      <c r="EV145" s="276">
        <v>-23.17746095422563</v>
      </c>
      <c r="EW145" s="276">
        <v>-23.132652718479651</v>
      </c>
      <c r="EX145" s="276">
        <v>-23.08794873019934</v>
      </c>
      <c r="EY145" s="276">
        <v>-23.043348758368978</v>
      </c>
      <c r="EZ145" s="276">
        <v>-22.998852506586349</v>
      </c>
      <c r="FA145" s="276">
        <v>-22.954459612630071</v>
      </c>
      <c r="FB145" s="276">
        <v>-22.910169648146649</v>
      </c>
      <c r="FC145" s="276">
        <v>-22.865982118461918</v>
      </c>
      <c r="FD145" s="276">
        <v>-22.82189646251965</v>
      </c>
      <c r="FE145" s="276">
        <v>-22.777912052950612</v>
      </c>
      <c r="FF145" s="276">
        <v>-22.734028196274291</v>
      </c>
      <c r="FG145" s="276">
        <v>-22.690244133235382</v>
      </c>
      <c r="FH145" s="276">
        <v>-22.646559039275989</v>
      </c>
      <c r="FI145" s="276">
        <v>-22.602972025144801</v>
      </c>
      <c r="FJ145" s="272">
        <v>-22.55948213764243</v>
      </c>
      <c r="FK145" s="272">
        <v>-22.516088360503311</v>
      </c>
      <c r="FL145" s="272">
        <v>-22.472789615412491</v>
      </c>
      <c r="FM145" s="272">
        <v>-22.429584763155638</v>
      </c>
      <c r="FN145" s="272">
        <v>-22.386472604899769</v>
      </c>
      <c r="FO145" s="272">
        <v>-22.343451883602089</v>
      </c>
      <c r="FP145" s="272">
        <v>-22.30052128554297</v>
      </c>
      <c r="FQ145" s="272">
        <v>-22.257679441978791</v>
      </c>
      <c r="FR145" s="272">
        <v>-22.21492493091063</v>
      </c>
      <c r="FS145" s="272">
        <v>-22.172256278962671</v>
      </c>
      <c r="FT145" s="272">
        <v>-22.129671963365318</v>
      </c>
      <c r="FU145" s="272">
        <v>-22.087170414036411</v>
      </c>
      <c r="FV145" s="272">
        <v>-22.044750015753859</v>
      </c>
      <c r="FW145" s="272">
        <v>-22.002409110413542</v>
      </c>
      <c r="FX145" s="272">
        <v>-21.960145999363601</v>
      </c>
      <c r="FY145" s="272">
        <v>-21.91795894580925</v>
      </c>
      <c r="FZ145" s="272">
        <v>-21.875846177278891</v>
      </c>
      <c r="GA145" s="272">
        <v>-21.833805888144258</v>
      </c>
      <c r="GB145" s="272">
        <v>-21.791836242185781</v>
      </c>
      <c r="GC145" s="272">
        <v>-21.749935375195619</v>
      </c>
    </row>
    <row r="146" spans="2:185" ht="15" thickBot="1" x14ac:dyDescent="0.4">
      <c r="B146" s="298">
        <v>140</v>
      </c>
      <c r="C146" s="275">
        <v>-23.68798371904111</v>
      </c>
      <c r="D146" s="275">
        <v>-23.64703881375328</v>
      </c>
      <c r="E146" s="275">
        <v>-23.606070576288921</v>
      </c>
      <c r="F146" s="275">
        <v>-23.565080173365619</v>
      </c>
      <c r="G146" s="275">
        <v>-23.524068814252111</v>
      </c>
      <c r="H146" s="275">
        <v>-23.48303775061143</v>
      </c>
      <c r="I146" s="275">
        <v>-23.441988276270578</v>
      </c>
      <c r="J146" s="275">
        <v>-23.400921726914959</v>
      </c>
      <c r="K146" s="275">
        <v>-23.359839479705592</v>
      </c>
      <c r="L146" s="275">
        <v>-23.31874295281763</v>
      </c>
      <c r="M146" s="275">
        <v>-23.27763360489875</v>
      </c>
      <c r="N146" s="275">
        <v>-23.236512934445841</v>
      </c>
      <c r="O146" s="275">
        <v>-23.19538247909929</v>
      </c>
      <c r="P146" s="275">
        <v>-23.154243814853789</v>
      </c>
      <c r="Q146" s="275">
        <v>-23.113098555184969</v>
      </c>
      <c r="R146" s="275">
        <v>-23.07194835009156</v>
      </c>
      <c r="S146" s="275">
        <v>-23.030794885052849</v>
      </c>
      <c r="T146" s="275">
        <v>-22.98963987990123</v>
      </c>
      <c r="U146" s="275">
        <v>-22.948485087610649</v>
      </c>
      <c r="V146" s="275">
        <v>-22.907332293000941</v>
      </c>
      <c r="W146" s="275">
        <v>-22.866183311359261</v>
      </c>
      <c r="X146" s="275">
        <v>-22.825039986979419</v>
      </c>
      <c r="Y146" s="275">
        <v>-22.783904191620749</v>
      </c>
      <c r="Z146" s="275">
        <v>-22.742777822887749</v>
      </c>
      <c r="AA146" s="275">
        <v>-22.701662802532681</v>
      </c>
      <c r="AB146" s="275">
        <v>-22.660561074683251</v>
      </c>
      <c r="AC146" s="275">
        <v>-22.619474603997581</v>
      </c>
      <c r="AD146" s="275">
        <v>-22.578405373749451</v>
      </c>
      <c r="AE146" s="275">
        <v>-22.537355383846531</v>
      </c>
      <c r="AF146" s="275">
        <v>-22.496326648785018</v>
      </c>
      <c r="AG146" s="275">
        <v>-22.455321195544009</v>
      </c>
      <c r="AH146" s="275">
        <v>-22.414341061423471</v>
      </c>
      <c r="AI146" s="275">
        <v>-22.3733882918295</v>
      </c>
      <c r="AJ146" s="275">
        <v>-22.332464938011551</v>
      </c>
      <c r="AK146" s="275">
        <v>-22.291573054755421</v>
      </c>
      <c r="AL146" s="275">
        <v>-22.250714698037189</v>
      </c>
      <c r="AM146" s="275">
        <v>-22.20989192264252</v>
      </c>
      <c r="AN146" s="275">
        <v>-22.1691067797566</v>
      </c>
      <c r="AO146" s="275">
        <v>-22.128361314529499</v>
      </c>
      <c r="AP146" s="275">
        <v>-22.08765756362283</v>
      </c>
      <c r="AQ146" s="275">
        <v>-22.04699755274255</v>
      </c>
      <c r="AR146" s="275">
        <v>-22.006383294163861</v>
      </c>
      <c r="AS146" s="275">
        <v>-21.9658167842537</v>
      </c>
      <c r="AT146" s="275">
        <v>-21.925300000996621</v>
      </c>
      <c r="AU146" s="275">
        <v>-21.884834901529739</v>
      </c>
      <c r="AV146" s="275">
        <v>-21.844423419692721</v>
      </c>
      <c r="AW146" s="275">
        <v>-21.80406746359861</v>
      </c>
      <c r="AX146" s="275">
        <v>-21.763768913231171</v>
      </c>
      <c r="AY146" s="275">
        <v>-21.723529618074849</v>
      </c>
      <c r="AZ146" s="275">
        <v>-21.68335139478296</v>
      </c>
      <c r="BA146" s="275">
        <v>-21.643236024889681</v>
      </c>
      <c r="BB146" s="275">
        <v>-21.603185252571791</v>
      </c>
      <c r="BC146" s="275">
        <v>-21.563200782465309</v>
      </c>
      <c r="BD146" s="275">
        <v>-21.523284277542562</v>
      </c>
      <c r="BE146" s="275">
        <v>-21.48343735705495</v>
      </c>
      <c r="BF146" s="275">
        <v>-21.44366159454632</v>
      </c>
      <c r="BG146" s="275">
        <v>-21.403958515941859</v>
      </c>
      <c r="BH146" s="275">
        <v>-21.36432959771712</v>
      </c>
      <c r="BI146" s="275">
        <v>-21.324776265151598</v>
      </c>
      <c r="BJ146" s="275">
        <v>-21.28529989067097</v>
      </c>
      <c r="BK146" s="275">
        <v>-21.245901792281959</v>
      </c>
      <c r="BL146" s="275">
        <v>-21.206583232103341</v>
      </c>
      <c r="BM146" s="275">
        <v>-21.167345414996429</v>
      </c>
      <c r="BN146" s="275">
        <v>-21.128189487298151</v>
      </c>
      <c r="BO146" s="275">
        <v>-21.089116535659169</v>
      </c>
      <c r="BP146" s="275">
        <v>-21.050127585989738</v>
      </c>
      <c r="BQ146" s="275">
        <v>-21.01122360251491</v>
      </c>
      <c r="BR146" s="275">
        <v>-20.972405486941121</v>
      </c>
      <c r="BS146" s="275">
        <v>-20.933674077735319</v>
      </c>
      <c r="BT146" s="275">
        <v>-20.895030149517641</v>
      </c>
      <c r="BU146" s="275">
        <v>-20.85647441256814</v>
      </c>
      <c r="BV146" s="275">
        <v>-20.818007512448119</v>
      </c>
      <c r="BW146" s="275">
        <v>-20.77963002973571</v>
      </c>
      <c r="BX146" s="275">
        <v>-20.741342479875179</v>
      </c>
      <c r="BY146" s="275">
        <v>-20.703145313139629</v>
      </c>
      <c r="BZ146" s="275">
        <v>-20.665038914705431</v>
      </c>
      <c r="CA146" s="275">
        <v>-20.62702360483723</v>
      </c>
      <c r="CB146" s="275">
        <v>-20.589099639181761</v>
      </c>
      <c r="CC146" s="275">
        <v>-20.551267209168032</v>
      </c>
      <c r="CD146" s="275">
        <v>-20.513526442512092</v>
      </c>
      <c r="CE146" s="275">
        <v>-20.47587740382296</v>
      </c>
      <c r="CF146" s="275">
        <v>-20.4383200953074</v>
      </c>
      <c r="CG146" s="275">
        <v>-20.400854457569991</v>
      </c>
      <c r="CH146" s="275">
        <v>-20.363480370504959</v>
      </c>
      <c r="CI146" s="275">
        <v>-20.32619765427663</v>
      </c>
      <c r="CJ146" s="275">
        <v>-20.289006070383799</v>
      </c>
      <c r="CK146" s="275">
        <v>-20.251905322804749</v>
      </c>
      <c r="CL146" s="275">
        <v>-20.214895059218179</v>
      </c>
      <c r="CM146" s="275">
        <v>-20.177974872296058</v>
      </c>
      <c r="CN146" s="275">
        <v>-20.141144301063481</v>
      </c>
      <c r="CO146" s="275">
        <v>-20.104402832321291</v>
      </c>
      <c r="CP146" s="275"/>
      <c r="CQ146" s="276">
        <v>-26.119444514244769</v>
      </c>
      <c r="CR146" s="276">
        <v>-26.06988777899916</v>
      </c>
      <c r="CS146" s="276">
        <v>-26.020381649935981</v>
      </c>
      <c r="CT146" s="276">
        <v>-25.970927447378209</v>
      </c>
      <c r="CU146" s="276">
        <v>-25.92152649649082</v>
      </c>
      <c r="CV146" s="276">
        <v>-25.872180126573959</v>
      </c>
      <c r="CW146" s="276">
        <v>-25.82288967033243</v>
      </c>
      <c r="CX146" s="276">
        <v>-25.773656463121618</v>
      </c>
      <c r="CY146" s="276">
        <v>-25.724481842168949</v>
      </c>
      <c r="CZ146" s="276">
        <v>-25.675367145770451</v>
      </c>
      <c r="DA146" s="276">
        <v>-25.626313712462029</v>
      </c>
      <c r="DB146" s="276">
        <v>-25.577322880164541</v>
      </c>
      <c r="DC146" s="276">
        <v>-25.52839598530263</v>
      </c>
      <c r="DD146" s="276">
        <v>-25.479534361896079</v>
      </c>
      <c r="DE146" s="276">
        <v>-25.43073934062371</v>
      </c>
      <c r="DF146" s="276">
        <v>-25.38201224785891</v>
      </c>
      <c r="DG146" s="276">
        <v>-25.333354404676349</v>
      </c>
      <c r="DH146" s="276">
        <v>-25.284767125829202</v>
      </c>
      <c r="DI146" s="276">
        <v>-25.2362517186967</v>
      </c>
      <c r="DJ146" s="276">
        <v>-25.18780948220137</v>
      </c>
      <c r="DK146" s="276">
        <v>-25.139441705695411</v>
      </c>
      <c r="DL146" s="276">
        <v>-25.091149667816289</v>
      </c>
      <c r="DM146" s="276">
        <v>-25.042934635311241</v>
      </c>
      <c r="DN146" s="276">
        <v>-24.99479786183003</v>
      </c>
      <c r="DO146" s="276">
        <v>-24.94674058668685</v>
      </c>
      <c r="DP146" s="276">
        <v>-24.898764033590879</v>
      </c>
      <c r="DQ146" s="276">
        <v>-24.85086940934584</v>
      </c>
      <c r="DR146" s="276">
        <v>-24.803057902519321</v>
      </c>
      <c r="DS146" s="276">
        <v>-24.755330682082018</v>
      </c>
      <c r="DT146" s="276">
        <v>-24.70768889601807</v>
      </c>
      <c r="DU146" s="276">
        <v>-24.66013366990736</v>
      </c>
      <c r="DV146" s="276">
        <v>-24.612666105481068</v>
      </c>
      <c r="DW146" s="276">
        <v>-24.565287279151661</v>
      </c>
      <c r="DX146" s="276">
        <v>-24.517998240519589</v>
      </c>
      <c r="DY146" s="276">
        <v>-24.470800010858071</v>
      </c>
      <c r="DZ146" s="276">
        <v>-24.423693581578519</v>
      </c>
      <c r="EA146" s="276">
        <v>-24.376679912678959</v>
      </c>
      <c r="EB146" s="276">
        <v>-24.32975993117855</v>
      </c>
      <c r="EC146" s="276">
        <v>-24.28293452954037</v>
      </c>
      <c r="ED146" s="276">
        <v>-24.236204564087071</v>
      </c>
      <c r="EE146" s="276">
        <v>-24.189570853411901</v>
      </c>
      <c r="EF146" s="276">
        <v>-24.143034176789591</v>
      </c>
      <c r="EG146" s="276">
        <v>-24.096595272590971</v>
      </c>
      <c r="EH146" s="276">
        <v>-24.05025483670595</v>
      </c>
      <c r="EI146" s="276">
        <v>-24.004013520979381</v>
      </c>
      <c r="EJ146" s="276">
        <v>-23.95787193166462</v>
      </c>
      <c r="EK146" s="276">
        <v>-23.911830627900159</v>
      </c>
      <c r="EL146" s="276">
        <v>-23.86589012021431</v>
      </c>
      <c r="EM146" s="276">
        <v>-23.82005086906382</v>
      </c>
      <c r="EN146" s="276">
        <v>-23.774313283411509</v>
      </c>
      <c r="EO146" s="276">
        <v>-23.728677719349289</v>
      </c>
      <c r="EP146" s="276">
        <v>-23.683144478771879</v>
      </c>
      <c r="EQ146" s="276">
        <v>-23.637713808107421</v>
      </c>
      <c r="ER146" s="276">
        <v>-23.59238589711072</v>
      </c>
      <c r="ES146" s="276">
        <v>-23.547160877725169</v>
      </c>
      <c r="ET146" s="276">
        <v>-23.502038823018989</v>
      </c>
      <c r="EU146" s="276">
        <v>-23.457019746201919</v>
      </c>
      <c r="EV146" s="276">
        <v>-23.41210359972731</v>
      </c>
      <c r="EW146" s="276">
        <v>-23.367290274485921</v>
      </c>
      <c r="EX146" s="276">
        <v>-23.322579599095668</v>
      </c>
      <c r="EY146" s="276">
        <v>-23.277971339293501</v>
      </c>
      <c r="EZ146" s="276">
        <v>-23.233465197432601</v>
      </c>
      <c r="FA146" s="276">
        <v>-23.189060812090709</v>
      </c>
      <c r="FB146" s="276">
        <v>-23.144757757792789</v>
      </c>
      <c r="FC146" s="276">
        <v>-23.10055554485136</v>
      </c>
      <c r="FD146" s="276">
        <v>-23.056453619328639</v>
      </c>
      <c r="FE146" s="276">
        <v>-23.012451363122089</v>
      </c>
      <c r="FF146" s="276">
        <v>-22.968548094176111</v>
      </c>
      <c r="FG146" s="276">
        <v>-22.924743066821961</v>
      </c>
      <c r="FH146" s="276">
        <v>-22.881035472245809</v>
      </c>
      <c r="FI146" s="276">
        <v>-22.83742443908681</v>
      </c>
      <c r="FJ146" s="272">
        <v>-22.793909034164681</v>
      </c>
      <c r="FK146" s="272">
        <v>-22.750488263335981</v>
      </c>
      <c r="FL146" s="272">
        <v>-22.707161072478449</v>
      </c>
      <c r="FM146" s="272">
        <v>-22.66392634860134</v>
      </c>
      <c r="FN146" s="272">
        <v>-22.620782921079812</v>
      </c>
      <c r="FO146" s="272">
        <v>-22.577729563010092</v>
      </c>
      <c r="FP146" s="272">
        <v>-22.534764992682799</v>
      </c>
      <c r="FQ146" s="272">
        <v>-22.49188787516913</v>
      </c>
      <c r="FR146" s="272">
        <v>-22.449096824017339</v>
      </c>
      <c r="FS146" s="272">
        <v>-22.406390403052932</v>
      </c>
      <c r="FT146" s="272">
        <v>-22.363767128277981</v>
      </c>
      <c r="FU146" s="272">
        <v>-22.321225469864</v>
      </c>
      <c r="FV146" s="272">
        <v>-22.278763854231169</v>
      </c>
      <c r="FW146" s="272">
        <v>-22.236380666208891</v>
      </c>
      <c r="FX146" s="272">
        <v>-22.194074251269079</v>
      </c>
      <c r="FY146" s="272">
        <v>-22.151842917826372</v>
      </c>
      <c r="FZ146" s="272">
        <v>-22.109684939597319</v>
      </c>
      <c r="GA146" s="272">
        <v>-22.06759855801112</v>
      </c>
      <c r="GB146" s="272">
        <v>-22.025581984664129</v>
      </c>
      <c r="GC146" s="272">
        <v>-21.983633403810249</v>
      </c>
    </row>
    <row r="147" spans="2:185" ht="15" thickBot="1" x14ac:dyDescent="0.4">
      <c r="C147" s="827" t="s">
        <v>23286</v>
      </c>
      <c r="D147" s="827"/>
      <c r="E147" s="827"/>
      <c r="F147" s="827"/>
      <c r="G147" s="827"/>
      <c r="H147" s="827"/>
      <c r="I147" s="827"/>
      <c r="J147" s="827"/>
      <c r="K147" s="827"/>
      <c r="N147" s="827" t="s">
        <v>23287</v>
      </c>
      <c r="O147" s="827"/>
      <c r="P147" s="827"/>
      <c r="Q147" s="827"/>
      <c r="R147" s="827"/>
      <c r="S147" s="827"/>
      <c r="T147" s="827"/>
      <c r="U147" s="827"/>
      <c r="V147" s="827"/>
    </row>
    <row r="148" spans="2:185" ht="15" thickBot="1" x14ac:dyDescent="0.4">
      <c r="B148" s="279" t="s">
        <v>51</v>
      </c>
      <c r="C148" s="77">
        <v>70</v>
      </c>
      <c r="D148" s="77">
        <v>80</v>
      </c>
      <c r="E148" s="77">
        <v>90</v>
      </c>
      <c r="F148" s="77">
        <v>100</v>
      </c>
      <c r="G148" s="77">
        <v>110</v>
      </c>
      <c r="H148" s="77">
        <v>120</v>
      </c>
      <c r="I148" s="77">
        <v>130</v>
      </c>
      <c r="J148" s="77">
        <v>140</v>
      </c>
      <c r="K148" s="77">
        <v>150</v>
      </c>
      <c r="L148" s="77">
        <v>160</v>
      </c>
      <c r="M148" s="79"/>
      <c r="N148" s="79"/>
      <c r="O148" s="77" t="s">
        <v>51</v>
      </c>
      <c r="P148" s="77">
        <v>70</v>
      </c>
      <c r="Q148" s="77">
        <v>80</v>
      </c>
      <c r="R148" s="77">
        <v>90</v>
      </c>
      <c r="S148" s="77">
        <v>100</v>
      </c>
      <c r="T148" s="77">
        <v>110</v>
      </c>
      <c r="U148" s="77">
        <v>120</v>
      </c>
      <c r="V148" s="77">
        <v>130</v>
      </c>
      <c r="W148" s="77">
        <v>140</v>
      </c>
      <c r="X148" s="77">
        <v>150</v>
      </c>
      <c r="Y148" s="77">
        <v>160</v>
      </c>
    </row>
    <row r="149" spans="2:185" x14ac:dyDescent="0.35">
      <c r="B149" s="299">
        <v>5</v>
      </c>
      <c r="C149" s="277" cm="1">
        <f t="array" ref="C149">_xlfn.XLOOKUP(B149,$B$6:$B$146,_xlfn.XLOOKUP($C$148,$C$5:$CO$5,$C$6:$CO$146))</f>
        <v>5.3932525177587367</v>
      </c>
      <c r="D149" s="277" cm="1">
        <f t="array" ref="D149">_xlfn.XLOOKUP(B149,$B$6:$B$146,_xlfn.XLOOKUP($D$148,$C$5:$CO$5,$C$6:$CO$146))</f>
        <v>5.8541926975198351</v>
      </c>
      <c r="E149" s="277" cm="1">
        <f t="array" ref="E149">_xlfn.XLOOKUP(B149,$B$6:$B$146,_xlfn.XLOOKUP($E$148,$C$5:$CO$5,$C$6:$CO$146))</f>
        <v>6.3374798019671994</v>
      </c>
      <c r="F149" s="277" cm="1">
        <f t="array" ref="F149">_xlfn.XLOOKUP(B149,$B$6:$B$146,_xlfn.XLOOKUP($F$148,$C$5:$CO$5,$C$6:$CO$146))</f>
        <v>6.8065590114587007</v>
      </c>
      <c r="G149" s="277" cm="1">
        <f t="array" ref="G149">_xlfn.XLOOKUP(B149,$B$6:$B$146,_xlfn.XLOOKUP($G$148,$C$5:$CO$5,$C$6:$CO$146))</f>
        <v>7.1781108753232754</v>
      </c>
      <c r="H149" s="277" cm="1">
        <f t="array" ref="H149">_xlfn.XLOOKUP(B149,$B$6:$B$146,_xlfn.XLOOKUP($H$148,$C$5:$CO$5,$C$6:$CO$146))</f>
        <v>7.4692209481080916</v>
      </c>
      <c r="I149" s="277" cm="1">
        <f t="array" ref="I149">_xlfn.XLOOKUP(B149,$B$6:$B$146,_xlfn.XLOOKUP($I$148,$C$5:$CO$5,$C$6:$CO$146))</f>
        <v>7.6966715836368591</v>
      </c>
      <c r="J149" s="277" cm="1">
        <f t="array" ref="J149">_xlfn.XLOOKUP(B149,$B$6:$B$146,_xlfn.XLOOKUP($J$148,$C$5:$CO$5,$C$6:$CO$146))</f>
        <v>7.8998209189788273</v>
      </c>
      <c r="K149" s="277" cm="1">
        <f t="array" ref="K149">_xlfn.XLOOKUP(B149,$B$6:$B$146,_xlfn.XLOOKUP($K$148,$C$5:$CO$5,$C$6:$CO$146))</f>
        <v>8.1244727055942185</v>
      </c>
      <c r="L149" s="277" cm="1">
        <f t="array" ref="L149">_xlfn.XLOOKUP(B149,$B$6:$B$146,_xlfn.XLOOKUP($L$148,$C$5:$CO$5,$C$6:$CO$146))</f>
        <v>8.3764763629549837</v>
      </c>
      <c r="M149" s="281"/>
      <c r="N149" s="282"/>
      <c r="O149" s="302">
        <v>5</v>
      </c>
      <c r="P149" s="277" cm="1">
        <f t="array" ref="P149">_xlfn.XLOOKUP(O149,$B$6:$B$146,_xlfn.XLOOKUP($P$148,$CQ$5:$GC$5,$CQ$6:$GC$146))</f>
        <v>4.9362215953042146</v>
      </c>
      <c r="Q149" s="277" cm="1">
        <f t="array" ref="Q149">_xlfn.XLOOKUP(O149,$B$6:$B$146,_xlfn.XLOOKUP($Q$148,$CQ$5:$GC$5,$CQ$6:$GC$146))</f>
        <v>5.5231904950479498</v>
      </c>
      <c r="R149" s="277" cm="1">
        <f t="array" ref="R149">_xlfn.XLOOKUP(O149,$B$6:$B$146,_xlfn.XLOOKUP($R$148,$CQ$5:$GC$5,$CQ$6:$GC$146))</f>
        <v>6.1863711909600019</v>
      </c>
      <c r="S149" s="277" cm="1">
        <f t="array" ref="S149">_xlfn.XLOOKUP(O149,$B$6:$B$146,_xlfn.XLOOKUP($S$148,$CQ$5:$GC$5,$CQ$6:$GC$146))</f>
        <v>6.9466976127695439</v>
      </c>
      <c r="T149" s="277" cm="1">
        <f t="array" ref="T149">_xlfn.XLOOKUP(O149,$B$6:$B$146,_xlfn.XLOOKUP($T$148,$CQ$5:$GC$5,$CQ$6:$GC$146))</f>
        <v>7.58622443677696</v>
      </c>
      <c r="U149" s="277" cm="1">
        <f t="array" ref="U149">_xlfn.XLOOKUP(O149,$B$6:$B$146,_xlfn.XLOOKUP($U$148,$CQ$5:$GC$5,$CQ$6:$GC$146))</f>
        <v>8.1088676558827562</v>
      </c>
      <c r="V149" s="277" cm="1">
        <f t="array" ref="V149">_xlfn.XLOOKUP(O149,$B$6:$B$146,_xlfn.XLOOKUP($V$148,$CQ$5:$GC$5,$CQ$6:$GC$146))</f>
        <v>8.5397038489845709</v>
      </c>
      <c r="W149" s="277" cm="1">
        <f t="array" ref="W149">_xlfn.XLOOKUP(O149,$B$6:$B$146,_xlfn.XLOOKUP($W$148,$CQ$5:$GC$5,$CQ$6:$GC$146))</f>
        <v>8.9043112910406315</v>
      </c>
      <c r="X149" s="277" cm="1">
        <f t="array" ref="X149">_xlfn.XLOOKUP(O149,$B$6:$B$146,_xlfn.XLOOKUP($X$148,$CQ$5:$GC$5,$CQ$6:$GC$146))</f>
        <v>9.2267274600846019</v>
      </c>
      <c r="Y149" s="277" cm="1">
        <f t="array" ref="Y149">_xlfn.XLOOKUP(O149,$B$6:$B$146,_xlfn.XLOOKUP($Y$148,$CQ$5:$GC$5,$CQ$6:$GC$146))</f>
        <v>9.527354066696784</v>
      </c>
    </row>
    <row r="150" spans="2:185" x14ac:dyDescent="0.35">
      <c r="B150" s="300">
        <v>10</v>
      </c>
      <c r="C150" s="277" cm="1">
        <f t="array" ref="C150">_xlfn.XLOOKUP(B150,$B$6:$B$146,_xlfn.XLOOKUP($C$148,$C$5:$CO$5,$C$6:$CO$146))</f>
        <v>4.2781203528385374</v>
      </c>
      <c r="D150" s="277" cm="1">
        <f t="array" ref="D150">_xlfn.XLOOKUP(B150,$B$6:$B$146,_xlfn.XLOOKUP($D$148,$C$5:$CO$5,$C$6:$CO$146))</f>
        <v>4.7355470837466331</v>
      </c>
      <c r="E150" s="277" cm="1">
        <f t="array" ref="E150">_xlfn.XLOOKUP(B150,$B$6:$B$146,_xlfn.XLOOKUP($E$148,$C$5:$CO$5,$C$6:$CO$146))</f>
        <v>5.224994868502268</v>
      </c>
      <c r="F150" s="277" cm="1">
        <f t="array" ref="F150">_xlfn.XLOOKUP(B150,$B$6:$B$146,_xlfn.XLOOKUP($F$148,$C$5:$CO$5,$C$6:$CO$146))</f>
        <v>5.7210681749381243</v>
      </c>
      <c r="G150" s="277" cm="1">
        <f t="array" ref="G150">_xlfn.XLOOKUP(B150,$B$6:$B$146,_xlfn.XLOOKUP($G$148,$C$5:$CO$5,$C$6:$CO$146))</f>
        <v>6.1039545500844357</v>
      </c>
      <c r="H150" s="277" cm="1">
        <f t="array" ref="H150">_xlfn.XLOOKUP(B150,$B$6:$B$146,_xlfn.XLOOKUP($H$148,$C$5:$CO$5,$C$6:$CO$146))</f>
        <v>6.4125426914435604</v>
      </c>
      <c r="I150" s="277" cm="1">
        <f t="array" ref="I150">_xlfn.XLOOKUP(B150,$B$6:$B$146,_xlfn.XLOOKUP($I$148,$C$5:$CO$5,$C$6:$CO$146))</f>
        <v>6.6496122949462304</v>
      </c>
      <c r="J150" s="277" cm="1">
        <f t="array" ref="J150">_xlfn.XLOOKUP(B150,$B$6:$B$146,_xlfn.XLOOKUP($J$148,$C$5:$CO$5,$C$6:$CO$146))</f>
        <v>6.8547329282617726</v>
      </c>
      <c r="K150" s="277" cm="1">
        <f t="array" ref="K150">_xlfn.XLOOKUP(B150,$B$6:$B$146,_xlfn.XLOOKUP($K$148,$C$5:$CO$5,$C$6:$CO$146))</f>
        <v>7.0842154918222882</v>
      </c>
      <c r="L150" s="277" cm="1">
        <f t="array" ref="L150">_xlfn.XLOOKUP(B150,$B$6:$B$146,_xlfn.XLOOKUP($L$148,$C$5:$CO$5,$C$6:$CO$146))</f>
        <v>7.3332269458403534</v>
      </c>
      <c r="O150" s="302">
        <v>10</v>
      </c>
      <c r="P150" s="277" cm="1">
        <f t="array" ref="P150">_xlfn.XLOOKUP(O150,$B$6:$B$146,_xlfn.XLOOKUP($P$148,$CQ$5:$GC$5,$CQ$6:$GC$146))</f>
        <v>3.795658344288543</v>
      </c>
      <c r="Q150" s="277" cm="1">
        <f t="array" ref="Q150">_xlfn.XLOOKUP(O150,$B$6:$B$146,_xlfn.XLOOKUP($Q$148,$CQ$5:$GC$5,$CQ$6:$GC$146))</f>
        <v>4.3783624538712447</v>
      </c>
      <c r="R150" s="277" cm="1">
        <f t="array" ref="R150">_xlfn.XLOOKUP(O150,$B$6:$B$146,_xlfn.XLOOKUP($R$148,$CQ$5:$GC$5,$CQ$6:$GC$146))</f>
        <v>5.0286119223911374</v>
      </c>
      <c r="S150" s="277" cm="1">
        <f t="array" ref="S150">_xlfn.XLOOKUP(O150,$B$6:$B$146,_xlfn.XLOOKUP($S$148,$CQ$5:$GC$5,$CQ$6:$GC$146))</f>
        <v>5.8270361166496283</v>
      </c>
      <c r="T150" s="277" cm="1">
        <f t="array" ref="T150">_xlfn.XLOOKUP(O150,$B$6:$B$146,_xlfn.XLOOKUP($T$148,$CQ$5:$GC$5,$CQ$6:$GC$146))</f>
        <v>6.4531212942811873</v>
      </c>
      <c r="U150" s="277" cm="1">
        <f t="array" ref="U150">_xlfn.XLOOKUP(O150,$B$6:$B$146,_xlfn.XLOOKUP($U$148,$CQ$5:$GC$5,$CQ$6:$GC$146))</f>
        <v>6.975527934107121</v>
      </c>
      <c r="V150" s="277" cm="1">
        <f t="array" ref="V150">_xlfn.XLOOKUP(O150,$B$6:$B$146,_xlfn.XLOOKUP($V$148,$CQ$5:$GC$5,$CQ$6:$GC$146))</f>
        <v>7.4074132782339257</v>
      </c>
      <c r="W150" s="277" cm="1">
        <f t="array" ref="W150">_xlfn.XLOOKUP(O150,$B$6:$B$146,_xlfn.XLOOKUP($W$148,$CQ$5:$GC$5,$CQ$6:$GC$146))</f>
        <v>7.7704943499661212</v>
      </c>
      <c r="X150" s="277" cm="1">
        <f t="array" ref="X150">_xlfn.XLOOKUP(O150,$B$6:$B$146,_xlfn.XLOOKUP($X$148,$CQ$5:$GC$5,$CQ$6:$GC$146))</f>
        <v>8.0842421346058106</v>
      </c>
      <c r="Y150" s="277" cm="1">
        <f t="array" ref="Y150">_xlfn.XLOOKUP(O150,$B$6:$B$146,_xlfn.XLOOKUP($Y$148,$CQ$5:$GC$5,$CQ$6:$GC$146))</f>
        <v>8.3695679555277387</v>
      </c>
      <c r="AC150" s="6"/>
    </row>
    <row r="151" spans="2:185" x14ac:dyDescent="0.35">
      <c r="B151" s="300">
        <v>15</v>
      </c>
      <c r="C151" s="277" cm="1">
        <f t="array" ref="C151">_xlfn.XLOOKUP(B151,$B$6:$B$146,_xlfn.XLOOKUP($C$148,$C$5:$CO$5,$C$6:$CO$146))</f>
        <v>3.1584003032564492</v>
      </c>
      <c r="D151" s="277" cm="1">
        <f t="array" ref="D151">_xlfn.XLOOKUP(B151,$B$6:$B$146,_xlfn.XLOOKUP($D$148,$C$5:$CO$5,$C$6:$CO$146))</f>
        <v>3.606692129382743</v>
      </c>
      <c r="E151" s="277" cm="1">
        <f t="array" ref="E151">_xlfn.XLOOKUP(B151,$B$6:$B$146,_xlfn.XLOOKUP($E$148,$C$5:$CO$5,$C$6:$CO$146))</f>
        <v>4.0929535108378259</v>
      </c>
      <c r="F151" s="277" cm="1">
        <f t="array" ref="F151">_xlfn.XLOOKUP(B151,$B$6:$B$146,_xlfn.XLOOKUP($F$148,$C$5:$CO$5,$C$6:$CO$146))</f>
        <v>4.5966021522916058</v>
      </c>
      <c r="G151" s="277" cm="1">
        <f t="array" ref="G151">_xlfn.XLOOKUP(B151,$B$6:$B$146,_xlfn.XLOOKUP($G$148,$C$5:$CO$5,$C$6:$CO$146))</f>
        <v>5.009239031870691</v>
      </c>
      <c r="H151" s="277" cm="1">
        <f t="array" ref="H151">_xlfn.XLOOKUP(B151,$B$6:$B$146,_xlfn.XLOOKUP($H$148,$C$5:$CO$5,$C$6:$CO$146))</f>
        <v>5.3444578760115684</v>
      </c>
      <c r="I151" s="277" cm="1">
        <f t="array" ref="I151">_xlfn.XLOOKUP(B151,$B$6:$B$146,_xlfn.XLOOKUP($I$148,$C$5:$CO$5,$C$6:$CO$146))</f>
        <v>5.607375419054665</v>
      </c>
      <c r="J151" s="277" cm="1">
        <f t="array" ref="J151">_xlfn.XLOOKUP(B151,$B$6:$B$146,_xlfn.XLOOKUP($J$148,$C$5:$CO$5,$C$6:$CO$146))</f>
        <v>5.8294215431234822</v>
      </c>
      <c r="K151" s="277" cm="1">
        <f t="array" ref="K151">_xlfn.XLOOKUP(B151,$B$6:$B$146,_xlfn.XLOOKUP($K$148,$C$5:$CO$5,$C$6:$CO$146))</f>
        <v>6.0615800267764426</v>
      </c>
      <c r="L151" s="277" cm="1">
        <f t="array" ref="L151">_xlfn.XLOOKUP(B151,$B$6:$B$146,_xlfn.XLOOKUP($L$148,$C$5:$CO$5,$C$6:$CO$146))</f>
        <v>6.3035473191919866</v>
      </c>
      <c r="O151" s="302">
        <v>15</v>
      </c>
      <c r="P151" s="277" cm="1">
        <f t="array" ref="P151">_xlfn.XLOOKUP(O151,$B$6:$B$146,_xlfn.XLOOKUP($P$148,$CQ$5:$GC$5,$CQ$6:$GC$146))</f>
        <v>2.664713073682039</v>
      </c>
      <c r="Q151" s="277" cm="1">
        <f t="array" ref="Q151">_xlfn.XLOOKUP(O151,$B$6:$B$146,_xlfn.XLOOKUP($Q$148,$CQ$5:$GC$5,$CQ$6:$GC$146))</f>
        <v>3.2526346017727779</v>
      </c>
      <c r="R151" s="277" cm="1">
        <f t="array" ref="R151">_xlfn.XLOOKUP(O151,$B$6:$B$146,_xlfn.XLOOKUP($R$148,$CQ$5:$GC$5,$CQ$6:$GC$146))</f>
        <v>3.908101485307085</v>
      </c>
      <c r="S151" s="277" cm="1">
        <f t="array" ref="S151">_xlfn.XLOOKUP(O151,$B$6:$B$146,_xlfn.XLOOKUP($S$148,$CQ$5:$GC$5,$CQ$6:$GC$146))</f>
        <v>4.6696173405057948</v>
      </c>
      <c r="T151" s="277" cm="1">
        <f t="array" ref="T151">_xlfn.XLOOKUP(O151,$B$6:$B$146,_xlfn.XLOOKUP($T$148,$CQ$5:$GC$5,$CQ$6:$GC$146))</f>
        <v>5.2908538195537718</v>
      </c>
      <c r="U151" s="277" cm="1">
        <f t="array" ref="U151">_xlfn.XLOOKUP(O151,$B$6:$B$146,_xlfn.XLOOKUP($U$148,$CQ$5:$GC$5,$CQ$6:$GC$146))</f>
        <v>5.8155741227749784</v>
      </c>
      <c r="V151" s="277" cm="1">
        <f t="array" ref="V151">_xlfn.XLOOKUP(O151,$B$6:$B$146,_xlfn.XLOOKUP($V$148,$CQ$5:$GC$5,$CQ$6:$GC$146))</f>
        <v>6.2654970149544589</v>
      </c>
      <c r="W151" s="277" cm="1">
        <f t="array" ref="W151">_xlfn.XLOOKUP(O151,$B$6:$B$146,_xlfn.XLOOKUP($W$148,$CQ$5:$GC$5,$CQ$6:$GC$146))</f>
        <v>6.6387488973841222</v>
      </c>
      <c r="X151" s="277" cm="1">
        <f t="array" ref="X151">_xlfn.XLOOKUP(O151,$B$6:$B$146,_xlfn.XLOOKUP($X$148,$CQ$5:$GC$5,$CQ$6:$GC$146))</f>
        <v>6.9429614607368668</v>
      </c>
      <c r="Y151" s="277" cm="1">
        <f t="array" ref="Y151">_xlfn.XLOOKUP(O151,$B$6:$B$146,_xlfn.XLOOKUP($Y$148,$CQ$5:$GC$5,$CQ$6:$GC$146))</f>
        <v>7.2091048592107194</v>
      </c>
    </row>
    <row r="152" spans="2:185" x14ac:dyDescent="0.35">
      <c r="B152" s="300">
        <v>20</v>
      </c>
      <c r="C152" s="277" cm="1">
        <f t="array" ref="C152">_xlfn.XLOOKUP(B152,$B$6:$B$146,_xlfn.XLOOKUP($C$148,$C$5:$CO$5,$C$6:$CO$146))</f>
        <v>2.037609471347317</v>
      </c>
      <c r="D152" s="277" cm="1">
        <f t="array" ref="D152">_xlfn.XLOOKUP(B152,$B$6:$B$146,_xlfn.XLOOKUP($D$148,$C$5:$CO$5,$C$6:$CO$146))</f>
        <v>2.472503725589406</v>
      </c>
      <c r="E152" s="277" cm="1">
        <f t="array" ref="E152">_xlfn.XLOOKUP(B152,$B$6:$B$146,_xlfn.XLOOKUP($E$148,$C$5:$CO$5,$C$6:$CO$146))</f>
        <v>2.945949438171052</v>
      </c>
      <c r="F152" s="277" cm="1">
        <f t="array" ref="F152">_xlfn.XLOOKUP(B152,$B$6:$B$146,_xlfn.XLOOKUP($F$148,$C$5:$CO$5,$C$6:$CO$146))</f>
        <v>3.4520547267159949</v>
      </c>
      <c r="G152" s="277" cm="1">
        <f t="array" ref="G152">_xlfn.XLOOKUP(B152,$B$6:$B$146,_xlfn.XLOOKUP($G$148,$C$5:$CO$5,$C$6:$CO$146))</f>
        <v>3.899316357383753</v>
      </c>
      <c r="H152" s="277" cm="1">
        <f t="array" ref="H152">_xlfn.XLOOKUP(B152,$B$6:$B$146,_xlfn.XLOOKUP($H$148,$C$5:$CO$5,$C$6:$CO$146))</f>
        <v>4.2694065313587481</v>
      </c>
      <c r="I152" s="277" cm="1">
        <f t="array" ref="I152">_xlfn.XLOOKUP(B152,$B$6:$B$146,_xlfn.XLOOKUP($I$148,$C$5:$CO$5,$C$6:$CO$146))</f>
        <v>4.5700128421934094</v>
      </c>
      <c r="J152" s="277" cm="1">
        <f t="array" ref="J152">_xlfn.XLOOKUP(B152,$B$6:$B$146,_xlfn.XLOOKUP($J$148,$C$5:$CO$5,$C$6:$CO$146))</f>
        <v>4.8221018795077084</v>
      </c>
      <c r="K152" s="277" cm="1">
        <f t="array" ref="K152">_xlfn.XLOOKUP(B152,$B$6:$B$146,_xlfn.XLOOKUP($K$148,$C$5:$CO$5,$C$6:$CO$146))</f>
        <v>5.056974087920679</v>
      </c>
      <c r="L152" s="277" cm="1">
        <f t="array" ref="L152">_xlfn.XLOOKUP(B152,$B$6:$B$146,_xlfn.XLOOKUP($L$148,$C$5:$CO$5,$C$6:$CO$146))</f>
        <v>5.2959420559694212</v>
      </c>
      <c r="O152" s="302">
        <v>20</v>
      </c>
      <c r="P152" s="277" cm="1">
        <f t="array" ref="P152">_xlfn.XLOOKUP(O152,$B$6:$B$146,_xlfn.XLOOKUP($P$148,$CQ$5:$GC$5,$CQ$6:$GC$146))</f>
        <v>1.5411027498807071</v>
      </c>
      <c r="Q152" s="277" cm="1">
        <f t="array" ref="Q152">_xlfn.XLOOKUP(O152,$B$6:$B$146,_xlfn.XLOOKUP($Q$148,$CQ$5:$GC$5,$CQ$6:$GC$146))</f>
        <v>2.1402765944811319</v>
      </c>
      <c r="R152" s="277" cm="1">
        <f t="array" ref="R152">_xlfn.XLOOKUP(O152,$B$6:$B$146,_xlfn.XLOOKUP($R$148,$CQ$5:$GC$5,$CQ$6:$GC$146))</f>
        <v>2.798163538987013</v>
      </c>
      <c r="S152" s="277" cm="1">
        <f t="array" ref="S152">_xlfn.XLOOKUP(O152,$B$6:$B$146,_xlfn.XLOOKUP($S$148,$CQ$5:$GC$5,$CQ$6:$GC$146))</f>
        <v>3.4962792631264099</v>
      </c>
      <c r="T152" s="277" cm="1">
        <f t="array" ref="T152">_xlfn.XLOOKUP(O152,$B$6:$B$146,_xlfn.XLOOKUP($T$148,$CQ$5:$GC$5,$CQ$6:$GC$146))</f>
        <v>4.1029684954614147</v>
      </c>
      <c r="U152" s="277" cm="1">
        <f t="array" ref="U152">_xlfn.XLOOKUP(O152,$B$6:$B$146,_xlfn.XLOOKUP($U$148,$CQ$5:$GC$5,$CQ$6:$GC$146))</f>
        <v>4.633275343989113</v>
      </c>
      <c r="V152" s="277" cm="1">
        <f t="array" ref="V152">_xlfn.XLOOKUP(O152,$B$6:$B$146,_xlfn.XLOOKUP($V$148,$CQ$5:$GC$5,$CQ$6:$GC$146))</f>
        <v>5.1154065966315896</v>
      </c>
      <c r="W152" s="277" cm="1">
        <f t="array" ref="W152">_xlfn.XLOOKUP(O152,$B$6:$B$146,_xlfn.XLOOKUP($W$148,$CQ$5:$GC$5,$CQ$6:$GC$146))</f>
        <v>5.5129881419634987</v>
      </c>
      <c r="X152" s="277" cm="1">
        <f t="array" ref="X152">_xlfn.XLOOKUP(O152,$B$6:$B$146,_xlfn.XLOOKUP($X$148,$CQ$5:$GC$5,$CQ$6:$GC$146))</f>
        <v>5.8035813383117176</v>
      </c>
      <c r="Y152" s="277" cm="1">
        <f t="array" ref="Y152">_xlfn.XLOOKUP(O152,$B$6:$B$146,_xlfn.XLOOKUP($Y$148,$CQ$5:$GC$5,$CQ$6:$GC$146))</f>
        <v>6.0466501951410194</v>
      </c>
    </row>
    <row r="153" spans="2:185" x14ac:dyDescent="0.35">
      <c r="B153" s="300">
        <v>25</v>
      </c>
      <c r="C153" s="277" cm="1">
        <f t="array" ref="C153">_xlfn.XLOOKUP(B153,$B$6:$B$146,_xlfn.XLOOKUP($C$148,$C$5:$CO$5,$C$6:$CO$146))</f>
        <v>0.9200590185540668</v>
      </c>
      <c r="D153" s="277" cm="1">
        <f t="array" ref="D153">_xlfn.XLOOKUP(B153,$B$6:$B$146,_xlfn.XLOOKUP($D$148,$C$5:$CO$5,$C$6:$CO$146))</f>
        <v>1.3410973124753389</v>
      </c>
      <c r="E153" s="277" cm="1">
        <f t="array" ref="E153">_xlfn.XLOOKUP(B153,$B$6:$B$146,_xlfn.XLOOKUP($E$148,$C$5:$CO$5,$C$6:$CO$146))</f>
        <v>1.796189906061517</v>
      </c>
      <c r="F153" s="277" cm="1">
        <f t="array" ref="F153">_xlfn.XLOOKUP(B153,$B$6:$B$146,_xlfn.XLOOKUP($F$148,$C$5:$CO$5,$C$6:$CO$146))</f>
        <v>2.3084598379249561</v>
      </c>
      <c r="G153" s="277" cm="1">
        <f t="array" ref="G153">_xlfn.XLOOKUP(B153,$B$6:$B$146,_xlfn.XLOOKUP($G$148,$C$5:$CO$5,$C$6:$CO$146))</f>
        <v>2.7850797591391951</v>
      </c>
      <c r="H153" s="277" cm="1">
        <f t="array" ref="H153">_xlfn.XLOOKUP(B153,$B$6:$B$146,_xlfn.XLOOKUP($H$148,$C$5:$CO$5,$C$6:$CO$146))</f>
        <v>3.1919440173085438</v>
      </c>
      <c r="I153" s="277" cm="1">
        <f t="array" ref="I153">_xlfn.XLOOKUP(B153,$B$6:$B$146,_xlfn.XLOOKUP($I$148,$C$5:$CO$5,$C$6:$CO$146))</f>
        <v>3.53464005697955</v>
      </c>
      <c r="J153" s="277" cm="1">
        <f t="array" ref="J153">_xlfn.XLOOKUP(B153,$B$6:$B$146,_xlfn.XLOOKUP($J$148,$C$5:$CO$5,$C$6:$CO$146))</f>
        <v>3.821096078221851</v>
      </c>
      <c r="K153" s="277" cm="1">
        <f t="array" ref="K153">_xlfn.XLOOKUP(B153,$B$6:$B$146,_xlfn.XLOOKUP($K$148,$C$5:$CO$5,$C$6:$CO$146))</f>
        <v>4.0630565203862608</v>
      </c>
      <c r="L153" s="277" cm="1">
        <f t="array" ref="L153">_xlfn.XLOOKUP(B153,$B$6:$B$146,_xlfn.XLOOKUP($L$148,$C$5:$CO$5,$C$6:$CO$146))</f>
        <v>4.3001370010748854</v>
      </c>
      <c r="O153" s="302">
        <v>25</v>
      </c>
      <c r="P153" s="277" cm="1">
        <f t="array" ref="P153">_xlfn.XLOOKUP(O153,$B$6:$B$146,_xlfn.XLOOKUP($P$148,$CQ$5:$GC$5,$CQ$6:$GC$146))</f>
        <v>0.42012274552031847</v>
      </c>
      <c r="Q153" s="277" cm="1">
        <f t="array" ref="Q153">_xlfn.XLOOKUP(O153,$B$6:$B$146,_xlfn.XLOOKUP($Q$148,$CQ$5:$GC$5,$CQ$6:$GC$146))</f>
        <v>1.028202006099167</v>
      </c>
      <c r="R153" s="277" cm="1">
        <f t="array" ref="R153">_xlfn.XLOOKUP(O153,$B$6:$B$146,_xlfn.XLOOKUP($R$148,$CQ$5:$GC$5,$CQ$6:$GC$146))</f>
        <v>1.679038328655071</v>
      </c>
      <c r="S153" s="277" cm="1">
        <f t="array" ref="S153">_xlfn.XLOOKUP(O153,$B$6:$B$146,_xlfn.XLOOKUP($S$148,$CQ$5:$GC$5,$CQ$6:$GC$146))</f>
        <v>2.3203514726197692</v>
      </c>
      <c r="T153" s="277" cm="1">
        <f t="array" ref="T153">_xlfn.XLOOKUP(O153,$B$6:$B$146,_xlfn.XLOOKUP($T$148,$CQ$5:$GC$5,$CQ$6:$GC$146))</f>
        <v>2.9014410517089351</v>
      </c>
      <c r="U153" s="277" cm="1">
        <f t="array" ref="U153">_xlfn.XLOOKUP(O153,$B$6:$B$146,_xlfn.XLOOKUP($U$148,$CQ$5:$GC$5,$CQ$6:$GC$146))</f>
        <v>3.4359648463172419</v>
      </c>
      <c r="V153" s="277" cm="1">
        <f t="array" ref="V153">_xlfn.XLOOKUP(O153,$B$6:$B$146,_xlfn.XLOOKUP($V$148,$CQ$5:$GC$5,$CQ$6:$GC$146))</f>
        <v>3.9590007630781212</v>
      </c>
      <c r="W153" s="277" cm="1">
        <f t="array" ref="W153">_xlfn.XLOOKUP(O153,$B$6:$B$146,_xlfn.XLOOKUP($W$148,$CQ$5:$GC$5,$CQ$6:$GC$146))</f>
        <v>4.3899062293978712</v>
      </c>
      <c r="X153" s="277" cm="1">
        <f t="array" ref="X153">_xlfn.XLOOKUP(O153,$B$6:$B$146,_xlfn.XLOOKUP($X$148,$CQ$5:$GC$5,$CQ$6:$GC$146))</f>
        <v>4.6639839801113236</v>
      </c>
      <c r="Y153" s="277" cm="1">
        <f t="array" ref="Y153">_xlfn.XLOOKUP(O153,$B$6:$B$146,_xlfn.XLOOKUP($Y$148,$CQ$5:$GC$5,$CQ$6:$GC$146))</f>
        <v>4.879813807211228</v>
      </c>
    </row>
    <row r="154" spans="2:185" x14ac:dyDescent="0.35">
      <c r="B154" s="300">
        <v>30</v>
      </c>
      <c r="C154" s="277" cm="1">
        <f t="array" ref="C154">_xlfn.XLOOKUP(B154,$B$6:$B$146,_xlfn.XLOOKUP($C$148,$C$5:$CO$5,$C$6:$CO$146))</f>
        <v>-0.19025304087214981</v>
      </c>
      <c r="D154" s="277" cm="1">
        <f t="array" ref="D154">_xlfn.XLOOKUP(B154,$B$6:$B$146,_xlfn.XLOOKUP($D$148,$C$5:$CO$5,$C$6:$CO$146))</f>
        <v>0.2219758535534774</v>
      </c>
      <c r="E154" s="277" cm="1">
        <f t="array" ref="E154">_xlfn.XLOOKUP(B154,$B$6:$B$146,_xlfn.XLOOKUP($E$148,$C$5:$CO$5,$C$6:$CO$146))</f>
        <v>0.66504174456367882</v>
      </c>
      <c r="F154" s="277" cm="1">
        <f t="array" ref="F154">_xlfn.XLOOKUP(B154,$B$6:$B$146,_xlfn.XLOOKUP($F$148,$C$5:$CO$5,$C$6:$CO$146))</f>
        <v>1.1788336543442151</v>
      </c>
      <c r="G154" s="277" cm="1">
        <f t="array" ref="G154">_xlfn.XLOOKUP(B154,$B$6:$B$146,_xlfn.XLOOKUP($G$148,$C$5:$CO$5,$C$6:$CO$146))</f>
        <v>1.675277703299809</v>
      </c>
      <c r="H154" s="277" cm="1">
        <f t="array" ref="H154">_xlfn.XLOOKUP(B154,$B$6:$B$146,_xlfn.XLOOKUP($H$148,$C$5:$CO$5,$C$6:$CO$146))</f>
        <v>2.1137685872427419</v>
      </c>
      <c r="I154" s="277" cm="1">
        <f t="array" ref="I154">_xlfn.XLOOKUP(B154,$B$6:$B$146,_xlfn.XLOOKUP($I$148,$C$5:$CO$5,$C$6:$CO$146))</f>
        <v>2.4965871275460221</v>
      </c>
      <c r="J154" s="277" cm="1">
        <f t="array" ref="J154">_xlfn.XLOOKUP(B154,$B$6:$B$146,_xlfn.XLOOKUP($J$148,$C$5:$CO$5,$C$6:$CO$146))</f>
        <v>2.8189115238128548</v>
      </c>
      <c r="K154" s="277" cm="1">
        <f t="array" ref="K154">_xlfn.XLOOKUP(B154,$B$6:$B$146,_xlfn.XLOOKUP($K$148,$C$5:$CO$5,$C$6:$CO$146))</f>
        <v>3.0688675246129691</v>
      </c>
      <c r="L154" s="277" cm="1">
        <f t="array" ref="L154">_xlfn.XLOOKUP(B154,$B$6:$B$146,_xlfn.XLOOKUP($L$148,$C$5:$CO$5,$C$6:$CO$146))</f>
        <v>3.3046434023497779</v>
      </c>
      <c r="O154" s="302">
        <v>30</v>
      </c>
      <c r="P154" s="277" cm="1">
        <f t="array" ref="P154">_xlfn.XLOOKUP(O154,$B$6:$B$146,_xlfn.XLOOKUP($P$148,$CQ$5:$GC$5,$CQ$6:$GC$146))</f>
        <v>-0.70297773351953063</v>
      </c>
      <c r="Q154" s="277" cm="1">
        <f t="array" ref="Q154">_xlfn.XLOOKUP(O154,$B$6:$B$146,_xlfn.XLOOKUP($Q$148,$CQ$5:$GC$5,$CQ$6:$GC$146))</f>
        <v>-9.3420355526332419E-2</v>
      </c>
      <c r="R154" s="277" cm="1">
        <f t="array" ref="R154">_xlfn.XLOOKUP(O154,$B$6:$B$146,_xlfn.XLOOKUP($R$148,$CQ$5:$GC$5,$CQ$6:$GC$146))</f>
        <v>0.54145704789801519</v>
      </c>
      <c r="S154" s="277" cm="1">
        <f t="array" ref="S154">_xlfn.XLOOKUP(O154,$B$6:$B$146,_xlfn.XLOOKUP($S$148,$CQ$5:$GC$5,$CQ$6:$GC$146))</f>
        <v>1.1415318164418311</v>
      </c>
      <c r="T154" s="277" cm="1">
        <f t="array" ref="T154">_xlfn.XLOOKUP(O154,$B$6:$B$146,_xlfn.XLOOKUP($T$148,$CQ$5:$GC$5,$CQ$6:$GC$146))</f>
        <v>1.697792573073382</v>
      </c>
      <c r="U154" s="277" cm="1">
        <f t="array" ref="U154">_xlfn.XLOOKUP(O154,$B$6:$B$146,_xlfn.XLOOKUP($U$148,$CQ$5:$GC$5,$CQ$6:$GC$146))</f>
        <v>2.229874252731372</v>
      </c>
      <c r="V154" s="277" cm="1">
        <f t="array" ref="V154">_xlfn.XLOOKUP(O154,$B$6:$B$146,_xlfn.XLOOKUP($V$148,$CQ$5:$GC$5,$CQ$6:$GC$146))</f>
        <v>2.7968312915181568</v>
      </c>
      <c r="W154" s="277" cm="1">
        <f t="array" ref="W154">_xlfn.XLOOKUP(O154,$B$6:$B$146,_xlfn.XLOOKUP($W$148,$CQ$5:$GC$5,$CQ$6:$GC$146))</f>
        <v>3.2668543165300501</v>
      </c>
      <c r="X154" s="277" cm="1">
        <f t="array" ref="X154">_xlfn.XLOOKUP(O154,$B$6:$B$146,_xlfn.XLOOKUP($X$148,$CQ$5:$GC$5,$CQ$6:$GC$146))</f>
        <v>3.5199022544907979</v>
      </c>
      <c r="Y154" s="277" cm="1">
        <f t="array" ref="Y154">_xlfn.XLOOKUP(O154,$B$6:$B$146,_xlfn.XLOOKUP($Y$148,$CQ$5:$GC$5,$CQ$6:$GC$146))</f>
        <v>3.7071970708506128</v>
      </c>
    </row>
    <row r="155" spans="2:185" x14ac:dyDescent="0.35">
      <c r="B155" s="300">
        <v>35</v>
      </c>
      <c r="C155" s="277" cm="1">
        <f t="array" ref="C155">_xlfn.XLOOKUP(B155,$B$6:$B$146,_xlfn.XLOOKUP($C$148,$C$5:$CO$5,$C$6:$CO$146))</f>
        <v>-1.2909512675676551</v>
      </c>
      <c r="D155" s="277" cm="1">
        <f t="array" ref="D155">_xlfn.XLOOKUP(B155,$B$6:$B$146,_xlfn.XLOOKUP($D$148,$C$5:$CO$5,$C$6:$CO$146))</f>
        <v>-0.88014635692750653</v>
      </c>
      <c r="E155" s="277" cm="1">
        <f t="array" ref="E155">_xlfn.XLOOKUP(B155,$B$6:$B$146,_xlfn.XLOOKUP($E$148,$C$5:$CO$5,$C$6:$CO$146))</f>
        <v>-0.43410134095586272</v>
      </c>
      <c r="F155" s="277" cm="1">
        <f t="array" ref="F155">_xlfn.XLOOKUP(B155,$B$6:$B$146,_xlfn.XLOOKUP($F$148,$C$5:$CO$5,$C$6:$CO$146))</f>
        <v>7.0234472594052022E-2</v>
      </c>
      <c r="G155" s="277" cm="1">
        <f t="array" ref="G155">_xlfn.XLOOKUP(B155,$B$6:$B$146,_xlfn.XLOOKUP($G$148,$C$5:$CO$5,$C$6:$CO$146))</f>
        <v>0.57428240202194303</v>
      </c>
      <c r="H155" s="277" cm="1">
        <f t="array" ref="H155">_xlfn.XLOOKUP(B155,$B$6:$B$146,_xlfn.XLOOKUP($H$148,$C$5:$CO$5,$C$6:$CO$146))</f>
        <v>1.035303721385203</v>
      </c>
      <c r="I155" s="277" cm="1">
        <f t="array" ref="I155">_xlfn.XLOOKUP(B155,$B$6:$B$146,_xlfn.XLOOKUP($I$148,$C$5:$CO$5,$C$6:$CO$146))</f>
        <v>1.449938485706205</v>
      </c>
      <c r="J155" s="277" cm="1">
        <f t="array" ref="J155">_xlfn.XLOOKUP(B155,$B$6:$B$146,_xlfn.XLOOKUP($J$148,$C$5:$CO$5,$C$6:$CO$146))</f>
        <v>1.805681096392123</v>
      </c>
      <c r="K155" s="277" cm="1">
        <f t="array" ref="K155">_xlfn.XLOOKUP(B155,$B$6:$B$146,_xlfn.XLOOKUP($K$148,$C$5:$CO$5,$C$6:$CO$146))</f>
        <v>2.0634315534792682</v>
      </c>
      <c r="L155" s="277" cm="1">
        <f t="array" ref="L155">_xlfn.XLOOKUP(B155,$B$6:$B$146,_xlfn.XLOOKUP($L$148,$C$5:$CO$5,$C$6:$CO$146))</f>
        <v>2.3019511756962299</v>
      </c>
      <c r="O155" s="302">
        <v>35</v>
      </c>
      <c r="P155" s="277" cm="1">
        <f t="array" ref="P155">_xlfn.XLOOKUP(O155,$B$6:$B$146,_xlfn.XLOOKUP($P$148,$CQ$5:$GC$5,$CQ$6:$GC$146))</f>
        <v>-1.8311561358282209</v>
      </c>
      <c r="Q155" s="277" cm="1">
        <f t="array" ref="Q155">_xlfn.XLOOKUP(O155,$B$6:$B$146,_xlfn.XLOOKUP($Q$148,$CQ$5:$GC$5,$CQ$6:$GC$146))</f>
        <v>-1.227396734170485</v>
      </c>
      <c r="R155" s="277" cm="1">
        <f t="array" ref="R155">_xlfn.XLOOKUP(O155,$B$6:$B$146,_xlfn.XLOOKUP($R$148,$CQ$5:$GC$5,$CQ$6:$GC$146))</f>
        <v>-0.61509829125807336</v>
      </c>
      <c r="S155" s="277" cm="1">
        <f t="array" ref="S155">_xlfn.XLOOKUP(O155,$B$6:$B$146,_xlfn.XLOOKUP($S$148,$CQ$5:$GC$5,$CQ$6:$GC$146))</f>
        <v>-3.6877880382565523E-2</v>
      </c>
      <c r="T155" s="277" cm="1">
        <f t="array" ref="T155">_xlfn.XLOOKUP(O155,$B$6:$B$146,_xlfn.XLOOKUP($T$148,$CQ$5:$GC$5,$CQ$6:$GC$146))</f>
        <v>0.50254081808007012</v>
      </c>
      <c r="U155" s="277" cm="1">
        <f t="array" ref="U155">_xlfn.XLOOKUP(O155,$B$6:$B$146,_xlfn.XLOOKUP($U$148,$CQ$5:$GC$5,$CQ$6:$GC$146))</f>
        <v>1.0289176901814889</v>
      </c>
      <c r="V155" s="277" cm="1">
        <f t="array" ref="V155">_xlfn.XLOOKUP(O155,$B$6:$B$146,_xlfn.XLOOKUP($V$148,$CQ$5:$GC$5,$CQ$6:$GC$146))</f>
        <v>1.626981802161271</v>
      </c>
      <c r="W155" s="277" cm="1">
        <f t="array" ref="W155">_xlfn.XLOOKUP(O155,$B$6:$B$146,_xlfn.XLOOKUP($W$148,$CQ$5:$GC$5,$CQ$6:$GC$146))</f>
        <v>2.1319495768366949</v>
      </c>
      <c r="X155" s="277" cm="1">
        <f t="array" ref="X155">_xlfn.XLOOKUP(O155,$B$6:$B$146,_xlfn.XLOOKUP($X$148,$CQ$5:$GC$5,$CQ$6:$GC$146))</f>
        <v>2.3654834538892171</v>
      </c>
      <c r="Y155" s="277" cm="1">
        <f t="array" ref="Y155">_xlfn.XLOOKUP(O155,$B$6:$B$146,_xlfn.XLOOKUP($Y$148,$CQ$5:$GC$5,$CQ$6:$GC$146))</f>
        <v>2.533198578347724</v>
      </c>
    </row>
    <row r="156" spans="2:185" x14ac:dyDescent="0.35">
      <c r="B156" s="300">
        <v>40</v>
      </c>
      <c r="C156" s="277" cm="1">
        <f t="array" ref="C156">_xlfn.XLOOKUP(B156,$B$6:$B$146,_xlfn.XLOOKUP($C$148,$C$5:$CO$5,$C$6:$CO$146))</f>
        <v>-2.3817924018135339</v>
      </c>
      <c r="D156" s="277" cm="1">
        <f t="array" ref="D156">_xlfn.XLOOKUP(B156,$B$6:$B$146,_xlfn.XLOOKUP($D$148,$C$5:$CO$5,$C$6:$CO$146))</f>
        <v>-1.967758505547627</v>
      </c>
      <c r="E156" s="277" cm="1">
        <f t="array" ref="E156">_xlfn.XLOOKUP(B156,$B$6:$B$146,_xlfn.XLOOKUP($E$148,$C$5:$CO$5,$C$6:$CO$146))</f>
        <v>-1.5180191255104041</v>
      </c>
      <c r="F156" s="277" cm="1">
        <f t="array" ref="F156">_xlfn.XLOOKUP(B156,$B$6:$B$146,_xlfn.XLOOKUP($F$148,$C$5:$CO$5,$C$6:$CO$146))</f>
        <v>-1.021779202950027</v>
      </c>
      <c r="G156" s="277" cm="1">
        <f t="array" ref="G156">_xlfn.XLOOKUP(B156,$B$6:$B$146,_xlfn.XLOOKUP($G$148,$C$5:$CO$5,$C$6:$CO$146))</f>
        <v>-0.51776800131700862</v>
      </c>
      <c r="H156" s="277" cm="1">
        <f t="array" ref="H156">_xlfn.XLOOKUP(B156,$B$6:$B$146,_xlfn.XLOOKUP($H$148,$C$5:$CO$5,$C$6:$CO$146))</f>
        <v>-4.3226054893018492E-2</v>
      </c>
      <c r="I156" s="277" cm="1">
        <f t="array" ref="I156">_xlfn.XLOOKUP(B156,$B$6:$B$146,_xlfn.XLOOKUP($I$148,$C$5:$CO$5,$C$6:$CO$146))</f>
        <v>0.39006695464904101</v>
      </c>
      <c r="J156" s="277" cm="1">
        <f t="array" ref="J156">_xlfn.XLOOKUP(B156,$B$6:$B$146,_xlfn.XLOOKUP($J$148,$C$5:$CO$5,$C$6:$CO$146))</f>
        <v>0.76169169914269064</v>
      </c>
      <c r="K156" s="277" cm="1">
        <f t="array" ref="K156">_xlfn.XLOOKUP(B156,$B$6:$B$146,_xlfn.XLOOKUP($K$148,$C$5:$CO$5,$C$6:$CO$146))</f>
        <v>1.0391745811064521</v>
      </c>
      <c r="L156" s="277" cm="1">
        <f t="array" ref="L156">_xlfn.XLOOKUP(B156,$B$6:$B$146,_xlfn.XLOOKUP($L$148,$C$5:$CO$5,$C$6:$CO$146))</f>
        <v>1.286355148930945</v>
      </c>
      <c r="O156" s="302">
        <v>40</v>
      </c>
      <c r="P156" s="277" cm="1">
        <f t="array" ref="P156">_xlfn.XLOOKUP(O156,$B$6:$B$146,_xlfn.XLOOKUP($P$148,$CQ$5:$GC$5,$CQ$6:$GC$146))</f>
        <v>-2.96525233073449</v>
      </c>
      <c r="Q156" s="277" cm="1">
        <f t="array" ref="Q156">_xlfn.XLOOKUP(O156,$B$6:$B$146,_xlfn.XLOOKUP($Q$148,$CQ$5:$GC$5,$CQ$6:$GC$146))</f>
        <v>-2.370984276212984</v>
      </c>
      <c r="R156" s="277" cm="1">
        <f t="array" ref="R156">_xlfn.XLOOKUP(O156,$B$6:$B$146,_xlfn.XLOOKUP($R$148,$CQ$5:$GC$5,$CQ$6:$GC$146))</f>
        <v>-1.777473646459095</v>
      </c>
      <c r="S156" s="277" cm="1">
        <f t="array" ref="S156">_xlfn.XLOOKUP(O156,$B$6:$B$146,_xlfn.XLOOKUP($S$148,$CQ$5:$GC$5,$CQ$6:$GC$146))</f>
        <v>-1.2128782921665959</v>
      </c>
      <c r="T156" s="277" cm="1">
        <f t="array" ref="T156">_xlfn.XLOOKUP(O156,$B$6:$B$146,_xlfn.XLOOKUP($T$148,$CQ$5:$GC$5,$CQ$6:$GC$146))</f>
        <v>-0.67911140069400566</v>
      </c>
      <c r="U156" s="277" cm="1">
        <f t="array" ref="U156">_xlfn.XLOOKUP(O156,$B$6:$B$146,_xlfn.XLOOKUP($U$148,$CQ$5:$GC$5,$CQ$6:$GC$146))</f>
        <v>-0.14213754964898709</v>
      </c>
      <c r="V156" s="277" cm="1">
        <f t="array" ref="V156">_xlfn.XLOOKUP(O156,$B$6:$B$146,_xlfn.XLOOKUP($V$148,$CQ$5:$GC$5,$CQ$6:$GC$146))</f>
        <v>0.44569688095417748</v>
      </c>
      <c r="W156" s="277" cm="1">
        <f t="array" ref="W156">_xlfn.XLOOKUP(O156,$B$6:$B$146,_xlfn.XLOOKUP($W$148,$CQ$5:$GC$5,$CQ$6:$GC$146))</f>
        <v>0.94285083576261697</v>
      </c>
      <c r="X156" s="277" cm="1">
        <f t="array" ref="X156">_xlfn.XLOOKUP(O156,$B$6:$B$146,_xlfn.XLOOKUP($X$148,$CQ$5:$GC$5,$CQ$6:$GC$146))</f>
        <v>1.1963674085675819</v>
      </c>
      <c r="Y156" s="277" cm="1">
        <f t="array" ref="Y156">_xlfn.XLOOKUP(O156,$B$6:$B$146,_xlfn.XLOOKUP($Y$148,$CQ$5:$GC$5,$CQ$6:$GC$146))</f>
        <v>1.379246238090357</v>
      </c>
    </row>
    <row r="157" spans="2:185" x14ac:dyDescent="0.35">
      <c r="B157" s="300">
        <v>45</v>
      </c>
      <c r="C157" s="277" cm="1">
        <f t="array" ref="C157">_xlfn.XLOOKUP(B157,$B$6:$B$146,_xlfn.XLOOKUP($C$148,$C$5:$CO$5,$C$6:$CO$146))</f>
        <v>-3.4640468514240021</v>
      </c>
      <c r="D157" s="277" cm="1">
        <f t="array" ref="D157">_xlfn.XLOOKUP(B157,$B$6:$B$146,_xlfn.XLOOKUP($D$148,$C$5:$CO$5,$C$6:$CO$146))</f>
        <v>-3.0453598957406092</v>
      </c>
      <c r="E157" s="277" cm="1">
        <f t="array" ref="E157">_xlfn.XLOOKUP(B157,$B$6:$B$146,_xlfn.XLOOKUP($E$148,$C$5:$CO$5,$C$6:$CO$146))</f>
        <v>-2.5931784507424949</v>
      </c>
      <c r="F157" s="277" cm="1">
        <f t="array" ref="F157">_xlfn.XLOOKUP(B157,$B$6:$B$146,_xlfn.XLOOKUP($F$148,$C$5:$CO$5,$C$6:$CO$146))</f>
        <v>-2.1034622257616049</v>
      </c>
      <c r="G157" s="277" cm="1">
        <f t="array" ref="G157">_xlfn.XLOOKUP(B157,$B$6:$B$146,_xlfn.XLOOKUP($G$148,$C$5:$CO$5,$C$6:$CO$146))</f>
        <v>-1.6031731928248569</v>
      </c>
      <c r="H157" s="277" cm="1">
        <f t="array" ref="H157">_xlfn.XLOOKUP(B157,$B$6:$B$146,_xlfn.XLOOKUP($H$148,$C$5:$CO$5,$C$6:$CO$146))</f>
        <v>-1.123376163760365</v>
      </c>
      <c r="I157" s="277" cm="1">
        <f t="array" ref="I157">_xlfn.XLOOKUP(B157,$B$6:$B$146,_xlfn.XLOOKUP($I$148,$C$5:$CO$5,$C$6:$CO$146))</f>
        <v>-0.68212510475070687</v>
      </c>
      <c r="J157" s="277" cm="1">
        <f t="array" ref="J157">_xlfn.XLOOKUP(B157,$B$6:$B$146,_xlfn.XLOOKUP($J$148,$C$5:$CO$5,$C$6:$CO$146))</f>
        <v>-0.30295420180432409</v>
      </c>
      <c r="K157" s="277" cm="1">
        <f t="array" ref="K157">_xlfn.XLOOKUP(B157,$B$6:$B$146,_xlfn.XLOOKUP($K$148,$C$5:$CO$5,$C$6:$CO$146))</f>
        <v>-3.736339726042814E-3</v>
      </c>
      <c r="L157" s="277" cm="1">
        <f t="array" ref="L157">_xlfn.XLOOKUP(B157,$B$6:$B$146,_xlfn.XLOOKUP($L$148,$C$5:$CO$5,$C$6:$CO$146))</f>
        <v>0.25721461649538752</v>
      </c>
      <c r="O157" s="302">
        <v>45</v>
      </c>
      <c r="P157" s="277" cm="1">
        <f t="array" ref="P157">_xlfn.XLOOKUP(O157,$B$6:$B$146,_xlfn.XLOOKUP($P$148,$CQ$5:$GC$5,$CQ$6:$GC$146))</f>
        <v>-4.1047519231373366</v>
      </c>
      <c r="Q157" s="277" cm="1">
        <f t="array" ref="Q157">_xlfn.XLOOKUP(O157,$B$6:$B$146,_xlfn.XLOOKUP($Q$148,$CQ$5:$GC$5,$CQ$6:$GC$146))</f>
        <v>-3.5206509238342072</v>
      </c>
      <c r="R157" s="277" cm="1">
        <f t="array" ref="R157">_xlfn.XLOOKUP(O157,$B$6:$B$146,_xlfn.XLOOKUP($R$148,$CQ$5:$GC$5,$CQ$6:$GC$146))</f>
        <v>-2.9415152866247181</v>
      </c>
      <c r="S157" s="277" cm="1">
        <f t="array" ref="S157">_xlfn.XLOOKUP(O157,$B$6:$B$146,_xlfn.XLOOKUP($S$148,$CQ$5:$GC$5,$CQ$6:$GC$146))</f>
        <v>-2.3855835468612381</v>
      </c>
      <c r="T157" s="277" cm="1">
        <f t="array" ref="T157">_xlfn.XLOOKUP(O157,$B$6:$B$146,_xlfn.XLOOKUP($T$148,$CQ$5:$GC$5,$CQ$6:$GC$146))</f>
        <v>-1.8513356375122261</v>
      </c>
      <c r="U157" s="277" cm="1">
        <f t="array" ref="U157">_xlfn.XLOOKUP(O157,$B$6:$B$146,_xlfn.XLOOKUP($U$148,$CQ$5:$GC$5,$CQ$6:$GC$146))</f>
        <v>-1.309660078091158</v>
      </c>
      <c r="V157" s="277" cm="1">
        <f t="array" ref="V157">_xlfn.XLOOKUP(O157,$B$6:$B$146,_xlfn.XLOOKUP($V$148,$CQ$5:$GC$5,$CQ$6:$GC$146))</f>
        <v>-0.74666098549764515</v>
      </c>
      <c r="W157" s="277" cm="1">
        <f t="array" ref="W157">_xlfn.XLOOKUP(O157,$B$6:$B$146,_xlfn.XLOOKUP($W$148,$CQ$5:$GC$5,$CQ$6:$GC$146))</f>
        <v>-0.27248438112049961</v>
      </c>
      <c r="X157" s="277" cm="1">
        <f t="array" ref="X157">_xlfn.XLOOKUP(O157,$B$6:$B$146,_xlfn.XLOOKUP($X$148,$CQ$5:$GC$5,$CQ$6:$GC$146))</f>
        <v>1.477442226393186E-2</v>
      </c>
      <c r="Y157" s="277" cm="1">
        <f t="array" ref="Y157">_xlfn.XLOOKUP(O157,$B$6:$B$146,_xlfn.XLOOKUP($Y$148,$CQ$5:$GC$5,$CQ$6:$GC$146))</f>
        <v>0.2310754245069977</v>
      </c>
    </row>
    <row r="158" spans="2:185" x14ac:dyDescent="0.35">
      <c r="B158" s="300">
        <v>50</v>
      </c>
      <c r="C158" s="277" cm="1">
        <f t="array" ref="C158">_xlfn.XLOOKUP(B158,$B$6:$B$146,_xlfn.XLOOKUP($C$148,$C$5:$CO$5,$C$6:$CO$146))</f>
        <v>-4.5395404714279977</v>
      </c>
      <c r="D158" s="277" cm="1">
        <f t="array" ref="D158">_xlfn.XLOOKUP(B158,$B$6:$B$146,_xlfn.XLOOKUP($D$148,$C$5:$CO$5,$C$6:$CO$146))</f>
        <v>-4.1164533313507219</v>
      </c>
      <c r="E158" s="277" cm="1">
        <f t="array" ref="E158">_xlfn.XLOOKUP(B158,$B$6:$B$146,_xlfn.XLOOKUP($E$148,$C$5:$CO$5,$C$6:$CO$146))</f>
        <v>-3.6631108443267082</v>
      </c>
      <c r="F158" s="277" cm="1">
        <f t="array" ref="F158">_xlfn.XLOOKUP(B158,$B$6:$B$146,_xlfn.XLOOKUP($F$148,$C$5:$CO$5,$C$6:$CO$146))</f>
        <v>-3.1791015292173261</v>
      </c>
      <c r="G158" s="277" cm="1">
        <f t="array" ref="G158">_xlfn.XLOOKUP(B158,$B$6:$B$146,_xlfn.XLOOKUP($G$148,$C$5:$CO$5,$C$6:$CO$146))</f>
        <v>-2.684469401928784</v>
      </c>
      <c r="H158" s="277" cm="1">
        <f t="array" ref="H158">_xlfn.XLOOKUP(B158,$B$6:$B$146,_xlfn.XLOOKUP($H$148,$C$5:$CO$5,$C$6:$CO$146))</f>
        <v>-2.2052742470226141</v>
      </c>
      <c r="I158" s="277" cm="1">
        <f t="array" ref="I158">_xlfn.XLOOKUP(B158,$B$6:$B$146,_xlfn.XLOOKUP($I$148,$C$5:$CO$5,$C$6:$CO$146))</f>
        <v>-1.762284836921558</v>
      </c>
      <c r="J158" s="277" cm="1">
        <f t="array" ref="J158">_xlfn.XLOOKUP(B158,$B$6:$B$146,_xlfn.XLOOKUP($J$148,$C$5:$CO$5,$C$6:$CO$146))</f>
        <v>-1.377396672720598</v>
      </c>
      <c r="K158" s="277" cm="1">
        <f t="array" ref="K158">_xlfn.XLOOKUP(B158,$B$6:$B$146,_xlfn.XLOOKUP($K$148,$C$5:$CO$5,$C$6:$CO$146))</f>
        <v>-1.06042010873834</v>
      </c>
      <c r="L158" s="277" cm="1">
        <f t="array" ref="L158">_xlfn.XLOOKUP(B158,$B$6:$B$146,_xlfn.XLOOKUP($L$148,$C$5:$CO$5,$C$6:$CO$146))</f>
        <v>-0.78389195412563595</v>
      </c>
      <c r="O158" s="302">
        <v>50</v>
      </c>
      <c r="P158" s="277" cm="1">
        <f t="array" ref="P158">_xlfn.XLOOKUP(O158,$B$6:$B$146,_xlfn.XLOOKUP($P$148,$CQ$5:$GC$5,$CQ$6:$GC$146))</f>
        <v>-5.2486756827558159</v>
      </c>
      <c r="Q158" s="277" cm="1">
        <f t="array" ref="Q158">_xlfn.XLOOKUP(O158,$B$6:$B$146,_xlfn.XLOOKUP($Q$148,$CQ$5:$GC$5,$CQ$6:$GC$146))</f>
        <v>-4.6740328531898916</v>
      </c>
      <c r="R158" s="277" cm="1">
        <f t="array" ref="R158">_xlfn.XLOOKUP(O158,$B$6:$B$146,_xlfn.XLOOKUP($R$148,$CQ$5:$GC$5,$CQ$6:$GC$146))</f>
        <v>-4.105833045840642</v>
      </c>
      <c r="S158" s="277" cm="1">
        <f t="array" ref="S158">_xlfn.XLOOKUP(O158,$B$6:$B$146,_xlfn.XLOOKUP($S$148,$CQ$5:$GC$5,$CQ$6:$GC$146))</f>
        <v>-3.5557416958781798</v>
      </c>
      <c r="T158" s="277" cm="1">
        <f t="array" ref="T158">_xlfn.XLOOKUP(O158,$B$6:$B$146,_xlfn.XLOOKUP($T$148,$CQ$5:$GC$5,$CQ$6:$GC$146))</f>
        <v>-3.0207562503913579</v>
      </c>
      <c r="U158" s="277" cm="1">
        <f t="array" ref="U158">_xlfn.XLOOKUP(O158,$B$6:$B$146,_xlfn.XLOOKUP($U$148,$CQ$5:$GC$5,$CQ$6:$GC$146))</f>
        <v>-2.48221906700108</v>
      </c>
      <c r="V158" s="277" cm="1">
        <f t="array" ref="V158">_xlfn.XLOOKUP(O158,$B$6:$B$146,_xlfn.XLOOKUP($V$148,$CQ$5:$GC$5,$CQ$6:$GC$146))</f>
        <v>-1.9451001658579821</v>
      </c>
      <c r="W158" s="277" cm="1">
        <f t="array" ref="W158">_xlfn.XLOOKUP(O158,$B$6:$B$146,_xlfn.XLOOKUP($W$148,$CQ$5:$GC$5,$CQ$6:$GC$146))</f>
        <v>-1.489196310402964</v>
      </c>
      <c r="X158" s="277" cm="1">
        <f t="array" ref="X158">_xlfn.XLOOKUP(O158,$B$6:$B$146,_xlfn.XLOOKUP($X$148,$CQ$5:$GC$5,$CQ$6:$GC$146))</f>
        <v>-1.173418642337569</v>
      </c>
      <c r="Y158" s="277" cm="1">
        <f t="array" ref="Y158">_xlfn.XLOOKUP(O158,$B$6:$B$146,_xlfn.XLOOKUP($Y$148,$CQ$5:$GC$5,$CQ$6:$GC$146))</f>
        <v>-0.92267425171024298</v>
      </c>
    </row>
    <row r="159" spans="2:185" x14ac:dyDescent="0.35">
      <c r="B159" s="300">
        <v>55</v>
      </c>
      <c r="C159" s="277" cm="1">
        <f t="array" ref="C159">_xlfn.XLOOKUP(B159,$B$6:$B$146,_xlfn.XLOOKUP($C$148,$C$5:$CO$5,$C$6:$CO$146))</f>
        <v>-5.6100375105744824</v>
      </c>
      <c r="D159" s="277" cm="1">
        <f t="array" ref="D159">_xlfn.XLOOKUP(B159,$B$6:$B$146,_xlfn.XLOOKUP($D$148,$C$5:$CO$5,$C$6:$CO$146))</f>
        <v>-5.1834243115206036</v>
      </c>
      <c r="E159" s="277" cm="1">
        <f t="array" ref="E159">_xlfn.XLOOKUP(B159,$B$6:$B$146,_xlfn.XLOOKUP($E$148,$C$5:$CO$5,$C$6:$CO$146))</f>
        <v>-4.7300173491405548</v>
      </c>
      <c r="F159" s="277" cm="1">
        <f t="array" ref="F159">_xlfn.XLOOKUP(B159,$B$6:$B$146,_xlfn.XLOOKUP($F$148,$C$5:$CO$5,$C$6:$CO$146))</f>
        <v>-4.2514140629043338</v>
      </c>
      <c r="G159" s="277" cm="1">
        <f t="array" ref="G159">_xlfn.XLOOKUP(B159,$B$6:$B$146,_xlfn.XLOOKUP($G$148,$C$5:$CO$5,$C$6:$CO$146))</f>
        <v>-3.7634746854294918</v>
      </c>
      <c r="H159" s="277" cm="1">
        <f t="array" ref="H159">_xlfn.XLOOKUP(B159,$B$6:$B$146,_xlfn.XLOOKUP($H$148,$C$5:$CO$5,$C$6:$CO$146))</f>
        <v>-3.288346737990365</v>
      </c>
      <c r="I159" s="277" cm="1">
        <f t="array" ref="I159">_xlfn.XLOOKUP(B159,$B$6:$B$146,_xlfn.XLOOKUP($I$148,$C$5:$CO$5,$C$6:$CO$146))</f>
        <v>-2.8467079135275708</v>
      </c>
      <c r="J159" s="277" cm="1">
        <f t="array" ref="J159">_xlfn.XLOOKUP(B159,$B$6:$B$146,_xlfn.XLOOKUP($J$148,$C$5:$CO$5,$C$6:$CO$146))</f>
        <v>-2.4573802631190031</v>
      </c>
      <c r="K159" s="277" cm="1">
        <f t="array" ref="K159">_xlfn.XLOOKUP(B159,$B$6:$B$146,_xlfn.XLOOKUP($K$148,$C$5:$CO$5,$C$6:$CO$146))</f>
        <v>-2.126325407881819</v>
      </c>
      <c r="L159" s="277" cm="1">
        <f t="array" ref="L159">_xlfn.XLOOKUP(B159,$B$6:$B$146,_xlfn.XLOOKUP($L$148,$C$5:$CO$5,$C$6:$CO$146))</f>
        <v>-1.834840208020655</v>
      </c>
      <c r="O159" s="302">
        <v>55</v>
      </c>
      <c r="P159" s="277" cm="1">
        <f t="array" ref="P159">_xlfn.XLOOKUP(O159,$B$6:$B$146,_xlfn.XLOOKUP($P$148,$CQ$5:$GC$5,$CQ$6:$GC$146))</f>
        <v>-6.3960893176127227</v>
      </c>
      <c r="Q159" s="277" cm="1">
        <f t="array" ref="Q159">_xlfn.XLOOKUP(O159,$B$6:$B$146,_xlfn.XLOOKUP($Q$148,$CQ$5:$GC$5,$CQ$6:$GC$146))</f>
        <v>-5.8298213434022124</v>
      </c>
      <c r="R159" s="277" cm="1">
        <f t="array" ref="R159">_xlfn.XLOOKUP(O159,$B$6:$B$146,_xlfn.XLOOKUP($R$148,$CQ$5:$GC$5,$CQ$6:$GC$146))</f>
        <v>-5.2702064384665928</v>
      </c>
      <c r="S159" s="277" cm="1">
        <f t="array" ref="S159">_xlfn.XLOOKUP(O159,$B$6:$B$146,_xlfn.XLOOKUP($S$148,$CQ$5:$GC$5,$CQ$6:$GC$146))</f>
        <v>-4.7248256032451668</v>
      </c>
      <c r="T159" s="277" cm="1">
        <f t="array" ref="T159">_xlfn.XLOOKUP(O159,$B$6:$B$146,_xlfn.XLOOKUP($T$148,$CQ$5:$GC$5,$CQ$6:$GC$146))</f>
        <v>-4.191206922219493</v>
      </c>
      <c r="U159" s="277" cm="1">
        <f t="array" ref="U159">_xlfn.XLOOKUP(O159,$B$6:$B$146,_xlfn.XLOOKUP($U$148,$CQ$5:$GC$5,$CQ$6:$GC$146))</f>
        <v>-3.6603279835752471</v>
      </c>
      <c r="V159" s="277" cm="1">
        <f t="array" ref="V159">_xlfn.XLOOKUP(O159,$B$6:$B$146,_xlfn.XLOOKUP($V$148,$CQ$5:$GC$5,$CQ$6:$GC$146))</f>
        <v>-3.145229898651714</v>
      </c>
      <c r="W159" s="277" cm="1">
        <f t="array" ref="W159">_xlfn.XLOOKUP(O159,$B$6:$B$146,_xlfn.XLOOKUP($W$148,$CQ$5:$GC$5,$CQ$6:$GC$146))</f>
        <v>-2.7015402989626072</v>
      </c>
      <c r="X159" s="277" cm="1">
        <f t="array" ref="X159">_xlfn.XLOOKUP(O159,$B$6:$B$146,_xlfn.XLOOKUP($X$148,$CQ$5:$GC$5,$CQ$6:$GC$146))</f>
        <v>-2.363754584284119</v>
      </c>
      <c r="Y159" s="277" cm="1">
        <f t="array" ref="Y159">_xlfn.XLOOKUP(O159,$B$6:$B$146,_xlfn.XLOOKUP($Y$148,$CQ$5:$GC$5,$CQ$6:$GC$146))</f>
        <v>-2.0828257353373809</v>
      </c>
    </row>
    <row r="160" spans="2:185" x14ac:dyDescent="0.35">
      <c r="B160" s="300">
        <v>60</v>
      </c>
      <c r="C160" s="277" cm="1">
        <f t="array" ref="C160">_xlfn.XLOOKUP(B160,$B$6:$B$146,_xlfn.XLOOKUP($C$148,$C$5:$CO$5,$C$6:$CO$146))</f>
        <v>-6.6770077652399626</v>
      </c>
      <c r="D160" s="277" cm="1">
        <f t="array" ref="D160">_xlfn.XLOOKUP(B160,$B$6:$B$146,_xlfn.XLOOKUP($D$148,$C$5:$CO$5,$C$6:$CO$146))</f>
        <v>-6.2478838497954987</v>
      </c>
      <c r="E160" s="277" cm="1">
        <f t="array" ref="E160">_xlfn.XLOOKUP(B160,$B$6:$B$146,_xlfn.XLOOKUP($E$148,$C$5:$CO$5,$C$6:$CO$146))</f>
        <v>-5.7953158030118006</v>
      </c>
      <c r="F160" s="277" cm="1">
        <f t="array" ref="F160">_xlfn.XLOOKUP(B160,$B$6:$B$146,_xlfn.XLOOKUP($F$148,$C$5:$CO$5,$C$6:$CO$146))</f>
        <v>-5.3220519574474787</v>
      </c>
      <c r="G160" s="277" cm="1">
        <f t="array" ref="G160">_xlfn.XLOOKUP(B160,$B$6:$B$146,_xlfn.XLOOKUP($G$148,$C$5:$CO$5,$C$6:$CO$146))</f>
        <v>-4.8412694705392756</v>
      </c>
      <c r="H160" s="277" cm="1">
        <f t="array" ref="H160">_xlfn.XLOOKUP(B160,$B$6:$B$146,_xlfn.XLOOKUP($H$148,$C$5:$CO$5,$C$6:$CO$146))</f>
        <v>-4.3719386324439391</v>
      </c>
      <c r="I160" s="277" cm="1">
        <f t="array" ref="I160">_xlfn.XLOOKUP(B160,$B$6:$B$146,_xlfn.XLOOKUP($I$148,$C$5:$CO$5,$C$6:$CO$146))</f>
        <v>-3.9330932596055268</v>
      </c>
      <c r="J160" s="277" cm="1">
        <f t="array" ref="J160">_xlfn.XLOOKUP(B160,$B$6:$B$146,_xlfn.XLOOKUP($J$148,$C$5:$CO$5,$C$6:$CO$146))</f>
        <v>-3.540489160923201</v>
      </c>
      <c r="K160" s="277" cm="1">
        <f t="array" ref="K160">_xlfn.XLOOKUP(B160,$B$6:$B$146,_xlfn.XLOOKUP($K$148,$C$5:$CO$5,$C$6:$CO$146))</f>
        <v>-3.198304178092398</v>
      </c>
      <c r="L160" s="277" cm="1">
        <f t="array" ref="L160">_xlfn.XLOOKUP(B160,$B$6:$B$146,_xlfn.XLOOKUP($L$148,$C$5:$CO$5,$C$6:$CO$146))</f>
        <v>-2.89346197291774</v>
      </c>
      <c r="O160" s="302">
        <v>60</v>
      </c>
      <c r="P160" s="277" cm="1">
        <f t="array" ref="P160">_xlfn.XLOOKUP(O160,$B$6:$B$146,_xlfn.XLOOKUP($P$148,$CQ$5:$GC$5,$CQ$6:$GC$146))</f>
        <v>-7.5462705243412476</v>
      </c>
      <c r="Q160" s="277" cm="1">
        <f t="array" ref="Q160">_xlfn.XLOOKUP(O160,$B$6:$B$146,_xlfn.XLOOKUP($Q$148,$CQ$5:$GC$5,$CQ$6:$GC$146))</f>
        <v>-6.9873599522359484</v>
      </c>
      <c r="R160" s="277" cm="1">
        <f t="array" ref="R160">_xlfn.XLOOKUP(O160,$B$6:$B$146,_xlfn.XLOOKUP($R$148,$CQ$5:$GC$5,$CQ$6:$GC$146))</f>
        <v>-6.4348667772522337</v>
      </c>
      <c r="S160" s="277" cm="1">
        <f t="array" ref="S160">_xlfn.XLOOKUP(O160,$B$6:$B$146,_xlfn.XLOOKUP($S$148,$CQ$5:$GC$5,$CQ$6:$GC$146))</f>
        <v>-5.8940626052349741</v>
      </c>
      <c r="T160" s="277" cm="1">
        <f t="array" ref="T160">_xlfn.XLOOKUP(O160,$B$6:$B$146,_xlfn.XLOOKUP($T$148,$CQ$5:$GC$5,$CQ$6:$GC$146))</f>
        <v>-5.3639940571264102</v>
      </c>
      <c r="U160" s="277" cm="1">
        <f t="array" ref="U160">_xlfn.XLOOKUP(O160,$B$6:$B$146,_xlfn.XLOOKUP($U$148,$CQ$5:$GC$5,$CQ$6:$GC$146))</f>
        <v>-4.8424876983194798</v>
      </c>
      <c r="V160" s="277" cm="1">
        <f t="array" ref="V160">_xlfn.XLOOKUP(O160,$B$6:$B$146,_xlfn.XLOOKUP($V$148,$CQ$5:$GC$5,$CQ$6:$GC$146))</f>
        <v>-4.3446016418396018</v>
      </c>
      <c r="W160" s="277" cm="1">
        <f t="array" ref="W160">_xlfn.XLOOKUP(O160,$B$6:$B$146,_xlfn.XLOOKUP($W$148,$CQ$5:$GC$5,$CQ$6:$GC$146))</f>
        <v>-3.908427428911474</v>
      </c>
      <c r="X160" s="277" cm="1">
        <f t="array" ref="X160">_xlfn.XLOOKUP(O160,$B$6:$B$146,_xlfn.XLOOKUP($X$148,$CQ$5:$GC$5,$CQ$6:$GC$146))</f>
        <v>-3.5538549372393979</v>
      </c>
      <c r="Y160" s="277" cm="1">
        <f t="array" ref="Y160">_xlfn.XLOOKUP(O160,$B$6:$B$146,_xlfn.XLOOKUP($Y$148,$CQ$5:$GC$5,$CQ$6:$GC$146))</f>
        <v>-3.2480091759941372</v>
      </c>
    </row>
    <row r="161" spans="2:25" x14ac:dyDescent="0.35">
      <c r="B161" s="300">
        <v>65</v>
      </c>
      <c r="C161" s="277" cm="1">
        <f t="array" ref="C161">_xlfn.XLOOKUP(B161,$B$6:$B$146,_xlfn.XLOOKUP($C$148,$C$5:$CO$5,$C$6:$CO$146))</f>
        <v>-7.7415954015336306</v>
      </c>
      <c r="D161" s="277" cm="1">
        <f t="array" ref="D161">_xlfn.XLOOKUP(B161,$B$6:$B$146,_xlfn.XLOOKUP($D$148,$C$5:$CO$5,$C$6:$CO$146))</f>
        <v>-7.3109239328313107</v>
      </c>
      <c r="E161" s="277" cm="1">
        <f t="array" ref="E161">_xlfn.XLOOKUP(B161,$B$6:$B$146,_xlfn.XLOOKUP($E$148,$C$5:$CO$5,$C$6:$CO$146))</f>
        <v>-6.8599157801765021</v>
      </c>
      <c r="F161" s="277" cm="1">
        <f t="array" ref="F161">_xlfn.XLOOKUP(B161,$B$6:$B$146,_xlfn.XLOOKUP($F$148,$C$5:$CO$5,$C$6:$CO$146))</f>
        <v>-6.3919808998894121</v>
      </c>
      <c r="G161" s="277" cm="1">
        <f t="array" ref="G161">_xlfn.XLOOKUP(B161,$B$6:$B$146,_xlfn.XLOOKUP($G$148,$C$5:$CO$5,$C$6:$CO$146))</f>
        <v>-5.918426658948694</v>
      </c>
      <c r="H161" s="277" cm="1">
        <f t="array" ref="H161">_xlfn.XLOOKUP(B161,$B$6:$B$146,_xlfn.XLOOKUP($H$148,$C$5:$CO$5,$C$6:$CO$146))</f>
        <v>-5.4555425803559796</v>
      </c>
      <c r="I161" s="277" cm="1">
        <f t="array" ref="I161">_xlfn.XLOOKUP(B161,$B$6:$B$146,_xlfn.XLOOKUP($I$148,$C$5:$CO$5,$C$6:$CO$146))</f>
        <v>-5.0201109102504882</v>
      </c>
      <c r="J161" s="277" cm="1">
        <f t="array" ref="J161">_xlfn.XLOOKUP(B161,$B$6:$B$146,_xlfn.XLOOKUP($J$148,$C$5:$CO$5,$C$6:$CO$146))</f>
        <v>-4.6252381254206689</v>
      </c>
      <c r="K161" s="277" cm="1">
        <f t="array" ref="K161">_xlfn.XLOOKUP(B161,$B$6:$B$146,_xlfn.XLOOKUP($K$148,$C$5:$CO$5,$C$6:$CO$146))</f>
        <v>-4.2742583064527162</v>
      </c>
      <c r="L161" s="277" cm="1">
        <f t="array" ref="L161">_xlfn.XLOOKUP(B161,$B$6:$B$146,_xlfn.XLOOKUP($L$148,$C$5:$CO$5,$C$6:$CO$146))</f>
        <v>-3.9578854479488701</v>
      </c>
      <c r="O161" s="302">
        <v>65</v>
      </c>
      <c r="P161" s="277" cm="1">
        <f t="array" ref="P161">_xlfn.XLOOKUP(O161,$B$6:$B$146,_xlfn.XLOOKUP($P$148,$CQ$5:$GC$5,$CQ$6:$GC$146))</f>
        <v>-8.6987077727473654</v>
      </c>
      <c r="Q161" s="277" cm="1">
        <f t="array" ref="Q161">_xlfn.XLOOKUP(O161,$B$6:$B$146,_xlfn.XLOOKUP($Q$148,$CQ$5:$GC$5,$CQ$6:$GC$146))</f>
        <v>-8.1463405449161481</v>
      </c>
      <c r="R161" s="277" cm="1">
        <f t="array" ref="R161">_xlfn.XLOOKUP(O161,$B$6:$B$146,_xlfn.XLOOKUP($R$148,$CQ$5:$GC$5,$CQ$6:$GC$146))</f>
        <v>-7.6001188553934726</v>
      </c>
      <c r="S161" s="277" cm="1">
        <f t="array" ref="S161">_xlfn.XLOOKUP(O161,$B$6:$B$146,_xlfn.XLOOKUP($S$148,$CQ$5:$GC$5,$CQ$6:$GC$146))</f>
        <v>-7.0641491154012783</v>
      </c>
      <c r="T161" s="277" cm="1">
        <f t="array" ref="T161">_xlfn.XLOOKUP(O161,$B$6:$B$146,_xlfn.XLOOKUP($T$148,$CQ$5:$GC$5,$CQ$6:$GC$146))</f>
        <v>-6.5391224538787203</v>
      </c>
      <c r="U161" s="277" cm="1">
        <f t="array" ref="U161">_xlfn.XLOOKUP(O161,$B$6:$B$146,_xlfn.XLOOKUP($U$148,$CQ$5:$GC$5,$CQ$6:$GC$146))</f>
        <v>-6.0270281612905654</v>
      </c>
      <c r="V161" s="277" cm="1">
        <f t="array" ref="V161">_xlfn.XLOOKUP(O161,$B$6:$B$146,_xlfn.XLOOKUP($V$148,$CQ$5:$GC$5,$CQ$6:$GC$146))</f>
        <v>-5.5420801054044748</v>
      </c>
      <c r="W161" s="277" cm="1">
        <f t="array" ref="W161">_xlfn.XLOOKUP(O161,$B$6:$B$146,_xlfn.XLOOKUP($W$148,$CQ$5:$GC$5,$CQ$6:$GC$146))</f>
        <v>-5.1101990672290238</v>
      </c>
      <c r="X161" s="277" cm="1">
        <f t="array" ref="X161">_xlfn.XLOOKUP(O161,$B$6:$B$146,_xlfn.XLOOKUP($X$148,$CQ$5:$GC$5,$CQ$6:$GC$146))</f>
        <v>-4.7426390546901551</v>
      </c>
      <c r="Y161" s="277" cm="1">
        <f t="array" ref="Y161">_xlfn.XLOOKUP(O161,$B$6:$B$146,_xlfn.XLOOKUP($Y$148,$CQ$5:$GC$5,$CQ$6:$GC$146))</f>
        <v>-4.4166235032020378</v>
      </c>
    </row>
    <row r="162" spans="2:25" x14ac:dyDescent="0.35">
      <c r="B162" s="300">
        <v>70</v>
      </c>
      <c r="C162" s="277" cm="1">
        <f t="array" ref="C162">_xlfn.XLOOKUP(B162,$B$6:$B$146,_xlfn.XLOOKUP($C$148,$C$5:$CO$5,$C$6:$CO$146))</f>
        <v>-8.8046595306659334</v>
      </c>
      <c r="D162" s="277" cm="1">
        <f t="array" ref="D162">_xlfn.XLOOKUP(B162,$B$6:$B$146,_xlfn.XLOOKUP($D$148,$C$5:$CO$5,$C$6:$CO$146))</f>
        <v>-8.3732810016767516</v>
      </c>
      <c r="E162" s="277" cm="1">
        <f t="array" ref="E162">_xlfn.XLOOKUP(B162,$B$6:$B$146,_xlfn.XLOOKUP($E$148,$C$5:$CO$5,$C$6:$CO$146))</f>
        <v>-7.9243847956926841</v>
      </c>
      <c r="F162" s="277" cm="1">
        <f t="array" ref="F162">_xlfn.XLOOKUP(B162,$B$6:$B$146,_xlfn.XLOOKUP($F$148,$C$5:$CO$5,$C$6:$CO$146))</f>
        <v>-7.4617370441643951</v>
      </c>
      <c r="G162" s="277" cm="1">
        <f t="array" ref="G162">_xlfn.XLOOKUP(B162,$B$6:$B$146,_xlfn.XLOOKUP($G$148,$C$5:$CO$5,$C$6:$CO$146))</f>
        <v>-6.9952221518511593</v>
      </c>
      <c r="H162" s="277" cm="1">
        <f t="array" ref="H162">_xlfn.XLOOKUP(B162,$B$6:$B$146,_xlfn.XLOOKUP($H$148,$C$5:$CO$5,$C$6:$CO$146))</f>
        <v>-6.5388265414537834</v>
      </c>
      <c r="I162" s="277" cm="1">
        <f t="array" ref="I162">_xlfn.XLOOKUP(B162,$B$6:$B$146,_xlfn.XLOOKUP($I$148,$C$5:$CO$5,$C$6:$CO$146))</f>
        <v>-6.1070098246648428</v>
      </c>
      <c r="J162" s="277" cm="1">
        <f t="array" ref="J162">_xlfn.XLOOKUP(B162,$B$6:$B$146,_xlfn.XLOOKUP($J$148,$C$5:$CO$5,$C$6:$CO$146))</f>
        <v>-5.7106913828893857</v>
      </c>
      <c r="K162" s="277" cm="1">
        <f t="array" ref="K162">_xlfn.XLOOKUP(B162,$B$6:$B$146,_xlfn.XLOOKUP($K$148,$C$5:$CO$5,$C$6:$CO$146))</f>
        <v>-5.3527721908362738</v>
      </c>
      <c r="L162" s="277" cm="1">
        <f t="array" ref="L162">_xlfn.XLOOKUP(B162,$B$6:$B$146,_xlfn.XLOOKUP($L$148,$C$5:$CO$5,$C$6:$CO$146))</f>
        <v>-5.0266132218468407</v>
      </c>
      <c r="O162" s="302">
        <v>70</v>
      </c>
      <c r="P162" s="277" cm="1">
        <f t="array" ref="P162">_xlfn.XLOOKUP(O162,$B$6:$B$146,_xlfn.XLOOKUP($P$148,$CQ$5:$GC$5,$CQ$6:$GC$146))</f>
        <v>-9.8530462283811868</v>
      </c>
      <c r="Q162" s="277" cm="1">
        <f t="array" ref="Q162">_xlfn.XLOOKUP(O162,$B$6:$B$146,_xlfn.XLOOKUP($Q$148,$CQ$5:$GC$5,$CQ$6:$GC$146))</f>
        <v>-9.3066135128902161</v>
      </c>
      <c r="R162" s="277" cm="1">
        <f t="array" ref="R162">_xlfn.XLOOKUP(O162,$B$6:$B$146,_xlfn.XLOOKUP($R$148,$CQ$5:$GC$5,$CQ$6:$GC$146))</f>
        <v>-8.7661774703652533</v>
      </c>
      <c r="S162" s="277" cm="1">
        <f t="array" ref="S162">_xlfn.XLOOKUP(O162,$B$6:$B$146,_xlfn.XLOOKUP($S$148,$CQ$5:$GC$5,$CQ$6:$GC$146))</f>
        <v>-8.2353292829848375</v>
      </c>
      <c r="T162" s="277" cm="1">
        <f t="array" ref="T162">_xlfn.XLOOKUP(O162,$B$6:$B$146,_xlfn.XLOOKUP($T$148,$CQ$5:$GC$5,$CQ$6:$GC$146))</f>
        <v>-7.7160924659819692</v>
      </c>
      <c r="U162" s="277" cm="1">
        <f t="array" ref="U162">_xlfn.XLOOKUP(O162,$B$6:$B$146,_xlfn.XLOOKUP($U$148,$CQ$5:$GC$5,$CQ$6:$GC$146))</f>
        <v>-7.2126317163718587</v>
      </c>
      <c r="V162" s="277" cm="1">
        <f t="array" ref="V162">_xlfn.XLOOKUP(O162,$B$6:$B$146,_xlfn.XLOOKUP($V$148,$CQ$5:$GC$5,$CQ$6:$GC$146))</f>
        <v>-6.7372346024534844</v>
      </c>
      <c r="W162" s="277" cm="1">
        <f t="array" ref="W162">_xlfn.XLOOKUP(O162,$B$6:$B$146,_xlfn.XLOOKUP($W$148,$CQ$5:$GC$5,$CQ$6:$GC$146))</f>
        <v>-6.3075403007926027</v>
      </c>
      <c r="X162" s="277" cm="1">
        <f t="array" ref="X162">_xlfn.XLOOKUP(O162,$B$6:$B$146,_xlfn.XLOOKUP($X$148,$CQ$5:$GC$5,$CQ$6:$GC$146))</f>
        <v>-5.9297010786911111</v>
      </c>
      <c r="Y162" s="277" cm="1">
        <f t="array" ref="Y162">_xlfn.XLOOKUP(O162,$B$6:$B$146,_xlfn.XLOOKUP($Y$148,$CQ$5:$GC$5,$CQ$6:$GC$146))</f>
        <v>-5.5873783617710853</v>
      </c>
    </row>
    <row r="163" spans="2:25" x14ac:dyDescent="0.35">
      <c r="B163" s="300">
        <v>75</v>
      </c>
      <c r="C163" s="277" cm="1">
        <f t="array" ref="C163">_xlfn.XLOOKUP(B163,$B$6:$B$146,_xlfn.XLOOKUP($C$148,$C$5:$CO$5,$C$6:$CO$146))</f>
        <v>-9.866829961282388</v>
      </c>
      <c r="D163" s="277" cm="1">
        <f t="array" ref="D163">_xlfn.XLOOKUP(B163,$B$6:$B$146,_xlfn.XLOOKUP($D$148,$C$5:$CO$5,$C$6:$CO$146))</f>
        <v>-9.4354436158685591</v>
      </c>
      <c r="E163" s="277" cm="1">
        <f t="array" ref="E163">_xlfn.XLOOKUP(B163,$B$6:$B$146,_xlfn.XLOOKUP($E$148,$C$5:$CO$5,$C$6:$CO$146))</f>
        <v>-8.989059848348143</v>
      </c>
      <c r="F163" s="277" cm="1">
        <f t="array" ref="F163">_xlfn.XLOOKUP(B163,$B$6:$B$146,_xlfn.XLOOKUP($F$148,$C$5:$CO$5,$C$6:$CO$146))</f>
        <v>-8.5315961742915079</v>
      </c>
      <c r="G163" s="277" cm="1">
        <f t="array" ref="G163">_xlfn.XLOOKUP(B163,$B$6:$B$146,_xlfn.XLOOKUP($G$148,$C$5:$CO$5,$C$6:$CO$146))</f>
        <v>-8.0717740412055505</v>
      </c>
      <c r="H163" s="277" cm="1">
        <f t="array" ref="H163">_xlfn.XLOOKUP(B163,$B$6:$B$146,_xlfn.XLOOKUP($H$148,$C$5:$CO$5,$C$6:$CO$146))</f>
        <v>-7.6215956005460139</v>
      </c>
      <c r="I163" s="277" cm="1">
        <f t="array" ref="I163">_xlfn.XLOOKUP(B163,$B$6:$B$146,_xlfn.XLOOKUP($I$148,$C$5:$CO$5,$C$6:$CO$146))</f>
        <v>-7.1933775261679598</v>
      </c>
      <c r="J163" s="277" cm="1">
        <f t="array" ref="J163">_xlfn.XLOOKUP(B163,$B$6:$B$146,_xlfn.XLOOKUP($J$148,$C$5:$CO$5,$C$6:$CO$146))</f>
        <v>-6.7962581986757993</v>
      </c>
      <c r="K163" s="277" cm="1">
        <f t="array" ref="K163">_xlfn.XLOOKUP(B163,$B$6:$B$146,_xlfn.XLOOKUP($K$148,$C$5:$CO$5,$C$6:$CO$146))</f>
        <v>-6.4328770396969341</v>
      </c>
      <c r="L163" s="277" cm="1">
        <f t="array" ref="L163">_xlfn.XLOOKUP(B163,$B$6:$B$146,_xlfn.XLOOKUP($L$148,$C$5:$CO$5,$C$6:$CO$146))</f>
        <v>-6.0984879639087426</v>
      </c>
      <c r="O163" s="302">
        <v>75</v>
      </c>
      <c r="P163" s="277" cm="1">
        <f t="array" ref="P163">_xlfn.XLOOKUP(O163,$B$6:$B$146,_xlfn.XLOOKUP($P$148,$CQ$5:$GC$5,$CQ$6:$GC$146))</f>
        <v>-11.00903146690964</v>
      </c>
      <c r="Q163" s="277" cm="1">
        <f t="array" ref="Q163">_xlfn.XLOOKUP(O163,$B$6:$B$146,_xlfn.XLOOKUP($Q$148,$CQ$5:$GC$5,$CQ$6:$GC$146))</f>
        <v>-10.46808287694315</v>
      </c>
      <c r="R163" s="277" cm="1">
        <f t="array" ref="R163">_xlfn.XLOOKUP(O163,$B$6:$B$146,_xlfn.XLOOKUP($R$148,$CQ$5:$GC$5,$CQ$6:$GC$146))</f>
        <v>-9.9331293344682123</v>
      </c>
      <c r="S163" s="277" cm="1">
        <f t="array" ref="S163">_xlfn.XLOOKUP(O163,$B$6:$B$146,_xlfn.XLOOKUP($S$148,$CQ$5:$GC$5,$CQ$6:$GC$146))</f>
        <v>-9.4075612624352605</v>
      </c>
      <c r="T163" s="277" cm="1">
        <f t="array" ref="T163">_xlfn.XLOOKUP(O163,$B$6:$B$146,_xlfn.XLOOKUP($T$148,$CQ$5:$GC$5,$CQ$6:$GC$146))</f>
        <v>-8.8942958994898635</v>
      </c>
      <c r="U163" s="277" cm="1">
        <f t="array" ref="U163">_xlfn.XLOOKUP(O163,$B$6:$B$146,_xlfn.XLOOKUP($U$148,$CQ$5:$GC$5,$CQ$6:$GC$146))</f>
        <v>-8.3983854039692947</v>
      </c>
      <c r="V163" s="277" cm="1">
        <f t="array" ref="V163">_xlfn.XLOOKUP(O163,$B$6:$B$146,_xlfn.XLOOKUP($V$148,$CQ$5:$GC$5,$CQ$6:$GC$146))</f>
        <v>-7.9299832039916334</v>
      </c>
      <c r="W163" s="277" cm="1">
        <f t="array" ref="W163">_xlfn.XLOOKUP(O163,$B$6:$B$146,_xlfn.XLOOKUP($W$148,$CQ$5:$GC$5,$CQ$6:$GC$146))</f>
        <v>-7.5011303111614707</v>
      </c>
      <c r="X163" s="277" cm="1">
        <f t="array" ref="X163">_xlfn.XLOOKUP(O163,$B$6:$B$146,_xlfn.XLOOKUP($X$148,$CQ$5:$GC$5,$CQ$6:$GC$146))</f>
        <v>-7.1149595893148536</v>
      </c>
      <c r="Y163" s="277" cm="1">
        <f t="array" ref="Y163">_xlfn.XLOOKUP(O163,$B$6:$B$146,_xlfn.XLOOKUP($Y$148,$CQ$5:$GC$5,$CQ$6:$GC$146))</f>
        <v>-6.7593546319987103</v>
      </c>
    </row>
    <row r="164" spans="2:25" x14ac:dyDescent="0.35">
      <c r="B164" s="300">
        <v>80</v>
      </c>
      <c r="C164" s="277" cm="1">
        <f t="array" ref="C164">_xlfn.XLOOKUP(B164,$B$6:$B$146,_xlfn.XLOOKUP($C$148,$C$5:$CO$5,$C$6:$CO$146))</f>
        <v>-10.928558970396899</v>
      </c>
      <c r="D164" s="277" cm="1">
        <f t="array" ref="D164">_xlfn.XLOOKUP(B164,$B$6:$B$146,_xlfn.XLOOKUP($D$148,$C$5:$CO$5,$C$6:$CO$146))</f>
        <v>-10.497726569286961</v>
      </c>
      <c r="E164" s="277" cm="1">
        <f t="array" ref="E164">_xlfn.XLOOKUP(B164,$B$6:$B$146,_xlfn.XLOOKUP($E$148,$C$5:$CO$5,$C$6:$CO$146))</f>
        <v>-10.05412515555083</v>
      </c>
      <c r="F164" s="277" cm="1">
        <f t="array" ref="F164">_xlfn.XLOOKUP(B164,$B$6:$B$146,_xlfn.XLOOKUP($F$148,$C$5:$CO$5,$C$6:$CO$146))</f>
        <v>-9.6016816811141474</v>
      </c>
      <c r="G164" s="277" cm="1">
        <f t="array" ref="G164">_xlfn.XLOOKUP(B164,$B$6:$B$146,_xlfn.XLOOKUP($G$148,$C$5:$CO$5,$C$6:$CO$146))</f>
        <v>-9.1481227815502262</v>
      </c>
      <c r="H164" s="277" cm="1">
        <f t="array" ref="H164">_xlfn.XLOOKUP(B164,$B$6:$B$146,_xlfn.XLOOKUP($H$148,$C$5:$CO$5,$C$6:$CO$146))</f>
        <v>-8.703747673882317</v>
      </c>
      <c r="I164" s="277" cm="1">
        <f t="array" ref="I164">_xlfn.XLOOKUP(B164,$B$6:$B$146,_xlfn.XLOOKUP($I$148,$C$5:$CO$5,$C$6:$CO$146))</f>
        <v>-8.2789998904101658</v>
      </c>
      <c r="J164" s="277" cm="1">
        <f t="array" ref="J164">_xlfn.XLOOKUP(B164,$B$6:$B$146,_xlfn.XLOOKUP($J$148,$C$5:$CO$5,$C$6:$CO$146))</f>
        <v>-7.8815702267255654</v>
      </c>
      <c r="K164" s="277" cm="1">
        <f t="array" ref="K164">_xlfn.XLOOKUP(B164,$B$6:$B$146,_xlfn.XLOOKUP($K$148,$C$5:$CO$5,$C$6:$CO$146))</f>
        <v>-7.5139041422281414</v>
      </c>
      <c r="L164" s="277" cm="1">
        <f t="array" ref="L164">_xlfn.XLOOKUP(B164,$B$6:$B$146,_xlfn.XLOOKUP($L$148,$C$5:$CO$5,$C$6:$CO$146))</f>
        <v>-7.1726290987483692</v>
      </c>
      <c r="O164" s="302">
        <v>80</v>
      </c>
      <c r="P164" s="277" cm="1">
        <f t="array" ref="P164">_xlfn.XLOOKUP(O164,$B$6:$B$146,_xlfn.XLOOKUP($P$148,$CQ$5:$GC$5,$CQ$6:$GC$146))</f>
        <v>-12.16646709649444</v>
      </c>
      <c r="Q164" s="277" cm="1">
        <f t="array" ref="Q164">_xlfn.XLOOKUP(O164,$B$6:$B$146,_xlfn.XLOOKUP($Q$148,$CQ$5:$GC$5,$CQ$6:$GC$146))</f>
        <v>-11.630656897217021</v>
      </c>
      <c r="R164" s="277" cm="1">
        <f t="array" ref="R164">_xlfn.XLOOKUP(O164,$B$6:$B$146,_xlfn.XLOOKUP($R$148,$CQ$5:$GC$5,$CQ$6:$GC$146))</f>
        <v>-11.100952333681301</v>
      </c>
      <c r="S164" s="277" cm="1">
        <f t="array" ref="S164">_xlfn.XLOOKUP(O164,$B$6:$B$146,_xlfn.XLOOKUP($S$148,$CQ$5:$GC$5,$CQ$6:$GC$146))</f>
        <v>-10.580658514802259</v>
      </c>
      <c r="T164" s="277" cm="1">
        <f t="array" ref="T164">_xlfn.XLOOKUP(O164,$B$6:$B$146,_xlfn.XLOOKUP($T$148,$CQ$5:$GC$5,$CQ$6:$GC$146))</f>
        <v>-10.073181247889281</v>
      </c>
      <c r="U164" s="277" cm="1">
        <f t="array" ref="U164">_xlfn.XLOOKUP(O164,$B$6:$B$146,_xlfn.XLOOKUP($U$148,$CQ$5:$GC$5,$CQ$6:$GC$146))</f>
        <v>-9.5837013150905239</v>
      </c>
      <c r="V164" s="277" cm="1">
        <f t="array" ref="V164">_xlfn.XLOOKUP(O164,$B$6:$B$146,_xlfn.XLOOKUP($V$148,$CQ$5:$GC$5,$CQ$6:$GC$146))</f>
        <v>-9.1204059191931535</v>
      </c>
      <c r="W164" s="277" cm="1">
        <f t="array" ref="W164">_xlfn.XLOOKUP(O164,$B$6:$B$146,_xlfn.XLOOKUP($W$148,$CQ$5:$GC$5,$CQ$6:$GC$146))</f>
        <v>-8.6915492794758045</v>
      </c>
      <c r="X164" s="277" cm="1">
        <f t="array" ref="X164">_xlfn.XLOOKUP(O164,$B$6:$B$146,_xlfn.XLOOKUP($X$148,$CQ$5:$GC$5,$CQ$6:$GC$146))</f>
        <v>-8.2984778360158629</v>
      </c>
      <c r="Y164" s="277" cm="1">
        <f t="array" ref="Y164">_xlfn.XLOOKUP(O164,$B$6:$B$146,_xlfn.XLOOKUP($Y$148,$CQ$5:$GC$5,$CQ$6:$GC$146))</f>
        <v>-7.9319328754533638</v>
      </c>
    </row>
    <row r="165" spans="2:25" x14ac:dyDescent="0.35">
      <c r="B165" s="300">
        <v>85</v>
      </c>
      <c r="C165" s="277" cm="1">
        <f t="array" ref="C165">_xlfn.XLOOKUP(B165,$B$6:$B$146,_xlfn.XLOOKUP($C$148,$C$5:$CO$5,$C$6:$CO$146))</f>
        <v>-11.990164282584789</v>
      </c>
      <c r="D165" s="277" cm="1">
        <f t="array" ref="D165">_xlfn.XLOOKUP(B165,$B$6:$B$146,_xlfn.XLOOKUP($D$148,$C$5:$CO$5,$C$6:$CO$146))</f>
        <v>-11.56032339834884</v>
      </c>
      <c r="E165" s="277" cm="1">
        <f t="array" ref="E165">_xlfn.XLOOKUP(B165,$B$6:$B$146,_xlfn.XLOOKUP($E$148,$C$5:$CO$5,$C$6:$CO$146))</f>
        <v>-11.11966630017529</v>
      </c>
      <c r="F165" s="277" cm="1">
        <f t="array" ref="F165">_xlfn.XLOOKUP(B165,$B$6:$B$146,_xlfn.XLOOKUP($F$148,$C$5:$CO$5,$C$6:$CO$146))</f>
        <v>-10.672031352357029</v>
      </c>
      <c r="G165" s="277" cm="1">
        <f t="array" ref="G165">_xlfn.XLOOKUP(B165,$B$6:$B$146,_xlfn.XLOOKUP($G$148,$C$5:$CO$5,$C$6:$CO$146))</f>
        <v>-10.224273880370349</v>
      </c>
      <c r="H165" s="277" cm="1">
        <f t="array" ref="H165">_xlfn.XLOOKUP(B165,$B$6:$B$146,_xlfn.XLOOKUP($H$148,$C$5:$CO$5,$C$6:$CO$146))</f>
        <v>-9.7852393996879048</v>
      </c>
      <c r="I165" s="277" cm="1">
        <f t="array" ref="I165">_xlfn.XLOOKUP(B165,$B$6:$B$146,_xlfn.XLOOKUP($I$148,$C$5:$CO$5,$C$6:$CO$146))</f>
        <v>-9.363779090727764</v>
      </c>
      <c r="J165" s="277" cm="1">
        <f t="array" ref="J165">_xlfn.XLOOKUP(B165,$B$6:$B$146,_xlfn.XLOOKUP($J$148,$C$5:$CO$5,$C$6:$CO$146))</f>
        <v>-8.9664039778790912</v>
      </c>
      <c r="K165" s="277" cm="1">
        <f t="array" ref="K165">_xlfn.XLOOKUP(B165,$B$6:$B$146,_xlfn.XLOOKUP($K$148,$C$5:$CO$5,$C$6:$CO$146))</f>
        <v>-8.5953906090526431</v>
      </c>
      <c r="L165" s="277" cm="1">
        <f t="array" ref="L165">_xlfn.XLOOKUP(B165,$B$6:$B$146,_xlfn.XLOOKUP($L$148,$C$5:$CO$5,$C$6:$CO$146))</f>
        <v>-8.2483715622785301</v>
      </c>
      <c r="O165" s="302">
        <v>85</v>
      </c>
      <c r="P165" s="277" cm="1">
        <f t="array" ref="P165">_xlfn.XLOOKUP(O165,$B$6:$B$146,_xlfn.XLOOKUP($P$148,$CQ$5:$GC$5,$CQ$6:$GC$146))</f>
        <v>-13.325187854220159</v>
      </c>
      <c r="Q165" s="277" cm="1">
        <f t="array" ref="Q165">_xlfn.XLOOKUP(O165,$B$6:$B$146,_xlfn.XLOOKUP($Q$148,$CQ$5:$GC$5,$CQ$6:$GC$146))</f>
        <v>-12.79423093402349</v>
      </c>
      <c r="R165" s="277" cm="1">
        <f t="array" ref="R165">_xlfn.XLOOKUP(O165,$B$6:$B$146,_xlfn.XLOOKUP($R$148,$CQ$5:$GC$5,$CQ$6:$GC$146))</f>
        <v>-12.26955154586026</v>
      </c>
      <c r="S165" s="277" cm="1">
        <f t="array" ref="S165">_xlfn.XLOOKUP(O165,$B$6:$B$146,_xlfn.XLOOKUP($S$148,$CQ$5:$GC$5,$CQ$6:$GC$146))</f>
        <v>-11.7543827760501</v>
      </c>
      <c r="T165" s="277" cm="1">
        <f t="array" ref="T165">_xlfn.XLOOKUP(O165,$B$6:$B$146,_xlfn.XLOOKUP($T$148,$CQ$5:$GC$5,$CQ$6:$GC$146))</f>
        <v>-11.25230535284992</v>
      </c>
      <c r="U165" s="277" cm="1">
        <f t="array" ref="U165">_xlfn.XLOOKUP(O165,$B$6:$B$146,_xlfn.XLOOKUP($U$148,$CQ$5:$GC$5,$CQ$6:$GC$146))</f>
        <v>-10.76822277062865</v>
      </c>
      <c r="V165" s="277" cm="1">
        <f t="array" ref="V165">_xlfn.XLOOKUP(O165,$B$6:$B$146,_xlfn.XLOOKUP($V$148,$CQ$5:$GC$5,$CQ$6:$GC$146))</f>
        <v>-10.308650543779789</v>
      </c>
      <c r="W165" s="277" cm="1">
        <f t="array" ref="W165">_xlfn.XLOOKUP(O165,$B$6:$B$146,_xlfn.XLOOKUP($W$148,$CQ$5:$GC$5,$CQ$6:$GC$146))</f>
        <v>-9.8792693827286229</v>
      </c>
      <c r="X165" s="277" cm="1">
        <f t="array" ref="X165">_xlfn.XLOOKUP(O165,$B$6:$B$146,_xlfn.XLOOKUP($X$148,$CQ$5:$GC$5,$CQ$6:$GC$146))</f>
        <v>-9.4803755393154159</v>
      </c>
      <c r="Y165" s="277" cm="1">
        <f t="array" ref="Y165">_xlfn.XLOOKUP(O165,$B$6:$B$146,_xlfn.XLOOKUP($Y$148,$CQ$5:$GC$5,$CQ$6:$GC$146))</f>
        <v>-9.1047073799068645</v>
      </c>
    </row>
    <row r="166" spans="2:25" x14ac:dyDescent="0.35">
      <c r="B166" s="300">
        <v>90</v>
      </c>
      <c r="C166" s="277" cm="1">
        <f t="array" ref="C166">_xlfn.XLOOKUP(B166,$B$6:$B$146,_xlfn.XLOOKUP($C$148,$C$5:$CO$5,$C$6:$CO$146))</f>
        <v>-13.051863167197171</v>
      </c>
      <c r="D166" s="277" cm="1">
        <f t="array" ref="D166">_xlfn.XLOOKUP(B166,$B$6:$B$146,_xlfn.XLOOKUP($D$148,$C$5:$CO$5,$C$6:$CO$146))</f>
        <v>-12.62334400992806</v>
      </c>
      <c r="E166" s="277" cm="1">
        <f t="array" ref="E166">_xlfn.XLOOKUP(B166,$B$6:$B$146,_xlfn.XLOOKUP($E$148,$C$5:$CO$5,$C$6:$CO$146))</f>
        <v>-12.185707324841189</v>
      </c>
      <c r="F166" s="277" cm="1">
        <f t="array" ref="F166">_xlfn.XLOOKUP(B166,$B$6:$B$146,_xlfn.XLOOKUP($F$148,$C$5:$CO$5,$C$6:$CO$146))</f>
        <v>-11.742637493225279</v>
      </c>
      <c r="G166" s="277" cm="1">
        <f t="array" ref="G166">_xlfn.XLOOKUP(B166,$B$6:$B$146,_xlfn.XLOOKUP($G$148,$C$5:$CO$5,$C$6:$CO$146))</f>
        <v>-11.30021937922038</v>
      </c>
      <c r="H166" s="277" cm="1">
        <f t="array" ref="H166">_xlfn.XLOOKUP(B166,$B$6:$B$146,_xlfn.XLOOKUP($H$148,$C$5:$CO$5,$C$6:$CO$146))</f>
        <v>-10.866063067630041</v>
      </c>
      <c r="I166" s="277" cm="1">
        <f t="array" ref="I166">_xlfn.XLOOKUP(B166,$B$6:$B$146,_xlfn.XLOOKUP($I$148,$C$5:$CO$5,$C$6:$CO$146))</f>
        <v>-10.4476850849041</v>
      </c>
      <c r="J166" s="277" cm="1">
        <f t="array" ref="J166">_xlfn.XLOOKUP(B166,$B$6:$B$146,_xlfn.XLOOKUP($J$148,$C$5:$CO$5,$C$6:$CO$146))</f>
        <v>-10.05063057478969</v>
      </c>
      <c r="K166" s="277" cm="1">
        <f t="array" ref="K166">_xlfn.XLOOKUP(B166,$B$6:$B$146,_xlfn.XLOOKUP($K$148,$C$5:$CO$5,$C$6:$CO$146))</f>
        <v>-9.6770167562659957</v>
      </c>
      <c r="L166" s="277" cm="1">
        <f t="array" ref="L166">_xlfn.XLOOKUP(B166,$B$6:$B$146,_xlfn.XLOOKUP($L$148,$C$5:$CO$5,$C$6:$CO$146))</f>
        <v>-9.3252150294730036</v>
      </c>
      <c r="O166" s="302">
        <v>90</v>
      </c>
      <c r="P166" s="277" cm="1">
        <f t="array" ref="P166">_xlfn.XLOOKUP(O166,$B$6:$B$146,_xlfn.XLOOKUP($P$148,$CQ$5:$GC$5,$CQ$6:$GC$146))</f>
        <v>-14.485044829114431</v>
      </c>
      <c r="Q166" s="277" cm="1">
        <f t="array" ref="Q166">_xlfn.XLOOKUP(O166,$B$6:$B$146,_xlfn.XLOOKUP($Q$148,$CQ$5:$GC$5,$CQ$6:$GC$146))</f>
        <v>-13.958686519635011</v>
      </c>
      <c r="R166" s="277" cm="1">
        <f t="array" ref="R166">_xlfn.XLOOKUP(O166,$B$6:$B$146,_xlfn.XLOOKUP($R$148,$CQ$5:$GC$5,$CQ$6:$GC$146))</f>
        <v>-13.438793047205291</v>
      </c>
      <c r="S166" s="277" cm="1">
        <f t="array" ref="S166">_xlfn.XLOOKUP(O166,$B$6:$B$146,_xlfn.XLOOKUP($S$148,$CQ$5:$GC$5,$CQ$6:$GC$146))</f>
        <v>-12.92849641471215</v>
      </c>
      <c r="T166" s="277" cm="1">
        <f t="array" ref="T166">_xlfn.XLOOKUP(O166,$B$6:$B$146,_xlfn.XLOOKUP($T$148,$CQ$5:$GC$5,$CQ$6:$GC$146))</f>
        <v>-12.43133557625254</v>
      </c>
      <c r="U166" s="277" cm="1">
        <f t="array" ref="U166">_xlfn.XLOOKUP(O166,$B$6:$B$146,_xlfn.XLOOKUP($U$148,$CQ$5:$GC$5,$CQ$6:$GC$146))</f>
        <v>-11.95174847579994</v>
      </c>
      <c r="V166" s="277" cm="1">
        <f t="array" ref="V166">_xlfn.XLOOKUP(O166,$B$6:$B$146,_xlfn.XLOOKUP($V$148,$CQ$5:$GC$5,$CQ$6:$GC$146))</f>
        <v>-11.49488651432168</v>
      </c>
      <c r="W166" s="277" cm="1">
        <f t="array" ref="W166">_xlfn.XLOOKUP(O166,$B$6:$B$146,_xlfn.XLOOKUP($W$148,$CQ$5:$GC$5,$CQ$6:$GC$146))</f>
        <v>-11.06466965317297</v>
      </c>
      <c r="X166" s="277" cm="1">
        <f t="array" ref="X166">_xlfn.XLOOKUP(O166,$B$6:$B$146,_xlfn.XLOOKUP($X$148,$CQ$5:$GC$5,$CQ$6:$GC$146))</f>
        <v>-10.66078734562919</v>
      </c>
      <c r="Y166" s="277" cm="1">
        <f t="array" ref="Y166">_xlfn.XLOOKUP(O166,$B$6:$B$146,_xlfn.XLOOKUP($Y$148,$CQ$5:$GC$5,$CQ$6:$GC$146))</f>
        <v>-10.277417070698871</v>
      </c>
    </row>
    <row r="167" spans="2:25" x14ac:dyDescent="0.35">
      <c r="B167" s="300">
        <v>95</v>
      </c>
      <c r="C167" s="277" cm="1">
        <f t="array" ref="C167">_xlfn.XLOOKUP(B167,$B$6:$B$146,_xlfn.XLOOKUP($C$148,$C$5:$CO$5,$C$6:$CO$146))</f>
        <v>-14.113798869744929</v>
      </c>
      <c r="D167" s="277" cm="1">
        <f t="array" ref="D167">_xlfn.XLOOKUP(B167,$B$6:$B$146,_xlfn.XLOOKUP($D$148,$C$5:$CO$5,$C$6:$CO$146))</f>
        <v>-13.686841630643061</v>
      </c>
      <c r="E167" s="277" cm="1">
        <f t="array" ref="E167">_xlfn.XLOOKUP(B167,$B$6:$B$146,_xlfn.XLOOKUP($E$148,$C$5:$CO$5,$C$6:$CO$146))</f>
        <v>-13.25223559098829</v>
      </c>
      <c r="F167" s="277" cm="1">
        <f t="array" ref="F167">_xlfn.XLOOKUP(B167,$B$6:$B$146,_xlfn.XLOOKUP($F$148,$C$5:$CO$5,$C$6:$CO$146))</f>
        <v>-12.81347035762788</v>
      </c>
      <c r="G167" s="277" cm="1">
        <f t="array" ref="G167">_xlfn.XLOOKUP(B167,$B$6:$B$146,_xlfn.XLOOKUP($G$148,$C$5:$CO$5,$C$6:$CO$146))</f>
        <v>-12.375948060575061</v>
      </c>
      <c r="H167" s="277" cm="1">
        <f t="array" ref="H167">_xlfn.XLOOKUP(B167,$B$6:$B$146,_xlfn.XLOOKUP($H$148,$C$5:$CO$5,$C$6:$CO$146))</f>
        <v>-11.946231837868339</v>
      </c>
      <c r="I167" s="277" cm="1">
        <f t="array" ref="I167">_xlfn.XLOOKUP(B167,$B$6:$B$146,_xlfn.XLOOKUP($I$148,$C$5:$CO$5,$C$6:$CO$146))</f>
        <v>-11.530726685474781</v>
      </c>
      <c r="J167" s="277" cm="1">
        <f t="array" ref="J167">_xlfn.XLOOKUP(B167,$B$6:$B$146,_xlfn.XLOOKUP($J$148,$C$5:$CO$5,$C$6:$CO$146))</f>
        <v>-11.134182788059039</v>
      </c>
      <c r="K167" s="277" cm="1">
        <f t="array" ref="K167">_xlfn.XLOOKUP(B167,$B$6:$B$146,_xlfn.XLOOKUP($K$148,$C$5:$CO$5,$C$6:$CO$146))</f>
        <v>-10.758563448551151</v>
      </c>
      <c r="L167" s="277" cm="1">
        <f t="array" ref="L167">_xlfn.XLOOKUP(B167,$B$6:$B$146,_xlfn.XLOOKUP($L$148,$C$5:$CO$5,$C$6:$CO$146))</f>
        <v>-10.402784137818401</v>
      </c>
      <c r="O167" s="302">
        <v>95</v>
      </c>
      <c r="P167" s="277" cm="1">
        <f t="array" ref="P167">_xlfn.XLOOKUP(O167,$B$6:$B$146,_xlfn.XLOOKUP($P$148,$CQ$5:$GC$5,$CQ$6:$GC$146))</f>
        <v>-15.64589867850761</v>
      </c>
      <c r="Q167" s="277" cm="1">
        <f t="array" ref="Q167">_xlfn.XLOOKUP(O167,$B$6:$B$146,_xlfn.XLOOKUP($Q$148,$CQ$5:$GC$5,$CQ$6:$GC$146))</f>
        <v>-15.12389690787573</v>
      </c>
      <c r="R167" s="277" cm="1">
        <f t="array" ref="R167">_xlfn.XLOOKUP(O167,$B$6:$B$146,_xlfn.XLOOKUP($R$148,$CQ$5:$GC$5,$CQ$6:$GC$146))</f>
        <v>-14.60852920684302</v>
      </c>
      <c r="S167" s="277" cm="1">
        <f t="array" ref="S167">_xlfn.XLOOKUP(O167,$B$6:$B$146,_xlfn.XLOOKUP($S$148,$CQ$5:$GC$5,$CQ$6:$GC$146))</f>
        <v>-14.10278763626132</v>
      </c>
      <c r="T167" s="277" cm="1">
        <f t="array" ref="T167">_xlfn.XLOOKUP(O167,$B$6:$B$146,_xlfn.XLOOKUP($T$148,$CQ$5:$GC$5,$CQ$6:$GC$146))</f>
        <v>-13.610033929969109</v>
      </c>
      <c r="U167" s="277" cm="1">
        <f t="array" ref="U167">_xlfn.XLOOKUP(O167,$B$6:$B$146,_xlfn.XLOOKUP($U$148,$CQ$5:$GC$5,$CQ$6:$GC$146))</f>
        <v>-13.13417821612334</v>
      </c>
      <c r="V167" s="277" cm="1">
        <f t="array" ref="V167">_xlfn.XLOOKUP(O167,$B$6:$B$146,_xlfn.XLOOKUP($V$148,$CQ$5:$GC$5,$CQ$6:$GC$146))</f>
        <v>-12.67928307418072</v>
      </c>
      <c r="W167" s="277" cm="1">
        <f t="array" ref="W167">_xlfn.XLOOKUP(O167,$B$6:$B$146,_xlfn.XLOOKUP($W$148,$CQ$5:$GC$5,$CQ$6:$GC$146))</f>
        <v>-12.24805465141405</v>
      </c>
      <c r="X167" s="277" cm="1">
        <f t="array" ref="X167">_xlfn.XLOOKUP(O167,$B$6:$B$146,_xlfn.XLOOKUP($X$148,$CQ$5:$GC$5,$CQ$6:$GC$146))</f>
        <v>-11.839844387445501</v>
      </c>
      <c r="Y167" s="277" cm="1">
        <f t="array" ref="Y167">_xlfn.XLOOKUP(O167,$B$6:$B$146,_xlfn.XLOOKUP($Y$148,$CQ$5:$GC$5,$CQ$6:$GC$146))</f>
        <v>-11.44989648855171</v>
      </c>
    </row>
    <row r="168" spans="2:25" x14ac:dyDescent="0.35">
      <c r="B168" s="300">
        <v>100</v>
      </c>
      <c r="C168" s="277" cm="1">
        <f t="array" ref="C168">_xlfn.XLOOKUP(B168,$B$6:$B$146,_xlfn.XLOOKUP($C$148,$C$5:$CO$5,$C$6:$CO$146))</f>
        <v>-15.176060795856211</v>
      </c>
      <c r="D168" s="277" cm="1">
        <f t="array" ref="D168">_xlfn.XLOOKUP(B168,$B$6:$B$146,_xlfn.XLOOKUP($D$148,$C$5:$CO$5,$C$6:$CO$146))</f>
        <v>-14.750831964165689</v>
      </c>
      <c r="E168" s="277" cm="1">
        <f t="array" ref="E168">_xlfn.XLOOKUP(B168,$B$6:$B$146,_xlfn.XLOOKUP($E$148,$C$5:$CO$5,$C$6:$CO$146))</f>
        <v>-14.31921804830913</v>
      </c>
      <c r="F168" s="277" cm="1">
        <f t="array" ref="F168">_xlfn.XLOOKUP(B168,$B$6:$B$146,_xlfn.XLOOKUP($F$148,$C$5:$CO$5,$C$6:$CO$146))</f>
        <v>-13.88449141997352</v>
      </c>
      <c r="G168" s="277" cm="1">
        <f t="array" ref="G168">_xlfn.XLOOKUP(B168,$B$6:$B$146,_xlfn.XLOOKUP($G$148,$C$5:$CO$5,$C$6:$CO$146))</f>
        <v>-13.45144990292197</v>
      </c>
      <c r="H168" s="277" cm="1">
        <f t="array" ref="H168">_xlfn.XLOOKUP(B168,$B$6:$B$146,_xlfn.XLOOKUP($H$148,$C$5:$CO$5,$C$6:$CO$146))</f>
        <v>-13.02577050900495</v>
      </c>
      <c r="I168" s="277" cm="1">
        <f t="array" ref="I168">_xlfn.XLOOKUP(B168,$B$6:$B$146,_xlfn.XLOOKUP($I$148,$C$5:$CO$5,$C$6:$CO$146))</f>
        <v>-12.61293421712341</v>
      </c>
      <c r="J168" s="277" cm="1">
        <f t="array" ref="J168">_xlfn.XLOOKUP(B168,$B$6:$B$146,_xlfn.XLOOKUP($J$148,$C$5:$CO$5,$C$6:$CO$146))</f>
        <v>-12.21703327383568</v>
      </c>
      <c r="K168" s="277" cm="1">
        <f t="array" ref="K168">_xlfn.XLOOKUP(B168,$B$6:$B$146,_xlfn.XLOOKUP($K$148,$C$5:$CO$5,$C$6:$CO$146))</f>
        <v>-11.839882533326451</v>
      </c>
      <c r="L168" s="277" cm="1">
        <f t="array" ref="L168">_xlfn.XLOOKUP(B168,$B$6:$B$146,_xlfn.XLOOKUP($L$148,$C$5:$CO$5,$C$6:$CO$146))</f>
        <v>-11.48079803882894</v>
      </c>
      <c r="O168" s="302">
        <v>100</v>
      </c>
      <c r="P168" s="277" cm="1">
        <f t="array" ref="P168">_xlfn.XLOOKUP(O168,$B$6:$B$146,_xlfn.XLOOKUP($P$148,$CQ$5:$GC$5,$CQ$6:$GC$146))</f>
        <v>-16.807617428987282</v>
      </c>
      <c r="Q168" s="277" cm="1">
        <f t="array" ref="Q168">_xlfn.XLOOKUP(O168,$B$6:$B$146,_xlfn.XLOOKUP($Q$148,$CQ$5:$GC$5,$CQ$6:$GC$146))</f>
        <v>-16.289733932303999</v>
      </c>
      <c r="R168" s="277" cm="1">
        <f t="array" ref="R168">_xlfn.XLOOKUP(O168,$B$6:$B$146,_xlfn.XLOOKUP($R$148,$CQ$5:$GC$5,$CQ$6:$GC$146))</f>
        <v>-15.77861512027294</v>
      </c>
      <c r="S168" s="277" cm="1">
        <f t="array" ref="S168">_xlfn.XLOOKUP(O168,$B$6:$B$146,_xlfn.XLOOKUP($S$148,$CQ$5:$GC$5,$CQ$6:$GC$146))</f>
        <v>-15.277079677260829</v>
      </c>
      <c r="T168" s="277" cm="1">
        <f t="array" ref="T168">_xlfn.XLOOKUP(O168,$B$6:$B$146,_xlfn.XLOOKUP($T$148,$CQ$5:$GC$5,$CQ$6:$GC$146))</f>
        <v>-14.7882372240732</v>
      </c>
      <c r="U168" s="277" cm="1">
        <f t="array" ref="U168">_xlfn.XLOOKUP(O168,$B$6:$B$146,_xlfn.XLOOKUP($U$148,$CQ$5:$GC$5,$CQ$6:$GC$146))</f>
        <v>-14.31547600423947</v>
      </c>
      <c r="V168" s="277" cm="1">
        <f t="array" ref="V168">_xlfn.XLOOKUP(O168,$B$6:$B$146,_xlfn.XLOOKUP($V$148,$CQ$5:$GC$5,$CQ$6:$GC$146))</f>
        <v>-13.861999599355761</v>
      </c>
      <c r="W168" s="277" cm="1">
        <f t="array" ref="W168">_xlfn.XLOOKUP(O168,$B$6:$B$146,_xlfn.XLOOKUP($W$148,$CQ$5:$GC$5,$CQ$6:$GC$146))</f>
        <v>-13.429670983606769</v>
      </c>
      <c r="X168" s="277" cm="1">
        <f t="array" ref="X168">_xlfn.XLOOKUP(O168,$B$6:$B$146,_xlfn.XLOOKUP($X$148,$CQ$5:$GC$5,$CQ$6:$GC$146))</f>
        <v>-13.017667009971779</v>
      </c>
      <c r="Y168" s="277" cm="1">
        <f t="array" ref="Y168">_xlfn.XLOOKUP(O168,$B$6:$B$146,_xlfn.XLOOKUP($Y$148,$CQ$5:$GC$5,$CQ$6:$GC$146))</f>
        <v>-12.62204278582777</v>
      </c>
    </row>
    <row r="169" spans="2:25" x14ac:dyDescent="0.35">
      <c r="B169" s="300">
        <v>105</v>
      </c>
      <c r="C169" s="277" cm="1">
        <f t="array" ref="C169">_xlfn.XLOOKUP(B169,$B$6:$B$146,_xlfn.XLOOKUP($C$148,$C$5:$CO$5,$C$6:$CO$146))</f>
        <v>-16.238699742923291</v>
      </c>
      <c r="D169" s="277" cm="1">
        <f t="array" ref="D169">_xlfn.XLOOKUP(B169,$B$6:$B$146,_xlfn.XLOOKUP($D$148,$C$5:$CO$5,$C$6:$CO$146))</f>
        <v>-15.8153066578418</v>
      </c>
      <c r="E169" s="277" cm="1">
        <f t="array" ref="E169">_xlfn.XLOOKUP(B169,$B$6:$B$146,_xlfn.XLOOKUP($E$148,$C$5:$CO$5,$C$6:$CO$146))</f>
        <v>-15.386611615591949</v>
      </c>
      <c r="F169" s="277" cm="1">
        <f t="array" ref="F169">_xlfn.XLOOKUP(B169,$B$6:$B$146,_xlfn.XLOOKUP($F$148,$C$5:$CO$5,$C$6:$CO$146))</f>
        <v>-14.955660600836231</v>
      </c>
      <c r="G169" s="277" cm="1">
        <f t="array" ref="G169">_xlfn.XLOOKUP(B169,$B$6:$B$146,_xlfn.XLOOKUP($G$148,$C$5:$CO$5,$C$6:$CO$146))</f>
        <v>-14.526717707949761</v>
      </c>
      <c r="H169" s="277" cm="1">
        <f t="array" ref="H169">_xlfn.XLOOKUP(B169,$B$6:$B$146,_xlfn.XLOOKUP($H$148,$C$5:$CO$5,$C$6:$CO$146))</f>
        <v>-14.10470983394133</v>
      </c>
      <c r="I169" s="277" cm="1">
        <f t="array" ref="I169">_xlfn.XLOOKUP(B169,$B$6:$B$146,_xlfn.XLOOKUP($I$148,$C$5:$CO$5,$C$6:$CO$146))</f>
        <v>-13.694349107828099</v>
      </c>
      <c r="J169" s="277" cm="1">
        <f t="array" ref="J169">_xlfn.XLOOKUP(B169,$B$6:$B$146,_xlfn.XLOOKUP($J$148,$C$5:$CO$5,$C$6:$CO$146))</f>
        <v>-13.299180161591551</v>
      </c>
      <c r="K169" s="277" cm="1">
        <f t="array" ref="K169">_xlfn.XLOOKUP(B169,$B$6:$B$146,_xlfn.XLOOKUP($K$148,$C$5:$CO$5,$C$6:$CO$146))</f>
        <v>-12.920876109234269</v>
      </c>
      <c r="L169" s="277" cm="1">
        <f t="array" ref="L169">_xlfn.XLOOKUP(B169,$B$6:$B$146,_xlfn.XLOOKUP($L$148,$C$5:$CO$5,$C$6:$CO$146))</f>
        <v>-12.55904731332863</v>
      </c>
      <c r="O169" s="302">
        <v>105</v>
      </c>
      <c r="P169" s="277" cm="1">
        <f t="array" ref="P169">_xlfn.XLOOKUP(O169,$B$6:$B$146,_xlfn.XLOOKUP($P$148,$CQ$5:$GC$5,$CQ$6:$GC$146))</f>
        <v>-17.970076510841821</v>
      </c>
      <c r="Q169" s="277" cm="1">
        <f t="array" ref="Q169">_xlfn.XLOOKUP(O169,$B$6:$B$146,_xlfn.XLOOKUP($Q$148,$CQ$5:$GC$5,$CQ$6:$GC$146))</f>
        <v>-17.456073865027061</v>
      </c>
      <c r="R169" s="277" cm="1">
        <f t="array" ref="R169">_xlfn.XLOOKUP(O169,$B$6:$B$146,_xlfn.XLOOKUP($R$148,$CQ$5:$GC$5,$CQ$6:$GC$146))</f>
        <v>-16.948917965797769</v>
      </c>
      <c r="S169" s="277" cm="1">
        <f t="array" ref="S169">_xlfn.XLOOKUP(O169,$B$6:$B$146,_xlfn.XLOOKUP($S$148,$CQ$5:$GC$5,$CQ$6:$GC$146))</f>
        <v>-16.45123148383599</v>
      </c>
      <c r="T169" s="277" cm="1">
        <f t="array" ref="T169">_xlfn.XLOOKUP(O169,$B$6:$B$146,_xlfn.XLOOKUP($T$148,$CQ$5:$GC$5,$CQ$6:$GC$146))</f>
        <v>-15.965838793285981</v>
      </c>
      <c r="U169" s="277" cm="1">
        <f t="array" ref="U169">_xlfn.XLOOKUP(O169,$B$6:$B$146,_xlfn.XLOOKUP($U$148,$CQ$5:$GC$5,$CQ$6:$GC$146))</f>
        <v>-15.4956457283359</v>
      </c>
      <c r="V169" s="277" cm="1">
        <f t="array" ref="V169">_xlfn.XLOOKUP(O169,$B$6:$B$146,_xlfn.XLOOKUP($V$148,$CQ$5:$GC$5,$CQ$6:$GC$146))</f>
        <v>-15.043181930069871</v>
      </c>
      <c r="W169" s="277" cm="1">
        <f t="array" ref="W169">_xlfn.XLOOKUP(O169,$B$6:$B$146,_xlfn.XLOOKUP($W$148,$CQ$5:$GC$5,$CQ$6:$GC$146))</f>
        <v>-14.609720457759551</v>
      </c>
      <c r="X169" s="277" cm="1">
        <f t="array" ref="X169">_xlfn.XLOOKUP(O169,$B$6:$B$146,_xlfn.XLOOKUP($X$148,$CQ$5:$GC$5,$CQ$6:$GC$146))</f>
        <v>-14.194362722098949</v>
      </c>
      <c r="Y169" s="277" cm="1">
        <f t="array" ref="Y169">_xlfn.XLOOKUP(O169,$B$6:$B$146,_xlfn.XLOOKUP($Y$148,$CQ$5:$GC$5,$CQ$6:$GC$146))</f>
        <v>-13.79379401791541</v>
      </c>
    </row>
    <row r="170" spans="2:25" x14ac:dyDescent="0.35">
      <c r="B170" s="300">
        <v>110</v>
      </c>
      <c r="C170" s="277" cm="1">
        <f t="array" ref="C170">_xlfn.XLOOKUP(B170,$B$6:$B$146,_xlfn.XLOOKUP($C$148,$C$5:$CO$5,$C$6:$CO$146))</f>
        <v>-17.30173927380919</v>
      </c>
      <c r="D170" s="277" cm="1">
        <f t="array" ref="D170">_xlfn.XLOOKUP(B170,$B$6:$B$146,_xlfn.XLOOKUP($D$148,$C$5:$CO$5,$C$6:$CO$146))</f>
        <v>-16.880242642740122</v>
      </c>
      <c r="E170" s="277" cm="1">
        <f t="array" ref="E170">_xlfn.XLOOKUP(B170,$B$6:$B$146,_xlfn.XLOOKUP($E$148,$C$5:$CO$5,$C$6:$CO$146))</f>
        <v>-16.45436961262007</v>
      </c>
      <c r="F170" s="277" cm="1">
        <f t="array" ref="F170">_xlfn.XLOOKUP(B170,$B$6:$B$146,_xlfn.XLOOKUP($F$148,$C$5:$CO$5,$C$6:$CO$146))</f>
        <v>-16.026939967207429</v>
      </c>
      <c r="G170" s="277" cm="1">
        <f t="array" ref="G170">_xlfn.XLOOKUP(B170,$B$6:$B$146,_xlfn.XLOOKUP($G$148,$C$5:$CO$5,$C$6:$CO$146))</f>
        <v>-15.60174740281291</v>
      </c>
      <c r="H170" s="277" cm="1">
        <f t="array" ref="H170">_xlfn.XLOOKUP(B170,$B$6:$B$146,_xlfn.XLOOKUP($H$148,$C$5:$CO$5,$C$6:$CO$146))</f>
        <v>-15.18308306208942</v>
      </c>
      <c r="I170" s="277" cm="1">
        <f t="array" ref="I170">_xlfn.XLOOKUP(B170,$B$6:$B$146,_xlfn.XLOOKUP($I$148,$C$5:$CO$5,$C$6:$CO$146))</f>
        <v>-14.77501766709026</v>
      </c>
      <c r="J170" s="277" cm="1">
        <f t="array" ref="J170">_xlfn.XLOOKUP(B170,$B$6:$B$146,_xlfn.XLOOKUP($J$148,$C$5:$CO$5,$C$6:$CO$146))</f>
        <v>-14.38063749960204</v>
      </c>
      <c r="K170" s="277" cm="1">
        <f t="array" ref="K170">_xlfn.XLOOKUP(B170,$B$6:$B$146,_xlfn.XLOOKUP($K$148,$C$5:$CO$5,$C$6:$CO$146))</f>
        <v>-14.00148187352792</v>
      </c>
      <c r="L170" s="277" cm="1">
        <f t="array" ref="L170">_xlfn.XLOOKUP(B170,$B$6:$B$146,_xlfn.XLOOKUP($L$148,$C$5:$CO$5,$C$6:$CO$146))</f>
        <v>-13.637376533642991</v>
      </c>
      <c r="O170" s="302">
        <v>110</v>
      </c>
      <c r="P170" s="277" cm="1">
        <f t="array" ref="P170">_xlfn.XLOOKUP(O170,$B$6:$B$146,_xlfn.XLOOKUP($P$148,$CQ$5:$GC$5,$CQ$6:$GC$146))</f>
        <v>-19.13315960015262</v>
      </c>
      <c r="Q170" s="277" cm="1">
        <f t="array" ref="Q170">_xlfn.XLOOKUP(O170,$B$6:$B$146,_xlfn.XLOOKUP($Q$148,$CQ$5:$GC$5,$CQ$6:$GC$146))</f>
        <v>-18.62280154930653</v>
      </c>
      <c r="R170" s="277" cm="1">
        <f t="array" ref="R170">_xlfn.XLOOKUP(O170,$B$6:$B$146,_xlfn.XLOOKUP($R$148,$CQ$5:$GC$5,$CQ$6:$GC$146))</f>
        <v>-18.119321412176379</v>
      </c>
      <c r="S170" s="277" cm="1">
        <f t="array" ref="S170">_xlfn.XLOOKUP(O170,$B$6:$B$146,_xlfn.XLOOKUP($S$148,$CQ$5:$GC$5,$CQ$6:$GC$146))</f>
        <v>-17.625134395353811</v>
      </c>
      <c r="T170" s="277" cm="1">
        <f t="array" ref="T170">_xlfn.XLOOKUP(O170,$B$6:$B$146,_xlfn.XLOOKUP($T$148,$CQ$5:$GC$5,$CQ$6:$GC$146))</f>
        <v>-17.14277349890946</v>
      </c>
      <c r="U170" s="277" cm="1">
        <f t="array" ref="U170">_xlfn.XLOOKUP(O170,$B$6:$B$146,_xlfn.XLOOKUP($U$148,$CQ$5:$GC$5,$CQ$6:$GC$146))</f>
        <v>-16.674715293852191</v>
      </c>
      <c r="V170" s="277" cm="1">
        <f t="array" ref="V170">_xlfn.XLOOKUP(O170,$B$6:$B$146,_xlfn.XLOOKUP($V$148,$CQ$5:$GC$5,$CQ$6:$GC$146))</f>
        <v>-16.222961604171889</v>
      </c>
      <c r="W170" s="277" cm="1">
        <f t="array" ref="W170">_xlfn.XLOOKUP(O170,$B$6:$B$146,_xlfn.XLOOKUP($W$148,$CQ$5:$GC$5,$CQ$6:$GC$146))</f>
        <v>-15.78837015022471</v>
      </c>
      <c r="X170" s="277" cm="1">
        <f t="array" ref="X170">_xlfn.XLOOKUP(O170,$B$6:$B$146,_xlfn.XLOOKUP($X$148,$CQ$5:$GC$5,$CQ$6:$GC$146))</f>
        <v>-15.37002645820823</v>
      </c>
      <c r="Y170" s="277" cm="1">
        <f t="array" ref="Y170">_xlfn.XLOOKUP(O170,$B$6:$B$146,_xlfn.XLOOKUP($Y$148,$CQ$5:$GC$5,$CQ$6:$GC$146))</f>
        <v>-14.965114989815531</v>
      </c>
    </row>
    <row r="171" spans="2:25" x14ac:dyDescent="0.35">
      <c r="B171" s="300">
        <v>115</v>
      </c>
      <c r="C171" s="277" cm="1">
        <f t="array" ref="C171">_xlfn.XLOOKUP(B171,$B$6:$B$146,_xlfn.XLOOKUP($C$148,$C$5:$CO$5,$C$6:$CO$146))</f>
        <v>-18.365184124972281</v>
      </c>
      <c r="D171" s="277" cm="1">
        <f t="array" ref="D171">_xlfn.XLOOKUP(B171,$B$6:$B$146,_xlfn.XLOOKUP($D$148,$C$5:$CO$5,$C$6:$CO$146))</f>
        <v>-17.94560851234732</v>
      </c>
      <c r="E171" s="277" cm="1">
        <f t="array" ref="E171">_xlfn.XLOOKUP(B171,$B$6:$B$146,_xlfn.XLOOKUP($E$148,$C$5:$CO$5,$C$6:$CO$146))</f>
        <v>-17.52244559631492</v>
      </c>
      <c r="F171" s="277" cm="1">
        <f t="array" ref="F171">_xlfn.XLOOKUP(B171,$B$6:$B$146,_xlfn.XLOOKUP($F$148,$C$5:$CO$5,$C$6:$CO$146))</f>
        <v>-17.098295421553331</v>
      </c>
      <c r="G171" s="277" cm="1">
        <f t="array" ref="G171">_xlfn.XLOOKUP(B171,$B$6:$B$146,_xlfn.XLOOKUP($G$148,$C$5:$CO$5,$C$6:$CO$146))</f>
        <v>-16.676537771874809</v>
      </c>
      <c r="H171" s="277" cm="1">
        <f t="array" ref="H171">_xlfn.XLOOKUP(B171,$B$6:$B$146,_xlfn.XLOOKUP($H$148,$C$5:$CO$5,$C$6:$CO$146))</f>
        <v>-16.26092386880406</v>
      </c>
      <c r="I171" s="277" cm="1">
        <f t="array" ref="I171">_xlfn.XLOOKUP(B171,$B$6:$B$146,_xlfn.XLOOKUP($I$148,$C$5:$CO$5,$C$6:$CO$146))</f>
        <v>-15.854987410057269</v>
      </c>
      <c r="J171" s="277" cm="1">
        <f t="array" ref="J171">_xlfn.XLOOKUP(B171,$B$6:$B$146,_xlfn.XLOOKUP($J$148,$C$5:$CO$5,$C$6:$CO$146))</f>
        <v>-15.46142892622002</v>
      </c>
      <c r="K171" s="277" cm="1">
        <f t="array" ref="K171">_xlfn.XLOOKUP(B171,$B$6:$B$146,_xlfn.XLOOKUP($K$148,$C$5:$CO$5,$C$6:$CO$146))</f>
        <v>-15.08166270781564</v>
      </c>
      <c r="L171" s="277" cm="1">
        <f t="array" ref="L171">_xlfn.XLOOKUP(B171,$B$6:$B$146,_xlfn.XLOOKUP($L$148,$C$5:$CO$5,$C$6:$CO$146))</f>
        <v>-14.71567110311693</v>
      </c>
      <c r="O171" s="302">
        <v>115</v>
      </c>
      <c r="P171" s="277" cm="1">
        <f t="array" ref="P171">_xlfn.XLOOKUP(O171,$B$6:$B$146,_xlfn.XLOOKUP($P$148,$CQ$5:$GC$5,$CQ$6:$GC$146))</f>
        <v>-20.296759509054841</v>
      </c>
      <c r="Q171" s="277" cm="1">
        <f t="array" ref="Q171">_xlfn.XLOOKUP(O171,$B$6:$B$146,_xlfn.XLOOKUP($Q$148,$CQ$5:$GC$5,$CQ$6:$GC$146))</f>
        <v>-19.789812839299479</v>
      </c>
      <c r="R171" s="277" cm="1">
        <f t="array" ref="R171">_xlfn.XLOOKUP(O171,$B$6:$B$146,_xlfn.XLOOKUP($R$148,$CQ$5:$GC$5,$CQ$6:$GC$146))</f>
        <v>-19.28972687609113</v>
      </c>
      <c r="S171" s="277" cm="1">
        <f t="array" ref="S171">_xlfn.XLOOKUP(O171,$B$6:$B$146,_xlfn.XLOOKUP($S$148,$CQ$5:$GC$5,$CQ$6:$GC$146))</f>
        <v>-18.798707352851508</v>
      </c>
      <c r="T171" s="277" cm="1">
        <f t="array" ref="T171">_xlfn.XLOOKUP(O171,$B$6:$B$146,_xlfn.XLOOKUP($T$148,$CQ$5:$GC$5,$CQ$6:$GC$146))</f>
        <v>-18.31900609963968</v>
      </c>
      <c r="U171" s="277" cm="1">
        <f t="array" ref="U171">_xlfn.XLOOKUP(O171,$B$6:$B$146,_xlfn.XLOOKUP($U$148,$CQ$5:$GC$5,$CQ$6:$GC$146))</f>
        <v>-17.852726391954299</v>
      </c>
      <c r="V171" s="277" cm="1">
        <f t="array" ref="V171">_xlfn.XLOOKUP(O171,$B$6:$B$146,_xlfn.XLOOKUP($V$148,$CQ$5:$GC$5,$CQ$6:$GC$146))</f>
        <v>-17.401456430305519</v>
      </c>
      <c r="W171" s="277" cm="1">
        <f t="array" ref="W171">_xlfn.XLOOKUP(O171,$B$6:$B$146,_xlfn.XLOOKUP($W$148,$CQ$5:$GC$5,$CQ$6:$GC$146))</f>
        <v>-16.965759997338541</v>
      </c>
      <c r="X171" s="277" cm="1">
        <f t="array" ref="X171">_xlfn.XLOOKUP(O171,$B$6:$B$146,_xlfn.XLOOKUP($X$148,$CQ$5:$GC$5,$CQ$6:$GC$146))</f>
        <v>-16.54474174898397</v>
      </c>
      <c r="Y171" s="277" cm="1">
        <f t="array" ref="Y171">_xlfn.XLOOKUP(O171,$B$6:$B$146,_xlfn.XLOOKUP($Y$148,$CQ$5:$GC$5,$CQ$6:$GC$146))</f>
        <v>-16.13598803735043</v>
      </c>
    </row>
    <row r="172" spans="2:25" x14ac:dyDescent="0.35">
      <c r="B172" s="300">
        <v>120</v>
      </c>
      <c r="C172" s="277" cm="1">
        <f t="array" ref="C172">_xlfn.XLOOKUP(B172,$B$6:$B$146,_xlfn.XLOOKUP($C$148,$C$5:$CO$5,$C$6:$CO$146))</f>
        <v>-19.42902636066766</v>
      </c>
      <c r="D172" s="277" cm="1">
        <f t="array" ref="D172">_xlfn.XLOOKUP(B172,$B$6:$B$146,_xlfn.XLOOKUP($D$148,$C$5:$CO$5,$C$6:$CO$146))</f>
        <v>-19.011368800187402</v>
      </c>
      <c r="E172" s="277" cm="1">
        <f t="array" ref="E172">_xlfn.XLOOKUP(B172,$B$6:$B$146,_xlfn.XLOOKUP($E$148,$C$5:$CO$5,$C$6:$CO$146))</f>
        <v>-18.590795522906941</v>
      </c>
      <c r="F172" s="277" cm="1">
        <f t="array" ref="F172">_xlfn.XLOOKUP(B172,$B$6:$B$146,_xlfn.XLOOKUP($F$148,$C$5:$CO$5,$C$6:$CO$146))</f>
        <v>-18.169697275300141</v>
      </c>
      <c r="G172" s="277" cm="1">
        <f t="array" ref="G172">_xlfn.XLOOKUP(B172,$B$6:$B$146,_xlfn.XLOOKUP($G$148,$C$5:$CO$5,$C$6:$CO$146))</f>
        <v>-17.751089986049411</v>
      </c>
      <c r="H172" s="277" cm="1">
        <f t="array" ref="H172">_xlfn.XLOOKUP(B172,$B$6:$B$146,_xlfn.XLOOKUP($H$148,$C$5:$CO$5,$C$6:$CO$146))</f>
        <v>-17.338265147039579</v>
      </c>
      <c r="I172" s="277" cm="1">
        <f t="array" ref="I172">_xlfn.XLOOKUP(B172,$B$6:$B$146,_xlfn.XLOOKUP($I$148,$C$5:$CO$5,$C$6:$CO$146))</f>
        <v>-16.934304936469189</v>
      </c>
      <c r="J172" s="277" cm="1">
        <f t="array" ref="J172">_xlfn.XLOOKUP(B172,$B$6:$B$146,_xlfn.XLOOKUP($J$148,$C$5:$CO$5,$C$6:$CO$146))</f>
        <v>-16.541583490853512</v>
      </c>
      <c r="K172" s="277" cm="1">
        <f t="array" ref="K172">_xlfn.XLOOKUP(B172,$B$6:$B$146,_xlfn.XLOOKUP($K$148,$C$5:$CO$5,$C$6:$CO$146))</f>
        <v>-16.161399246131449</v>
      </c>
      <c r="L172" s="277" cm="1">
        <f t="array" ref="L172">_xlfn.XLOOKUP(B172,$B$6:$B$146,_xlfn.XLOOKUP($L$148,$C$5:$CO$5,$C$6:$CO$146))</f>
        <v>-15.793847319149259</v>
      </c>
      <c r="O172" s="302">
        <v>120</v>
      </c>
      <c r="P172" s="277" cm="1">
        <f t="array" ref="P172">_xlfn.XLOOKUP(O172,$B$6:$B$146,_xlfn.XLOOKUP($P$148,$CQ$5:$GC$5,$CQ$6:$GC$146))</f>
        <v>-21.46077878833146</v>
      </c>
      <c r="Q172" s="277" cm="1">
        <f t="array" ref="Q172">_xlfn.XLOOKUP(O172,$B$6:$B$146,_xlfn.XLOOKUP($Q$148,$CQ$5:$GC$5,$CQ$6:$GC$146))</f>
        <v>-20.957015674209259</v>
      </c>
      <c r="R172" s="277" cm="1">
        <f t="array" ref="R172">_xlfn.XLOOKUP(O172,$B$6:$B$146,_xlfn.XLOOKUP($R$148,$CQ$5:$GC$5,$CQ$6:$GC$146))</f>
        <v>-20.460052945193301</v>
      </c>
      <c r="S172" s="277" cm="1">
        <f t="array" ref="S172">_xlfn.XLOOKUP(O172,$B$6:$B$146,_xlfn.XLOOKUP($S$148,$CQ$5:$GC$5,$CQ$6:$GC$146))</f>
        <v>-19.97189193004375</v>
      </c>
      <c r="T172" s="277" cm="1">
        <f t="array" ref="T172">_xlfn.XLOOKUP(O172,$B$6:$B$146,_xlfn.XLOOKUP($T$148,$CQ$5:$GC$5,$CQ$6:$GC$146))</f>
        <v>-19.494522517866908</v>
      </c>
      <c r="U172" s="277" cm="1">
        <f t="array" ref="U172">_xlfn.XLOOKUP(O172,$B$6:$B$146,_xlfn.XLOOKUP($U$148,$CQ$5:$GC$5,$CQ$6:$GC$146))</f>
        <v>-19.029727951342739</v>
      </c>
      <c r="V172" s="277" cm="1">
        <f t="array" ref="V172">_xlfn.XLOOKUP(O172,$B$6:$B$146,_xlfn.XLOOKUP($V$148,$CQ$5:$GC$5,$CQ$6:$GC$146))</f>
        <v>-18.578771619020142</v>
      </c>
      <c r="W172" s="277" cm="1">
        <f t="array" ref="W172">_xlfn.XLOOKUP(O172,$B$6:$B$146,_xlfn.XLOOKUP($W$148,$CQ$5:$GC$5,$CQ$6:$GC$146))</f>
        <v>-18.1420085081125</v>
      </c>
      <c r="X172" s="277" cm="1">
        <f t="array" ref="X172">_xlfn.XLOOKUP(O172,$B$6:$B$146,_xlfn.XLOOKUP($X$148,$CQ$5:$GC$5,$CQ$6:$GC$146))</f>
        <v>-17.718582147286529</v>
      </c>
      <c r="Y172" s="277" cm="1">
        <f t="array" ref="Y172">_xlfn.XLOOKUP(O172,$B$6:$B$146,_xlfn.XLOOKUP($Y$148,$CQ$5:$GC$5,$CQ$6:$GC$146))</f>
        <v>-17.30640700100188</v>
      </c>
    </row>
    <row r="173" spans="2:25" x14ac:dyDescent="0.35">
      <c r="B173" s="300">
        <v>125</v>
      </c>
      <c r="C173" s="277" cm="1">
        <f t="array" ref="C173">_xlfn.XLOOKUP(B173,$B$6:$B$146,_xlfn.XLOOKUP($C$148,$C$5:$CO$5,$C$6:$CO$146))</f>
        <v>-20.49324983123168</v>
      </c>
      <c r="D173" s="277" cm="1">
        <f t="array" ref="D173">_xlfn.XLOOKUP(B173,$B$6:$B$146,_xlfn.XLOOKUP($D$148,$C$5:$CO$5,$C$6:$CO$146))</f>
        <v>-20.077486783813331</v>
      </c>
      <c r="E173" s="277" cm="1">
        <f t="array" ref="E173">_xlfn.XLOOKUP(B173,$B$6:$B$146,_xlfn.XLOOKUP($E$148,$C$5:$CO$5,$C$6:$CO$146))</f>
        <v>-19.659378852064201</v>
      </c>
      <c r="F173" s="277" cm="1">
        <f t="array" ref="F173">_xlfn.XLOOKUP(B173,$B$6:$B$146,_xlfn.XLOOKUP($F$148,$C$5:$CO$5,$C$6:$CO$146))</f>
        <v>-19.241120229167091</v>
      </c>
      <c r="G173" s="277" cm="1">
        <f t="array" ref="G173">_xlfn.XLOOKUP(B173,$B$6:$B$146,_xlfn.XLOOKUP($G$148,$C$5:$CO$5,$C$6:$CO$146))</f>
        <v>-18.825407101496491</v>
      </c>
      <c r="H173" s="277" cm="1">
        <f t="array" ref="H173">_xlfn.XLOOKUP(B173,$B$6:$B$146,_xlfn.XLOOKUP($H$148,$C$5:$CO$5,$C$6:$CO$146))</f>
        <v>-18.415138333972241</v>
      </c>
      <c r="I173" s="277" cm="1">
        <f t="array" ref="I173">_xlfn.XLOOKUP(B173,$B$6:$B$146,_xlfn.XLOOKUP($I$148,$C$5:$CO$5,$C$6:$CO$146))</f>
        <v>-18.0130147604538</v>
      </c>
      <c r="J173" s="277" cm="1">
        <f t="array" ref="J173">_xlfn.XLOOKUP(B173,$B$6:$B$146,_xlfn.XLOOKUP($J$148,$C$5:$CO$5,$C$6:$CO$146))</f>
        <v>-17.621132911396309</v>
      </c>
      <c r="K173" s="277" cm="1">
        <f t="array" ref="K173">_xlfn.XLOOKUP(B173,$B$6:$B$146,_xlfn.XLOOKUP($K$148,$C$5:$CO$5,$C$6:$CO$146))</f>
        <v>-17.240684555711979</v>
      </c>
      <c r="L173" s="277" cm="1">
        <f t="array" ref="L173">_xlfn.XLOOKUP(B173,$B$6:$B$146,_xlfn.XLOOKUP($L$148,$C$5:$CO$5,$C$6:$CO$146))</f>
        <v>-16.871844861469729</v>
      </c>
      <c r="O173" s="302">
        <v>125</v>
      </c>
      <c r="P173" s="277" cm="1">
        <f t="array" ref="P173">_xlfn.XLOOKUP(O173,$B$6:$B$146,_xlfn.XLOOKUP($P$148,$CQ$5:$GC$5,$CQ$6:$GC$146))</f>
        <v>-22.625129948054148</v>
      </c>
      <c r="Q173" s="277" cm="1">
        <f t="array" ref="Q173">_xlfn.XLOOKUP(O173,$B$6:$B$146,_xlfn.XLOOKUP($Q$148,$CQ$5:$GC$5,$CQ$6:$GC$146))</f>
        <v>-22.124330172594512</v>
      </c>
      <c r="R173" s="277" cm="1">
        <f t="array" ref="R173">_xlfn.XLOOKUP(O173,$B$6:$B$146,_xlfn.XLOOKUP($R$148,$CQ$5:$GC$5,$CQ$6:$GC$146))</f>
        <v>-21.630233849214449</v>
      </c>
      <c r="S173" s="277" cm="1">
        <f t="array" ref="S173">_xlfn.XLOOKUP(O173,$B$6:$B$146,_xlfn.XLOOKUP($S$148,$CQ$5:$GC$5,$CQ$6:$GC$146))</f>
        <v>-21.144647786529131</v>
      </c>
      <c r="T173" s="277" cm="1">
        <f t="array" ref="T173">_xlfn.XLOOKUP(O173,$B$6:$B$146,_xlfn.XLOOKUP($T$148,$CQ$5:$GC$5,$CQ$6:$GC$146))</f>
        <v>-20.669323405925152</v>
      </c>
      <c r="U173" s="277" cm="1">
        <f t="array" ref="U173">_xlfn.XLOOKUP(O173,$B$6:$B$146,_xlfn.XLOOKUP($U$148,$CQ$5:$GC$5,$CQ$6:$GC$146))</f>
        <v>-20.20577198822269</v>
      </c>
      <c r="V173" s="277" cm="1">
        <f t="array" ref="V173">_xlfn.XLOOKUP(O173,$B$6:$B$146,_xlfn.XLOOKUP($V$148,$CQ$5:$GC$5,$CQ$6:$GC$146))</f>
        <v>-19.755001086170779</v>
      </c>
      <c r="W173" s="277" cm="1">
        <f t="array" ref="W173">_xlfn.XLOOKUP(O173,$B$6:$B$146,_xlfn.XLOOKUP($W$148,$CQ$5:$GC$5,$CQ$6:$GC$146))</f>
        <v>-19.31721708135936</v>
      </c>
      <c r="X173" s="277" cm="1">
        <f t="array" ref="X173">_xlfn.XLOOKUP(O173,$B$6:$B$146,_xlfn.XLOOKUP($X$148,$CQ$5:$GC$5,$CQ$6:$GC$146))</f>
        <v>-18.891612621195389</v>
      </c>
      <c r="Y173" s="277" cm="1">
        <f t="array" ref="Y173">_xlfn.XLOOKUP(O173,$B$6:$B$146,_xlfn.XLOOKUP($Y$148,$CQ$5:$GC$5,$CQ$6:$GC$146))</f>
        <v>-18.476373262268499</v>
      </c>
    </row>
    <row r="174" spans="2:25" x14ac:dyDescent="0.35">
      <c r="B174" s="300">
        <v>130</v>
      </c>
      <c r="C174" s="277" cm="1">
        <f t="array" ref="C174">_xlfn.XLOOKUP(B174,$B$6:$B$146,_xlfn.XLOOKUP($C$148,$C$5:$CO$5,$C$6:$CO$146))</f>
        <v>-21.557833366830611</v>
      </c>
      <c r="D174" s="277" cm="1">
        <f t="array" ref="D174">_xlfn.XLOOKUP(B174,$B$6:$B$146,_xlfn.XLOOKUP($D$148,$C$5:$CO$5,$C$6:$CO$146))</f>
        <v>-21.143926267191201</v>
      </c>
      <c r="E174" s="277" cm="1">
        <f t="array" ref="E174">_xlfn.XLOOKUP(B174,$B$6:$B$146,_xlfn.XLOOKUP($E$148,$C$5:$CO$5,$C$6:$CO$146))</f>
        <v>-20.72815899800684</v>
      </c>
      <c r="F174" s="277" cm="1">
        <f t="array" ref="F174">_xlfn.XLOOKUP(B174,$B$6:$B$146,_xlfn.XLOOKUP($F$148,$C$5:$CO$5,$C$6:$CO$146))</f>
        <v>-20.312543060469089</v>
      </c>
      <c r="G174" s="277" cm="1">
        <f t="array" ref="G174">_xlfn.XLOOKUP(B174,$B$6:$B$146,_xlfn.XLOOKUP($G$148,$C$5:$CO$5,$C$6:$CO$146))</f>
        <v>-19.89949360122726</v>
      </c>
      <c r="H174" s="277" cm="1">
        <f t="array" ref="H174">_xlfn.XLOOKUP(B174,$B$6:$B$146,_xlfn.XLOOKUP($H$148,$C$5:$CO$5,$C$6:$CO$146))</f>
        <v>-19.491573068317511</v>
      </c>
      <c r="I174" s="277" cm="1">
        <f t="array" ref="I174">_xlfn.XLOOKUP(B174,$B$6:$B$146,_xlfn.XLOOKUP($I$148,$C$5:$CO$5,$C$6:$CO$146))</f>
        <v>-19.091158720252022</v>
      </c>
      <c r="J174" s="277" cm="1">
        <f t="array" ref="J174">_xlfn.XLOOKUP(B174,$B$6:$B$146,_xlfn.XLOOKUP($J$148,$C$5:$CO$5,$C$6:$CO$146))</f>
        <v>-18.700109793301451</v>
      </c>
      <c r="K174" s="277" cm="1">
        <f t="array" ref="K174">_xlfn.XLOOKUP(B174,$B$6:$B$146,_xlfn.XLOOKUP($K$148,$C$5:$CO$5,$C$6:$CO$146))</f>
        <v>-18.319520322331378</v>
      </c>
      <c r="L174" s="277" cm="1">
        <f t="array" ref="L174">_xlfn.XLOOKUP(B174,$B$6:$B$146,_xlfn.XLOOKUP($L$148,$C$5:$CO$5,$C$6:$CO$146))</f>
        <v>-17.949621105110271</v>
      </c>
      <c r="O174" s="302">
        <v>130</v>
      </c>
      <c r="P174" s="277" cm="1">
        <f t="array" ref="P174">_xlfn.XLOOKUP(O174,$B$6:$B$146,_xlfn.XLOOKUP($P$148,$CQ$5:$GC$5,$CQ$6:$GC$146))</f>
        <v>-23.78973532325217</v>
      </c>
      <c r="Q174" s="277" cm="1">
        <f t="array" ref="Q174">_xlfn.XLOOKUP(O174,$B$6:$B$146,_xlfn.XLOOKUP($Q$148,$CQ$5:$GC$5,$CQ$6:$GC$146))</f>
        <v>-23.291688089153819</v>
      </c>
      <c r="R174" s="277" cm="1">
        <f t="array" ref="R174">_xlfn.XLOOKUP(O174,$B$6:$B$146,_xlfn.XLOOKUP($R$148,$CQ$5:$GC$5,$CQ$6:$GC$146))</f>
        <v>-22.800217532990761</v>
      </c>
      <c r="S174" s="277" cm="1">
        <f t="array" ref="S174">_xlfn.XLOOKUP(O174,$B$6:$B$146,_xlfn.XLOOKUP($S$148,$CQ$5:$GC$5,$CQ$6:$GC$146))</f>
        <v>-22.31694876609907</v>
      </c>
      <c r="T174" s="277" cm="1">
        <f t="array" ref="T174">_xlfn.XLOOKUP(O174,$B$6:$B$146,_xlfn.XLOOKUP($T$148,$CQ$5:$GC$5,$CQ$6:$GC$146))</f>
        <v>-21.843419465291191</v>
      </c>
      <c r="U174" s="277" cm="1">
        <f t="array" ref="U174">_xlfn.XLOOKUP(O174,$B$6:$B$146,_xlfn.XLOOKUP($U$148,$CQ$5:$GC$5,$CQ$6:$GC$146))</f>
        <v>-21.380911014078201</v>
      </c>
      <c r="V174" s="277" cm="1">
        <f t="array" ref="V174">_xlfn.XLOOKUP(O174,$B$6:$B$146,_xlfn.XLOOKUP($V$148,$CQ$5:$GC$5,$CQ$6:$GC$146))</f>
        <v>-20.93022874461256</v>
      </c>
      <c r="W174" s="277" cm="1">
        <f t="array" ref="W174">_xlfn.XLOOKUP(O174,$B$6:$B$146,_xlfn.XLOOKUP($W$148,$CQ$5:$GC$5,$CQ$6:$GC$146))</f>
        <v>-20.49147329367765</v>
      </c>
      <c r="X174" s="277" cm="1">
        <f t="array" ref="X174">_xlfn.XLOOKUP(O174,$B$6:$B$146,_xlfn.XLOOKUP($X$148,$CQ$5:$GC$5,$CQ$6:$GC$146))</f>
        <v>-20.063890802324732</v>
      </c>
      <c r="Y174" s="277" cm="1">
        <f t="array" ref="Y174">_xlfn.XLOOKUP(O174,$B$6:$B$146,_xlfn.XLOOKUP($Y$148,$CQ$5:$GC$5,$CQ$6:$GC$146))</f>
        <v>-19.645893116852719</v>
      </c>
    </row>
    <row r="175" spans="2:25" x14ac:dyDescent="0.35">
      <c r="B175" s="300">
        <v>135</v>
      </c>
      <c r="C175" s="277" cm="1">
        <f t="array" ref="C175">_xlfn.XLOOKUP(B175,$B$6:$B$146,_xlfn.XLOOKUP($C$148,$C$5:$CO$5,$C$6:$CO$146))</f>
        <v>-22.622753036146801</v>
      </c>
      <c r="D175" s="277" cm="1">
        <f t="array" ref="D175">_xlfn.XLOOKUP(B175,$B$6:$B$146,_xlfn.XLOOKUP($D$148,$C$5:$CO$5,$C$6:$CO$146))</f>
        <v>-22.21065266343717</v>
      </c>
      <c r="E175" s="277" cm="1">
        <f t="array" ref="E175">_xlfn.XLOOKUP(B175,$B$6:$B$146,_xlfn.XLOOKUP($E$148,$C$5:$CO$5,$C$6:$CO$146))</f>
        <v>-21.797103390183619</v>
      </c>
      <c r="F175" s="277" cm="1">
        <f t="array" ref="F175">_xlfn.XLOOKUP(B175,$B$6:$B$146,_xlfn.XLOOKUP($F$148,$C$5:$CO$5,$C$6:$CO$146))</f>
        <v>-21.383948186385989</v>
      </c>
      <c r="G175" s="277" cm="1">
        <f t="array" ref="G175">_xlfn.XLOOKUP(B175,$B$6:$B$146,_xlfn.XLOOKUP($G$148,$C$5:$CO$5,$C$6:$CO$146))</f>
        <v>-20.973355005276868</v>
      </c>
      <c r="H175" s="277" cm="1">
        <f t="array" ref="H175">_xlfn.XLOOKUP(B175,$B$6:$B$146,_xlfn.XLOOKUP($H$148,$C$5:$CO$5,$C$6:$CO$146))</f>
        <v>-20.567597050436071</v>
      </c>
      <c r="I175" s="277" cm="1">
        <f t="array" ref="I175">_xlfn.XLOOKUP(B175,$B$6:$B$146,_xlfn.XLOOKUP($I$148,$C$5:$CO$5,$C$6:$CO$146))</f>
        <v>-20.16877573869861</v>
      </c>
      <c r="J175" s="277" cm="1">
        <f t="array" ref="J175">_xlfn.XLOOKUP(B175,$B$6:$B$146,_xlfn.XLOOKUP($J$148,$C$5:$CO$5,$C$6:$CO$146))</f>
        <v>-19.778546492965951</v>
      </c>
      <c r="K175" s="277" cm="1">
        <f t="array" ref="K175">_xlfn.XLOOKUP(B175,$B$6:$B$146,_xlfn.XLOOKUP($K$148,$C$5:$CO$5,$C$6:$CO$146))</f>
        <v>-19.397914111766411</v>
      </c>
      <c r="L175" s="277" cm="1">
        <f t="array" ref="L175">_xlfn.XLOOKUP(B175,$B$6:$B$146,_xlfn.XLOOKUP($L$148,$C$5:$CO$5,$C$6:$CO$146))</f>
        <v>-19.027146807550039</v>
      </c>
      <c r="O175" s="302">
        <v>135</v>
      </c>
      <c r="P175" s="277" cm="1">
        <f t="array" ref="P175">_xlfn.XLOOKUP(O175,$B$6:$B$146,_xlfn.XLOOKUP($P$148,$CQ$5:$GC$5,$CQ$6:$GC$146))</f>
        <v>-24.954526660844859</v>
      </c>
      <c r="Q175" s="277" cm="1">
        <f t="array" ref="Q175">_xlfn.XLOOKUP(O175,$B$6:$B$146,_xlfn.XLOOKUP($Q$148,$CQ$5:$GC$5,$CQ$6:$GC$146))</f>
        <v>-24.459031900687108</v>
      </c>
      <c r="R175" s="277" cm="1">
        <f t="array" ref="R175">_xlfn.XLOOKUP(O175,$B$6:$B$146,_xlfn.XLOOKUP($R$148,$CQ$5:$GC$5,$CQ$6:$GC$146))</f>
        <v>-23.96996365742163</v>
      </c>
      <c r="S175" s="277" cm="1">
        <f t="array" ref="S175">_xlfn.XLOOKUP(O175,$B$6:$B$146,_xlfn.XLOOKUP($S$148,$CQ$5:$GC$5,$CQ$6:$GC$146))</f>
        <v>-23.488779672746329</v>
      </c>
      <c r="T175" s="277" cm="1">
        <f t="array" ref="T175">_xlfn.XLOOKUP(O175,$B$6:$B$146,_xlfn.XLOOKUP($T$148,$CQ$5:$GC$5,$CQ$6:$GC$146))</f>
        <v>-23.01682807084666</v>
      </c>
      <c r="U175" s="277" cm="1">
        <f t="array" ref="U175">_xlfn.XLOOKUP(O175,$B$6:$B$146,_xlfn.XLOOKUP($U$148,$CQ$5:$GC$5,$CQ$6:$GC$146))</f>
        <v>-22.555196454004669</v>
      </c>
      <c r="V175" s="277" cm="1">
        <f t="array" ref="V175">_xlfn.XLOOKUP(O175,$B$6:$B$146,_xlfn.XLOOKUP($V$148,$CQ$5:$GC$5,$CQ$6:$GC$146))</f>
        <v>-22.104529702657729</v>
      </c>
      <c r="W175" s="277" cm="1">
        <f t="array" ref="W175">_xlfn.XLOOKUP(O175,$B$6:$B$146,_xlfn.XLOOKUP($W$148,$CQ$5:$GC$5,$CQ$6:$GC$146))</f>
        <v>-21.664853428024848</v>
      </c>
      <c r="X175" s="277" cm="1">
        <f t="array" ref="X175">_xlfn.XLOOKUP(O175,$B$6:$B$146,_xlfn.XLOOKUP($X$148,$CQ$5:$GC$5,$CQ$6:$GC$146))</f>
        <v>-21.235468059421251</v>
      </c>
      <c r="Y175" s="277" cm="1">
        <f t="array" ref="Y175">_xlfn.XLOOKUP(O175,$B$6:$B$146,_xlfn.XLOOKUP($Y$148,$CQ$5:$GC$5,$CQ$6:$GC$146))</f>
        <v>-20.814976019769819</v>
      </c>
    </row>
    <row r="176" spans="2:25" ht="15" thickBot="1" x14ac:dyDescent="0.4">
      <c r="B176" s="301">
        <v>140</v>
      </c>
      <c r="C176" s="278" cm="1">
        <f t="array" ref="C176">_xlfn.XLOOKUP(B176,$B$6:$B$146,_xlfn.XLOOKUP($C$148,$C$5:$CO$5,$C$6:$CO$146))</f>
        <v>-23.68798371904111</v>
      </c>
      <c r="D176" s="278" cm="1">
        <f t="array" ref="D176">_xlfn.XLOOKUP(B176,$B$6:$B$146,_xlfn.XLOOKUP($D$148,$C$5:$CO$5,$C$6:$CO$146))</f>
        <v>-23.27763360489875</v>
      </c>
      <c r="E176" s="278" cm="1">
        <f t="array" ref="E176">_xlfn.XLOOKUP(B176,$B$6:$B$146,_xlfn.XLOOKUP($E$148,$C$5:$CO$5,$C$6:$CO$146))</f>
        <v>-22.866183311359261</v>
      </c>
      <c r="F176" s="278" cm="1">
        <f t="array" ref="F176">_xlfn.XLOOKUP(B176,$B$6:$B$146,_xlfn.XLOOKUP($F$148,$C$5:$CO$5,$C$6:$CO$146))</f>
        <v>-22.455321195544009</v>
      </c>
      <c r="G176" s="278" cm="1">
        <f t="array" ref="G176">_xlfn.XLOOKUP(B176,$B$6:$B$146,_xlfn.XLOOKUP($G$148,$C$5:$CO$5,$C$6:$CO$146))</f>
        <v>-22.04699755274255</v>
      </c>
      <c r="H176" s="278" cm="1">
        <f t="array" ref="H176">_xlfn.XLOOKUP(B176,$B$6:$B$146,_xlfn.XLOOKUP($H$148,$C$5:$CO$5,$C$6:$CO$146))</f>
        <v>-21.643236024889681</v>
      </c>
      <c r="I176" s="278" cm="1">
        <f t="array" ref="I176">_xlfn.XLOOKUP(B176,$B$6:$B$146,_xlfn.XLOOKUP($I$148,$C$5:$CO$5,$C$6:$CO$146))</f>
        <v>-21.245901792281959</v>
      </c>
      <c r="J176" s="278" cm="1">
        <f t="array" ref="J176">_xlfn.XLOOKUP(B176,$B$6:$B$146,_xlfn.XLOOKUP($J$148,$C$5:$CO$5,$C$6:$CO$146))</f>
        <v>-20.85647441256814</v>
      </c>
      <c r="K176" s="278" cm="1">
        <f t="array" ref="K176">_xlfn.XLOOKUP(B176,$B$6:$B$146,_xlfn.XLOOKUP($K$148,$C$5:$CO$5,$C$6:$CO$146))</f>
        <v>-20.47587740382296</v>
      </c>
      <c r="L176" s="278" cm="1">
        <f t="array" ref="L176">_xlfn.XLOOKUP(B176,$B$6:$B$146,_xlfn.XLOOKUP($L$148,$C$5:$CO$5,$C$6:$CO$146))</f>
        <v>-20.104402832321291</v>
      </c>
      <c r="M176" s="280"/>
      <c r="N176" s="280"/>
      <c r="O176" s="302">
        <v>140</v>
      </c>
      <c r="P176" s="278" cm="1">
        <f t="array" ref="P176">_xlfn.XLOOKUP(O176,$B$6:$B$146,_xlfn.XLOOKUP($P$148,$CQ$5:$GC$5,$CQ$6:$GC$146))</f>
        <v>-26.119444514244769</v>
      </c>
      <c r="Q176" s="278" cm="1">
        <f t="array" ref="Q176">_xlfn.XLOOKUP(O176,$B$6:$B$146,_xlfn.XLOOKUP($Q$148,$CQ$5:$GC$5,$CQ$6:$GC$146))</f>
        <v>-25.626313712462029</v>
      </c>
      <c r="R176" s="278" cm="1">
        <f t="array" ref="R176">_xlfn.XLOOKUP(O176,$B$6:$B$146,_xlfn.XLOOKUP($R$148,$CQ$5:$GC$5,$CQ$6:$GC$146))</f>
        <v>-25.139441705695411</v>
      </c>
      <c r="S176" s="278" cm="1">
        <f t="array" ref="S176">_xlfn.XLOOKUP(O176,$B$6:$B$146,_xlfn.XLOOKUP($S$148,$CQ$5:$GC$5,$CQ$6:$GC$146))</f>
        <v>-24.66013366990736</v>
      </c>
      <c r="T176" s="278" cm="1">
        <f t="array" ref="T176">_xlfn.XLOOKUP(O176,$B$6:$B$146,_xlfn.XLOOKUP($T$148,$CQ$5:$GC$5,$CQ$6:$GC$146))</f>
        <v>-24.189570853411901</v>
      </c>
      <c r="U176" s="278" cm="1">
        <f t="array" ref="U176">_xlfn.XLOOKUP(O176,$B$6:$B$146,_xlfn.XLOOKUP($U$148,$CQ$5:$GC$5,$CQ$6:$GC$146))</f>
        <v>-23.728677719349289</v>
      </c>
      <c r="V176" s="278" cm="1">
        <f t="array" ref="V176">_xlfn.XLOOKUP(O176,$B$6:$B$146,_xlfn.XLOOKUP($V$148,$CQ$5:$GC$5,$CQ$6:$GC$146))</f>
        <v>-23.277971339293501</v>
      </c>
      <c r="W176" s="278" cm="1">
        <f t="array" ref="W176">_xlfn.XLOOKUP(O176,$B$6:$B$146,_xlfn.XLOOKUP($W$148,$CQ$5:$GC$5,$CQ$6:$GC$146))</f>
        <v>-22.83742443908681</v>
      </c>
      <c r="X176" s="278" cm="1">
        <f t="array" ref="X176">_xlfn.XLOOKUP(O176,$B$6:$B$146,_xlfn.XLOOKUP($X$148,$CQ$5:$GC$5,$CQ$6:$GC$146))</f>
        <v>-22.406390403052932</v>
      </c>
      <c r="Y176" s="278" cm="1">
        <f t="array" ref="Y176">_xlfn.XLOOKUP(O176,$B$6:$B$146,_xlfn.XLOOKUP($Y$148,$CQ$5:$GC$5,$CQ$6:$GC$146))</f>
        <v>-21.983633403810249</v>
      </c>
    </row>
  </sheetData>
  <mergeCells count="9">
    <mergeCell ref="B2:B5"/>
    <mergeCell ref="C2:CO2"/>
    <mergeCell ref="C3:CO3"/>
    <mergeCell ref="C4:CO4"/>
    <mergeCell ref="C147:K147"/>
    <mergeCell ref="N147:V147"/>
    <mergeCell ref="CQ4:GC4"/>
    <mergeCell ref="CQ3:GC3"/>
    <mergeCell ref="CQ2:GC2"/>
  </mergeCells>
  <conditionalFormatting sqref="CQ2:CQ4 BP5:EO146 B2:C4 B5:BL146">
    <cfRule type="cellIs" dxfId="30" priority="86" operator="equal">
      <formula>0</formula>
    </cfRule>
    <cfRule type="containsBlanks" dxfId="29" priority="89">
      <formula>LEN(TRIM(B2))=0</formula>
    </cfRule>
  </conditionalFormatting>
  <conditionalFormatting sqref="O148:V148 B148:K151 C152:K163 C164:L176 B152:B176 O149:Y176 L148:L163">
    <cfRule type="containsBlanks" dxfId="28" priority="87">
      <formula>LEN(TRIM(B148))=0</formula>
    </cfRule>
  </conditionalFormatting>
  <conditionalFormatting sqref="BM5:BM146">
    <cfRule type="cellIs" dxfId="27" priority="84" operator="equal">
      <formula>0</formula>
    </cfRule>
    <cfRule type="containsBlanks" dxfId="26" priority="85">
      <formula>LEN(TRIM(BM5))=0</formula>
    </cfRule>
  </conditionalFormatting>
  <conditionalFormatting sqref="BN5:BN146">
    <cfRule type="cellIs" dxfId="25" priority="82" operator="equal">
      <formula>0</formula>
    </cfRule>
    <cfRule type="containsBlanks" dxfId="24" priority="83">
      <formula>LEN(TRIM(BN5))=0</formula>
    </cfRule>
  </conditionalFormatting>
  <conditionalFormatting sqref="BO5:BP146">
    <cfRule type="cellIs" dxfId="23" priority="80" operator="equal">
      <formula>0</formula>
    </cfRule>
    <cfRule type="containsBlanks" dxfId="22" priority="81">
      <formula>LEN(TRIM(BO5))=0</formula>
    </cfRule>
  </conditionalFormatting>
  <conditionalFormatting sqref="ET5:ET146 EV5:EV146 EP5:EP146">
    <cfRule type="cellIs" dxfId="21" priority="70" operator="equal">
      <formula>0</formula>
    </cfRule>
    <cfRule type="containsBlanks" dxfId="20" priority="71">
      <formula>LEN(TRIM(EP5))=0</formula>
    </cfRule>
  </conditionalFormatting>
  <conditionalFormatting sqref="EQ5:EQ146">
    <cfRule type="cellIs" dxfId="19" priority="68" operator="equal">
      <formula>0</formula>
    </cfRule>
    <cfRule type="containsBlanks" dxfId="18" priority="69">
      <formula>LEN(TRIM(EQ5))=0</formula>
    </cfRule>
  </conditionalFormatting>
  <conditionalFormatting sqref="ER5:ER146">
    <cfRule type="cellIs" dxfId="17" priority="66" operator="equal">
      <formula>0</formula>
    </cfRule>
    <cfRule type="containsBlanks" dxfId="16" priority="67">
      <formula>LEN(TRIM(ER5))=0</formula>
    </cfRule>
  </conditionalFormatting>
  <conditionalFormatting sqref="ES5:ES146">
    <cfRule type="cellIs" dxfId="15" priority="64" operator="equal">
      <formula>0</formula>
    </cfRule>
    <cfRule type="containsBlanks" dxfId="14" priority="65">
      <formula>LEN(TRIM(ES5))=0</formula>
    </cfRule>
  </conditionalFormatting>
  <conditionalFormatting sqref="EU5:EU146">
    <cfRule type="cellIs" dxfId="13" priority="62" operator="equal">
      <formula>0</formula>
    </cfRule>
    <cfRule type="containsBlanks" dxfId="12" priority="63">
      <formula>LEN(TRIM(EU5))=0</formula>
    </cfRule>
  </conditionalFormatting>
  <conditionalFormatting sqref="EW5:EW146">
    <cfRule type="cellIs" dxfId="11" priority="60" operator="equal">
      <formula>0</formula>
    </cfRule>
    <cfRule type="containsBlanks" dxfId="10" priority="61">
      <formula>LEN(TRIM(EW5))=0</formula>
    </cfRule>
  </conditionalFormatting>
  <conditionalFormatting sqref="EX5:EX146">
    <cfRule type="cellIs" dxfId="9" priority="58" operator="equal">
      <formula>0</formula>
    </cfRule>
    <cfRule type="containsBlanks" dxfId="8" priority="59">
      <formula>LEN(TRIM(EX5))=0</formula>
    </cfRule>
  </conditionalFormatting>
  <conditionalFormatting sqref="EY5:EY146">
    <cfRule type="cellIs" dxfId="7" priority="56" operator="equal">
      <formula>0</formula>
    </cfRule>
    <cfRule type="containsBlanks" dxfId="6" priority="57">
      <formula>LEN(TRIM(EY5))=0</formula>
    </cfRule>
  </conditionalFormatting>
  <conditionalFormatting sqref="EZ5:FI146">
    <cfRule type="cellIs" dxfId="5" priority="54" operator="equal">
      <formula>0</formula>
    </cfRule>
    <cfRule type="containsBlanks" dxfId="4" priority="55">
      <formula>LEN(TRIM(EZ5))=0</formula>
    </cfRule>
  </conditionalFormatting>
  <conditionalFormatting sqref="W148:Y148">
    <cfRule type="containsBlanks" dxfId="3" priority="53">
      <formula>LEN(TRIM(W148))=0</formula>
    </cfRule>
  </conditionalFormatting>
  <pageMargins left="0.7" right="0.7" top="0.75" bottom="0.75" header="0.3" footer="0.3"/>
  <pageSetup paperSize="9" scale="1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FE87A-525B-4931-BBD8-C8384525E604}">
  <sheetPr codeName="Sheet10"/>
  <dimension ref="A1:C7806"/>
  <sheetViews>
    <sheetView workbookViewId="0">
      <selection activeCell="H23" sqref="H23"/>
    </sheetView>
  </sheetViews>
  <sheetFormatPr defaultRowHeight="14.5" x14ac:dyDescent="0.35"/>
  <cols>
    <col min="1" max="1" width="7.1796875" bestFit="1" customWidth="1"/>
    <col min="2" max="2" width="7.7265625" bestFit="1" customWidth="1"/>
    <col min="3" max="3" width="62.1796875" bestFit="1" customWidth="1"/>
  </cols>
  <sheetData>
    <row r="1" spans="1:3" x14ac:dyDescent="0.35">
      <c r="A1" t="s">
        <v>137</v>
      </c>
      <c r="B1" t="s">
        <v>138</v>
      </c>
      <c r="C1" t="s">
        <v>139</v>
      </c>
    </row>
    <row r="2" spans="1:3" x14ac:dyDescent="0.35">
      <c r="A2" t="s">
        <v>140</v>
      </c>
      <c r="B2" t="s">
        <v>141</v>
      </c>
      <c r="C2" t="s">
        <v>142</v>
      </c>
    </row>
    <row r="3" spans="1:3" x14ac:dyDescent="0.35">
      <c r="A3" t="s">
        <v>143</v>
      </c>
      <c r="B3" t="s">
        <v>144</v>
      </c>
      <c r="C3" t="s">
        <v>145</v>
      </c>
    </row>
    <row r="4" spans="1:3" x14ac:dyDescent="0.35">
      <c r="A4" t="s">
        <v>146</v>
      </c>
      <c r="B4" t="s">
        <v>147</v>
      </c>
      <c r="C4" t="s">
        <v>148</v>
      </c>
    </row>
    <row r="5" spans="1:3" x14ac:dyDescent="0.35">
      <c r="A5" t="s">
        <v>149</v>
      </c>
      <c r="B5" t="s">
        <v>150</v>
      </c>
      <c r="C5" t="s">
        <v>151</v>
      </c>
    </row>
    <row r="6" spans="1:3" x14ac:dyDescent="0.35">
      <c r="A6" t="s">
        <v>152</v>
      </c>
      <c r="B6" t="s">
        <v>153</v>
      </c>
      <c r="C6" t="s">
        <v>154</v>
      </c>
    </row>
    <row r="7" spans="1:3" x14ac:dyDescent="0.35">
      <c r="A7" t="s">
        <v>155</v>
      </c>
      <c r="B7" t="s">
        <v>156</v>
      </c>
      <c r="C7" t="s">
        <v>157</v>
      </c>
    </row>
    <row r="8" spans="1:3" x14ac:dyDescent="0.35">
      <c r="A8" t="s">
        <v>158</v>
      </c>
      <c r="B8" t="s">
        <v>159</v>
      </c>
      <c r="C8" t="s">
        <v>160</v>
      </c>
    </row>
    <row r="9" spans="1:3" x14ac:dyDescent="0.35">
      <c r="A9" t="s">
        <v>161</v>
      </c>
      <c r="B9" t="s">
        <v>162</v>
      </c>
      <c r="C9" t="s">
        <v>163</v>
      </c>
    </row>
    <row r="10" spans="1:3" x14ac:dyDescent="0.35">
      <c r="A10" t="s">
        <v>164</v>
      </c>
      <c r="B10" t="s">
        <v>165</v>
      </c>
      <c r="C10" t="s">
        <v>166</v>
      </c>
    </row>
    <row r="11" spans="1:3" x14ac:dyDescent="0.35">
      <c r="A11" t="s">
        <v>167</v>
      </c>
      <c r="B11" t="s">
        <v>168</v>
      </c>
      <c r="C11" t="s">
        <v>169</v>
      </c>
    </row>
    <row r="12" spans="1:3" x14ac:dyDescent="0.35">
      <c r="A12" t="s">
        <v>170</v>
      </c>
      <c r="B12" t="s">
        <v>171</v>
      </c>
      <c r="C12" t="s">
        <v>172</v>
      </c>
    </row>
    <row r="13" spans="1:3" x14ac:dyDescent="0.35">
      <c r="A13" t="s">
        <v>173</v>
      </c>
      <c r="B13" t="s">
        <v>174</v>
      </c>
      <c r="C13" t="s">
        <v>175</v>
      </c>
    </row>
    <row r="14" spans="1:3" x14ac:dyDescent="0.35">
      <c r="A14" t="s">
        <v>176</v>
      </c>
      <c r="B14" t="s">
        <v>177</v>
      </c>
      <c r="C14" t="s">
        <v>178</v>
      </c>
    </row>
    <row r="15" spans="1:3" x14ac:dyDescent="0.35">
      <c r="A15" t="s">
        <v>179</v>
      </c>
      <c r="B15" t="s">
        <v>180</v>
      </c>
      <c r="C15" t="s">
        <v>181</v>
      </c>
    </row>
    <row r="16" spans="1:3" x14ac:dyDescent="0.35">
      <c r="A16" t="s">
        <v>182</v>
      </c>
      <c r="B16" t="s">
        <v>183</v>
      </c>
      <c r="C16" t="s">
        <v>184</v>
      </c>
    </row>
    <row r="17" spans="1:3" x14ac:dyDescent="0.35">
      <c r="A17" t="s">
        <v>185</v>
      </c>
      <c r="B17" t="s">
        <v>186</v>
      </c>
      <c r="C17" t="s">
        <v>187</v>
      </c>
    </row>
    <row r="18" spans="1:3" x14ac:dyDescent="0.35">
      <c r="A18" t="s">
        <v>188</v>
      </c>
      <c r="B18" t="s">
        <v>189</v>
      </c>
      <c r="C18" t="s">
        <v>190</v>
      </c>
    </row>
    <row r="19" spans="1:3" x14ac:dyDescent="0.35">
      <c r="A19" t="s">
        <v>191</v>
      </c>
      <c r="B19" t="s">
        <v>192</v>
      </c>
      <c r="C19" t="s">
        <v>193</v>
      </c>
    </row>
    <row r="20" spans="1:3" x14ac:dyDescent="0.35">
      <c r="A20" t="s">
        <v>194</v>
      </c>
      <c r="B20" t="s">
        <v>195</v>
      </c>
      <c r="C20" t="s">
        <v>196</v>
      </c>
    </row>
    <row r="21" spans="1:3" x14ac:dyDescent="0.35">
      <c r="A21" t="s">
        <v>197</v>
      </c>
      <c r="B21" t="s">
        <v>198</v>
      </c>
      <c r="C21" t="s">
        <v>199</v>
      </c>
    </row>
    <row r="22" spans="1:3" x14ac:dyDescent="0.35">
      <c r="A22" t="s">
        <v>200</v>
      </c>
      <c r="B22" t="s">
        <v>201</v>
      </c>
      <c r="C22" t="s">
        <v>202</v>
      </c>
    </row>
    <row r="23" spans="1:3" x14ac:dyDescent="0.35">
      <c r="A23" t="s">
        <v>203</v>
      </c>
      <c r="B23" t="s">
        <v>204</v>
      </c>
      <c r="C23" t="s">
        <v>205</v>
      </c>
    </row>
    <row r="24" spans="1:3" x14ac:dyDescent="0.35">
      <c r="A24" t="s">
        <v>206</v>
      </c>
      <c r="B24" t="s">
        <v>207</v>
      </c>
      <c r="C24" t="s">
        <v>208</v>
      </c>
    </row>
    <row r="25" spans="1:3" x14ac:dyDescent="0.35">
      <c r="A25" t="s">
        <v>209</v>
      </c>
      <c r="B25" t="s">
        <v>210</v>
      </c>
      <c r="C25" t="s">
        <v>211</v>
      </c>
    </row>
    <row r="26" spans="1:3" x14ac:dyDescent="0.35">
      <c r="A26" t="s">
        <v>212</v>
      </c>
      <c r="B26" t="s">
        <v>213</v>
      </c>
      <c r="C26" t="s">
        <v>214</v>
      </c>
    </row>
    <row r="27" spans="1:3" x14ac:dyDescent="0.35">
      <c r="A27" t="s">
        <v>212</v>
      </c>
      <c r="B27" t="s">
        <v>215</v>
      </c>
      <c r="C27" t="s">
        <v>216</v>
      </c>
    </row>
    <row r="28" spans="1:3" x14ac:dyDescent="0.35">
      <c r="A28" t="s">
        <v>217</v>
      </c>
      <c r="B28" t="s">
        <v>218</v>
      </c>
      <c r="C28" t="s">
        <v>219</v>
      </c>
    </row>
    <row r="29" spans="1:3" x14ac:dyDescent="0.35">
      <c r="A29" t="s">
        <v>220</v>
      </c>
      <c r="B29" t="s">
        <v>221</v>
      </c>
      <c r="C29" t="s">
        <v>222</v>
      </c>
    </row>
    <row r="30" spans="1:3" x14ac:dyDescent="0.35">
      <c r="A30" t="s">
        <v>223</v>
      </c>
      <c r="B30" t="s">
        <v>224</v>
      </c>
      <c r="C30" t="s">
        <v>225</v>
      </c>
    </row>
    <row r="31" spans="1:3" x14ac:dyDescent="0.35">
      <c r="A31" t="s">
        <v>226</v>
      </c>
      <c r="B31" t="s">
        <v>227</v>
      </c>
      <c r="C31" t="s">
        <v>228</v>
      </c>
    </row>
    <row r="32" spans="1:3" x14ac:dyDescent="0.35">
      <c r="A32" t="s">
        <v>229</v>
      </c>
      <c r="B32" t="s">
        <v>230</v>
      </c>
      <c r="C32" t="s">
        <v>231</v>
      </c>
    </row>
    <row r="33" spans="1:3" x14ac:dyDescent="0.35">
      <c r="A33" t="s">
        <v>232</v>
      </c>
      <c r="B33" t="s">
        <v>233</v>
      </c>
      <c r="C33" t="s">
        <v>234</v>
      </c>
    </row>
    <row r="34" spans="1:3" x14ac:dyDescent="0.35">
      <c r="A34" t="s">
        <v>235</v>
      </c>
      <c r="B34" t="s">
        <v>236</v>
      </c>
      <c r="C34" t="s">
        <v>237</v>
      </c>
    </row>
    <row r="35" spans="1:3" x14ac:dyDescent="0.35">
      <c r="A35" t="s">
        <v>238</v>
      </c>
      <c r="B35" t="s">
        <v>239</v>
      </c>
      <c r="C35" t="s">
        <v>240</v>
      </c>
    </row>
    <row r="36" spans="1:3" x14ac:dyDescent="0.35">
      <c r="A36" t="s">
        <v>241</v>
      </c>
      <c r="B36" t="s">
        <v>242</v>
      </c>
      <c r="C36" t="s">
        <v>243</v>
      </c>
    </row>
    <row r="37" spans="1:3" x14ac:dyDescent="0.35">
      <c r="A37" t="s">
        <v>244</v>
      </c>
      <c r="B37" t="s">
        <v>245</v>
      </c>
      <c r="C37" t="s">
        <v>246</v>
      </c>
    </row>
    <row r="38" spans="1:3" x14ac:dyDescent="0.35">
      <c r="A38" t="s">
        <v>247</v>
      </c>
      <c r="B38" t="s">
        <v>248</v>
      </c>
      <c r="C38" t="s">
        <v>249</v>
      </c>
    </row>
    <row r="39" spans="1:3" x14ac:dyDescent="0.35">
      <c r="A39" t="s">
        <v>250</v>
      </c>
      <c r="B39" t="s">
        <v>251</v>
      </c>
      <c r="C39" t="s">
        <v>252</v>
      </c>
    </row>
    <row r="40" spans="1:3" x14ac:dyDescent="0.35">
      <c r="A40" t="s">
        <v>253</v>
      </c>
      <c r="B40" t="s">
        <v>254</v>
      </c>
      <c r="C40" t="s">
        <v>255</v>
      </c>
    </row>
    <row r="41" spans="1:3" x14ac:dyDescent="0.35">
      <c r="A41" t="s">
        <v>256</v>
      </c>
      <c r="B41" t="s">
        <v>257</v>
      </c>
      <c r="C41" t="s">
        <v>258</v>
      </c>
    </row>
    <row r="42" spans="1:3" x14ac:dyDescent="0.35">
      <c r="A42" t="s">
        <v>259</v>
      </c>
      <c r="B42" t="s">
        <v>260</v>
      </c>
      <c r="C42" t="s">
        <v>261</v>
      </c>
    </row>
    <row r="43" spans="1:3" x14ac:dyDescent="0.35">
      <c r="A43" t="s">
        <v>262</v>
      </c>
      <c r="B43" t="s">
        <v>263</v>
      </c>
      <c r="C43" t="s">
        <v>264</v>
      </c>
    </row>
    <row r="44" spans="1:3" x14ac:dyDescent="0.35">
      <c r="A44" t="s">
        <v>265</v>
      </c>
      <c r="B44" t="s">
        <v>266</v>
      </c>
      <c r="C44" t="s">
        <v>267</v>
      </c>
    </row>
    <row r="45" spans="1:3" x14ac:dyDescent="0.35">
      <c r="A45" t="s">
        <v>268</v>
      </c>
      <c r="B45" t="s">
        <v>269</v>
      </c>
      <c r="C45" t="s">
        <v>270</v>
      </c>
    </row>
    <row r="46" spans="1:3" x14ac:dyDescent="0.35">
      <c r="A46" t="s">
        <v>271</v>
      </c>
      <c r="B46" t="s">
        <v>272</v>
      </c>
      <c r="C46" t="s">
        <v>273</v>
      </c>
    </row>
    <row r="47" spans="1:3" x14ac:dyDescent="0.35">
      <c r="A47" t="s">
        <v>274</v>
      </c>
      <c r="B47" t="s">
        <v>275</v>
      </c>
      <c r="C47" t="s">
        <v>276</v>
      </c>
    </row>
    <row r="48" spans="1:3" x14ac:dyDescent="0.35">
      <c r="A48" t="s">
        <v>277</v>
      </c>
      <c r="B48" t="s">
        <v>278</v>
      </c>
      <c r="C48" t="s">
        <v>279</v>
      </c>
    </row>
    <row r="49" spans="1:3" x14ac:dyDescent="0.35">
      <c r="A49" t="s">
        <v>280</v>
      </c>
      <c r="B49" t="s">
        <v>281</v>
      </c>
      <c r="C49" t="s">
        <v>282</v>
      </c>
    </row>
    <row r="50" spans="1:3" x14ac:dyDescent="0.35">
      <c r="A50" t="s">
        <v>283</v>
      </c>
      <c r="B50" t="s">
        <v>284</v>
      </c>
      <c r="C50" t="s">
        <v>285</v>
      </c>
    </row>
    <row r="51" spans="1:3" x14ac:dyDescent="0.35">
      <c r="A51" t="s">
        <v>286</v>
      </c>
      <c r="B51" t="s">
        <v>287</v>
      </c>
      <c r="C51" t="s">
        <v>288</v>
      </c>
    </row>
    <row r="52" spans="1:3" x14ac:dyDescent="0.35">
      <c r="A52" t="s">
        <v>289</v>
      </c>
      <c r="B52" t="s">
        <v>290</v>
      </c>
      <c r="C52" t="s">
        <v>291</v>
      </c>
    </row>
    <row r="53" spans="1:3" x14ac:dyDescent="0.35">
      <c r="A53" t="s">
        <v>292</v>
      </c>
      <c r="B53" t="s">
        <v>293</v>
      </c>
      <c r="C53" t="s">
        <v>294</v>
      </c>
    </row>
    <row r="54" spans="1:3" x14ac:dyDescent="0.35">
      <c r="A54" t="s">
        <v>295</v>
      </c>
      <c r="B54" t="s">
        <v>296</v>
      </c>
      <c r="C54" t="s">
        <v>297</v>
      </c>
    </row>
    <row r="55" spans="1:3" x14ac:dyDescent="0.35">
      <c r="A55" t="s">
        <v>298</v>
      </c>
      <c r="B55" t="s">
        <v>299</v>
      </c>
      <c r="C55" t="s">
        <v>300</v>
      </c>
    </row>
    <row r="56" spans="1:3" x14ac:dyDescent="0.35">
      <c r="A56" t="s">
        <v>301</v>
      </c>
      <c r="B56" t="s">
        <v>302</v>
      </c>
      <c r="C56" t="s">
        <v>303</v>
      </c>
    </row>
    <row r="57" spans="1:3" x14ac:dyDescent="0.35">
      <c r="A57" t="s">
        <v>304</v>
      </c>
      <c r="B57" t="s">
        <v>305</v>
      </c>
      <c r="C57" t="s">
        <v>306</v>
      </c>
    </row>
    <row r="58" spans="1:3" x14ac:dyDescent="0.35">
      <c r="A58" t="s">
        <v>307</v>
      </c>
      <c r="B58" t="s">
        <v>308</v>
      </c>
      <c r="C58" t="s">
        <v>309</v>
      </c>
    </row>
    <row r="59" spans="1:3" x14ac:dyDescent="0.35">
      <c r="A59" t="s">
        <v>310</v>
      </c>
      <c r="B59" t="s">
        <v>311</v>
      </c>
      <c r="C59" t="s">
        <v>312</v>
      </c>
    </row>
    <row r="60" spans="1:3" x14ac:dyDescent="0.35">
      <c r="A60" t="s">
        <v>313</v>
      </c>
      <c r="B60" t="s">
        <v>314</v>
      </c>
      <c r="C60" t="s">
        <v>315</v>
      </c>
    </row>
    <row r="61" spans="1:3" x14ac:dyDescent="0.35">
      <c r="A61" t="s">
        <v>316</v>
      </c>
      <c r="B61" t="s">
        <v>317</v>
      </c>
      <c r="C61" t="s">
        <v>318</v>
      </c>
    </row>
    <row r="62" spans="1:3" x14ac:dyDescent="0.35">
      <c r="A62" t="s">
        <v>319</v>
      </c>
      <c r="B62" t="s">
        <v>320</v>
      </c>
      <c r="C62" t="s">
        <v>321</v>
      </c>
    </row>
    <row r="63" spans="1:3" x14ac:dyDescent="0.35">
      <c r="A63" t="s">
        <v>322</v>
      </c>
      <c r="B63" t="s">
        <v>323</v>
      </c>
      <c r="C63" t="s">
        <v>324</v>
      </c>
    </row>
    <row r="64" spans="1:3" x14ac:dyDescent="0.35">
      <c r="A64" t="s">
        <v>80</v>
      </c>
      <c r="B64" t="s">
        <v>325</v>
      </c>
      <c r="C64" t="s">
        <v>326</v>
      </c>
    </row>
    <row r="65" spans="1:3" x14ac:dyDescent="0.35">
      <c r="A65" t="s">
        <v>327</v>
      </c>
      <c r="B65" t="s">
        <v>328</v>
      </c>
      <c r="C65" t="s">
        <v>329</v>
      </c>
    </row>
    <row r="66" spans="1:3" x14ac:dyDescent="0.35">
      <c r="A66" t="s">
        <v>330</v>
      </c>
      <c r="B66" t="s">
        <v>331</v>
      </c>
      <c r="C66" t="s">
        <v>332</v>
      </c>
    </row>
    <row r="67" spans="1:3" x14ac:dyDescent="0.35">
      <c r="A67" t="s">
        <v>333</v>
      </c>
      <c r="B67" t="s">
        <v>334</v>
      </c>
      <c r="C67" t="s">
        <v>335</v>
      </c>
    </row>
    <row r="68" spans="1:3" x14ac:dyDescent="0.35">
      <c r="A68" t="s">
        <v>336</v>
      </c>
      <c r="B68" t="s">
        <v>337</v>
      </c>
      <c r="C68" t="s">
        <v>338</v>
      </c>
    </row>
    <row r="69" spans="1:3" x14ac:dyDescent="0.35">
      <c r="A69" t="s">
        <v>339</v>
      </c>
      <c r="B69" t="s">
        <v>340</v>
      </c>
      <c r="C69" t="s">
        <v>341</v>
      </c>
    </row>
    <row r="70" spans="1:3" x14ac:dyDescent="0.35">
      <c r="A70" t="s">
        <v>342</v>
      </c>
      <c r="B70" t="s">
        <v>343</v>
      </c>
      <c r="C70" t="s">
        <v>344</v>
      </c>
    </row>
    <row r="71" spans="1:3" x14ac:dyDescent="0.35">
      <c r="A71" t="s">
        <v>345</v>
      </c>
      <c r="B71" t="s">
        <v>346</v>
      </c>
      <c r="C71" t="s">
        <v>347</v>
      </c>
    </row>
    <row r="72" spans="1:3" x14ac:dyDescent="0.35">
      <c r="A72" t="s">
        <v>348</v>
      </c>
      <c r="B72" t="s">
        <v>349</v>
      </c>
      <c r="C72" t="s">
        <v>350</v>
      </c>
    </row>
    <row r="73" spans="1:3" x14ac:dyDescent="0.35">
      <c r="A73" t="s">
        <v>351</v>
      </c>
      <c r="B73" t="s">
        <v>352</v>
      </c>
      <c r="C73" t="s">
        <v>353</v>
      </c>
    </row>
    <row r="74" spans="1:3" x14ac:dyDescent="0.35">
      <c r="A74" t="s">
        <v>354</v>
      </c>
      <c r="B74" t="s">
        <v>355</v>
      </c>
      <c r="C74" t="s">
        <v>356</v>
      </c>
    </row>
    <row r="75" spans="1:3" x14ac:dyDescent="0.35">
      <c r="A75" t="s">
        <v>354</v>
      </c>
      <c r="B75" t="s">
        <v>357</v>
      </c>
      <c r="C75" t="s">
        <v>356</v>
      </c>
    </row>
    <row r="76" spans="1:3" x14ac:dyDescent="0.35">
      <c r="A76" t="s">
        <v>358</v>
      </c>
      <c r="B76" t="s">
        <v>359</v>
      </c>
      <c r="C76" t="s">
        <v>360</v>
      </c>
    </row>
    <row r="77" spans="1:3" x14ac:dyDescent="0.35">
      <c r="A77" t="s">
        <v>361</v>
      </c>
      <c r="B77" t="s">
        <v>362</v>
      </c>
      <c r="C77" t="s">
        <v>363</v>
      </c>
    </row>
    <row r="78" spans="1:3" x14ac:dyDescent="0.35">
      <c r="A78" t="s">
        <v>364</v>
      </c>
      <c r="B78" t="s">
        <v>365</v>
      </c>
      <c r="C78" t="s">
        <v>366</v>
      </c>
    </row>
    <row r="79" spans="1:3" x14ac:dyDescent="0.35">
      <c r="A79" t="s">
        <v>367</v>
      </c>
      <c r="B79" t="s">
        <v>368</v>
      </c>
      <c r="C79" t="s">
        <v>369</v>
      </c>
    </row>
    <row r="80" spans="1:3" x14ac:dyDescent="0.35">
      <c r="A80" t="s">
        <v>370</v>
      </c>
      <c r="B80" t="s">
        <v>371</v>
      </c>
      <c r="C80" t="s">
        <v>372</v>
      </c>
    </row>
    <row r="81" spans="1:3" x14ac:dyDescent="0.35">
      <c r="A81" t="s">
        <v>373</v>
      </c>
      <c r="B81" t="s">
        <v>374</v>
      </c>
      <c r="C81" t="s">
        <v>375</v>
      </c>
    </row>
    <row r="82" spans="1:3" x14ac:dyDescent="0.35">
      <c r="A82" t="s">
        <v>376</v>
      </c>
      <c r="B82" t="s">
        <v>377</v>
      </c>
      <c r="C82" t="s">
        <v>378</v>
      </c>
    </row>
    <row r="83" spans="1:3" x14ac:dyDescent="0.35">
      <c r="A83" t="s">
        <v>379</v>
      </c>
      <c r="B83" t="s">
        <v>380</v>
      </c>
      <c r="C83" t="s">
        <v>381</v>
      </c>
    </row>
    <row r="84" spans="1:3" x14ac:dyDescent="0.35">
      <c r="A84" t="s">
        <v>382</v>
      </c>
      <c r="B84" t="s">
        <v>383</v>
      </c>
      <c r="C84" t="s">
        <v>384</v>
      </c>
    </row>
    <row r="85" spans="1:3" x14ac:dyDescent="0.35">
      <c r="A85" t="s">
        <v>385</v>
      </c>
      <c r="B85" t="s">
        <v>386</v>
      </c>
      <c r="C85" t="s">
        <v>387</v>
      </c>
    </row>
    <row r="86" spans="1:3" x14ac:dyDescent="0.35">
      <c r="A86" t="s">
        <v>388</v>
      </c>
      <c r="B86" t="s">
        <v>389</v>
      </c>
      <c r="C86" t="s">
        <v>390</v>
      </c>
    </row>
    <row r="87" spans="1:3" x14ac:dyDescent="0.35">
      <c r="A87" t="s">
        <v>391</v>
      </c>
      <c r="B87" t="s">
        <v>392</v>
      </c>
      <c r="C87" t="s">
        <v>393</v>
      </c>
    </row>
    <row r="88" spans="1:3" x14ac:dyDescent="0.35">
      <c r="A88" t="s">
        <v>394</v>
      </c>
      <c r="B88" t="s">
        <v>395</v>
      </c>
      <c r="C88" t="s">
        <v>396</v>
      </c>
    </row>
    <row r="89" spans="1:3" x14ac:dyDescent="0.35">
      <c r="A89" t="s">
        <v>397</v>
      </c>
      <c r="B89" t="s">
        <v>398</v>
      </c>
      <c r="C89" t="s">
        <v>399</v>
      </c>
    </row>
    <row r="90" spans="1:3" x14ac:dyDescent="0.35">
      <c r="A90" t="s">
        <v>400</v>
      </c>
      <c r="B90" t="s">
        <v>401</v>
      </c>
      <c r="C90" t="s">
        <v>402</v>
      </c>
    </row>
    <row r="91" spans="1:3" x14ac:dyDescent="0.35">
      <c r="A91" t="s">
        <v>403</v>
      </c>
      <c r="B91" t="s">
        <v>404</v>
      </c>
      <c r="C91" t="s">
        <v>405</v>
      </c>
    </row>
    <row r="92" spans="1:3" x14ac:dyDescent="0.35">
      <c r="A92" t="s">
        <v>406</v>
      </c>
      <c r="B92" t="s">
        <v>407</v>
      </c>
      <c r="C92" t="s">
        <v>408</v>
      </c>
    </row>
    <row r="93" spans="1:3" x14ac:dyDescent="0.35">
      <c r="A93" t="s">
        <v>409</v>
      </c>
      <c r="B93" t="s">
        <v>410</v>
      </c>
      <c r="C93" t="s">
        <v>411</v>
      </c>
    </row>
    <row r="94" spans="1:3" x14ac:dyDescent="0.35">
      <c r="A94" t="s">
        <v>412</v>
      </c>
      <c r="B94" t="s">
        <v>413</v>
      </c>
      <c r="C94" t="s">
        <v>414</v>
      </c>
    </row>
    <row r="95" spans="1:3" x14ac:dyDescent="0.35">
      <c r="A95" t="s">
        <v>415</v>
      </c>
      <c r="B95" t="s">
        <v>416</v>
      </c>
      <c r="C95" t="s">
        <v>417</v>
      </c>
    </row>
    <row r="96" spans="1:3" x14ac:dyDescent="0.35">
      <c r="A96" t="s">
        <v>418</v>
      </c>
      <c r="B96" t="s">
        <v>419</v>
      </c>
      <c r="C96" t="s">
        <v>420</v>
      </c>
    </row>
    <row r="97" spans="1:3" x14ac:dyDescent="0.35">
      <c r="A97" t="s">
        <v>421</v>
      </c>
      <c r="B97" t="s">
        <v>422</v>
      </c>
      <c r="C97" t="s">
        <v>423</v>
      </c>
    </row>
    <row r="98" spans="1:3" x14ac:dyDescent="0.35">
      <c r="A98" t="s">
        <v>424</v>
      </c>
      <c r="B98" t="s">
        <v>425</v>
      </c>
      <c r="C98" t="s">
        <v>426</v>
      </c>
    </row>
    <row r="99" spans="1:3" x14ac:dyDescent="0.35">
      <c r="A99" t="s">
        <v>427</v>
      </c>
      <c r="B99" t="s">
        <v>428</v>
      </c>
      <c r="C99" t="s">
        <v>429</v>
      </c>
    </row>
    <row r="100" spans="1:3" x14ac:dyDescent="0.35">
      <c r="A100" t="s">
        <v>430</v>
      </c>
      <c r="B100" t="s">
        <v>431</v>
      </c>
      <c r="C100" t="s">
        <v>432</v>
      </c>
    </row>
    <row r="101" spans="1:3" x14ac:dyDescent="0.35">
      <c r="A101" t="s">
        <v>433</v>
      </c>
      <c r="B101" t="s">
        <v>434</v>
      </c>
      <c r="C101" t="s">
        <v>435</v>
      </c>
    </row>
    <row r="102" spans="1:3" x14ac:dyDescent="0.35">
      <c r="A102" t="s">
        <v>436</v>
      </c>
      <c r="B102" t="s">
        <v>437</v>
      </c>
      <c r="C102" t="s">
        <v>438</v>
      </c>
    </row>
    <row r="103" spans="1:3" x14ac:dyDescent="0.35">
      <c r="A103" t="s">
        <v>439</v>
      </c>
      <c r="B103" t="s">
        <v>440</v>
      </c>
      <c r="C103" t="s">
        <v>441</v>
      </c>
    </row>
    <row r="104" spans="1:3" x14ac:dyDescent="0.35">
      <c r="A104" t="s">
        <v>442</v>
      </c>
      <c r="B104" t="s">
        <v>443</v>
      </c>
      <c r="C104" t="s">
        <v>444</v>
      </c>
    </row>
    <row r="105" spans="1:3" x14ac:dyDescent="0.35">
      <c r="A105" t="s">
        <v>445</v>
      </c>
      <c r="B105" t="s">
        <v>446</v>
      </c>
      <c r="C105" t="s">
        <v>447</v>
      </c>
    </row>
    <row r="106" spans="1:3" x14ac:dyDescent="0.35">
      <c r="A106" t="s">
        <v>448</v>
      </c>
      <c r="B106" t="s">
        <v>449</v>
      </c>
      <c r="C106" t="s">
        <v>450</v>
      </c>
    </row>
    <row r="107" spans="1:3" x14ac:dyDescent="0.35">
      <c r="A107" t="s">
        <v>451</v>
      </c>
      <c r="B107" t="s">
        <v>452</v>
      </c>
      <c r="C107" t="s">
        <v>453</v>
      </c>
    </row>
    <row r="108" spans="1:3" x14ac:dyDescent="0.35">
      <c r="A108" t="s">
        <v>454</v>
      </c>
      <c r="B108" t="s">
        <v>455</v>
      </c>
      <c r="C108" t="s">
        <v>456</v>
      </c>
    </row>
    <row r="109" spans="1:3" x14ac:dyDescent="0.35">
      <c r="A109" t="s">
        <v>457</v>
      </c>
      <c r="B109" t="s">
        <v>458</v>
      </c>
      <c r="C109" t="s">
        <v>459</v>
      </c>
    </row>
    <row r="110" spans="1:3" x14ac:dyDescent="0.35">
      <c r="A110" t="s">
        <v>460</v>
      </c>
      <c r="B110" t="s">
        <v>461</v>
      </c>
      <c r="C110" t="s">
        <v>462</v>
      </c>
    </row>
    <row r="111" spans="1:3" x14ac:dyDescent="0.35">
      <c r="A111" t="s">
        <v>463</v>
      </c>
      <c r="B111" t="s">
        <v>464</v>
      </c>
      <c r="C111" t="s">
        <v>465</v>
      </c>
    </row>
    <row r="112" spans="1:3" x14ac:dyDescent="0.35">
      <c r="A112" t="s">
        <v>466</v>
      </c>
      <c r="B112" t="s">
        <v>467</v>
      </c>
      <c r="C112" t="s">
        <v>468</v>
      </c>
    </row>
    <row r="113" spans="1:3" x14ac:dyDescent="0.35">
      <c r="A113" t="s">
        <v>469</v>
      </c>
      <c r="B113" t="s">
        <v>470</v>
      </c>
      <c r="C113" t="s">
        <v>471</v>
      </c>
    </row>
    <row r="114" spans="1:3" x14ac:dyDescent="0.35">
      <c r="A114" t="s">
        <v>472</v>
      </c>
      <c r="B114" t="s">
        <v>473</v>
      </c>
      <c r="C114" t="s">
        <v>474</v>
      </c>
    </row>
    <row r="115" spans="1:3" x14ac:dyDescent="0.35">
      <c r="A115" t="s">
        <v>475</v>
      </c>
      <c r="B115" t="s">
        <v>476</v>
      </c>
      <c r="C115" t="s">
        <v>477</v>
      </c>
    </row>
    <row r="116" spans="1:3" x14ac:dyDescent="0.35">
      <c r="A116" t="s">
        <v>478</v>
      </c>
      <c r="B116" t="s">
        <v>479</v>
      </c>
      <c r="C116" t="s">
        <v>480</v>
      </c>
    </row>
    <row r="117" spans="1:3" x14ac:dyDescent="0.35">
      <c r="A117" t="s">
        <v>481</v>
      </c>
      <c r="B117" t="s">
        <v>482</v>
      </c>
      <c r="C117" t="s">
        <v>483</v>
      </c>
    </row>
    <row r="118" spans="1:3" x14ac:dyDescent="0.35">
      <c r="A118" t="s">
        <v>60</v>
      </c>
      <c r="B118" t="s">
        <v>484</v>
      </c>
      <c r="C118" t="s">
        <v>485</v>
      </c>
    </row>
    <row r="119" spans="1:3" x14ac:dyDescent="0.35">
      <c r="A119" t="s">
        <v>486</v>
      </c>
      <c r="B119" t="s">
        <v>487</v>
      </c>
      <c r="C119" t="s">
        <v>488</v>
      </c>
    </row>
    <row r="120" spans="1:3" x14ac:dyDescent="0.35">
      <c r="A120" t="s">
        <v>489</v>
      </c>
      <c r="B120" t="s">
        <v>490</v>
      </c>
      <c r="C120" t="s">
        <v>491</v>
      </c>
    </row>
    <row r="121" spans="1:3" x14ac:dyDescent="0.35">
      <c r="A121" t="s">
        <v>492</v>
      </c>
      <c r="B121" t="s">
        <v>493</v>
      </c>
      <c r="C121" t="s">
        <v>494</v>
      </c>
    </row>
    <row r="122" spans="1:3" x14ac:dyDescent="0.35">
      <c r="A122" t="s">
        <v>495</v>
      </c>
      <c r="B122" t="s">
        <v>496</v>
      </c>
      <c r="C122" t="s">
        <v>497</v>
      </c>
    </row>
    <row r="123" spans="1:3" x14ac:dyDescent="0.35">
      <c r="A123" t="s">
        <v>498</v>
      </c>
      <c r="B123" t="s">
        <v>499</v>
      </c>
      <c r="C123" t="s">
        <v>500</v>
      </c>
    </row>
    <row r="124" spans="1:3" x14ac:dyDescent="0.35">
      <c r="A124" t="s">
        <v>501</v>
      </c>
      <c r="B124" t="s">
        <v>502</v>
      </c>
      <c r="C124" t="s">
        <v>503</v>
      </c>
    </row>
    <row r="125" spans="1:3" x14ac:dyDescent="0.35">
      <c r="A125" t="s">
        <v>504</v>
      </c>
      <c r="B125" t="s">
        <v>505</v>
      </c>
      <c r="C125" t="s">
        <v>506</v>
      </c>
    </row>
    <row r="126" spans="1:3" x14ac:dyDescent="0.35">
      <c r="A126" t="s">
        <v>507</v>
      </c>
      <c r="B126" t="s">
        <v>508</v>
      </c>
      <c r="C126" t="s">
        <v>509</v>
      </c>
    </row>
    <row r="127" spans="1:3" x14ac:dyDescent="0.35">
      <c r="A127" t="s">
        <v>510</v>
      </c>
      <c r="B127" t="s">
        <v>511</v>
      </c>
      <c r="C127" t="s">
        <v>512</v>
      </c>
    </row>
    <row r="128" spans="1:3" x14ac:dyDescent="0.35">
      <c r="A128" t="s">
        <v>513</v>
      </c>
      <c r="B128" t="s">
        <v>514</v>
      </c>
      <c r="C128" t="s">
        <v>515</v>
      </c>
    </row>
    <row r="129" spans="1:3" x14ac:dyDescent="0.35">
      <c r="A129" t="s">
        <v>516</v>
      </c>
      <c r="B129" t="s">
        <v>517</v>
      </c>
      <c r="C129" t="s">
        <v>518</v>
      </c>
    </row>
    <row r="130" spans="1:3" x14ac:dyDescent="0.35">
      <c r="A130" t="s">
        <v>519</v>
      </c>
      <c r="B130" t="s">
        <v>520</v>
      </c>
      <c r="C130" t="s">
        <v>521</v>
      </c>
    </row>
    <row r="131" spans="1:3" x14ac:dyDescent="0.35">
      <c r="A131" t="s">
        <v>522</v>
      </c>
      <c r="B131" t="s">
        <v>523</v>
      </c>
      <c r="C131" t="s">
        <v>524</v>
      </c>
    </row>
    <row r="132" spans="1:3" x14ac:dyDescent="0.35">
      <c r="A132" t="s">
        <v>525</v>
      </c>
      <c r="B132" t="s">
        <v>526</v>
      </c>
      <c r="C132" t="s">
        <v>527</v>
      </c>
    </row>
    <row r="133" spans="1:3" x14ac:dyDescent="0.35">
      <c r="A133" t="s">
        <v>528</v>
      </c>
      <c r="B133" t="s">
        <v>529</v>
      </c>
      <c r="C133" t="s">
        <v>530</v>
      </c>
    </row>
    <row r="134" spans="1:3" x14ac:dyDescent="0.35">
      <c r="A134" t="s">
        <v>531</v>
      </c>
      <c r="B134" t="s">
        <v>532</v>
      </c>
      <c r="C134" t="s">
        <v>533</v>
      </c>
    </row>
    <row r="135" spans="1:3" x14ac:dyDescent="0.35">
      <c r="A135" t="s">
        <v>534</v>
      </c>
      <c r="B135" t="s">
        <v>535</v>
      </c>
      <c r="C135" t="s">
        <v>536</v>
      </c>
    </row>
    <row r="136" spans="1:3" x14ac:dyDescent="0.35">
      <c r="A136" t="s">
        <v>537</v>
      </c>
      <c r="B136" t="s">
        <v>538</v>
      </c>
      <c r="C136" t="s">
        <v>539</v>
      </c>
    </row>
    <row r="137" spans="1:3" x14ac:dyDescent="0.35">
      <c r="A137" t="s">
        <v>540</v>
      </c>
      <c r="B137" t="s">
        <v>541</v>
      </c>
      <c r="C137" t="s">
        <v>542</v>
      </c>
    </row>
    <row r="138" spans="1:3" x14ac:dyDescent="0.35">
      <c r="A138" t="s">
        <v>543</v>
      </c>
      <c r="B138" t="s">
        <v>544</v>
      </c>
      <c r="C138" t="s">
        <v>545</v>
      </c>
    </row>
    <row r="139" spans="1:3" x14ac:dyDescent="0.35">
      <c r="A139" t="s">
        <v>546</v>
      </c>
      <c r="B139" t="s">
        <v>547</v>
      </c>
      <c r="C139" t="s">
        <v>548</v>
      </c>
    </row>
    <row r="140" spans="1:3" x14ac:dyDescent="0.35">
      <c r="A140" t="s">
        <v>549</v>
      </c>
      <c r="B140" t="s">
        <v>550</v>
      </c>
      <c r="C140" t="s">
        <v>551</v>
      </c>
    </row>
    <row r="141" spans="1:3" x14ac:dyDescent="0.35">
      <c r="A141" t="s">
        <v>552</v>
      </c>
      <c r="B141" t="s">
        <v>553</v>
      </c>
      <c r="C141" t="s">
        <v>554</v>
      </c>
    </row>
    <row r="142" spans="1:3" x14ac:dyDescent="0.35">
      <c r="A142" t="s">
        <v>555</v>
      </c>
      <c r="B142" t="s">
        <v>556</v>
      </c>
      <c r="C142" t="s">
        <v>557</v>
      </c>
    </row>
    <row r="143" spans="1:3" x14ac:dyDescent="0.35">
      <c r="A143" t="s">
        <v>558</v>
      </c>
      <c r="B143" t="s">
        <v>559</v>
      </c>
      <c r="C143" t="s">
        <v>560</v>
      </c>
    </row>
    <row r="144" spans="1:3" x14ac:dyDescent="0.35">
      <c r="A144" t="s">
        <v>561</v>
      </c>
      <c r="B144" t="s">
        <v>562</v>
      </c>
      <c r="C144" t="s">
        <v>563</v>
      </c>
    </row>
    <row r="145" spans="1:3" x14ac:dyDescent="0.35">
      <c r="A145" t="s">
        <v>564</v>
      </c>
      <c r="B145" t="s">
        <v>565</v>
      </c>
      <c r="C145" t="s">
        <v>566</v>
      </c>
    </row>
    <row r="146" spans="1:3" x14ac:dyDescent="0.35">
      <c r="A146" t="s">
        <v>567</v>
      </c>
      <c r="B146" t="s">
        <v>568</v>
      </c>
      <c r="C146" t="s">
        <v>569</v>
      </c>
    </row>
    <row r="147" spans="1:3" x14ac:dyDescent="0.35">
      <c r="A147" t="s">
        <v>570</v>
      </c>
      <c r="B147" t="s">
        <v>571</v>
      </c>
      <c r="C147" t="s">
        <v>572</v>
      </c>
    </row>
    <row r="148" spans="1:3" x14ac:dyDescent="0.35">
      <c r="A148" t="s">
        <v>573</v>
      </c>
      <c r="B148" t="s">
        <v>574</v>
      </c>
      <c r="C148" t="s">
        <v>575</v>
      </c>
    </row>
    <row r="149" spans="1:3" x14ac:dyDescent="0.35">
      <c r="A149" t="s">
        <v>576</v>
      </c>
      <c r="B149" t="s">
        <v>577</v>
      </c>
      <c r="C149" t="s">
        <v>578</v>
      </c>
    </row>
    <row r="150" spans="1:3" x14ac:dyDescent="0.35">
      <c r="A150" t="s">
        <v>579</v>
      </c>
      <c r="B150" t="s">
        <v>580</v>
      </c>
      <c r="C150" t="s">
        <v>581</v>
      </c>
    </row>
    <row r="151" spans="1:3" x14ac:dyDescent="0.35">
      <c r="A151" t="s">
        <v>582</v>
      </c>
      <c r="B151" t="s">
        <v>583</v>
      </c>
      <c r="C151" t="s">
        <v>584</v>
      </c>
    </row>
    <row r="152" spans="1:3" x14ac:dyDescent="0.35">
      <c r="A152" t="s">
        <v>585</v>
      </c>
      <c r="B152" t="s">
        <v>586</v>
      </c>
      <c r="C152" t="s">
        <v>587</v>
      </c>
    </row>
    <row r="153" spans="1:3" x14ac:dyDescent="0.35">
      <c r="A153" t="s">
        <v>588</v>
      </c>
      <c r="B153" t="s">
        <v>589</v>
      </c>
      <c r="C153" t="s">
        <v>590</v>
      </c>
    </row>
    <row r="154" spans="1:3" x14ac:dyDescent="0.35">
      <c r="A154" t="s">
        <v>591</v>
      </c>
      <c r="B154" t="s">
        <v>592</v>
      </c>
      <c r="C154" t="s">
        <v>593</v>
      </c>
    </row>
    <row r="155" spans="1:3" x14ac:dyDescent="0.35">
      <c r="A155" t="s">
        <v>594</v>
      </c>
      <c r="B155" t="s">
        <v>595</v>
      </c>
      <c r="C155" t="s">
        <v>596</v>
      </c>
    </row>
    <row r="156" spans="1:3" x14ac:dyDescent="0.35">
      <c r="A156" t="s">
        <v>597</v>
      </c>
      <c r="B156" t="s">
        <v>598</v>
      </c>
      <c r="C156" t="s">
        <v>599</v>
      </c>
    </row>
    <row r="157" spans="1:3" x14ac:dyDescent="0.35">
      <c r="A157" t="s">
        <v>600</v>
      </c>
      <c r="B157" t="s">
        <v>601</v>
      </c>
      <c r="C157" t="s">
        <v>602</v>
      </c>
    </row>
    <row r="158" spans="1:3" x14ac:dyDescent="0.35">
      <c r="A158" t="s">
        <v>603</v>
      </c>
      <c r="B158" t="s">
        <v>604</v>
      </c>
      <c r="C158" t="s">
        <v>605</v>
      </c>
    </row>
    <row r="159" spans="1:3" x14ac:dyDescent="0.35">
      <c r="A159" t="s">
        <v>606</v>
      </c>
      <c r="B159" t="s">
        <v>607</v>
      </c>
      <c r="C159" t="s">
        <v>608</v>
      </c>
    </row>
    <row r="160" spans="1:3" x14ac:dyDescent="0.35">
      <c r="A160" t="s">
        <v>609</v>
      </c>
      <c r="B160" t="s">
        <v>610</v>
      </c>
      <c r="C160" t="s">
        <v>611</v>
      </c>
    </row>
    <row r="161" spans="1:3" x14ac:dyDescent="0.35">
      <c r="A161" t="s">
        <v>609</v>
      </c>
      <c r="B161" t="s">
        <v>612</v>
      </c>
      <c r="C161" t="s">
        <v>611</v>
      </c>
    </row>
    <row r="162" spans="1:3" x14ac:dyDescent="0.35">
      <c r="A162" t="s">
        <v>613</v>
      </c>
      <c r="B162" t="s">
        <v>614</v>
      </c>
      <c r="C162" t="s">
        <v>615</v>
      </c>
    </row>
    <row r="163" spans="1:3" x14ac:dyDescent="0.35">
      <c r="A163" t="s">
        <v>616</v>
      </c>
      <c r="B163" t="s">
        <v>617</v>
      </c>
      <c r="C163" t="s">
        <v>618</v>
      </c>
    </row>
    <row r="164" spans="1:3" x14ac:dyDescent="0.35">
      <c r="A164" t="s">
        <v>619</v>
      </c>
      <c r="B164" t="s">
        <v>620</v>
      </c>
      <c r="C164" t="s">
        <v>621</v>
      </c>
    </row>
    <row r="165" spans="1:3" x14ac:dyDescent="0.35">
      <c r="A165" t="s">
        <v>622</v>
      </c>
      <c r="B165" t="s">
        <v>623</v>
      </c>
      <c r="C165" t="s">
        <v>624</v>
      </c>
    </row>
    <row r="166" spans="1:3" x14ac:dyDescent="0.35">
      <c r="A166" t="s">
        <v>625</v>
      </c>
      <c r="B166" t="s">
        <v>626</v>
      </c>
      <c r="C166" t="s">
        <v>627</v>
      </c>
    </row>
    <row r="167" spans="1:3" x14ac:dyDescent="0.35">
      <c r="A167" t="s">
        <v>628</v>
      </c>
      <c r="B167" t="s">
        <v>629</v>
      </c>
      <c r="C167" t="s">
        <v>630</v>
      </c>
    </row>
    <row r="168" spans="1:3" x14ac:dyDescent="0.35">
      <c r="A168" t="s">
        <v>631</v>
      </c>
      <c r="B168" t="s">
        <v>632</v>
      </c>
      <c r="C168" t="s">
        <v>633</v>
      </c>
    </row>
    <row r="169" spans="1:3" x14ac:dyDescent="0.35">
      <c r="A169" t="s">
        <v>634</v>
      </c>
      <c r="B169" t="s">
        <v>635</v>
      </c>
      <c r="C169" t="s">
        <v>636</v>
      </c>
    </row>
    <row r="170" spans="1:3" x14ac:dyDescent="0.35">
      <c r="A170" t="s">
        <v>637</v>
      </c>
      <c r="B170" t="s">
        <v>638</v>
      </c>
      <c r="C170" t="s">
        <v>639</v>
      </c>
    </row>
    <row r="171" spans="1:3" x14ac:dyDescent="0.35">
      <c r="A171" t="s">
        <v>640</v>
      </c>
      <c r="B171" t="s">
        <v>641</v>
      </c>
      <c r="C171" t="s">
        <v>642</v>
      </c>
    </row>
    <row r="172" spans="1:3" x14ac:dyDescent="0.35">
      <c r="A172" t="s">
        <v>643</v>
      </c>
      <c r="B172" t="s">
        <v>644</v>
      </c>
      <c r="C172" t="s">
        <v>645</v>
      </c>
    </row>
    <row r="173" spans="1:3" x14ac:dyDescent="0.35">
      <c r="A173" t="s">
        <v>646</v>
      </c>
      <c r="B173" t="s">
        <v>647</v>
      </c>
      <c r="C173" t="s">
        <v>648</v>
      </c>
    </row>
    <row r="174" spans="1:3" x14ac:dyDescent="0.35">
      <c r="A174" t="s">
        <v>649</v>
      </c>
      <c r="B174" t="s">
        <v>650</v>
      </c>
      <c r="C174" t="s">
        <v>651</v>
      </c>
    </row>
    <row r="175" spans="1:3" x14ac:dyDescent="0.35">
      <c r="A175" t="s">
        <v>652</v>
      </c>
      <c r="B175" t="s">
        <v>653</v>
      </c>
      <c r="C175" t="s">
        <v>654</v>
      </c>
    </row>
    <row r="176" spans="1:3" x14ac:dyDescent="0.35">
      <c r="A176" t="s">
        <v>652</v>
      </c>
      <c r="B176" t="s">
        <v>655</v>
      </c>
      <c r="C176" t="s">
        <v>656</v>
      </c>
    </row>
    <row r="177" spans="1:3" x14ac:dyDescent="0.35">
      <c r="A177" t="s">
        <v>657</v>
      </c>
      <c r="B177" t="s">
        <v>658</v>
      </c>
      <c r="C177" t="s">
        <v>659</v>
      </c>
    </row>
    <row r="178" spans="1:3" x14ac:dyDescent="0.35">
      <c r="A178" t="s">
        <v>660</v>
      </c>
      <c r="B178" t="s">
        <v>661</v>
      </c>
      <c r="C178" t="s">
        <v>662</v>
      </c>
    </row>
    <row r="179" spans="1:3" x14ac:dyDescent="0.35">
      <c r="A179" t="s">
        <v>663</v>
      </c>
      <c r="B179" t="s">
        <v>664</v>
      </c>
      <c r="C179" t="s">
        <v>665</v>
      </c>
    </row>
    <row r="180" spans="1:3" x14ac:dyDescent="0.35">
      <c r="A180" t="s">
        <v>666</v>
      </c>
      <c r="B180" t="s">
        <v>667</v>
      </c>
      <c r="C180" t="s">
        <v>668</v>
      </c>
    </row>
    <row r="181" spans="1:3" x14ac:dyDescent="0.35">
      <c r="A181" t="s">
        <v>669</v>
      </c>
      <c r="B181" t="s">
        <v>670</v>
      </c>
      <c r="C181" t="s">
        <v>671</v>
      </c>
    </row>
    <row r="182" spans="1:3" x14ac:dyDescent="0.35">
      <c r="A182" t="s">
        <v>672</v>
      </c>
      <c r="B182" t="s">
        <v>673</v>
      </c>
      <c r="C182" t="s">
        <v>674</v>
      </c>
    </row>
    <row r="183" spans="1:3" x14ac:dyDescent="0.35">
      <c r="A183" t="s">
        <v>675</v>
      </c>
      <c r="B183" t="s">
        <v>676</v>
      </c>
      <c r="C183" t="s">
        <v>677</v>
      </c>
    </row>
    <row r="184" spans="1:3" x14ac:dyDescent="0.35">
      <c r="A184" t="s">
        <v>678</v>
      </c>
      <c r="B184" t="s">
        <v>679</v>
      </c>
      <c r="C184" t="s">
        <v>680</v>
      </c>
    </row>
    <row r="185" spans="1:3" x14ac:dyDescent="0.35">
      <c r="A185" t="s">
        <v>681</v>
      </c>
      <c r="B185" t="s">
        <v>682</v>
      </c>
      <c r="C185" t="s">
        <v>683</v>
      </c>
    </row>
    <row r="186" spans="1:3" x14ac:dyDescent="0.35">
      <c r="A186" t="s">
        <v>684</v>
      </c>
      <c r="B186" t="s">
        <v>685</v>
      </c>
      <c r="C186" t="s">
        <v>686</v>
      </c>
    </row>
    <row r="187" spans="1:3" x14ac:dyDescent="0.35">
      <c r="A187" t="s">
        <v>687</v>
      </c>
      <c r="B187" t="s">
        <v>688</v>
      </c>
      <c r="C187" t="s">
        <v>689</v>
      </c>
    </row>
    <row r="188" spans="1:3" x14ac:dyDescent="0.35">
      <c r="A188" t="s">
        <v>690</v>
      </c>
      <c r="B188" t="s">
        <v>691</v>
      </c>
      <c r="C188" t="s">
        <v>692</v>
      </c>
    </row>
    <row r="189" spans="1:3" x14ac:dyDescent="0.35">
      <c r="A189" t="s">
        <v>693</v>
      </c>
      <c r="B189" t="s">
        <v>694</v>
      </c>
      <c r="C189" t="s">
        <v>695</v>
      </c>
    </row>
    <row r="190" spans="1:3" x14ac:dyDescent="0.35">
      <c r="A190" t="s">
        <v>696</v>
      </c>
      <c r="B190" t="s">
        <v>697</v>
      </c>
      <c r="C190" t="s">
        <v>698</v>
      </c>
    </row>
    <row r="191" spans="1:3" x14ac:dyDescent="0.35">
      <c r="A191" t="s">
        <v>699</v>
      </c>
      <c r="B191" t="s">
        <v>700</v>
      </c>
      <c r="C191" t="s">
        <v>701</v>
      </c>
    </row>
    <row r="192" spans="1:3" x14ac:dyDescent="0.35">
      <c r="A192" t="s">
        <v>702</v>
      </c>
      <c r="B192" t="s">
        <v>703</v>
      </c>
      <c r="C192" t="s">
        <v>704</v>
      </c>
    </row>
    <row r="193" spans="1:3" x14ac:dyDescent="0.35">
      <c r="A193" t="s">
        <v>705</v>
      </c>
      <c r="B193" t="s">
        <v>706</v>
      </c>
      <c r="C193" t="s">
        <v>707</v>
      </c>
    </row>
    <row r="194" spans="1:3" x14ac:dyDescent="0.35">
      <c r="A194" t="s">
        <v>708</v>
      </c>
      <c r="B194" t="s">
        <v>709</v>
      </c>
      <c r="C194" t="s">
        <v>710</v>
      </c>
    </row>
    <row r="195" spans="1:3" x14ac:dyDescent="0.35">
      <c r="A195" t="s">
        <v>711</v>
      </c>
      <c r="B195" t="s">
        <v>712</v>
      </c>
      <c r="C195" t="s">
        <v>713</v>
      </c>
    </row>
    <row r="196" spans="1:3" x14ac:dyDescent="0.35">
      <c r="A196" t="s">
        <v>714</v>
      </c>
      <c r="B196" t="s">
        <v>715</v>
      </c>
      <c r="C196" t="s">
        <v>716</v>
      </c>
    </row>
    <row r="197" spans="1:3" x14ac:dyDescent="0.35">
      <c r="A197" t="s">
        <v>717</v>
      </c>
      <c r="B197" t="s">
        <v>718</v>
      </c>
      <c r="C197" t="s">
        <v>719</v>
      </c>
    </row>
    <row r="198" spans="1:3" x14ac:dyDescent="0.35">
      <c r="A198" t="s">
        <v>720</v>
      </c>
      <c r="B198" t="s">
        <v>721</v>
      </c>
      <c r="C198" t="s">
        <v>722</v>
      </c>
    </row>
    <row r="199" spans="1:3" x14ac:dyDescent="0.35">
      <c r="A199" t="s">
        <v>723</v>
      </c>
      <c r="B199" t="s">
        <v>724</v>
      </c>
      <c r="C199" t="s">
        <v>725</v>
      </c>
    </row>
    <row r="200" spans="1:3" x14ac:dyDescent="0.35">
      <c r="A200" t="s">
        <v>726</v>
      </c>
      <c r="B200" t="s">
        <v>727</v>
      </c>
      <c r="C200" t="s">
        <v>728</v>
      </c>
    </row>
    <row r="201" spans="1:3" x14ac:dyDescent="0.35">
      <c r="A201" t="s">
        <v>729</v>
      </c>
      <c r="B201" t="s">
        <v>730</v>
      </c>
      <c r="C201" t="s">
        <v>731</v>
      </c>
    </row>
    <row r="202" spans="1:3" x14ac:dyDescent="0.35">
      <c r="A202" t="s">
        <v>732</v>
      </c>
      <c r="B202" t="s">
        <v>733</v>
      </c>
      <c r="C202" t="s">
        <v>734</v>
      </c>
    </row>
    <row r="203" spans="1:3" x14ac:dyDescent="0.35">
      <c r="A203" t="s">
        <v>735</v>
      </c>
      <c r="B203" t="s">
        <v>736</v>
      </c>
      <c r="C203" t="s">
        <v>737</v>
      </c>
    </row>
    <row r="204" spans="1:3" x14ac:dyDescent="0.35">
      <c r="A204" t="s">
        <v>738</v>
      </c>
      <c r="B204" t="s">
        <v>739</v>
      </c>
      <c r="C204" t="s">
        <v>740</v>
      </c>
    </row>
    <row r="205" spans="1:3" x14ac:dyDescent="0.35">
      <c r="A205" t="s">
        <v>741</v>
      </c>
      <c r="B205" t="s">
        <v>742</v>
      </c>
      <c r="C205" t="s">
        <v>743</v>
      </c>
    </row>
    <row r="206" spans="1:3" x14ac:dyDescent="0.35">
      <c r="A206" t="s">
        <v>744</v>
      </c>
      <c r="B206" t="s">
        <v>745</v>
      </c>
      <c r="C206" t="s">
        <v>746</v>
      </c>
    </row>
    <row r="207" spans="1:3" x14ac:dyDescent="0.35">
      <c r="A207" t="s">
        <v>747</v>
      </c>
      <c r="B207" t="s">
        <v>748</v>
      </c>
      <c r="C207" t="s">
        <v>749</v>
      </c>
    </row>
    <row r="208" spans="1:3" x14ac:dyDescent="0.35">
      <c r="A208" t="s">
        <v>750</v>
      </c>
      <c r="B208" t="s">
        <v>751</v>
      </c>
      <c r="C208" t="s">
        <v>752</v>
      </c>
    </row>
    <row r="209" spans="1:3" x14ac:dyDescent="0.35">
      <c r="A209" t="s">
        <v>753</v>
      </c>
      <c r="B209" t="s">
        <v>754</v>
      </c>
      <c r="C209" t="s">
        <v>755</v>
      </c>
    </row>
    <row r="210" spans="1:3" x14ac:dyDescent="0.35">
      <c r="A210" t="s">
        <v>756</v>
      </c>
      <c r="B210" t="s">
        <v>757</v>
      </c>
      <c r="C210" t="s">
        <v>758</v>
      </c>
    </row>
    <row r="211" spans="1:3" x14ac:dyDescent="0.35">
      <c r="A211" t="s">
        <v>759</v>
      </c>
      <c r="B211" t="s">
        <v>760</v>
      </c>
      <c r="C211" t="s">
        <v>761</v>
      </c>
    </row>
    <row r="212" spans="1:3" x14ac:dyDescent="0.35">
      <c r="A212" t="s">
        <v>762</v>
      </c>
      <c r="B212" t="s">
        <v>763</v>
      </c>
      <c r="C212" t="s">
        <v>764</v>
      </c>
    </row>
    <row r="213" spans="1:3" x14ac:dyDescent="0.35">
      <c r="A213" t="s">
        <v>765</v>
      </c>
      <c r="B213" t="s">
        <v>766</v>
      </c>
      <c r="C213" t="s">
        <v>767</v>
      </c>
    </row>
    <row r="214" spans="1:3" x14ac:dyDescent="0.35">
      <c r="A214" t="s">
        <v>768</v>
      </c>
      <c r="B214" t="s">
        <v>769</v>
      </c>
      <c r="C214" t="s">
        <v>770</v>
      </c>
    </row>
    <row r="215" spans="1:3" x14ac:dyDescent="0.35">
      <c r="A215" t="s">
        <v>771</v>
      </c>
      <c r="B215" t="s">
        <v>772</v>
      </c>
      <c r="C215" t="s">
        <v>773</v>
      </c>
    </row>
    <row r="216" spans="1:3" x14ac:dyDescent="0.35">
      <c r="A216" t="s">
        <v>774</v>
      </c>
      <c r="B216" t="s">
        <v>775</v>
      </c>
      <c r="C216" t="s">
        <v>776</v>
      </c>
    </row>
    <row r="217" spans="1:3" x14ac:dyDescent="0.35">
      <c r="A217" t="s">
        <v>777</v>
      </c>
      <c r="B217" t="s">
        <v>778</v>
      </c>
      <c r="C217" t="s">
        <v>779</v>
      </c>
    </row>
    <row r="218" spans="1:3" x14ac:dyDescent="0.35">
      <c r="A218" t="s">
        <v>780</v>
      </c>
      <c r="B218" t="s">
        <v>781</v>
      </c>
      <c r="C218" t="s">
        <v>782</v>
      </c>
    </row>
    <row r="219" spans="1:3" x14ac:dyDescent="0.35">
      <c r="A219" t="s">
        <v>783</v>
      </c>
      <c r="B219" t="s">
        <v>784</v>
      </c>
      <c r="C219" t="s">
        <v>785</v>
      </c>
    </row>
    <row r="220" spans="1:3" x14ac:dyDescent="0.35">
      <c r="A220" t="s">
        <v>786</v>
      </c>
      <c r="B220" t="s">
        <v>787</v>
      </c>
      <c r="C220" t="s">
        <v>788</v>
      </c>
    </row>
    <row r="221" spans="1:3" x14ac:dyDescent="0.35">
      <c r="A221" t="s">
        <v>789</v>
      </c>
      <c r="B221" t="s">
        <v>790</v>
      </c>
      <c r="C221" t="s">
        <v>791</v>
      </c>
    </row>
    <row r="222" spans="1:3" x14ac:dyDescent="0.35">
      <c r="A222" t="s">
        <v>792</v>
      </c>
      <c r="B222" t="s">
        <v>793</v>
      </c>
      <c r="C222" t="s">
        <v>794</v>
      </c>
    </row>
    <row r="223" spans="1:3" x14ac:dyDescent="0.35">
      <c r="A223" t="s">
        <v>795</v>
      </c>
      <c r="B223" t="s">
        <v>796</v>
      </c>
      <c r="C223" t="s">
        <v>797</v>
      </c>
    </row>
    <row r="224" spans="1:3" x14ac:dyDescent="0.35">
      <c r="A224" t="s">
        <v>798</v>
      </c>
      <c r="B224" t="s">
        <v>799</v>
      </c>
      <c r="C224" t="s">
        <v>800</v>
      </c>
    </row>
    <row r="225" spans="1:3" x14ac:dyDescent="0.35">
      <c r="A225" t="s">
        <v>798</v>
      </c>
      <c r="B225" t="s">
        <v>801</v>
      </c>
      <c r="C225" t="s">
        <v>802</v>
      </c>
    </row>
    <row r="226" spans="1:3" x14ac:dyDescent="0.35">
      <c r="A226" t="s">
        <v>803</v>
      </c>
      <c r="B226" t="s">
        <v>804</v>
      </c>
      <c r="C226" t="s">
        <v>805</v>
      </c>
    </row>
    <row r="227" spans="1:3" x14ac:dyDescent="0.35">
      <c r="A227" t="s">
        <v>806</v>
      </c>
      <c r="B227" t="s">
        <v>807</v>
      </c>
      <c r="C227" t="s">
        <v>808</v>
      </c>
    </row>
    <row r="228" spans="1:3" x14ac:dyDescent="0.35">
      <c r="A228" t="s">
        <v>809</v>
      </c>
      <c r="B228" t="s">
        <v>810</v>
      </c>
      <c r="C228" t="s">
        <v>811</v>
      </c>
    </row>
    <row r="229" spans="1:3" x14ac:dyDescent="0.35">
      <c r="A229" t="s">
        <v>812</v>
      </c>
      <c r="B229" t="s">
        <v>813</v>
      </c>
      <c r="C229" t="s">
        <v>814</v>
      </c>
    </row>
    <row r="230" spans="1:3" x14ac:dyDescent="0.35">
      <c r="A230" t="s">
        <v>815</v>
      </c>
      <c r="B230" t="s">
        <v>816</v>
      </c>
      <c r="C230" t="s">
        <v>817</v>
      </c>
    </row>
    <row r="231" spans="1:3" x14ac:dyDescent="0.35">
      <c r="A231" t="s">
        <v>818</v>
      </c>
      <c r="B231" t="s">
        <v>819</v>
      </c>
      <c r="C231" t="s">
        <v>820</v>
      </c>
    </row>
    <row r="232" spans="1:3" x14ac:dyDescent="0.35">
      <c r="A232" t="s">
        <v>821</v>
      </c>
      <c r="B232" t="s">
        <v>822</v>
      </c>
      <c r="C232" t="s">
        <v>823</v>
      </c>
    </row>
    <row r="233" spans="1:3" x14ac:dyDescent="0.35">
      <c r="A233" t="s">
        <v>824</v>
      </c>
      <c r="B233" t="s">
        <v>825</v>
      </c>
      <c r="C233" t="s">
        <v>826</v>
      </c>
    </row>
    <row r="234" spans="1:3" x14ac:dyDescent="0.35">
      <c r="A234" t="s">
        <v>827</v>
      </c>
      <c r="B234" t="s">
        <v>828</v>
      </c>
      <c r="C234" t="s">
        <v>829</v>
      </c>
    </row>
    <row r="235" spans="1:3" x14ac:dyDescent="0.35">
      <c r="A235" t="s">
        <v>830</v>
      </c>
      <c r="B235" t="s">
        <v>831</v>
      </c>
      <c r="C235" t="s">
        <v>832</v>
      </c>
    </row>
    <row r="236" spans="1:3" x14ac:dyDescent="0.35">
      <c r="A236" t="s">
        <v>833</v>
      </c>
      <c r="B236" t="s">
        <v>834</v>
      </c>
      <c r="C236" t="s">
        <v>835</v>
      </c>
    </row>
    <row r="237" spans="1:3" x14ac:dyDescent="0.35">
      <c r="A237" t="s">
        <v>836</v>
      </c>
      <c r="B237" t="s">
        <v>837</v>
      </c>
      <c r="C237" t="s">
        <v>838</v>
      </c>
    </row>
    <row r="238" spans="1:3" x14ac:dyDescent="0.35">
      <c r="A238" t="s">
        <v>839</v>
      </c>
      <c r="B238" t="s">
        <v>840</v>
      </c>
      <c r="C238" t="s">
        <v>841</v>
      </c>
    </row>
    <row r="239" spans="1:3" x14ac:dyDescent="0.35">
      <c r="A239" t="s">
        <v>842</v>
      </c>
      <c r="B239" t="s">
        <v>843</v>
      </c>
      <c r="C239" t="s">
        <v>844</v>
      </c>
    </row>
    <row r="240" spans="1:3" x14ac:dyDescent="0.35">
      <c r="A240" t="s">
        <v>845</v>
      </c>
      <c r="B240" t="s">
        <v>846</v>
      </c>
      <c r="C240" t="s">
        <v>847</v>
      </c>
    </row>
    <row r="241" spans="1:3" x14ac:dyDescent="0.35">
      <c r="A241" t="s">
        <v>848</v>
      </c>
      <c r="B241" t="s">
        <v>849</v>
      </c>
      <c r="C241" t="s">
        <v>850</v>
      </c>
    </row>
    <row r="242" spans="1:3" x14ac:dyDescent="0.35">
      <c r="A242" t="s">
        <v>851</v>
      </c>
      <c r="B242" t="s">
        <v>852</v>
      </c>
      <c r="C242" t="s">
        <v>853</v>
      </c>
    </row>
    <row r="243" spans="1:3" x14ac:dyDescent="0.35">
      <c r="A243" t="s">
        <v>854</v>
      </c>
      <c r="B243" t="s">
        <v>855</v>
      </c>
      <c r="C243" t="s">
        <v>856</v>
      </c>
    </row>
    <row r="244" spans="1:3" x14ac:dyDescent="0.35">
      <c r="A244" t="s">
        <v>857</v>
      </c>
      <c r="B244" t="s">
        <v>858</v>
      </c>
      <c r="C244" t="s">
        <v>859</v>
      </c>
    </row>
    <row r="245" spans="1:3" x14ac:dyDescent="0.35">
      <c r="A245" t="s">
        <v>860</v>
      </c>
      <c r="B245" t="s">
        <v>861</v>
      </c>
      <c r="C245" t="s">
        <v>862</v>
      </c>
    </row>
    <row r="246" spans="1:3" x14ac:dyDescent="0.35">
      <c r="A246" t="s">
        <v>863</v>
      </c>
      <c r="B246" t="s">
        <v>864</v>
      </c>
      <c r="C246" t="s">
        <v>865</v>
      </c>
    </row>
    <row r="247" spans="1:3" x14ac:dyDescent="0.35">
      <c r="A247" t="s">
        <v>866</v>
      </c>
      <c r="B247" t="s">
        <v>867</v>
      </c>
      <c r="C247" t="s">
        <v>868</v>
      </c>
    </row>
    <row r="248" spans="1:3" x14ac:dyDescent="0.35">
      <c r="A248" t="s">
        <v>869</v>
      </c>
      <c r="B248" t="s">
        <v>870</v>
      </c>
      <c r="C248" t="s">
        <v>871</v>
      </c>
    </row>
    <row r="249" spans="1:3" x14ac:dyDescent="0.35">
      <c r="A249" t="s">
        <v>872</v>
      </c>
      <c r="B249" t="s">
        <v>873</v>
      </c>
      <c r="C249" t="s">
        <v>874</v>
      </c>
    </row>
    <row r="250" spans="1:3" x14ac:dyDescent="0.35">
      <c r="A250" t="s">
        <v>872</v>
      </c>
      <c r="B250" t="s">
        <v>875</v>
      </c>
      <c r="C250" t="s">
        <v>876</v>
      </c>
    </row>
    <row r="251" spans="1:3" x14ac:dyDescent="0.35">
      <c r="A251" t="s">
        <v>877</v>
      </c>
      <c r="B251" t="s">
        <v>878</v>
      </c>
      <c r="C251" t="s">
        <v>879</v>
      </c>
    </row>
    <row r="252" spans="1:3" x14ac:dyDescent="0.35">
      <c r="A252" t="s">
        <v>880</v>
      </c>
      <c r="B252" t="s">
        <v>881</v>
      </c>
      <c r="C252" t="s">
        <v>882</v>
      </c>
    </row>
    <row r="253" spans="1:3" x14ac:dyDescent="0.35">
      <c r="A253" t="s">
        <v>883</v>
      </c>
      <c r="B253" t="s">
        <v>884</v>
      </c>
      <c r="C253" t="s">
        <v>885</v>
      </c>
    </row>
    <row r="254" spans="1:3" x14ac:dyDescent="0.35">
      <c r="A254" t="s">
        <v>886</v>
      </c>
      <c r="B254" t="s">
        <v>887</v>
      </c>
      <c r="C254" t="s">
        <v>888</v>
      </c>
    </row>
    <row r="255" spans="1:3" x14ac:dyDescent="0.35">
      <c r="A255" t="s">
        <v>889</v>
      </c>
      <c r="B255" t="s">
        <v>890</v>
      </c>
      <c r="C255" t="s">
        <v>891</v>
      </c>
    </row>
    <row r="256" spans="1:3" x14ac:dyDescent="0.35">
      <c r="A256" t="s">
        <v>892</v>
      </c>
      <c r="B256" t="s">
        <v>893</v>
      </c>
      <c r="C256" t="s">
        <v>894</v>
      </c>
    </row>
    <row r="257" spans="1:3" x14ac:dyDescent="0.35">
      <c r="A257" t="s">
        <v>895</v>
      </c>
      <c r="B257" t="s">
        <v>896</v>
      </c>
      <c r="C257" t="s">
        <v>897</v>
      </c>
    </row>
    <row r="258" spans="1:3" x14ac:dyDescent="0.35">
      <c r="A258" t="s">
        <v>898</v>
      </c>
      <c r="B258" t="s">
        <v>899</v>
      </c>
      <c r="C258" t="s">
        <v>900</v>
      </c>
    </row>
    <row r="259" spans="1:3" x14ac:dyDescent="0.35">
      <c r="A259" t="s">
        <v>901</v>
      </c>
      <c r="B259" t="s">
        <v>902</v>
      </c>
      <c r="C259" t="s">
        <v>903</v>
      </c>
    </row>
    <row r="260" spans="1:3" x14ac:dyDescent="0.35">
      <c r="A260" t="s">
        <v>904</v>
      </c>
      <c r="B260" t="s">
        <v>905</v>
      </c>
      <c r="C260" t="s">
        <v>906</v>
      </c>
    </row>
    <row r="261" spans="1:3" x14ac:dyDescent="0.35">
      <c r="A261" t="s">
        <v>907</v>
      </c>
      <c r="B261" t="s">
        <v>908</v>
      </c>
      <c r="C261" t="s">
        <v>909</v>
      </c>
    </row>
    <row r="262" spans="1:3" x14ac:dyDescent="0.35">
      <c r="A262" t="s">
        <v>910</v>
      </c>
      <c r="B262" t="s">
        <v>911</v>
      </c>
      <c r="C262" t="s">
        <v>912</v>
      </c>
    </row>
    <row r="263" spans="1:3" x14ac:dyDescent="0.35">
      <c r="A263" t="s">
        <v>913</v>
      </c>
      <c r="B263" t="s">
        <v>914</v>
      </c>
      <c r="C263" t="s">
        <v>915</v>
      </c>
    </row>
    <row r="264" spans="1:3" x14ac:dyDescent="0.35">
      <c r="A264" t="s">
        <v>916</v>
      </c>
      <c r="B264" t="s">
        <v>917</v>
      </c>
      <c r="C264" t="s">
        <v>918</v>
      </c>
    </row>
    <row r="265" spans="1:3" x14ac:dyDescent="0.35">
      <c r="A265" t="s">
        <v>919</v>
      </c>
      <c r="B265" t="s">
        <v>920</v>
      </c>
      <c r="C265" t="s">
        <v>921</v>
      </c>
    </row>
    <row r="266" spans="1:3" x14ac:dyDescent="0.35">
      <c r="A266" t="s">
        <v>922</v>
      </c>
      <c r="B266" t="s">
        <v>923</v>
      </c>
      <c r="C266" t="s">
        <v>924</v>
      </c>
    </row>
    <row r="267" spans="1:3" x14ac:dyDescent="0.35">
      <c r="A267" t="s">
        <v>925</v>
      </c>
      <c r="B267" t="s">
        <v>926</v>
      </c>
      <c r="C267" t="s">
        <v>927</v>
      </c>
    </row>
    <row r="268" spans="1:3" x14ac:dyDescent="0.35">
      <c r="A268" t="s">
        <v>928</v>
      </c>
      <c r="B268" t="s">
        <v>929</v>
      </c>
      <c r="C268" t="s">
        <v>930</v>
      </c>
    </row>
    <row r="269" spans="1:3" x14ac:dyDescent="0.35">
      <c r="A269" t="s">
        <v>931</v>
      </c>
      <c r="B269" t="s">
        <v>932</v>
      </c>
      <c r="C269" t="s">
        <v>933</v>
      </c>
    </row>
    <row r="270" spans="1:3" x14ac:dyDescent="0.35">
      <c r="A270" t="s">
        <v>81</v>
      </c>
      <c r="B270" t="s">
        <v>934</v>
      </c>
      <c r="C270" t="s">
        <v>935</v>
      </c>
    </row>
    <row r="271" spans="1:3" x14ac:dyDescent="0.35">
      <c r="A271" t="s">
        <v>936</v>
      </c>
      <c r="B271" t="s">
        <v>937</v>
      </c>
      <c r="C271" t="s">
        <v>938</v>
      </c>
    </row>
    <row r="272" spans="1:3" x14ac:dyDescent="0.35">
      <c r="A272" t="s">
        <v>939</v>
      </c>
      <c r="B272" t="s">
        <v>940</v>
      </c>
      <c r="C272" t="s">
        <v>941</v>
      </c>
    </row>
    <row r="273" spans="1:3" x14ac:dyDescent="0.35">
      <c r="A273" t="s">
        <v>942</v>
      </c>
      <c r="B273" t="s">
        <v>943</v>
      </c>
      <c r="C273" t="s">
        <v>944</v>
      </c>
    </row>
    <row r="274" spans="1:3" x14ac:dyDescent="0.35">
      <c r="A274" t="s">
        <v>945</v>
      </c>
      <c r="B274" t="s">
        <v>946</v>
      </c>
      <c r="C274" t="s">
        <v>947</v>
      </c>
    </row>
    <row r="275" spans="1:3" x14ac:dyDescent="0.35">
      <c r="A275" t="s">
        <v>948</v>
      </c>
      <c r="B275" t="s">
        <v>949</v>
      </c>
      <c r="C275" t="s">
        <v>950</v>
      </c>
    </row>
    <row r="276" spans="1:3" x14ac:dyDescent="0.35">
      <c r="A276" t="s">
        <v>951</v>
      </c>
      <c r="B276" t="s">
        <v>952</v>
      </c>
      <c r="C276" t="s">
        <v>953</v>
      </c>
    </row>
    <row r="277" spans="1:3" x14ac:dyDescent="0.35">
      <c r="A277" t="s">
        <v>954</v>
      </c>
      <c r="B277" t="s">
        <v>955</v>
      </c>
      <c r="C277" t="s">
        <v>956</v>
      </c>
    </row>
    <row r="278" spans="1:3" x14ac:dyDescent="0.35">
      <c r="A278" t="s">
        <v>957</v>
      </c>
      <c r="B278" t="s">
        <v>958</v>
      </c>
      <c r="C278" t="s">
        <v>959</v>
      </c>
    </row>
    <row r="279" spans="1:3" x14ac:dyDescent="0.35">
      <c r="A279" t="s">
        <v>960</v>
      </c>
      <c r="B279" t="s">
        <v>961</v>
      </c>
      <c r="C279" t="s">
        <v>962</v>
      </c>
    </row>
    <row r="280" spans="1:3" x14ac:dyDescent="0.35">
      <c r="A280" t="s">
        <v>963</v>
      </c>
      <c r="B280" t="s">
        <v>964</v>
      </c>
      <c r="C280" t="s">
        <v>965</v>
      </c>
    </row>
    <row r="281" spans="1:3" x14ac:dyDescent="0.35">
      <c r="A281" t="s">
        <v>966</v>
      </c>
      <c r="B281" t="s">
        <v>967</v>
      </c>
      <c r="C281" t="s">
        <v>968</v>
      </c>
    </row>
    <row r="282" spans="1:3" x14ac:dyDescent="0.35">
      <c r="A282" t="s">
        <v>969</v>
      </c>
      <c r="B282" t="s">
        <v>970</v>
      </c>
      <c r="C282" t="s">
        <v>971</v>
      </c>
    </row>
    <row r="283" spans="1:3" x14ac:dyDescent="0.35">
      <c r="A283" t="s">
        <v>972</v>
      </c>
      <c r="B283" t="s">
        <v>973</v>
      </c>
      <c r="C283" t="s">
        <v>974</v>
      </c>
    </row>
    <row r="284" spans="1:3" x14ac:dyDescent="0.35">
      <c r="A284" t="s">
        <v>975</v>
      </c>
      <c r="B284" t="s">
        <v>976</v>
      </c>
      <c r="C284" t="s">
        <v>977</v>
      </c>
    </row>
    <row r="285" spans="1:3" x14ac:dyDescent="0.35">
      <c r="A285" t="s">
        <v>978</v>
      </c>
      <c r="B285" t="s">
        <v>979</v>
      </c>
      <c r="C285" t="s">
        <v>980</v>
      </c>
    </row>
    <row r="286" spans="1:3" x14ac:dyDescent="0.35">
      <c r="A286" t="s">
        <v>981</v>
      </c>
      <c r="B286" t="s">
        <v>982</v>
      </c>
      <c r="C286" t="s">
        <v>983</v>
      </c>
    </row>
    <row r="287" spans="1:3" x14ac:dyDescent="0.35">
      <c r="A287" t="s">
        <v>984</v>
      </c>
      <c r="B287" t="s">
        <v>985</v>
      </c>
      <c r="C287" t="s">
        <v>986</v>
      </c>
    </row>
    <row r="288" spans="1:3" x14ac:dyDescent="0.35">
      <c r="A288" t="s">
        <v>987</v>
      </c>
      <c r="B288" t="s">
        <v>988</v>
      </c>
      <c r="C288" t="s">
        <v>989</v>
      </c>
    </row>
    <row r="289" spans="1:3" x14ac:dyDescent="0.35">
      <c r="A289" t="s">
        <v>990</v>
      </c>
      <c r="B289" t="s">
        <v>991</v>
      </c>
      <c r="C289" t="s">
        <v>992</v>
      </c>
    </row>
    <row r="290" spans="1:3" x14ac:dyDescent="0.35">
      <c r="A290" t="s">
        <v>993</v>
      </c>
      <c r="B290" t="s">
        <v>994</v>
      </c>
      <c r="C290" t="s">
        <v>995</v>
      </c>
    </row>
    <row r="291" spans="1:3" x14ac:dyDescent="0.35">
      <c r="A291" t="s">
        <v>996</v>
      </c>
      <c r="B291" t="s">
        <v>997</v>
      </c>
      <c r="C291" t="s">
        <v>998</v>
      </c>
    </row>
    <row r="292" spans="1:3" x14ac:dyDescent="0.35">
      <c r="A292" t="s">
        <v>999</v>
      </c>
      <c r="B292" t="s">
        <v>1000</v>
      </c>
      <c r="C292" t="s">
        <v>1001</v>
      </c>
    </row>
    <row r="293" spans="1:3" x14ac:dyDescent="0.35">
      <c r="A293" t="s">
        <v>1002</v>
      </c>
      <c r="B293" t="s">
        <v>1003</v>
      </c>
      <c r="C293" t="s">
        <v>1004</v>
      </c>
    </row>
    <row r="294" spans="1:3" x14ac:dyDescent="0.35">
      <c r="A294" t="s">
        <v>1005</v>
      </c>
      <c r="B294" t="s">
        <v>1006</v>
      </c>
      <c r="C294" t="s">
        <v>1007</v>
      </c>
    </row>
    <row r="295" spans="1:3" x14ac:dyDescent="0.35">
      <c r="A295" t="s">
        <v>1005</v>
      </c>
      <c r="B295" t="s">
        <v>1008</v>
      </c>
      <c r="C295" t="s">
        <v>1009</v>
      </c>
    </row>
    <row r="296" spans="1:3" x14ac:dyDescent="0.35">
      <c r="A296" t="s">
        <v>1010</v>
      </c>
      <c r="B296" t="s">
        <v>1011</v>
      </c>
      <c r="C296" t="s">
        <v>1012</v>
      </c>
    </row>
    <row r="297" spans="1:3" x14ac:dyDescent="0.35">
      <c r="A297" t="s">
        <v>1013</v>
      </c>
      <c r="B297" t="s">
        <v>1014</v>
      </c>
      <c r="C297" t="s">
        <v>1015</v>
      </c>
    </row>
    <row r="298" spans="1:3" x14ac:dyDescent="0.35">
      <c r="A298" t="s">
        <v>1016</v>
      </c>
      <c r="B298" t="s">
        <v>1017</v>
      </c>
      <c r="C298" t="s">
        <v>1018</v>
      </c>
    </row>
    <row r="299" spans="1:3" x14ac:dyDescent="0.35">
      <c r="A299" t="s">
        <v>1019</v>
      </c>
      <c r="B299" t="s">
        <v>1020</v>
      </c>
      <c r="C299" t="s">
        <v>1021</v>
      </c>
    </row>
    <row r="300" spans="1:3" x14ac:dyDescent="0.35">
      <c r="A300" t="s">
        <v>1022</v>
      </c>
      <c r="B300" t="s">
        <v>1023</v>
      </c>
      <c r="C300" t="s">
        <v>1024</v>
      </c>
    </row>
    <row r="301" spans="1:3" x14ac:dyDescent="0.35">
      <c r="A301" t="s">
        <v>1025</v>
      </c>
      <c r="B301" t="s">
        <v>1026</v>
      </c>
      <c r="C301" t="s">
        <v>1027</v>
      </c>
    </row>
    <row r="302" spans="1:3" x14ac:dyDescent="0.35">
      <c r="A302" t="s">
        <v>1025</v>
      </c>
      <c r="B302" t="s">
        <v>988</v>
      </c>
      <c r="C302" t="s">
        <v>1028</v>
      </c>
    </row>
    <row r="303" spans="1:3" x14ac:dyDescent="0.35">
      <c r="A303" t="s">
        <v>1029</v>
      </c>
      <c r="B303" t="s">
        <v>1030</v>
      </c>
      <c r="C303" t="s">
        <v>1031</v>
      </c>
    </row>
    <row r="304" spans="1:3" x14ac:dyDescent="0.35">
      <c r="A304" t="s">
        <v>1032</v>
      </c>
      <c r="B304" t="s">
        <v>1033</v>
      </c>
      <c r="C304" t="s">
        <v>1034</v>
      </c>
    </row>
    <row r="305" spans="1:3" x14ac:dyDescent="0.35">
      <c r="A305" t="s">
        <v>1035</v>
      </c>
      <c r="B305" t="s">
        <v>1036</v>
      </c>
      <c r="C305" t="s">
        <v>1037</v>
      </c>
    </row>
    <row r="306" spans="1:3" x14ac:dyDescent="0.35">
      <c r="A306" t="s">
        <v>1038</v>
      </c>
      <c r="B306" t="s">
        <v>1039</v>
      </c>
      <c r="C306" t="s">
        <v>1040</v>
      </c>
    </row>
    <row r="307" spans="1:3" x14ac:dyDescent="0.35">
      <c r="A307" t="s">
        <v>1041</v>
      </c>
      <c r="B307" t="s">
        <v>1042</v>
      </c>
      <c r="C307" t="s">
        <v>1043</v>
      </c>
    </row>
    <row r="308" spans="1:3" x14ac:dyDescent="0.35">
      <c r="A308" t="s">
        <v>1044</v>
      </c>
      <c r="B308" t="s">
        <v>1045</v>
      </c>
      <c r="C308" t="s">
        <v>1046</v>
      </c>
    </row>
    <row r="309" spans="1:3" x14ac:dyDescent="0.35">
      <c r="A309" t="s">
        <v>1047</v>
      </c>
      <c r="B309" t="s">
        <v>1048</v>
      </c>
      <c r="C309" t="s">
        <v>1049</v>
      </c>
    </row>
    <row r="310" spans="1:3" x14ac:dyDescent="0.35">
      <c r="A310" t="s">
        <v>1050</v>
      </c>
      <c r="B310" t="s">
        <v>1051</v>
      </c>
      <c r="C310" t="s">
        <v>1052</v>
      </c>
    </row>
    <row r="311" spans="1:3" x14ac:dyDescent="0.35">
      <c r="A311" t="s">
        <v>1053</v>
      </c>
      <c r="B311" t="s">
        <v>1054</v>
      </c>
      <c r="C311" t="s">
        <v>1055</v>
      </c>
    </row>
    <row r="312" spans="1:3" x14ac:dyDescent="0.35">
      <c r="A312" t="s">
        <v>1056</v>
      </c>
      <c r="B312" t="s">
        <v>1056</v>
      </c>
      <c r="C312" t="s">
        <v>1057</v>
      </c>
    </row>
    <row r="313" spans="1:3" x14ac:dyDescent="0.35">
      <c r="A313" t="s">
        <v>1058</v>
      </c>
      <c r="B313" t="s">
        <v>1059</v>
      </c>
      <c r="C313" t="s">
        <v>1060</v>
      </c>
    </row>
    <row r="314" spans="1:3" x14ac:dyDescent="0.35">
      <c r="A314" t="s">
        <v>1061</v>
      </c>
      <c r="B314" t="s">
        <v>1062</v>
      </c>
      <c r="C314" t="s">
        <v>1063</v>
      </c>
    </row>
    <row r="315" spans="1:3" x14ac:dyDescent="0.35">
      <c r="A315" t="s">
        <v>1064</v>
      </c>
      <c r="B315" t="s">
        <v>1065</v>
      </c>
      <c r="C315" t="s">
        <v>1066</v>
      </c>
    </row>
    <row r="316" spans="1:3" x14ac:dyDescent="0.35">
      <c r="A316" t="s">
        <v>1067</v>
      </c>
      <c r="B316" t="s">
        <v>1068</v>
      </c>
      <c r="C316" t="s">
        <v>1069</v>
      </c>
    </row>
    <row r="317" spans="1:3" x14ac:dyDescent="0.35">
      <c r="A317" t="s">
        <v>1070</v>
      </c>
      <c r="B317" t="s">
        <v>1071</v>
      </c>
      <c r="C317" t="s">
        <v>1072</v>
      </c>
    </row>
    <row r="318" spans="1:3" x14ac:dyDescent="0.35">
      <c r="A318" t="s">
        <v>1073</v>
      </c>
      <c r="B318" t="s">
        <v>1074</v>
      </c>
      <c r="C318" t="s">
        <v>1075</v>
      </c>
    </row>
    <row r="319" spans="1:3" x14ac:dyDescent="0.35">
      <c r="A319" t="s">
        <v>1076</v>
      </c>
      <c r="B319" t="s">
        <v>1077</v>
      </c>
      <c r="C319" t="s">
        <v>1078</v>
      </c>
    </row>
    <row r="320" spans="1:3" x14ac:dyDescent="0.35">
      <c r="A320" t="s">
        <v>1079</v>
      </c>
      <c r="B320" t="s">
        <v>1080</v>
      </c>
      <c r="C320" t="s">
        <v>1081</v>
      </c>
    </row>
    <row r="321" spans="1:3" x14ac:dyDescent="0.35">
      <c r="A321" t="s">
        <v>1082</v>
      </c>
      <c r="B321" t="s">
        <v>1083</v>
      </c>
      <c r="C321" t="s">
        <v>1084</v>
      </c>
    </row>
    <row r="322" spans="1:3" x14ac:dyDescent="0.35">
      <c r="A322" t="s">
        <v>1085</v>
      </c>
      <c r="B322" t="s">
        <v>1086</v>
      </c>
      <c r="C322" t="s">
        <v>1087</v>
      </c>
    </row>
    <row r="323" spans="1:3" x14ac:dyDescent="0.35">
      <c r="A323" t="s">
        <v>1088</v>
      </c>
      <c r="B323" t="s">
        <v>1089</v>
      </c>
      <c r="C323" t="s">
        <v>1090</v>
      </c>
    </row>
    <row r="324" spans="1:3" x14ac:dyDescent="0.35">
      <c r="A324" t="s">
        <v>1091</v>
      </c>
      <c r="B324" t="s">
        <v>1092</v>
      </c>
      <c r="C324" t="s">
        <v>1093</v>
      </c>
    </row>
    <row r="325" spans="1:3" x14ac:dyDescent="0.35">
      <c r="A325" t="s">
        <v>1094</v>
      </c>
      <c r="B325" t="s">
        <v>1095</v>
      </c>
      <c r="C325" t="s">
        <v>1096</v>
      </c>
    </row>
    <row r="326" spans="1:3" x14ac:dyDescent="0.35">
      <c r="A326" t="s">
        <v>1097</v>
      </c>
      <c r="B326" t="s">
        <v>1098</v>
      </c>
      <c r="C326" t="s">
        <v>1099</v>
      </c>
    </row>
    <row r="327" spans="1:3" x14ac:dyDescent="0.35">
      <c r="A327" t="s">
        <v>1100</v>
      </c>
      <c r="B327" t="s">
        <v>1101</v>
      </c>
      <c r="C327" t="s">
        <v>1102</v>
      </c>
    </row>
    <row r="328" spans="1:3" x14ac:dyDescent="0.35">
      <c r="A328" t="s">
        <v>1100</v>
      </c>
      <c r="B328" t="s">
        <v>1103</v>
      </c>
      <c r="C328" t="s">
        <v>1104</v>
      </c>
    </row>
    <row r="329" spans="1:3" x14ac:dyDescent="0.35">
      <c r="A329" t="s">
        <v>1105</v>
      </c>
      <c r="B329" t="s">
        <v>1106</v>
      </c>
      <c r="C329" t="s">
        <v>1107</v>
      </c>
    </row>
    <row r="330" spans="1:3" x14ac:dyDescent="0.35">
      <c r="A330" t="s">
        <v>1108</v>
      </c>
      <c r="B330" t="s">
        <v>1109</v>
      </c>
      <c r="C330" t="s">
        <v>1110</v>
      </c>
    </row>
    <row r="331" spans="1:3" x14ac:dyDescent="0.35">
      <c r="A331" t="s">
        <v>1111</v>
      </c>
      <c r="B331" t="s">
        <v>1112</v>
      </c>
      <c r="C331" t="s">
        <v>1113</v>
      </c>
    </row>
    <row r="332" spans="1:3" x14ac:dyDescent="0.35">
      <c r="A332" t="s">
        <v>1114</v>
      </c>
      <c r="B332" t="s">
        <v>1115</v>
      </c>
      <c r="C332" t="s">
        <v>1116</v>
      </c>
    </row>
    <row r="333" spans="1:3" x14ac:dyDescent="0.35">
      <c r="A333" t="s">
        <v>1117</v>
      </c>
      <c r="B333" t="s">
        <v>1118</v>
      </c>
      <c r="C333" t="s">
        <v>1119</v>
      </c>
    </row>
    <row r="334" spans="1:3" x14ac:dyDescent="0.35">
      <c r="A334" t="s">
        <v>1120</v>
      </c>
      <c r="B334" t="s">
        <v>1121</v>
      </c>
      <c r="C334" t="s">
        <v>1122</v>
      </c>
    </row>
    <row r="335" spans="1:3" x14ac:dyDescent="0.35">
      <c r="A335" t="s">
        <v>1123</v>
      </c>
      <c r="B335" t="s">
        <v>1124</v>
      </c>
      <c r="C335" t="s">
        <v>1125</v>
      </c>
    </row>
    <row r="336" spans="1:3" x14ac:dyDescent="0.35">
      <c r="A336" t="s">
        <v>1126</v>
      </c>
      <c r="B336" t="s">
        <v>1127</v>
      </c>
      <c r="C336" t="s">
        <v>1128</v>
      </c>
    </row>
    <row r="337" spans="1:3" x14ac:dyDescent="0.35">
      <c r="A337" t="s">
        <v>1129</v>
      </c>
      <c r="B337" t="s">
        <v>1130</v>
      </c>
      <c r="C337" t="s">
        <v>1131</v>
      </c>
    </row>
    <row r="338" spans="1:3" x14ac:dyDescent="0.35">
      <c r="A338" t="s">
        <v>1132</v>
      </c>
      <c r="B338" t="s">
        <v>1133</v>
      </c>
      <c r="C338" t="s">
        <v>1134</v>
      </c>
    </row>
    <row r="339" spans="1:3" x14ac:dyDescent="0.35">
      <c r="A339" t="s">
        <v>1135</v>
      </c>
      <c r="B339" t="s">
        <v>1136</v>
      </c>
      <c r="C339" t="s">
        <v>1137</v>
      </c>
    </row>
    <row r="340" spans="1:3" x14ac:dyDescent="0.35">
      <c r="A340" t="s">
        <v>1138</v>
      </c>
      <c r="B340" t="s">
        <v>1139</v>
      </c>
      <c r="C340" t="s">
        <v>1140</v>
      </c>
    </row>
    <row r="341" spans="1:3" x14ac:dyDescent="0.35">
      <c r="A341" t="s">
        <v>1141</v>
      </c>
      <c r="B341" t="s">
        <v>1142</v>
      </c>
      <c r="C341" t="s">
        <v>1143</v>
      </c>
    </row>
    <row r="342" spans="1:3" x14ac:dyDescent="0.35">
      <c r="A342" t="s">
        <v>1144</v>
      </c>
      <c r="B342" t="s">
        <v>1145</v>
      </c>
      <c r="C342" t="s">
        <v>1146</v>
      </c>
    </row>
    <row r="343" spans="1:3" x14ac:dyDescent="0.35">
      <c r="A343" t="s">
        <v>1147</v>
      </c>
      <c r="B343" t="s">
        <v>1148</v>
      </c>
      <c r="C343" t="s">
        <v>1149</v>
      </c>
    </row>
    <row r="344" spans="1:3" x14ac:dyDescent="0.35">
      <c r="A344" t="s">
        <v>1150</v>
      </c>
      <c r="B344" t="s">
        <v>1151</v>
      </c>
      <c r="C344" t="s">
        <v>1152</v>
      </c>
    </row>
    <row r="345" spans="1:3" x14ac:dyDescent="0.35">
      <c r="A345" t="s">
        <v>1153</v>
      </c>
      <c r="B345" t="s">
        <v>1154</v>
      </c>
      <c r="C345" t="s">
        <v>1155</v>
      </c>
    </row>
    <row r="346" spans="1:3" x14ac:dyDescent="0.35">
      <c r="A346" t="s">
        <v>1156</v>
      </c>
      <c r="B346" t="s">
        <v>1157</v>
      </c>
      <c r="C346" t="s">
        <v>1158</v>
      </c>
    </row>
    <row r="347" spans="1:3" x14ac:dyDescent="0.35">
      <c r="A347" t="s">
        <v>1159</v>
      </c>
      <c r="B347" t="s">
        <v>1160</v>
      </c>
      <c r="C347" t="s">
        <v>1161</v>
      </c>
    </row>
    <row r="348" spans="1:3" x14ac:dyDescent="0.35">
      <c r="A348" t="s">
        <v>1162</v>
      </c>
      <c r="B348" t="s">
        <v>1163</v>
      </c>
      <c r="C348" t="s">
        <v>1164</v>
      </c>
    </row>
    <row r="349" spans="1:3" x14ac:dyDescent="0.35">
      <c r="A349" t="s">
        <v>1165</v>
      </c>
      <c r="B349" t="s">
        <v>1166</v>
      </c>
      <c r="C349" t="s">
        <v>1167</v>
      </c>
    </row>
    <row r="350" spans="1:3" x14ac:dyDescent="0.35">
      <c r="A350" t="s">
        <v>1168</v>
      </c>
      <c r="B350" t="s">
        <v>1169</v>
      </c>
      <c r="C350" t="s">
        <v>1170</v>
      </c>
    </row>
    <row r="351" spans="1:3" x14ac:dyDescent="0.35">
      <c r="A351" t="s">
        <v>1171</v>
      </c>
      <c r="B351" t="s">
        <v>1172</v>
      </c>
      <c r="C351" t="s">
        <v>1173</v>
      </c>
    </row>
    <row r="352" spans="1:3" x14ac:dyDescent="0.35">
      <c r="A352" t="s">
        <v>1174</v>
      </c>
      <c r="B352" t="s">
        <v>1175</v>
      </c>
      <c r="C352" t="s">
        <v>1176</v>
      </c>
    </row>
    <row r="353" spans="1:3" x14ac:dyDescent="0.35">
      <c r="A353" t="s">
        <v>1177</v>
      </c>
      <c r="B353" t="s">
        <v>1178</v>
      </c>
      <c r="C353" t="s">
        <v>1179</v>
      </c>
    </row>
    <row r="354" spans="1:3" x14ac:dyDescent="0.35">
      <c r="A354" t="s">
        <v>1180</v>
      </c>
      <c r="B354" t="s">
        <v>1181</v>
      </c>
      <c r="C354" t="s">
        <v>1182</v>
      </c>
    </row>
    <row r="355" spans="1:3" x14ac:dyDescent="0.35">
      <c r="A355" t="s">
        <v>1183</v>
      </c>
      <c r="B355" t="s">
        <v>1184</v>
      </c>
      <c r="C355" t="s">
        <v>1185</v>
      </c>
    </row>
    <row r="356" spans="1:3" x14ac:dyDescent="0.35">
      <c r="A356" t="s">
        <v>1186</v>
      </c>
      <c r="B356" t="s">
        <v>1187</v>
      </c>
      <c r="C356" t="s">
        <v>1188</v>
      </c>
    </row>
    <row r="357" spans="1:3" x14ac:dyDescent="0.35">
      <c r="A357" t="s">
        <v>1189</v>
      </c>
      <c r="B357" t="s">
        <v>1190</v>
      </c>
      <c r="C357" t="s">
        <v>1191</v>
      </c>
    </row>
    <row r="358" spans="1:3" x14ac:dyDescent="0.35">
      <c r="A358" t="s">
        <v>1192</v>
      </c>
      <c r="B358" t="s">
        <v>1193</v>
      </c>
      <c r="C358" t="s">
        <v>1194</v>
      </c>
    </row>
    <row r="359" spans="1:3" x14ac:dyDescent="0.35">
      <c r="A359" t="s">
        <v>1195</v>
      </c>
      <c r="B359" t="s">
        <v>1196</v>
      </c>
      <c r="C359" t="s">
        <v>1197</v>
      </c>
    </row>
    <row r="360" spans="1:3" x14ac:dyDescent="0.35">
      <c r="A360" t="s">
        <v>1198</v>
      </c>
      <c r="B360" t="s">
        <v>1199</v>
      </c>
      <c r="C360" t="s">
        <v>1200</v>
      </c>
    </row>
    <row r="361" spans="1:3" x14ac:dyDescent="0.35">
      <c r="A361" t="s">
        <v>1201</v>
      </c>
      <c r="B361" t="s">
        <v>1202</v>
      </c>
      <c r="C361" t="s">
        <v>1203</v>
      </c>
    </row>
    <row r="362" spans="1:3" x14ac:dyDescent="0.35">
      <c r="A362" t="s">
        <v>1204</v>
      </c>
      <c r="B362" t="s">
        <v>1205</v>
      </c>
      <c r="C362" t="s">
        <v>1206</v>
      </c>
    </row>
    <row r="363" spans="1:3" x14ac:dyDescent="0.35">
      <c r="A363" t="s">
        <v>1207</v>
      </c>
      <c r="B363" t="s">
        <v>1208</v>
      </c>
      <c r="C363" t="s">
        <v>1209</v>
      </c>
    </row>
    <row r="364" spans="1:3" x14ac:dyDescent="0.35">
      <c r="A364" t="s">
        <v>1210</v>
      </c>
      <c r="B364" t="s">
        <v>1211</v>
      </c>
      <c r="C364" t="s">
        <v>1212</v>
      </c>
    </row>
    <row r="365" spans="1:3" x14ac:dyDescent="0.35">
      <c r="A365" t="s">
        <v>1213</v>
      </c>
      <c r="B365" t="s">
        <v>1214</v>
      </c>
      <c r="C365" t="s">
        <v>1215</v>
      </c>
    </row>
    <row r="366" spans="1:3" x14ac:dyDescent="0.35">
      <c r="A366" t="s">
        <v>1216</v>
      </c>
      <c r="B366" t="s">
        <v>1217</v>
      </c>
      <c r="C366" t="s">
        <v>1218</v>
      </c>
    </row>
    <row r="367" spans="1:3" x14ac:dyDescent="0.35">
      <c r="A367" t="s">
        <v>1219</v>
      </c>
      <c r="B367" t="s">
        <v>1220</v>
      </c>
      <c r="C367" t="s">
        <v>1221</v>
      </c>
    </row>
    <row r="368" spans="1:3" x14ac:dyDescent="0.35">
      <c r="A368" t="s">
        <v>1222</v>
      </c>
      <c r="B368" t="s">
        <v>1223</v>
      </c>
      <c r="C368" t="s">
        <v>1224</v>
      </c>
    </row>
    <row r="369" spans="1:3" x14ac:dyDescent="0.35">
      <c r="A369" t="s">
        <v>1225</v>
      </c>
      <c r="B369" t="s">
        <v>1226</v>
      </c>
      <c r="C369" t="s">
        <v>1227</v>
      </c>
    </row>
    <row r="370" spans="1:3" x14ac:dyDescent="0.35">
      <c r="A370" t="s">
        <v>1228</v>
      </c>
      <c r="B370" t="s">
        <v>1229</v>
      </c>
      <c r="C370" t="s">
        <v>1230</v>
      </c>
    </row>
    <row r="371" spans="1:3" x14ac:dyDescent="0.35">
      <c r="A371" t="s">
        <v>1231</v>
      </c>
      <c r="B371" t="s">
        <v>1232</v>
      </c>
      <c r="C371" t="s">
        <v>1233</v>
      </c>
    </row>
    <row r="372" spans="1:3" x14ac:dyDescent="0.35">
      <c r="A372" t="s">
        <v>1234</v>
      </c>
      <c r="B372" t="s">
        <v>1235</v>
      </c>
      <c r="C372" t="s">
        <v>1236</v>
      </c>
    </row>
    <row r="373" spans="1:3" x14ac:dyDescent="0.35">
      <c r="A373" t="s">
        <v>1237</v>
      </c>
      <c r="B373" t="s">
        <v>1238</v>
      </c>
      <c r="C373" t="s">
        <v>1239</v>
      </c>
    </row>
    <row r="374" spans="1:3" x14ac:dyDescent="0.35">
      <c r="A374" t="s">
        <v>1240</v>
      </c>
      <c r="B374" t="s">
        <v>1241</v>
      </c>
      <c r="C374" t="s">
        <v>1242</v>
      </c>
    </row>
    <row r="375" spans="1:3" x14ac:dyDescent="0.35">
      <c r="A375" t="s">
        <v>1243</v>
      </c>
      <c r="B375" t="s">
        <v>1244</v>
      </c>
      <c r="C375" t="s">
        <v>1245</v>
      </c>
    </row>
    <row r="376" spans="1:3" x14ac:dyDescent="0.35">
      <c r="A376" t="s">
        <v>1246</v>
      </c>
      <c r="B376" t="s">
        <v>1247</v>
      </c>
      <c r="C376" t="s">
        <v>1248</v>
      </c>
    </row>
    <row r="377" spans="1:3" x14ac:dyDescent="0.35">
      <c r="A377" t="s">
        <v>1249</v>
      </c>
      <c r="B377" t="s">
        <v>1250</v>
      </c>
      <c r="C377" t="s">
        <v>1251</v>
      </c>
    </row>
    <row r="378" spans="1:3" x14ac:dyDescent="0.35">
      <c r="A378" t="s">
        <v>1252</v>
      </c>
      <c r="B378" t="s">
        <v>1253</v>
      </c>
      <c r="C378" t="s">
        <v>1254</v>
      </c>
    </row>
    <row r="379" spans="1:3" x14ac:dyDescent="0.35">
      <c r="A379" t="s">
        <v>1255</v>
      </c>
      <c r="B379" t="s">
        <v>1256</v>
      </c>
      <c r="C379" t="s">
        <v>1257</v>
      </c>
    </row>
    <row r="380" spans="1:3" x14ac:dyDescent="0.35">
      <c r="A380" t="s">
        <v>1258</v>
      </c>
      <c r="B380" t="s">
        <v>1259</v>
      </c>
      <c r="C380" t="s">
        <v>1260</v>
      </c>
    </row>
    <row r="381" spans="1:3" x14ac:dyDescent="0.35">
      <c r="A381" t="s">
        <v>1261</v>
      </c>
      <c r="B381" t="s">
        <v>1262</v>
      </c>
      <c r="C381" t="s">
        <v>1263</v>
      </c>
    </row>
    <row r="382" spans="1:3" x14ac:dyDescent="0.35">
      <c r="A382" t="s">
        <v>1264</v>
      </c>
      <c r="B382" t="s">
        <v>1265</v>
      </c>
      <c r="C382" t="s">
        <v>1266</v>
      </c>
    </row>
    <row r="383" spans="1:3" x14ac:dyDescent="0.35">
      <c r="A383" t="s">
        <v>1267</v>
      </c>
      <c r="B383" t="s">
        <v>1268</v>
      </c>
      <c r="C383" t="s">
        <v>1269</v>
      </c>
    </row>
    <row r="384" spans="1:3" x14ac:dyDescent="0.35">
      <c r="A384" t="s">
        <v>1270</v>
      </c>
      <c r="B384" t="s">
        <v>1271</v>
      </c>
      <c r="C384" t="s">
        <v>1272</v>
      </c>
    </row>
    <row r="385" spans="1:3" x14ac:dyDescent="0.35">
      <c r="A385" t="s">
        <v>1273</v>
      </c>
      <c r="B385" t="s">
        <v>1274</v>
      </c>
      <c r="C385" t="s">
        <v>1275</v>
      </c>
    </row>
    <row r="386" spans="1:3" x14ac:dyDescent="0.35">
      <c r="A386" t="s">
        <v>1276</v>
      </c>
      <c r="B386" t="s">
        <v>1277</v>
      </c>
      <c r="C386" t="s">
        <v>1278</v>
      </c>
    </row>
    <row r="387" spans="1:3" x14ac:dyDescent="0.35">
      <c r="A387" t="s">
        <v>1279</v>
      </c>
      <c r="B387" t="s">
        <v>1280</v>
      </c>
      <c r="C387" t="s">
        <v>1281</v>
      </c>
    </row>
    <row r="388" spans="1:3" x14ac:dyDescent="0.35">
      <c r="A388" t="s">
        <v>1282</v>
      </c>
      <c r="B388" t="s">
        <v>1283</v>
      </c>
      <c r="C388" t="s">
        <v>1284</v>
      </c>
    </row>
    <row r="389" spans="1:3" x14ac:dyDescent="0.35">
      <c r="A389" t="s">
        <v>1285</v>
      </c>
      <c r="B389" t="s">
        <v>1286</v>
      </c>
      <c r="C389" t="s">
        <v>1287</v>
      </c>
    </row>
    <row r="390" spans="1:3" x14ac:dyDescent="0.35">
      <c r="A390" t="s">
        <v>1288</v>
      </c>
      <c r="B390" t="s">
        <v>1289</v>
      </c>
      <c r="C390" t="s">
        <v>1290</v>
      </c>
    </row>
    <row r="391" spans="1:3" x14ac:dyDescent="0.35">
      <c r="A391" t="s">
        <v>1291</v>
      </c>
      <c r="B391" t="s">
        <v>1292</v>
      </c>
      <c r="C391" t="s">
        <v>1293</v>
      </c>
    </row>
    <row r="392" spans="1:3" x14ac:dyDescent="0.35">
      <c r="A392" t="s">
        <v>1294</v>
      </c>
      <c r="B392" t="s">
        <v>1295</v>
      </c>
      <c r="C392" t="s">
        <v>1296</v>
      </c>
    </row>
    <row r="393" spans="1:3" x14ac:dyDescent="0.35">
      <c r="A393" t="s">
        <v>1297</v>
      </c>
      <c r="B393" t="s">
        <v>1298</v>
      </c>
      <c r="C393" t="s">
        <v>1299</v>
      </c>
    </row>
    <row r="394" spans="1:3" x14ac:dyDescent="0.35">
      <c r="A394" t="s">
        <v>1300</v>
      </c>
      <c r="B394" t="s">
        <v>1301</v>
      </c>
      <c r="C394" t="s">
        <v>1302</v>
      </c>
    </row>
    <row r="395" spans="1:3" x14ac:dyDescent="0.35">
      <c r="A395" t="s">
        <v>1303</v>
      </c>
      <c r="B395" t="s">
        <v>1304</v>
      </c>
      <c r="C395" t="s">
        <v>1305</v>
      </c>
    </row>
    <row r="396" spans="1:3" x14ac:dyDescent="0.35">
      <c r="A396" t="s">
        <v>1306</v>
      </c>
      <c r="B396" t="s">
        <v>1307</v>
      </c>
      <c r="C396" t="s">
        <v>1308</v>
      </c>
    </row>
    <row r="397" spans="1:3" x14ac:dyDescent="0.35">
      <c r="A397" t="s">
        <v>1309</v>
      </c>
      <c r="B397" t="s">
        <v>1310</v>
      </c>
      <c r="C397" t="s">
        <v>1311</v>
      </c>
    </row>
    <row r="398" spans="1:3" x14ac:dyDescent="0.35">
      <c r="A398" t="s">
        <v>1312</v>
      </c>
      <c r="B398" t="s">
        <v>1313</v>
      </c>
      <c r="C398" t="s">
        <v>1314</v>
      </c>
    </row>
    <row r="399" spans="1:3" x14ac:dyDescent="0.35">
      <c r="A399" t="s">
        <v>82</v>
      </c>
      <c r="B399" t="s">
        <v>1315</v>
      </c>
      <c r="C399" t="s">
        <v>1316</v>
      </c>
    </row>
    <row r="400" spans="1:3" x14ac:dyDescent="0.35">
      <c r="A400" t="s">
        <v>1317</v>
      </c>
      <c r="B400" t="s">
        <v>1318</v>
      </c>
      <c r="C400" t="s">
        <v>1319</v>
      </c>
    </row>
    <row r="401" spans="1:3" x14ac:dyDescent="0.35">
      <c r="A401" t="s">
        <v>1320</v>
      </c>
      <c r="B401" t="s">
        <v>1321</v>
      </c>
      <c r="C401" t="s">
        <v>1322</v>
      </c>
    </row>
    <row r="402" spans="1:3" x14ac:dyDescent="0.35">
      <c r="A402" t="s">
        <v>1323</v>
      </c>
      <c r="B402" t="s">
        <v>1324</v>
      </c>
      <c r="C402" t="s">
        <v>1325</v>
      </c>
    </row>
    <row r="403" spans="1:3" x14ac:dyDescent="0.35">
      <c r="A403" t="s">
        <v>1326</v>
      </c>
      <c r="B403" t="s">
        <v>1327</v>
      </c>
      <c r="C403" t="s">
        <v>1328</v>
      </c>
    </row>
    <row r="404" spans="1:3" x14ac:dyDescent="0.35">
      <c r="A404" t="s">
        <v>1329</v>
      </c>
      <c r="B404" t="s">
        <v>1330</v>
      </c>
      <c r="C404" t="s">
        <v>1331</v>
      </c>
    </row>
    <row r="405" spans="1:3" x14ac:dyDescent="0.35">
      <c r="A405" t="s">
        <v>1332</v>
      </c>
      <c r="B405" t="s">
        <v>1333</v>
      </c>
      <c r="C405" t="s">
        <v>1334</v>
      </c>
    </row>
    <row r="406" spans="1:3" x14ac:dyDescent="0.35">
      <c r="A406" t="s">
        <v>1335</v>
      </c>
      <c r="B406" t="s">
        <v>1336</v>
      </c>
      <c r="C406" t="s">
        <v>1337</v>
      </c>
    </row>
    <row r="407" spans="1:3" x14ac:dyDescent="0.35">
      <c r="A407" t="s">
        <v>1338</v>
      </c>
      <c r="B407" t="s">
        <v>1339</v>
      </c>
      <c r="C407" t="s">
        <v>1340</v>
      </c>
    </row>
    <row r="408" spans="1:3" x14ac:dyDescent="0.35">
      <c r="A408" t="s">
        <v>1341</v>
      </c>
      <c r="B408" t="s">
        <v>1342</v>
      </c>
      <c r="C408" t="s">
        <v>1343</v>
      </c>
    </row>
    <row r="409" spans="1:3" x14ac:dyDescent="0.35">
      <c r="A409" t="s">
        <v>1344</v>
      </c>
      <c r="B409" t="s">
        <v>1345</v>
      </c>
      <c r="C409" t="s">
        <v>1346</v>
      </c>
    </row>
    <row r="410" spans="1:3" x14ac:dyDescent="0.35">
      <c r="A410" t="s">
        <v>1347</v>
      </c>
      <c r="B410" t="s">
        <v>1348</v>
      </c>
      <c r="C410" t="s">
        <v>1349</v>
      </c>
    </row>
    <row r="411" spans="1:3" x14ac:dyDescent="0.35">
      <c r="A411" t="s">
        <v>1350</v>
      </c>
      <c r="B411" t="s">
        <v>1351</v>
      </c>
      <c r="C411" t="s">
        <v>1352</v>
      </c>
    </row>
    <row r="412" spans="1:3" x14ac:dyDescent="0.35">
      <c r="A412" t="s">
        <v>1353</v>
      </c>
      <c r="B412" t="s">
        <v>1354</v>
      </c>
      <c r="C412" t="s">
        <v>1355</v>
      </c>
    </row>
    <row r="413" spans="1:3" x14ac:dyDescent="0.35">
      <c r="A413" t="s">
        <v>1356</v>
      </c>
      <c r="B413" t="s">
        <v>1357</v>
      </c>
      <c r="C413" t="s">
        <v>1358</v>
      </c>
    </row>
    <row r="414" spans="1:3" x14ac:dyDescent="0.35">
      <c r="A414" t="s">
        <v>1359</v>
      </c>
      <c r="B414" t="s">
        <v>1360</v>
      </c>
      <c r="C414" t="s">
        <v>1361</v>
      </c>
    </row>
    <row r="415" spans="1:3" x14ac:dyDescent="0.35">
      <c r="A415" t="s">
        <v>1362</v>
      </c>
      <c r="B415" t="s">
        <v>1363</v>
      </c>
      <c r="C415" t="s">
        <v>1364</v>
      </c>
    </row>
    <row r="416" spans="1:3" x14ac:dyDescent="0.35">
      <c r="A416" t="s">
        <v>1365</v>
      </c>
      <c r="B416" t="s">
        <v>1366</v>
      </c>
      <c r="C416" t="s">
        <v>1367</v>
      </c>
    </row>
    <row r="417" spans="1:3" x14ac:dyDescent="0.35">
      <c r="A417" t="s">
        <v>1368</v>
      </c>
      <c r="B417" t="s">
        <v>1369</v>
      </c>
      <c r="C417" t="s">
        <v>1370</v>
      </c>
    </row>
    <row r="418" spans="1:3" x14ac:dyDescent="0.35">
      <c r="A418" t="s">
        <v>1371</v>
      </c>
      <c r="B418" t="s">
        <v>1372</v>
      </c>
      <c r="C418" t="s">
        <v>1373</v>
      </c>
    </row>
    <row r="419" spans="1:3" x14ac:dyDescent="0.35">
      <c r="A419" t="s">
        <v>1374</v>
      </c>
      <c r="B419" t="s">
        <v>1375</v>
      </c>
      <c r="C419" t="s">
        <v>1376</v>
      </c>
    </row>
    <row r="420" spans="1:3" x14ac:dyDescent="0.35">
      <c r="A420" t="s">
        <v>1377</v>
      </c>
      <c r="B420" t="s">
        <v>1378</v>
      </c>
      <c r="C420" t="s">
        <v>1379</v>
      </c>
    </row>
    <row r="421" spans="1:3" x14ac:dyDescent="0.35">
      <c r="A421" t="s">
        <v>1380</v>
      </c>
      <c r="B421" t="s">
        <v>1381</v>
      </c>
      <c r="C421" t="s">
        <v>1382</v>
      </c>
    </row>
    <row r="422" spans="1:3" x14ac:dyDescent="0.35">
      <c r="A422" t="s">
        <v>1383</v>
      </c>
      <c r="B422" t="s">
        <v>1384</v>
      </c>
      <c r="C422" t="s">
        <v>1385</v>
      </c>
    </row>
    <row r="423" spans="1:3" x14ac:dyDescent="0.35">
      <c r="A423" t="s">
        <v>1386</v>
      </c>
      <c r="B423" t="s">
        <v>1387</v>
      </c>
      <c r="C423" t="s">
        <v>1388</v>
      </c>
    </row>
    <row r="424" spans="1:3" x14ac:dyDescent="0.35">
      <c r="A424" t="s">
        <v>1389</v>
      </c>
      <c r="B424" t="s">
        <v>1390</v>
      </c>
      <c r="C424" t="s">
        <v>1391</v>
      </c>
    </row>
    <row r="425" spans="1:3" x14ac:dyDescent="0.35">
      <c r="A425" t="s">
        <v>1392</v>
      </c>
      <c r="B425" t="s">
        <v>1393</v>
      </c>
      <c r="C425" t="s">
        <v>1394</v>
      </c>
    </row>
    <row r="426" spans="1:3" x14ac:dyDescent="0.35">
      <c r="A426" t="s">
        <v>1395</v>
      </c>
      <c r="B426" t="s">
        <v>1396</v>
      </c>
      <c r="C426" t="s">
        <v>1397</v>
      </c>
    </row>
    <row r="427" spans="1:3" x14ac:dyDescent="0.35">
      <c r="A427" t="s">
        <v>1398</v>
      </c>
      <c r="B427" t="s">
        <v>1399</v>
      </c>
      <c r="C427" t="s">
        <v>1400</v>
      </c>
    </row>
    <row r="428" spans="1:3" x14ac:dyDescent="0.35">
      <c r="A428" t="s">
        <v>1401</v>
      </c>
      <c r="B428" t="s">
        <v>1402</v>
      </c>
      <c r="C428" t="s">
        <v>1403</v>
      </c>
    </row>
    <row r="429" spans="1:3" x14ac:dyDescent="0.35">
      <c r="A429" t="s">
        <v>1404</v>
      </c>
      <c r="B429" t="s">
        <v>1405</v>
      </c>
      <c r="C429" t="s">
        <v>1406</v>
      </c>
    </row>
    <row r="430" spans="1:3" x14ac:dyDescent="0.35">
      <c r="A430" t="s">
        <v>1407</v>
      </c>
      <c r="B430" t="s">
        <v>1408</v>
      </c>
      <c r="C430" t="s">
        <v>1409</v>
      </c>
    </row>
    <row r="431" spans="1:3" x14ac:dyDescent="0.35">
      <c r="A431" t="s">
        <v>1410</v>
      </c>
      <c r="B431" t="s">
        <v>1411</v>
      </c>
      <c r="C431" t="s">
        <v>1412</v>
      </c>
    </row>
    <row r="432" spans="1:3" x14ac:dyDescent="0.35">
      <c r="A432" t="s">
        <v>1413</v>
      </c>
      <c r="B432" t="s">
        <v>1414</v>
      </c>
      <c r="C432" t="s">
        <v>1415</v>
      </c>
    </row>
    <row r="433" spans="1:3" x14ac:dyDescent="0.35">
      <c r="A433" t="s">
        <v>1416</v>
      </c>
      <c r="B433" t="s">
        <v>1417</v>
      </c>
      <c r="C433" t="s">
        <v>1418</v>
      </c>
    </row>
    <row r="434" spans="1:3" x14ac:dyDescent="0.35">
      <c r="A434" t="s">
        <v>1419</v>
      </c>
      <c r="B434" t="s">
        <v>1420</v>
      </c>
      <c r="C434" t="s">
        <v>1421</v>
      </c>
    </row>
    <row r="435" spans="1:3" x14ac:dyDescent="0.35">
      <c r="A435" t="s">
        <v>1422</v>
      </c>
      <c r="B435" t="s">
        <v>1423</v>
      </c>
      <c r="C435" t="s">
        <v>1424</v>
      </c>
    </row>
    <row r="436" spans="1:3" x14ac:dyDescent="0.35">
      <c r="A436" t="s">
        <v>1425</v>
      </c>
      <c r="B436" t="s">
        <v>1426</v>
      </c>
      <c r="C436" t="s">
        <v>1427</v>
      </c>
    </row>
    <row r="437" spans="1:3" x14ac:dyDescent="0.35">
      <c r="A437" t="s">
        <v>1428</v>
      </c>
      <c r="B437" t="s">
        <v>1429</v>
      </c>
      <c r="C437" t="s">
        <v>1430</v>
      </c>
    </row>
    <row r="438" spans="1:3" x14ac:dyDescent="0.35">
      <c r="A438" t="s">
        <v>1431</v>
      </c>
      <c r="B438" t="s">
        <v>1432</v>
      </c>
      <c r="C438" t="s">
        <v>1433</v>
      </c>
    </row>
    <row r="439" spans="1:3" x14ac:dyDescent="0.35">
      <c r="A439" t="s">
        <v>1434</v>
      </c>
      <c r="B439" t="s">
        <v>1435</v>
      </c>
      <c r="C439" t="s">
        <v>1436</v>
      </c>
    </row>
    <row r="440" spans="1:3" x14ac:dyDescent="0.35">
      <c r="A440" t="s">
        <v>1437</v>
      </c>
      <c r="B440" t="s">
        <v>1438</v>
      </c>
      <c r="C440" t="s">
        <v>1439</v>
      </c>
    </row>
    <row r="441" spans="1:3" x14ac:dyDescent="0.35">
      <c r="A441" t="s">
        <v>1440</v>
      </c>
      <c r="B441" t="s">
        <v>1441</v>
      </c>
      <c r="C441" t="s">
        <v>1442</v>
      </c>
    </row>
    <row r="442" spans="1:3" x14ac:dyDescent="0.35">
      <c r="A442" t="s">
        <v>1443</v>
      </c>
      <c r="B442" t="s">
        <v>1444</v>
      </c>
      <c r="C442" t="s">
        <v>1445</v>
      </c>
    </row>
    <row r="443" spans="1:3" x14ac:dyDescent="0.35">
      <c r="A443" t="s">
        <v>1446</v>
      </c>
      <c r="B443" t="s">
        <v>1447</v>
      </c>
      <c r="C443" t="s">
        <v>1448</v>
      </c>
    </row>
    <row r="444" spans="1:3" x14ac:dyDescent="0.35">
      <c r="A444" t="s">
        <v>1449</v>
      </c>
      <c r="B444" t="s">
        <v>1450</v>
      </c>
      <c r="C444" t="s">
        <v>1451</v>
      </c>
    </row>
    <row r="445" spans="1:3" x14ac:dyDescent="0.35">
      <c r="A445" t="s">
        <v>1452</v>
      </c>
      <c r="B445" t="s">
        <v>1453</v>
      </c>
      <c r="C445" t="s">
        <v>1454</v>
      </c>
    </row>
    <row r="446" spans="1:3" x14ac:dyDescent="0.35">
      <c r="A446" t="s">
        <v>1455</v>
      </c>
      <c r="B446" t="s">
        <v>1456</v>
      </c>
      <c r="C446" t="s">
        <v>1457</v>
      </c>
    </row>
    <row r="447" spans="1:3" x14ac:dyDescent="0.35">
      <c r="A447" t="s">
        <v>1458</v>
      </c>
      <c r="B447" t="s">
        <v>1459</v>
      </c>
      <c r="C447" t="s">
        <v>1460</v>
      </c>
    </row>
    <row r="448" spans="1:3" x14ac:dyDescent="0.35">
      <c r="A448" t="s">
        <v>1461</v>
      </c>
      <c r="B448" t="s">
        <v>1462</v>
      </c>
      <c r="C448" t="s">
        <v>1463</v>
      </c>
    </row>
    <row r="449" spans="1:3" x14ac:dyDescent="0.35">
      <c r="A449" t="s">
        <v>1464</v>
      </c>
      <c r="B449" t="s">
        <v>1465</v>
      </c>
      <c r="C449" t="s">
        <v>1466</v>
      </c>
    </row>
    <row r="450" spans="1:3" x14ac:dyDescent="0.35">
      <c r="A450" t="s">
        <v>1467</v>
      </c>
      <c r="B450" t="s">
        <v>1468</v>
      </c>
      <c r="C450" t="s">
        <v>1469</v>
      </c>
    </row>
    <row r="451" spans="1:3" x14ac:dyDescent="0.35">
      <c r="A451" t="s">
        <v>1470</v>
      </c>
      <c r="B451" t="s">
        <v>1471</v>
      </c>
      <c r="C451" t="s">
        <v>1472</v>
      </c>
    </row>
    <row r="452" spans="1:3" x14ac:dyDescent="0.35">
      <c r="A452" t="s">
        <v>1473</v>
      </c>
      <c r="B452" t="s">
        <v>1474</v>
      </c>
      <c r="C452" t="s">
        <v>1475</v>
      </c>
    </row>
    <row r="453" spans="1:3" x14ac:dyDescent="0.35">
      <c r="A453" t="s">
        <v>1476</v>
      </c>
      <c r="B453" t="s">
        <v>1477</v>
      </c>
      <c r="C453" t="s">
        <v>1478</v>
      </c>
    </row>
    <row r="454" spans="1:3" x14ac:dyDescent="0.35">
      <c r="A454" t="s">
        <v>1479</v>
      </c>
      <c r="B454" t="s">
        <v>1480</v>
      </c>
      <c r="C454" t="s">
        <v>1481</v>
      </c>
    </row>
    <row r="455" spans="1:3" x14ac:dyDescent="0.35">
      <c r="A455" t="s">
        <v>1482</v>
      </c>
      <c r="B455" t="s">
        <v>1483</v>
      </c>
      <c r="C455" t="s">
        <v>1484</v>
      </c>
    </row>
    <row r="456" spans="1:3" x14ac:dyDescent="0.35">
      <c r="A456" t="s">
        <v>1485</v>
      </c>
      <c r="B456" t="s">
        <v>1486</v>
      </c>
      <c r="C456" t="s">
        <v>1487</v>
      </c>
    </row>
    <row r="457" spans="1:3" x14ac:dyDescent="0.35">
      <c r="A457" t="s">
        <v>1488</v>
      </c>
      <c r="B457" t="s">
        <v>1489</v>
      </c>
      <c r="C457" t="s">
        <v>1490</v>
      </c>
    </row>
    <row r="458" spans="1:3" x14ac:dyDescent="0.35">
      <c r="A458" t="s">
        <v>1491</v>
      </c>
      <c r="B458" t="s">
        <v>1492</v>
      </c>
      <c r="C458" t="s">
        <v>1493</v>
      </c>
    </row>
    <row r="459" spans="1:3" x14ac:dyDescent="0.35">
      <c r="A459" t="s">
        <v>1494</v>
      </c>
      <c r="B459" t="s">
        <v>1495</v>
      </c>
      <c r="C459" t="s">
        <v>1496</v>
      </c>
    </row>
    <row r="460" spans="1:3" x14ac:dyDescent="0.35">
      <c r="A460" t="s">
        <v>1497</v>
      </c>
      <c r="B460" t="s">
        <v>1498</v>
      </c>
      <c r="C460" t="s">
        <v>1499</v>
      </c>
    </row>
    <row r="461" spans="1:3" x14ac:dyDescent="0.35">
      <c r="A461" t="s">
        <v>1500</v>
      </c>
      <c r="B461" t="s">
        <v>1501</v>
      </c>
      <c r="C461" t="s">
        <v>1502</v>
      </c>
    </row>
    <row r="462" spans="1:3" x14ac:dyDescent="0.35">
      <c r="A462" t="s">
        <v>1503</v>
      </c>
      <c r="B462" t="s">
        <v>1504</v>
      </c>
      <c r="C462" t="s">
        <v>1505</v>
      </c>
    </row>
    <row r="463" spans="1:3" x14ac:dyDescent="0.35">
      <c r="A463" t="s">
        <v>1506</v>
      </c>
      <c r="B463" t="s">
        <v>1507</v>
      </c>
      <c r="C463" t="s">
        <v>1508</v>
      </c>
    </row>
    <row r="464" spans="1:3" x14ac:dyDescent="0.35">
      <c r="A464" t="s">
        <v>1509</v>
      </c>
      <c r="B464" t="s">
        <v>1510</v>
      </c>
      <c r="C464" t="s">
        <v>1511</v>
      </c>
    </row>
    <row r="465" spans="1:3" x14ac:dyDescent="0.35">
      <c r="A465" t="s">
        <v>1512</v>
      </c>
      <c r="B465" t="s">
        <v>1513</v>
      </c>
      <c r="C465" t="s">
        <v>1514</v>
      </c>
    </row>
    <row r="466" spans="1:3" x14ac:dyDescent="0.35">
      <c r="A466" t="s">
        <v>1515</v>
      </c>
      <c r="B466" t="s">
        <v>1516</v>
      </c>
      <c r="C466" t="s">
        <v>1517</v>
      </c>
    </row>
    <row r="467" spans="1:3" x14ac:dyDescent="0.35">
      <c r="A467" t="s">
        <v>1518</v>
      </c>
      <c r="B467" t="s">
        <v>1519</v>
      </c>
      <c r="C467" t="s">
        <v>1520</v>
      </c>
    </row>
    <row r="468" spans="1:3" x14ac:dyDescent="0.35">
      <c r="A468" t="s">
        <v>1521</v>
      </c>
      <c r="B468" t="s">
        <v>1522</v>
      </c>
      <c r="C468" t="s">
        <v>1523</v>
      </c>
    </row>
    <row r="469" spans="1:3" x14ac:dyDescent="0.35">
      <c r="A469" t="s">
        <v>1524</v>
      </c>
      <c r="B469" t="s">
        <v>1525</v>
      </c>
      <c r="C469" t="s">
        <v>1526</v>
      </c>
    </row>
    <row r="470" spans="1:3" x14ac:dyDescent="0.35">
      <c r="A470" t="s">
        <v>1527</v>
      </c>
      <c r="B470" t="s">
        <v>1528</v>
      </c>
      <c r="C470" t="s">
        <v>1529</v>
      </c>
    </row>
    <row r="471" spans="1:3" x14ac:dyDescent="0.35">
      <c r="A471" t="s">
        <v>1530</v>
      </c>
      <c r="B471" t="s">
        <v>1531</v>
      </c>
      <c r="C471" t="s">
        <v>1532</v>
      </c>
    </row>
    <row r="472" spans="1:3" x14ac:dyDescent="0.35">
      <c r="A472" t="s">
        <v>1533</v>
      </c>
      <c r="B472" t="s">
        <v>1534</v>
      </c>
      <c r="C472" t="s">
        <v>1535</v>
      </c>
    </row>
    <row r="473" spans="1:3" x14ac:dyDescent="0.35">
      <c r="A473" t="s">
        <v>1536</v>
      </c>
      <c r="B473" t="s">
        <v>1537</v>
      </c>
      <c r="C473" t="s">
        <v>1538</v>
      </c>
    </row>
    <row r="474" spans="1:3" x14ac:dyDescent="0.35">
      <c r="A474" t="s">
        <v>1539</v>
      </c>
      <c r="B474" t="s">
        <v>1540</v>
      </c>
      <c r="C474" t="s">
        <v>1541</v>
      </c>
    </row>
    <row r="475" spans="1:3" x14ac:dyDescent="0.35">
      <c r="A475" t="s">
        <v>1542</v>
      </c>
      <c r="B475" t="s">
        <v>1543</v>
      </c>
      <c r="C475" t="s">
        <v>1544</v>
      </c>
    </row>
    <row r="476" spans="1:3" x14ac:dyDescent="0.35">
      <c r="A476" t="s">
        <v>1545</v>
      </c>
      <c r="B476" t="s">
        <v>1546</v>
      </c>
      <c r="C476" t="s">
        <v>1547</v>
      </c>
    </row>
    <row r="477" spans="1:3" x14ac:dyDescent="0.35">
      <c r="A477" t="s">
        <v>1548</v>
      </c>
      <c r="B477" t="s">
        <v>1549</v>
      </c>
      <c r="C477" t="s">
        <v>1550</v>
      </c>
    </row>
    <row r="478" spans="1:3" x14ac:dyDescent="0.35">
      <c r="A478" t="s">
        <v>1551</v>
      </c>
      <c r="B478" t="s">
        <v>1552</v>
      </c>
      <c r="C478" t="s">
        <v>1553</v>
      </c>
    </row>
    <row r="479" spans="1:3" x14ac:dyDescent="0.35">
      <c r="A479" t="s">
        <v>1554</v>
      </c>
      <c r="B479" t="s">
        <v>1555</v>
      </c>
      <c r="C479" t="s">
        <v>1556</v>
      </c>
    </row>
    <row r="480" spans="1:3" x14ac:dyDescent="0.35">
      <c r="A480" t="s">
        <v>1557</v>
      </c>
      <c r="B480" t="s">
        <v>1558</v>
      </c>
      <c r="C480" t="s">
        <v>1559</v>
      </c>
    </row>
    <row r="481" spans="1:3" x14ac:dyDescent="0.35">
      <c r="A481" t="s">
        <v>1560</v>
      </c>
      <c r="B481" t="s">
        <v>1561</v>
      </c>
      <c r="C481" t="s">
        <v>1562</v>
      </c>
    </row>
    <row r="482" spans="1:3" x14ac:dyDescent="0.35">
      <c r="A482" t="s">
        <v>1563</v>
      </c>
      <c r="B482" t="s">
        <v>1564</v>
      </c>
      <c r="C482" t="s">
        <v>1565</v>
      </c>
    </row>
    <row r="483" spans="1:3" x14ac:dyDescent="0.35">
      <c r="A483" t="s">
        <v>1566</v>
      </c>
      <c r="B483" t="s">
        <v>1567</v>
      </c>
      <c r="C483" t="s">
        <v>1568</v>
      </c>
    </row>
    <row r="484" spans="1:3" x14ac:dyDescent="0.35">
      <c r="A484" t="s">
        <v>1569</v>
      </c>
      <c r="B484" t="s">
        <v>1570</v>
      </c>
      <c r="C484" t="s">
        <v>1571</v>
      </c>
    </row>
    <row r="485" spans="1:3" x14ac:dyDescent="0.35">
      <c r="A485" t="s">
        <v>1572</v>
      </c>
      <c r="B485" t="s">
        <v>1573</v>
      </c>
      <c r="C485" t="s">
        <v>1574</v>
      </c>
    </row>
    <row r="486" spans="1:3" x14ac:dyDescent="0.35">
      <c r="A486" t="s">
        <v>1575</v>
      </c>
      <c r="B486" t="s">
        <v>1576</v>
      </c>
      <c r="C486" t="s">
        <v>1577</v>
      </c>
    </row>
    <row r="487" spans="1:3" x14ac:dyDescent="0.35">
      <c r="A487" t="s">
        <v>1578</v>
      </c>
      <c r="B487" t="s">
        <v>1579</v>
      </c>
      <c r="C487" t="s">
        <v>1580</v>
      </c>
    </row>
    <row r="488" spans="1:3" x14ac:dyDescent="0.35">
      <c r="A488" t="s">
        <v>1581</v>
      </c>
      <c r="B488" t="s">
        <v>1582</v>
      </c>
      <c r="C488" t="s">
        <v>1583</v>
      </c>
    </row>
    <row r="489" spans="1:3" x14ac:dyDescent="0.35">
      <c r="A489" t="s">
        <v>1584</v>
      </c>
      <c r="B489" t="s">
        <v>1585</v>
      </c>
      <c r="C489" t="s">
        <v>1586</v>
      </c>
    </row>
    <row r="490" spans="1:3" x14ac:dyDescent="0.35">
      <c r="A490" t="s">
        <v>1587</v>
      </c>
      <c r="B490" t="s">
        <v>1588</v>
      </c>
      <c r="C490" t="s">
        <v>1589</v>
      </c>
    </row>
    <row r="491" spans="1:3" x14ac:dyDescent="0.35">
      <c r="A491" t="s">
        <v>1590</v>
      </c>
      <c r="B491" t="s">
        <v>1591</v>
      </c>
      <c r="C491" t="s">
        <v>1592</v>
      </c>
    </row>
    <row r="492" spans="1:3" x14ac:dyDescent="0.35">
      <c r="A492" t="s">
        <v>1593</v>
      </c>
      <c r="B492" t="s">
        <v>1594</v>
      </c>
      <c r="C492" t="s">
        <v>1595</v>
      </c>
    </row>
    <row r="493" spans="1:3" x14ac:dyDescent="0.35">
      <c r="A493" t="s">
        <v>1596</v>
      </c>
      <c r="B493" t="s">
        <v>1597</v>
      </c>
      <c r="C493" t="s">
        <v>1598</v>
      </c>
    </row>
    <row r="494" spans="1:3" x14ac:dyDescent="0.35">
      <c r="A494" t="s">
        <v>1599</v>
      </c>
      <c r="B494" t="s">
        <v>1600</v>
      </c>
      <c r="C494" t="s">
        <v>1601</v>
      </c>
    </row>
    <row r="495" spans="1:3" x14ac:dyDescent="0.35">
      <c r="A495" t="s">
        <v>1602</v>
      </c>
      <c r="B495" t="s">
        <v>1603</v>
      </c>
      <c r="C495" t="s">
        <v>1604</v>
      </c>
    </row>
    <row r="496" spans="1:3" x14ac:dyDescent="0.35">
      <c r="A496" t="s">
        <v>1605</v>
      </c>
      <c r="B496" t="s">
        <v>1606</v>
      </c>
      <c r="C496" t="s">
        <v>1607</v>
      </c>
    </row>
    <row r="497" spans="1:3" x14ac:dyDescent="0.35">
      <c r="A497" t="s">
        <v>1608</v>
      </c>
      <c r="B497" t="s">
        <v>1609</v>
      </c>
      <c r="C497" t="s">
        <v>1610</v>
      </c>
    </row>
    <row r="498" spans="1:3" x14ac:dyDescent="0.35">
      <c r="A498" t="s">
        <v>1611</v>
      </c>
      <c r="B498" t="s">
        <v>1612</v>
      </c>
      <c r="C498" t="s">
        <v>1613</v>
      </c>
    </row>
    <row r="499" spans="1:3" x14ac:dyDescent="0.35">
      <c r="A499" t="s">
        <v>1614</v>
      </c>
      <c r="B499" t="s">
        <v>1615</v>
      </c>
      <c r="C499" t="s">
        <v>1616</v>
      </c>
    </row>
    <row r="500" spans="1:3" x14ac:dyDescent="0.35">
      <c r="A500" t="s">
        <v>1617</v>
      </c>
      <c r="B500" t="s">
        <v>1618</v>
      </c>
      <c r="C500" t="s">
        <v>1619</v>
      </c>
    </row>
    <row r="501" spans="1:3" x14ac:dyDescent="0.35">
      <c r="A501" t="s">
        <v>1620</v>
      </c>
      <c r="B501" t="s">
        <v>1621</v>
      </c>
      <c r="C501" t="s">
        <v>1622</v>
      </c>
    </row>
    <row r="502" spans="1:3" x14ac:dyDescent="0.35">
      <c r="A502" t="s">
        <v>1623</v>
      </c>
      <c r="B502" t="s">
        <v>1624</v>
      </c>
      <c r="C502" t="s">
        <v>1625</v>
      </c>
    </row>
    <row r="503" spans="1:3" x14ac:dyDescent="0.35">
      <c r="A503" t="s">
        <v>1626</v>
      </c>
      <c r="B503" t="s">
        <v>1627</v>
      </c>
      <c r="C503" t="s">
        <v>1628</v>
      </c>
    </row>
    <row r="504" spans="1:3" x14ac:dyDescent="0.35">
      <c r="A504" t="s">
        <v>1629</v>
      </c>
      <c r="B504" t="s">
        <v>1630</v>
      </c>
      <c r="C504" t="s">
        <v>23129</v>
      </c>
    </row>
    <row r="505" spans="1:3" x14ac:dyDescent="0.35">
      <c r="A505" t="s">
        <v>1631</v>
      </c>
      <c r="B505" t="s">
        <v>1632</v>
      </c>
      <c r="C505" t="s">
        <v>1633</v>
      </c>
    </row>
    <row r="506" spans="1:3" x14ac:dyDescent="0.35">
      <c r="A506" t="s">
        <v>1634</v>
      </c>
      <c r="B506" t="s">
        <v>1635</v>
      </c>
      <c r="C506" t="s">
        <v>1636</v>
      </c>
    </row>
    <row r="507" spans="1:3" x14ac:dyDescent="0.35">
      <c r="A507" t="s">
        <v>1637</v>
      </c>
      <c r="B507" t="s">
        <v>1638</v>
      </c>
      <c r="C507" t="s">
        <v>1639</v>
      </c>
    </row>
    <row r="508" spans="1:3" x14ac:dyDescent="0.35">
      <c r="A508" t="s">
        <v>1640</v>
      </c>
      <c r="B508" t="s">
        <v>1641</v>
      </c>
      <c r="C508" t="s">
        <v>1642</v>
      </c>
    </row>
    <row r="509" spans="1:3" x14ac:dyDescent="0.35">
      <c r="A509" t="s">
        <v>1643</v>
      </c>
      <c r="B509" t="s">
        <v>1644</v>
      </c>
      <c r="C509" t="s">
        <v>1645</v>
      </c>
    </row>
    <row r="510" spans="1:3" x14ac:dyDescent="0.35">
      <c r="A510" t="s">
        <v>1646</v>
      </c>
      <c r="B510" t="s">
        <v>1647</v>
      </c>
      <c r="C510" t="s">
        <v>1648</v>
      </c>
    </row>
    <row r="511" spans="1:3" x14ac:dyDescent="0.35">
      <c r="A511" t="s">
        <v>1649</v>
      </c>
      <c r="B511" t="s">
        <v>1650</v>
      </c>
      <c r="C511" t="s">
        <v>1651</v>
      </c>
    </row>
    <row r="512" spans="1:3" x14ac:dyDescent="0.35">
      <c r="A512" t="s">
        <v>1652</v>
      </c>
      <c r="B512" t="s">
        <v>1653</v>
      </c>
      <c r="C512" t="s">
        <v>1654</v>
      </c>
    </row>
    <row r="513" spans="1:3" x14ac:dyDescent="0.35">
      <c r="A513" t="s">
        <v>1655</v>
      </c>
      <c r="B513" t="s">
        <v>1656</v>
      </c>
      <c r="C513" t="s">
        <v>1657</v>
      </c>
    </row>
    <row r="514" spans="1:3" x14ac:dyDescent="0.35">
      <c r="A514" t="s">
        <v>1658</v>
      </c>
      <c r="B514" t="s">
        <v>1659</v>
      </c>
      <c r="C514" t="s">
        <v>1660</v>
      </c>
    </row>
    <row r="515" spans="1:3" x14ac:dyDescent="0.35">
      <c r="A515" t="s">
        <v>1661</v>
      </c>
      <c r="B515" t="s">
        <v>1662</v>
      </c>
      <c r="C515" t="s">
        <v>1663</v>
      </c>
    </row>
    <row r="516" spans="1:3" x14ac:dyDescent="0.35">
      <c r="A516" t="s">
        <v>1664</v>
      </c>
      <c r="B516" t="s">
        <v>1665</v>
      </c>
      <c r="C516" t="s">
        <v>1666</v>
      </c>
    </row>
    <row r="517" spans="1:3" x14ac:dyDescent="0.35">
      <c r="A517" t="s">
        <v>1667</v>
      </c>
      <c r="B517" t="s">
        <v>1668</v>
      </c>
      <c r="C517" t="s">
        <v>1669</v>
      </c>
    </row>
    <row r="518" spans="1:3" x14ac:dyDescent="0.35">
      <c r="A518" t="s">
        <v>1670</v>
      </c>
      <c r="B518" t="s">
        <v>1671</v>
      </c>
      <c r="C518" t="s">
        <v>1672</v>
      </c>
    </row>
    <row r="519" spans="1:3" x14ac:dyDescent="0.35">
      <c r="A519" t="s">
        <v>1673</v>
      </c>
      <c r="B519" t="s">
        <v>1674</v>
      </c>
      <c r="C519" t="s">
        <v>1675</v>
      </c>
    </row>
    <row r="520" spans="1:3" x14ac:dyDescent="0.35">
      <c r="A520" t="s">
        <v>1673</v>
      </c>
      <c r="B520" t="s">
        <v>1676</v>
      </c>
      <c r="C520" t="s">
        <v>1675</v>
      </c>
    </row>
    <row r="521" spans="1:3" x14ac:dyDescent="0.35">
      <c r="A521" t="s">
        <v>1677</v>
      </c>
      <c r="B521" t="s">
        <v>1678</v>
      </c>
      <c r="C521" t="s">
        <v>1679</v>
      </c>
    </row>
    <row r="522" spans="1:3" x14ac:dyDescent="0.35">
      <c r="A522" t="s">
        <v>1680</v>
      </c>
      <c r="B522" t="s">
        <v>1681</v>
      </c>
      <c r="C522" t="s">
        <v>1682</v>
      </c>
    </row>
    <row r="523" spans="1:3" x14ac:dyDescent="0.35">
      <c r="A523" t="s">
        <v>1683</v>
      </c>
      <c r="B523" t="s">
        <v>1684</v>
      </c>
      <c r="C523" t="s">
        <v>1685</v>
      </c>
    </row>
    <row r="524" spans="1:3" x14ac:dyDescent="0.35">
      <c r="A524" t="s">
        <v>1686</v>
      </c>
      <c r="B524" t="s">
        <v>1687</v>
      </c>
      <c r="C524" t="s">
        <v>1688</v>
      </c>
    </row>
    <row r="525" spans="1:3" x14ac:dyDescent="0.35">
      <c r="A525" t="s">
        <v>1689</v>
      </c>
      <c r="B525" t="s">
        <v>1690</v>
      </c>
      <c r="C525" t="s">
        <v>1691</v>
      </c>
    </row>
    <row r="526" spans="1:3" x14ac:dyDescent="0.35">
      <c r="A526" t="s">
        <v>1692</v>
      </c>
      <c r="B526" t="s">
        <v>1693</v>
      </c>
      <c r="C526" t="s">
        <v>1694</v>
      </c>
    </row>
    <row r="527" spans="1:3" x14ac:dyDescent="0.35">
      <c r="A527" t="s">
        <v>1695</v>
      </c>
      <c r="B527" t="s">
        <v>1696</v>
      </c>
      <c r="C527" t="s">
        <v>1697</v>
      </c>
    </row>
    <row r="528" spans="1:3" x14ac:dyDescent="0.35">
      <c r="A528" t="s">
        <v>1698</v>
      </c>
      <c r="B528" t="s">
        <v>1699</v>
      </c>
      <c r="C528" t="s">
        <v>1700</v>
      </c>
    </row>
    <row r="529" spans="1:3" x14ac:dyDescent="0.35">
      <c r="A529" t="s">
        <v>1701</v>
      </c>
      <c r="B529" t="s">
        <v>1702</v>
      </c>
      <c r="C529" t="s">
        <v>1703</v>
      </c>
    </row>
    <row r="530" spans="1:3" x14ac:dyDescent="0.35">
      <c r="A530" t="s">
        <v>1704</v>
      </c>
      <c r="B530" t="s">
        <v>1705</v>
      </c>
      <c r="C530" t="s">
        <v>1706</v>
      </c>
    </row>
    <row r="531" spans="1:3" x14ac:dyDescent="0.35">
      <c r="A531" t="s">
        <v>1707</v>
      </c>
      <c r="B531" t="s">
        <v>1708</v>
      </c>
      <c r="C531" t="s">
        <v>1709</v>
      </c>
    </row>
    <row r="532" spans="1:3" x14ac:dyDescent="0.35">
      <c r="A532" t="s">
        <v>1710</v>
      </c>
      <c r="B532" t="s">
        <v>1711</v>
      </c>
      <c r="C532" t="s">
        <v>1712</v>
      </c>
    </row>
    <row r="533" spans="1:3" x14ac:dyDescent="0.35">
      <c r="A533" t="s">
        <v>1713</v>
      </c>
      <c r="B533" t="s">
        <v>1714</v>
      </c>
      <c r="C533" t="s">
        <v>1715</v>
      </c>
    </row>
    <row r="534" spans="1:3" x14ac:dyDescent="0.35">
      <c r="A534" t="s">
        <v>1716</v>
      </c>
      <c r="B534" t="s">
        <v>1717</v>
      </c>
      <c r="C534" t="s">
        <v>1718</v>
      </c>
    </row>
    <row r="535" spans="1:3" x14ac:dyDescent="0.35">
      <c r="A535" t="s">
        <v>1719</v>
      </c>
      <c r="B535" t="s">
        <v>1720</v>
      </c>
      <c r="C535" t="s">
        <v>1721</v>
      </c>
    </row>
    <row r="536" spans="1:3" x14ac:dyDescent="0.35">
      <c r="A536" t="s">
        <v>1722</v>
      </c>
      <c r="B536" t="s">
        <v>1723</v>
      </c>
      <c r="C536" t="s">
        <v>1724</v>
      </c>
    </row>
    <row r="537" spans="1:3" x14ac:dyDescent="0.35">
      <c r="A537" t="s">
        <v>1725</v>
      </c>
      <c r="B537" t="s">
        <v>1726</v>
      </c>
      <c r="C537" t="s">
        <v>1727</v>
      </c>
    </row>
    <row r="538" spans="1:3" x14ac:dyDescent="0.35">
      <c r="A538" t="s">
        <v>1728</v>
      </c>
      <c r="B538" t="s">
        <v>1729</v>
      </c>
      <c r="C538" t="s">
        <v>1730</v>
      </c>
    </row>
    <row r="539" spans="1:3" x14ac:dyDescent="0.35">
      <c r="A539" t="s">
        <v>1731</v>
      </c>
      <c r="B539" t="s">
        <v>1732</v>
      </c>
      <c r="C539" t="s">
        <v>1733</v>
      </c>
    </row>
    <row r="540" spans="1:3" x14ac:dyDescent="0.35">
      <c r="A540" t="s">
        <v>1734</v>
      </c>
      <c r="B540" t="s">
        <v>1735</v>
      </c>
      <c r="C540" t="s">
        <v>1736</v>
      </c>
    </row>
    <row r="541" spans="1:3" x14ac:dyDescent="0.35">
      <c r="A541" t="s">
        <v>1737</v>
      </c>
      <c r="B541" t="s">
        <v>1738</v>
      </c>
      <c r="C541" t="s">
        <v>1739</v>
      </c>
    </row>
    <row r="542" spans="1:3" x14ac:dyDescent="0.35">
      <c r="A542" t="s">
        <v>1740</v>
      </c>
      <c r="B542" t="s">
        <v>1741</v>
      </c>
      <c r="C542" t="s">
        <v>1742</v>
      </c>
    </row>
    <row r="543" spans="1:3" x14ac:dyDescent="0.35">
      <c r="A543" t="s">
        <v>1743</v>
      </c>
      <c r="B543" t="s">
        <v>1744</v>
      </c>
      <c r="C543" t="s">
        <v>1745</v>
      </c>
    </row>
    <row r="544" spans="1:3" x14ac:dyDescent="0.35">
      <c r="A544" t="s">
        <v>1746</v>
      </c>
      <c r="B544" t="s">
        <v>1747</v>
      </c>
      <c r="C544" t="s">
        <v>1748</v>
      </c>
    </row>
    <row r="545" spans="1:3" x14ac:dyDescent="0.35">
      <c r="A545" t="s">
        <v>1749</v>
      </c>
      <c r="B545" t="s">
        <v>1750</v>
      </c>
      <c r="C545" t="s">
        <v>1751</v>
      </c>
    </row>
    <row r="546" spans="1:3" x14ac:dyDescent="0.35">
      <c r="A546" t="s">
        <v>1752</v>
      </c>
      <c r="B546" t="s">
        <v>1753</v>
      </c>
      <c r="C546" t="s">
        <v>1754</v>
      </c>
    </row>
    <row r="547" spans="1:3" x14ac:dyDescent="0.35">
      <c r="A547" t="s">
        <v>1755</v>
      </c>
      <c r="B547" t="s">
        <v>1756</v>
      </c>
      <c r="C547" t="s">
        <v>1757</v>
      </c>
    </row>
    <row r="548" spans="1:3" x14ac:dyDescent="0.35">
      <c r="A548" t="s">
        <v>1758</v>
      </c>
      <c r="B548" t="s">
        <v>1759</v>
      </c>
      <c r="C548" t="s">
        <v>1760</v>
      </c>
    </row>
    <row r="549" spans="1:3" x14ac:dyDescent="0.35">
      <c r="A549" t="s">
        <v>1761</v>
      </c>
      <c r="B549" t="s">
        <v>1762</v>
      </c>
      <c r="C549" t="s">
        <v>1763</v>
      </c>
    </row>
    <row r="550" spans="1:3" x14ac:dyDescent="0.35">
      <c r="A550" t="s">
        <v>1764</v>
      </c>
      <c r="B550" t="s">
        <v>1765</v>
      </c>
      <c r="C550" t="s">
        <v>1766</v>
      </c>
    </row>
    <row r="551" spans="1:3" x14ac:dyDescent="0.35">
      <c r="A551" t="s">
        <v>1767</v>
      </c>
      <c r="B551" t="s">
        <v>1768</v>
      </c>
      <c r="C551" t="s">
        <v>1769</v>
      </c>
    </row>
    <row r="552" spans="1:3" x14ac:dyDescent="0.35">
      <c r="A552" t="s">
        <v>1770</v>
      </c>
      <c r="B552" t="s">
        <v>1771</v>
      </c>
      <c r="C552" t="s">
        <v>1772</v>
      </c>
    </row>
    <row r="553" spans="1:3" x14ac:dyDescent="0.35">
      <c r="A553" t="s">
        <v>1773</v>
      </c>
      <c r="B553" t="s">
        <v>1774</v>
      </c>
      <c r="C553" t="s">
        <v>1775</v>
      </c>
    </row>
    <row r="554" spans="1:3" x14ac:dyDescent="0.35">
      <c r="A554" t="s">
        <v>1776</v>
      </c>
      <c r="B554" t="s">
        <v>1777</v>
      </c>
      <c r="C554" t="s">
        <v>1778</v>
      </c>
    </row>
    <row r="555" spans="1:3" x14ac:dyDescent="0.35">
      <c r="A555" t="s">
        <v>1779</v>
      </c>
      <c r="B555" t="s">
        <v>1780</v>
      </c>
      <c r="C555" t="s">
        <v>1781</v>
      </c>
    </row>
    <row r="556" spans="1:3" x14ac:dyDescent="0.35">
      <c r="A556" t="s">
        <v>1782</v>
      </c>
      <c r="B556" t="s">
        <v>1783</v>
      </c>
      <c r="C556" t="s">
        <v>1784</v>
      </c>
    </row>
    <row r="557" spans="1:3" x14ac:dyDescent="0.35">
      <c r="A557" t="s">
        <v>1785</v>
      </c>
      <c r="B557" t="s">
        <v>1786</v>
      </c>
      <c r="C557" t="s">
        <v>1787</v>
      </c>
    </row>
    <row r="558" spans="1:3" x14ac:dyDescent="0.35">
      <c r="A558" t="s">
        <v>1788</v>
      </c>
      <c r="B558" t="s">
        <v>1789</v>
      </c>
      <c r="C558" t="s">
        <v>1790</v>
      </c>
    </row>
    <row r="559" spans="1:3" x14ac:dyDescent="0.35">
      <c r="A559" t="s">
        <v>1791</v>
      </c>
      <c r="B559" t="s">
        <v>1792</v>
      </c>
      <c r="C559" t="s">
        <v>1793</v>
      </c>
    </row>
    <row r="560" spans="1:3" x14ac:dyDescent="0.35">
      <c r="A560" t="s">
        <v>1794</v>
      </c>
      <c r="B560" t="s">
        <v>1795</v>
      </c>
      <c r="C560" t="s">
        <v>1796</v>
      </c>
    </row>
    <row r="561" spans="1:3" x14ac:dyDescent="0.35">
      <c r="A561" t="s">
        <v>1797</v>
      </c>
      <c r="B561" t="s">
        <v>1798</v>
      </c>
      <c r="C561" t="s">
        <v>1799</v>
      </c>
    </row>
    <row r="562" spans="1:3" x14ac:dyDescent="0.35">
      <c r="A562" t="s">
        <v>1800</v>
      </c>
      <c r="B562" t="s">
        <v>1801</v>
      </c>
      <c r="C562" t="s">
        <v>1802</v>
      </c>
    </row>
    <row r="563" spans="1:3" x14ac:dyDescent="0.35">
      <c r="A563" t="s">
        <v>1803</v>
      </c>
      <c r="B563" t="s">
        <v>1804</v>
      </c>
      <c r="C563" t="s">
        <v>1805</v>
      </c>
    </row>
    <row r="564" spans="1:3" x14ac:dyDescent="0.35">
      <c r="A564" t="s">
        <v>1806</v>
      </c>
      <c r="B564" t="s">
        <v>1807</v>
      </c>
      <c r="C564" t="s">
        <v>1808</v>
      </c>
    </row>
    <row r="565" spans="1:3" x14ac:dyDescent="0.35">
      <c r="A565" t="s">
        <v>1809</v>
      </c>
      <c r="B565" t="s">
        <v>1810</v>
      </c>
      <c r="C565" t="s">
        <v>1811</v>
      </c>
    </row>
    <row r="566" spans="1:3" x14ac:dyDescent="0.35">
      <c r="A566" t="s">
        <v>1812</v>
      </c>
      <c r="B566" t="s">
        <v>1813</v>
      </c>
      <c r="C566" t="s">
        <v>1814</v>
      </c>
    </row>
    <row r="567" spans="1:3" x14ac:dyDescent="0.35">
      <c r="A567" t="s">
        <v>1815</v>
      </c>
      <c r="B567" t="s">
        <v>1816</v>
      </c>
      <c r="C567" t="s">
        <v>1817</v>
      </c>
    </row>
    <row r="568" spans="1:3" x14ac:dyDescent="0.35">
      <c r="A568" t="s">
        <v>1818</v>
      </c>
      <c r="B568" t="s">
        <v>1819</v>
      </c>
      <c r="C568" t="s">
        <v>1820</v>
      </c>
    </row>
    <row r="569" spans="1:3" x14ac:dyDescent="0.35">
      <c r="A569" t="s">
        <v>1821</v>
      </c>
      <c r="B569" t="s">
        <v>1822</v>
      </c>
      <c r="C569" t="s">
        <v>1823</v>
      </c>
    </row>
    <row r="570" spans="1:3" x14ac:dyDescent="0.35">
      <c r="A570" t="s">
        <v>1824</v>
      </c>
      <c r="B570" t="s">
        <v>1825</v>
      </c>
      <c r="C570" t="s">
        <v>1826</v>
      </c>
    </row>
    <row r="571" spans="1:3" x14ac:dyDescent="0.35">
      <c r="A571" t="s">
        <v>1827</v>
      </c>
      <c r="B571" t="s">
        <v>1828</v>
      </c>
      <c r="C571" t="s">
        <v>1829</v>
      </c>
    </row>
    <row r="572" spans="1:3" x14ac:dyDescent="0.35">
      <c r="A572" t="s">
        <v>1830</v>
      </c>
      <c r="B572" t="s">
        <v>1831</v>
      </c>
      <c r="C572" t="s">
        <v>1832</v>
      </c>
    </row>
    <row r="573" spans="1:3" x14ac:dyDescent="0.35">
      <c r="A573" t="s">
        <v>1833</v>
      </c>
      <c r="B573" t="s">
        <v>1834</v>
      </c>
      <c r="C573" t="s">
        <v>1835</v>
      </c>
    </row>
    <row r="574" spans="1:3" x14ac:dyDescent="0.35">
      <c r="A574" t="s">
        <v>1836</v>
      </c>
      <c r="B574" t="s">
        <v>1837</v>
      </c>
      <c r="C574" t="s">
        <v>1838</v>
      </c>
    </row>
    <row r="575" spans="1:3" x14ac:dyDescent="0.35">
      <c r="A575" t="s">
        <v>1839</v>
      </c>
      <c r="B575" t="s">
        <v>1840</v>
      </c>
      <c r="C575" t="s">
        <v>1841</v>
      </c>
    </row>
    <row r="576" spans="1:3" x14ac:dyDescent="0.35">
      <c r="A576" t="s">
        <v>1842</v>
      </c>
      <c r="B576" t="s">
        <v>1843</v>
      </c>
      <c r="C576" t="s">
        <v>1844</v>
      </c>
    </row>
    <row r="577" spans="1:3" x14ac:dyDescent="0.35">
      <c r="A577" t="s">
        <v>1845</v>
      </c>
      <c r="B577" t="s">
        <v>1846</v>
      </c>
      <c r="C577" t="s">
        <v>1847</v>
      </c>
    </row>
    <row r="578" spans="1:3" x14ac:dyDescent="0.35">
      <c r="A578" t="s">
        <v>1848</v>
      </c>
      <c r="B578" t="s">
        <v>1849</v>
      </c>
      <c r="C578" t="s">
        <v>1850</v>
      </c>
    </row>
    <row r="579" spans="1:3" x14ac:dyDescent="0.35">
      <c r="A579" t="s">
        <v>1851</v>
      </c>
      <c r="B579" t="s">
        <v>1852</v>
      </c>
      <c r="C579" t="s">
        <v>1853</v>
      </c>
    </row>
    <row r="580" spans="1:3" x14ac:dyDescent="0.35">
      <c r="A580" t="s">
        <v>1854</v>
      </c>
      <c r="B580" t="s">
        <v>1855</v>
      </c>
      <c r="C580" t="s">
        <v>1856</v>
      </c>
    </row>
    <row r="581" spans="1:3" x14ac:dyDescent="0.35">
      <c r="A581" t="s">
        <v>1857</v>
      </c>
      <c r="B581" t="s">
        <v>1858</v>
      </c>
      <c r="C581" t="s">
        <v>1859</v>
      </c>
    </row>
    <row r="582" spans="1:3" x14ac:dyDescent="0.35">
      <c r="A582" t="s">
        <v>1860</v>
      </c>
      <c r="B582" t="s">
        <v>1861</v>
      </c>
      <c r="C582" t="s">
        <v>1862</v>
      </c>
    </row>
    <row r="583" spans="1:3" x14ac:dyDescent="0.35">
      <c r="A583" t="s">
        <v>1863</v>
      </c>
      <c r="B583" t="s">
        <v>1864</v>
      </c>
      <c r="C583" t="s">
        <v>1865</v>
      </c>
    </row>
    <row r="584" spans="1:3" x14ac:dyDescent="0.35">
      <c r="A584" t="s">
        <v>1866</v>
      </c>
      <c r="B584" t="s">
        <v>1867</v>
      </c>
      <c r="C584" t="s">
        <v>1868</v>
      </c>
    </row>
    <row r="585" spans="1:3" x14ac:dyDescent="0.35">
      <c r="A585" t="s">
        <v>1869</v>
      </c>
      <c r="B585" t="s">
        <v>1870</v>
      </c>
      <c r="C585" t="s">
        <v>1871</v>
      </c>
    </row>
    <row r="586" spans="1:3" x14ac:dyDescent="0.35">
      <c r="A586" t="s">
        <v>1872</v>
      </c>
      <c r="B586" t="s">
        <v>1873</v>
      </c>
      <c r="C586" t="s">
        <v>1874</v>
      </c>
    </row>
    <row r="587" spans="1:3" x14ac:dyDescent="0.35">
      <c r="A587" t="s">
        <v>1875</v>
      </c>
      <c r="B587" t="s">
        <v>1876</v>
      </c>
      <c r="C587" t="s">
        <v>1877</v>
      </c>
    </row>
    <row r="588" spans="1:3" x14ac:dyDescent="0.35">
      <c r="A588" t="s">
        <v>1878</v>
      </c>
      <c r="B588" t="s">
        <v>1879</v>
      </c>
      <c r="C588" t="s">
        <v>1880</v>
      </c>
    </row>
    <row r="589" spans="1:3" x14ac:dyDescent="0.35">
      <c r="A589" t="s">
        <v>1881</v>
      </c>
      <c r="B589" t="s">
        <v>1882</v>
      </c>
      <c r="C589" t="s">
        <v>1883</v>
      </c>
    </row>
    <row r="590" spans="1:3" x14ac:dyDescent="0.35">
      <c r="A590" t="s">
        <v>1884</v>
      </c>
      <c r="B590" t="s">
        <v>1885</v>
      </c>
      <c r="C590" t="s">
        <v>1886</v>
      </c>
    </row>
    <row r="591" spans="1:3" x14ac:dyDescent="0.35">
      <c r="A591" t="s">
        <v>1887</v>
      </c>
      <c r="B591" t="s">
        <v>1888</v>
      </c>
      <c r="C591" t="s">
        <v>1889</v>
      </c>
    </row>
    <row r="592" spans="1:3" x14ac:dyDescent="0.35">
      <c r="A592" t="s">
        <v>1890</v>
      </c>
      <c r="B592" t="s">
        <v>1891</v>
      </c>
      <c r="C592" t="s">
        <v>1892</v>
      </c>
    </row>
    <row r="593" spans="1:3" x14ac:dyDescent="0.35">
      <c r="A593" t="s">
        <v>1893</v>
      </c>
      <c r="B593" t="s">
        <v>1894</v>
      </c>
      <c r="C593" t="s">
        <v>1895</v>
      </c>
    </row>
    <row r="594" spans="1:3" x14ac:dyDescent="0.35">
      <c r="A594" t="s">
        <v>1896</v>
      </c>
      <c r="B594" t="s">
        <v>1897</v>
      </c>
      <c r="C594" t="s">
        <v>1898</v>
      </c>
    </row>
    <row r="595" spans="1:3" x14ac:dyDescent="0.35">
      <c r="A595" t="s">
        <v>1899</v>
      </c>
      <c r="B595" t="s">
        <v>1900</v>
      </c>
      <c r="C595" t="s">
        <v>1901</v>
      </c>
    </row>
    <row r="596" spans="1:3" x14ac:dyDescent="0.35">
      <c r="A596" t="s">
        <v>1902</v>
      </c>
      <c r="B596" t="s">
        <v>1903</v>
      </c>
      <c r="C596" t="s">
        <v>1904</v>
      </c>
    </row>
    <row r="597" spans="1:3" x14ac:dyDescent="0.35">
      <c r="A597" t="s">
        <v>1905</v>
      </c>
      <c r="B597" t="s">
        <v>1906</v>
      </c>
      <c r="C597" t="s">
        <v>1907</v>
      </c>
    </row>
    <row r="598" spans="1:3" x14ac:dyDescent="0.35">
      <c r="A598" t="s">
        <v>1908</v>
      </c>
      <c r="B598" t="s">
        <v>1909</v>
      </c>
      <c r="C598" t="s">
        <v>1910</v>
      </c>
    </row>
    <row r="599" spans="1:3" x14ac:dyDescent="0.35">
      <c r="A599" t="s">
        <v>1911</v>
      </c>
      <c r="B599" t="s">
        <v>1912</v>
      </c>
      <c r="C599" t="s">
        <v>1913</v>
      </c>
    </row>
    <row r="600" spans="1:3" x14ac:dyDescent="0.35">
      <c r="A600" t="s">
        <v>1914</v>
      </c>
      <c r="B600" t="s">
        <v>1915</v>
      </c>
      <c r="C600" t="s">
        <v>1916</v>
      </c>
    </row>
    <row r="601" spans="1:3" x14ac:dyDescent="0.35">
      <c r="A601" t="s">
        <v>1917</v>
      </c>
      <c r="B601" t="s">
        <v>1918</v>
      </c>
      <c r="C601" t="s">
        <v>1919</v>
      </c>
    </row>
    <row r="602" spans="1:3" x14ac:dyDescent="0.35">
      <c r="A602" t="s">
        <v>1920</v>
      </c>
      <c r="B602" t="s">
        <v>1921</v>
      </c>
      <c r="C602" t="s">
        <v>1922</v>
      </c>
    </row>
    <row r="603" spans="1:3" x14ac:dyDescent="0.35">
      <c r="A603" t="s">
        <v>1923</v>
      </c>
      <c r="B603" t="s">
        <v>1924</v>
      </c>
      <c r="C603" t="s">
        <v>1925</v>
      </c>
    </row>
    <row r="604" spans="1:3" x14ac:dyDescent="0.35">
      <c r="A604" t="s">
        <v>1926</v>
      </c>
      <c r="B604" t="s">
        <v>1927</v>
      </c>
      <c r="C604" t="s">
        <v>1928</v>
      </c>
    </row>
    <row r="605" spans="1:3" x14ac:dyDescent="0.35">
      <c r="A605" t="s">
        <v>1929</v>
      </c>
      <c r="B605" t="s">
        <v>1930</v>
      </c>
      <c r="C605" t="s">
        <v>1931</v>
      </c>
    </row>
    <row r="606" spans="1:3" x14ac:dyDescent="0.35">
      <c r="A606" t="s">
        <v>1932</v>
      </c>
      <c r="B606" t="s">
        <v>1933</v>
      </c>
      <c r="C606" t="s">
        <v>1934</v>
      </c>
    </row>
    <row r="607" spans="1:3" x14ac:dyDescent="0.35">
      <c r="A607" t="s">
        <v>1935</v>
      </c>
      <c r="B607" t="s">
        <v>1936</v>
      </c>
      <c r="C607" t="s">
        <v>1937</v>
      </c>
    </row>
    <row r="608" spans="1:3" x14ac:dyDescent="0.35">
      <c r="A608" t="s">
        <v>1938</v>
      </c>
      <c r="B608" t="s">
        <v>1939</v>
      </c>
      <c r="C608" t="s">
        <v>1940</v>
      </c>
    </row>
    <row r="609" spans="1:3" x14ac:dyDescent="0.35">
      <c r="A609" t="s">
        <v>1941</v>
      </c>
      <c r="B609" t="s">
        <v>1942</v>
      </c>
      <c r="C609" t="s">
        <v>1943</v>
      </c>
    </row>
    <row r="610" spans="1:3" x14ac:dyDescent="0.35">
      <c r="A610" t="s">
        <v>1944</v>
      </c>
      <c r="B610" t="s">
        <v>1945</v>
      </c>
      <c r="C610" t="s">
        <v>1946</v>
      </c>
    </row>
    <row r="611" spans="1:3" x14ac:dyDescent="0.35">
      <c r="A611" t="s">
        <v>1947</v>
      </c>
      <c r="B611" t="s">
        <v>1948</v>
      </c>
      <c r="C611" t="s">
        <v>1949</v>
      </c>
    </row>
    <row r="612" spans="1:3" x14ac:dyDescent="0.35">
      <c r="A612" t="s">
        <v>1950</v>
      </c>
      <c r="B612" t="s">
        <v>1951</v>
      </c>
      <c r="C612" t="s">
        <v>1952</v>
      </c>
    </row>
    <row r="613" spans="1:3" x14ac:dyDescent="0.35">
      <c r="A613" t="s">
        <v>1953</v>
      </c>
      <c r="B613" t="s">
        <v>1954</v>
      </c>
      <c r="C613" t="s">
        <v>1955</v>
      </c>
    </row>
    <row r="614" spans="1:3" x14ac:dyDescent="0.35">
      <c r="A614" t="s">
        <v>1956</v>
      </c>
      <c r="B614" t="s">
        <v>1957</v>
      </c>
      <c r="C614" t="s">
        <v>1958</v>
      </c>
    </row>
    <row r="615" spans="1:3" x14ac:dyDescent="0.35">
      <c r="A615" t="s">
        <v>1959</v>
      </c>
      <c r="B615" t="s">
        <v>1960</v>
      </c>
      <c r="C615" t="s">
        <v>1961</v>
      </c>
    </row>
    <row r="616" spans="1:3" x14ac:dyDescent="0.35">
      <c r="A616" t="s">
        <v>1962</v>
      </c>
      <c r="B616" t="s">
        <v>1963</v>
      </c>
      <c r="C616" t="s">
        <v>1964</v>
      </c>
    </row>
    <row r="617" spans="1:3" x14ac:dyDescent="0.35">
      <c r="A617" t="s">
        <v>1965</v>
      </c>
      <c r="B617" t="s">
        <v>1966</v>
      </c>
      <c r="C617" t="s">
        <v>1967</v>
      </c>
    </row>
    <row r="618" spans="1:3" x14ac:dyDescent="0.35">
      <c r="A618" t="s">
        <v>83</v>
      </c>
      <c r="B618" t="s">
        <v>1968</v>
      </c>
      <c r="C618" t="s">
        <v>1969</v>
      </c>
    </row>
    <row r="619" spans="1:3" x14ac:dyDescent="0.35">
      <c r="A619" t="s">
        <v>1970</v>
      </c>
      <c r="B619" t="s">
        <v>1971</v>
      </c>
      <c r="C619" t="s">
        <v>1972</v>
      </c>
    </row>
    <row r="620" spans="1:3" x14ac:dyDescent="0.35">
      <c r="A620" t="s">
        <v>1973</v>
      </c>
      <c r="B620" t="s">
        <v>1974</v>
      </c>
      <c r="C620" t="s">
        <v>1975</v>
      </c>
    </row>
    <row r="621" spans="1:3" x14ac:dyDescent="0.35">
      <c r="A621" t="s">
        <v>1976</v>
      </c>
      <c r="B621" t="s">
        <v>1977</v>
      </c>
      <c r="C621" t="s">
        <v>1978</v>
      </c>
    </row>
    <row r="622" spans="1:3" x14ac:dyDescent="0.35">
      <c r="A622" t="s">
        <v>1976</v>
      </c>
      <c r="B622" t="s">
        <v>1979</v>
      </c>
      <c r="C622" t="s">
        <v>1980</v>
      </c>
    </row>
    <row r="623" spans="1:3" x14ac:dyDescent="0.35">
      <c r="A623" t="s">
        <v>1981</v>
      </c>
      <c r="B623" t="s">
        <v>1982</v>
      </c>
      <c r="C623" t="s">
        <v>1983</v>
      </c>
    </row>
    <row r="624" spans="1:3" x14ac:dyDescent="0.35">
      <c r="A624" t="s">
        <v>1984</v>
      </c>
      <c r="B624" t="s">
        <v>1985</v>
      </c>
      <c r="C624" t="s">
        <v>1986</v>
      </c>
    </row>
    <row r="625" spans="1:3" x14ac:dyDescent="0.35">
      <c r="A625" t="s">
        <v>1987</v>
      </c>
      <c r="B625" t="s">
        <v>1988</v>
      </c>
      <c r="C625" t="s">
        <v>1989</v>
      </c>
    </row>
    <row r="626" spans="1:3" x14ac:dyDescent="0.35">
      <c r="A626" t="s">
        <v>1990</v>
      </c>
      <c r="B626" t="s">
        <v>1991</v>
      </c>
      <c r="C626" t="s">
        <v>1992</v>
      </c>
    </row>
    <row r="627" spans="1:3" x14ac:dyDescent="0.35">
      <c r="A627" t="s">
        <v>1993</v>
      </c>
      <c r="B627" t="s">
        <v>1994</v>
      </c>
      <c r="C627" t="s">
        <v>1995</v>
      </c>
    </row>
    <row r="628" spans="1:3" x14ac:dyDescent="0.35">
      <c r="A628" t="s">
        <v>1996</v>
      </c>
      <c r="B628" t="s">
        <v>1997</v>
      </c>
      <c r="C628" t="s">
        <v>1998</v>
      </c>
    </row>
    <row r="629" spans="1:3" x14ac:dyDescent="0.35">
      <c r="A629" t="s">
        <v>1999</v>
      </c>
      <c r="B629" t="s">
        <v>2000</v>
      </c>
      <c r="C629" t="s">
        <v>2001</v>
      </c>
    </row>
    <row r="630" spans="1:3" x14ac:dyDescent="0.35">
      <c r="A630" t="s">
        <v>2002</v>
      </c>
      <c r="B630" t="s">
        <v>2003</v>
      </c>
      <c r="C630" t="s">
        <v>2004</v>
      </c>
    </row>
    <row r="631" spans="1:3" x14ac:dyDescent="0.35">
      <c r="A631" t="s">
        <v>2005</v>
      </c>
      <c r="B631" t="s">
        <v>2006</v>
      </c>
      <c r="C631" t="s">
        <v>2007</v>
      </c>
    </row>
    <row r="632" spans="1:3" x14ac:dyDescent="0.35">
      <c r="A632" t="s">
        <v>2008</v>
      </c>
      <c r="B632" t="s">
        <v>2009</v>
      </c>
      <c r="C632" t="s">
        <v>2010</v>
      </c>
    </row>
    <row r="633" spans="1:3" x14ac:dyDescent="0.35">
      <c r="A633" t="s">
        <v>2011</v>
      </c>
      <c r="B633" t="s">
        <v>2012</v>
      </c>
      <c r="C633" t="s">
        <v>2013</v>
      </c>
    </row>
    <row r="634" spans="1:3" x14ac:dyDescent="0.35">
      <c r="A634" t="s">
        <v>2014</v>
      </c>
      <c r="B634" t="s">
        <v>2015</v>
      </c>
      <c r="C634" t="s">
        <v>2016</v>
      </c>
    </row>
    <row r="635" spans="1:3" x14ac:dyDescent="0.35">
      <c r="A635" t="s">
        <v>2017</v>
      </c>
      <c r="B635" t="s">
        <v>2018</v>
      </c>
      <c r="C635" t="s">
        <v>2019</v>
      </c>
    </row>
    <row r="636" spans="1:3" x14ac:dyDescent="0.35">
      <c r="A636" t="s">
        <v>2020</v>
      </c>
      <c r="B636" t="s">
        <v>2021</v>
      </c>
      <c r="C636" t="s">
        <v>2022</v>
      </c>
    </row>
    <row r="637" spans="1:3" x14ac:dyDescent="0.35">
      <c r="A637" t="s">
        <v>2023</v>
      </c>
      <c r="B637" t="s">
        <v>2024</v>
      </c>
      <c r="C637" t="s">
        <v>2025</v>
      </c>
    </row>
    <row r="638" spans="1:3" x14ac:dyDescent="0.35">
      <c r="A638" t="s">
        <v>2026</v>
      </c>
      <c r="B638" t="s">
        <v>2027</v>
      </c>
      <c r="C638" t="s">
        <v>2028</v>
      </c>
    </row>
    <row r="639" spans="1:3" x14ac:dyDescent="0.35">
      <c r="A639" t="s">
        <v>2029</v>
      </c>
      <c r="B639" t="s">
        <v>2030</v>
      </c>
      <c r="C639" t="s">
        <v>2031</v>
      </c>
    </row>
    <row r="640" spans="1:3" x14ac:dyDescent="0.35">
      <c r="A640" t="s">
        <v>2032</v>
      </c>
      <c r="B640" t="s">
        <v>2033</v>
      </c>
      <c r="C640" t="s">
        <v>2034</v>
      </c>
    </row>
    <row r="641" spans="1:3" x14ac:dyDescent="0.35">
      <c r="A641" t="s">
        <v>2035</v>
      </c>
      <c r="B641" t="s">
        <v>2036</v>
      </c>
      <c r="C641" t="s">
        <v>2037</v>
      </c>
    </row>
    <row r="642" spans="1:3" x14ac:dyDescent="0.35">
      <c r="A642" t="s">
        <v>2038</v>
      </c>
      <c r="B642" t="s">
        <v>2039</v>
      </c>
      <c r="C642" t="s">
        <v>2040</v>
      </c>
    </row>
    <row r="643" spans="1:3" x14ac:dyDescent="0.35">
      <c r="A643" t="s">
        <v>2041</v>
      </c>
      <c r="B643" t="s">
        <v>2042</v>
      </c>
      <c r="C643" t="s">
        <v>2043</v>
      </c>
    </row>
    <row r="644" spans="1:3" x14ac:dyDescent="0.35">
      <c r="A644" t="s">
        <v>2044</v>
      </c>
      <c r="B644" t="s">
        <v>2045</v>
      </c>
      <c r="C644" t="s">
        <v>2046</v>
      </c>
    </row>
    <row r="645" spans="1:3" x14ac:dyDescent="0.35">
      <c r="A645" t="s">
        <v>2047</v>
      </c>
      <c r="B645" t="s">
        <v>2048</v>
      </c>
      <c r="C645" t="s">
        <v>2049</v>
      </c>
    </row>
    <row r="646" spans="1:3" x14ac:dyDescent="0.35">
      <c r="A646" t="s">
        <v>2050</v>
      </c>
      <c r="B646" t="s">
        <v>2051</v>
      </c>
      <c r="C646" t="s">
        <v>2052</v>
      </c>
    </row>
    <row r="647" spans="1:3" x14ac:dyDescent="0.35">
      <c r="A647" t="s">
        <v>2053</v>
      </c>
      <c r="B647" t="s">
        <v>2054</v>
      </c>
      <c r="C647" t="s">
        <v>2055</v>
      </c>
    </row>
    <row r="648" spans="1:3" x14ac:dyDescent="0.35">
      <c r="A648" t="s">
        <v>2056</v>
      </c>
      <c r="B648" t="s">
        <v>2057</v>
      </c>
      <c r="C648" t="s">
        <v>2058</v>
      </c>
    </row>
    <row r="649" spans="1:3" x14ac:dyDescent="0.35">
      <c r="A649" t="s">
        <v>2059</v>
      </c>
      <c r="B649" t="s">
        <v>2060</v>
      </c>
      <c r="C649" t="s">
        <v>2061</v>
      </c>
    </row>
    <row r="650" spans="1:3" x14ac:dyDescent="0.35">
      <c r="A650" t="s">
        <v>2059</v>
      </c>
      <c r="B650" t="s">
        <v>2062</v>
      </c>
      <c r="C650" t="s">
        <v>2063</v>
      </c>
    </row>
    <row r="651" spans="1:3" x14ac:dyDescent="0.35">
      <c r="A651" t="s">
        <v>2064</v>
      </c>
      <c r="B651" t="s">
        <v>2065</v>
      </c>
      <c r="C651" t="s">
        <v>2066</v>
      </c>
    </row>
    <row r="652" spans="1:3" x14ac:dyDescent="0.35">
      <c r="A652" t="s">
        <v>2067</v>
      </c>
      <c r="B652" t="s">
        <v>2068</v>
      </c>
      <c r="C652" t="s">
        <v>2069</v>
      </c>
    </row>
    <row r="653" spans="1:3" x14ac:dyDescent="0.35">
      <c r="A653" t="s">
        <v>2070</v>
      </c>
      <c r="B653" t="s">
        <v>2071</v>
      </c>
      <c r="C653" t="s">
        <v>2072</v>
      </c>
    </row>
    <row r="654" spans="1:3" x14ac:dyDescent="0.35">
      <c r="A654" t="s">
        <v>2073</v>
      </c>
      <c r="B654" t="s">
        <v>2074</v>
      </c>
      <c r="C654" t="s">
        <v>2075</v>
      </c>
    </row>
    <row r="655" spans="1:3" x14ac:dyDescent="0.35">
      <c r="A655" t="s">
        <v>2076</v>
      </c>
      <c r="B655" t="s">
        <v>2077</v>
      </c>
      <c r="C655" t="s">
        <v>2078</v>
      </c>
    </row>
    <row r="656" spans="1:3" x14ac:dyDescent="0.35">
      <c r="A656" t="s">
        <v>2079</v>
      </c>
      <c r="B656" t="s">
        <v>2080</v>
      </c>
      <c r="C656" t="s">
        <v>2081</v>
      </c>
    </row>
    <row r="657" spans="1:3" x14ac:dyDescent="0.35">
      <c r="A657" t="s">
        <v>2082</v>
      </c>
      <c r="B657" t="s">
        <v>2083</v>
      </c>
      <c r="C657" t="s">
        <v>2084</v>
      </c>
    </row>
    <row r="658" spans="1:3" x14ac:dyDescent="0.35">
      <c r="A658" t="s">
        <v>2085</v>
      </c>
      <c r="B658" t="s">
        <v>2086</v>
      </c>
      <c r="C658" t="s">
        <v>2087</v>
      </c>
    </row>
    <row r="659" spans="1:3" x14ac:dyDescent="0.35">
      <c r="A659" t="s">
        <v>2088</v>
      </c>
      <c r="B659" t="s">
        <v>2089</v>
      </c>
      <c r="C659" t="s">
        <v>2090</v>
      </c>
    </row>
    <row r="660" spans="1:3" x14ac:dyDescent="0.35">
      <c r="A660" t="s">
        <v>2091</v>
      </c>
      <c r="B660" t="s">
        <v>2092</v>
      </c>
      <c r="C660" t="s">
        <v>2093</v>
      </c>
    </row>
    <row r="661" spans="1:3" x14ac:dyDescent="0.35">
      <c r="A661" t="s">
        <v>2094</v>
      </c>
      <c r="B661" t="s">
        <v>2095</v>
      </c>
      <c r="C661" t="s">
        <v>2096</v>
      </c>
    </row>
    <row r="662" spans="1:3" x14ac:dyDescent="0.35">
      <c r="A662" t="s">
        <v>2097</v>
      </c>
      <c r="B662" t="s">
        <v>2098</v>
      </c>
      <c r="C662" t="s">
        <v>2099</v>
      </c>
    </row>
    <row r="663" spans="1:3" x14ac:dyDescent="0.35">
      <c r="A663" t="s">
        <v>2100</v>
      </c>
      <c r="B663" t="s">
        <v>2101</v>
      </c>
      <c r="C663" t="s">
        <v>2102</v>
      </c>
    </row>
    <row r="664" spans="1:3" x14ac:dyDescent="0.35">
      <c r="A664" t="s">
        <v>2103</v>
      </c>
      <c r="B664" t="s">
        <v>2104</v>
      </c>
      <c r="C664" t="s">
        <v>2105</v>
      </c>
    </row>
    <row r="665" spans="1:3" x14ac:dyDescent="0.35">
      <c r="A665" t="s">
        <v>2106</v>
      </c>
      <c r="B665" t="s">
        <v>2107</v>
      </c>
      <c r="C665" t="s">
        <v>2108</v>
      </c>
    </row>
    <row r="666" spans="1:3" x14ac:dyDescent="0.35">
      <c r="A666" t="s">
        <v>2109</v>
      </c>
      <c r="B666" t="s">
        <v>2110</v>
      </c>
      <c r="C666" t="s">
        <v>2111</v>
      </c>
    </row>
    <row r="667" spans="1:3" x14ac:dyDescent="0.35">
      <c r="A667" t="s">
        <v>2112</v>
      </c>
      <c r="B667" t="s">
        <v>2113</v>
      </c>
      <c r="C667" t="s">
        <v>2114</v>
      </c>
    </row>
    <row r="668" spans="1:3" x14ac:dyDescent="0.35">
      <c r="A668" t="s">
        <v>2115</v>
      </c>
      <c r="B668" t="s">
        <v>2116</v>
      </c>
      <c r="C668" t="s">
        <v>2117</v>
      </c>
    </row>
    <row r="669" spans="1:3" x14ac:dyDescent="0.35">
      <c r="A669" t="s">
        <v>2118</v>
      </c>
      <c r="B669" t="s">
        <v>2119</v>
      </c>
      <c r="C669" t="s">
        <v>2120</v>
      </c>
    </row>
    <row r="670" spans="1:3" x14ac:dyDescent="0.35">
      <c r="A670" t="s">
        <v>2121</v>
      </c>
      <c r="B670" t="s">
        <v>2122</v>
      </c>
      <c r="C670" t="s">
        <v>2123</v>
      </c>
    </row>
    <row r="671" spans="1:3" x14ac:dyDescent="0.35">
      <c r="A671" t="s">
        <v>2124</v>
      </c>
      <c r="B671" t="s">
        <v>2125</v>
      </c>
      <c r="C671" t="s">
        <v>2126</v>
      </c>
    </row>
    <row r="672" spans="1:3" x14ac:dyDescent="0.35">
      <c r="A672" t="s">
        <v>2127</v>
      </c>
      <c r="B672" t="s">
        <v>2128</v>
      </c>
      <c r="C672" t="s">
        <v>2129</v>
      </c>
    </row>
    <row r="673" spans="1:3" x14ac:dyDescent="0.35">
      <c r="A673" t="s">
        <v>2130</v>
      </c>
      <c r="B673" t="s">
        <v>2131</v>
      </c>
      <c r="C673" t="s">
        <v>2132</v>
      </c>
    </row>
    <row r="674" spans="1:3" x14ac:dyDescent="0.35">
      <c r="A674" t="s">
        <v>2133</v>
      </c>
      <c r="B674" t="s">
        <v>2134</v>
      </c>
      <c r="C674" t="s">
        <v>2135</v>
      </c>
    </row>
    <row r="675" spans="1:3" x14ac:dyDescent="0.35">
      <c r="A675" t="s">
        <v>2136</v>
      </c>
      <c r="B675" t="s">
        <v>2137</v>
      </c>
      <c r="C675" t="s">
        <v>2138</v>
      </c>
    </row>
    <row r="676" spans="1:3" x14ac:dyDescent="0.35">
      <c r="A676" t="s">
        <v>2139</v>
      </c>
      <c r="B676" t="s">
        <v>2140</v>
      </c>
      <c r="C676" t="s">
        <v>2141</v>
      </c>
    </row>
    <row r="677" spans="1:3" x14ac:dyDescent="0.35">
      <c r="A677" t="s">
        <v>2142</v>
      </c>
      <c r="B677" t="s">
        <v>2143</v>
      </c>
      <c r="C677" t="s">
        <v>2144</v>
      </c>
    </row>
    <row r="678" spans="1:3" x14ac:dyDescent="0.35">
      <c r="A678" t="s">
        <v>2145</v>
      </c>
      <c r="B678" t="s">
        <v>2146</v>
      </c>
      <c r="C678" t="s">
        <v>2147</v>
      </c>
    </row>
    <row r="679" spans="1:3" x14ac:dyDescent="0.35">
      <c r="A679" t="s">
        <v>2148</v>
      </c>
      <c r="B679" t="s">
        <v>2149</v>
      </c>
      <c r="C679" t="s">
        <v>2150</v>
      </c>
    </row>
    <row r="680" spans="1:3" x14ac:dyDescent="0.35">
      <c r="A680" t="s">
        <v>2151</v>
      </c>
      <c r="B680" t="s">
        <v>2152</v>
      </c>
      <c r="C680" t="s">
        <v>2153</v>
      </c>
    </row>
    <row r="681" spans="1:3" x14ac:dyDescent="0.35">
      <c r="A681" t="s">
        <v>2154</v>
      </c>
      <c r="B681" t="s">
        <v>2155</v>
      </c>
      <c r="C681" t="s">
        <v>2156</v>
      </c>
    </row>
    <row r="682" spans="1:3" x14ac:dyDescent="0.35">
      <c r="A682" t="s">
        <v>2157</v>
      </c>
      <c r="B682" t="s">
        <v>2158</v>
      </c>
      <c r="C682" t="s">
        <v>2159</v>
      </c>
    </row>
    <row r="683" spans="1:3" x14ac:dyDescent="0.35">
      <c r="A683" t="s">
        <v>2160</v>
      </c>
      <c r="B683" t="s">
        <v>2161</v>
      </c>
      <c r="C683" t="s">
        <v>2162</v>
      </c>
    </row>
    <row r="684" spans="1:3" x14ac:dyDescent="0.35">
      <c r="A684" t="s">
        <v>2163</v>
      </c>
      <c r="B684" t="s">
        <v>2164</v>
      </c>
      <c r="C684" t="s">
        <v>2165</v>
      </c>
    </row>
    <row r="685" spans="1:3" x14ac:dyDescent="0.35">
      <c r="A685" t="s">
        <v>2166</v>
      </c>
      <c r="B685" t="s">
        <v>2167</v>
      </c>
      <c r="C685" t="s">
        <v>2168</v>
      </c>
    </row>
    <row r="686" spans="1:3" x14ac:dyDescent="0.35">
      <c r="A686" t="s">
        <v>2169</v>
      </c>
      <c r="B686" t="s">
        <v>2170</v>
      </c>
      <c r="C686" t="s">
        <v>2171</v>
      </c>
    </row>
    <row r="687" spans="1:3" x14ac:dyDescent="0.35">
      <c r="A687" t="s">
        <v>2172</v>
      </c>
      <c r="B687" t="s">
        <v>2173</v>
      </c>
      <c r="C687" t="s">
        <v>2174</v>
      </c>
    </row>
    <row r="688" spans="1:3" x14ac:dyDescent="0.35">
      <c r="A688" t="s">
        <v>2175</v>
      </c>
      <c r="B688" t="s">
        <v>2176</v>
      </c>
      <c r="C688" t="s">
        <v>2177</v>
      </c>
    </row>
    <row r="689" spans="1:3" x14ac:dyDescent="0.35">
      <c r="A689" t="s">
        <v>2178</v>
      </c>
      <c r="B689" t="s">
        <v>2179</v>
      </c>
      <c r="C689" t="s">
        <v>2180</v>
      </c>
    </row>
    <row r="690" spans="1:3" x14ac:dyDescent="0.35">
      <c r="A690" t="s">
        <v>2181</v>
      </c>
      <c r="B690" t="s">
        <v>2182</v>
      </c>
      <c r="C690" t="s">
        <v>2183</v>
      </c>
    </row>
    <row r="691" spans="1:3" x14ac:dyDescent="0.35">
      <c r="A691" t="s">
        <v>2184</v>
      </c>
      <c r="B691" t="s">
        <v>2185</v>
      </c>
      <c r="C691" t="s">
        <v>2186</v>
      </c>
    </row>
    <row r="692" spans="1:3" x14ac:dyDescent="0.35">
      <c r="A692" t="s">
        <v>2187</v>
      </c>
      <c r="B692" t="s">
        <v>2188</v>
      </c>
      <c r="C692" t="s">
        <v>2189</v>
      </c>
    </row>
    <row r="693" spans="1:3" x14ac:dyDescent="0.35">
      <c r="A693" t="s">
        <v>2190</v>
      </c>
      <c r="B693" t="s">
        <v>2191</v>
      </c>
      <c r="C693" t="s">
        <v>2192</v>
      </c>
    </row>
    <row r="694" spans="1:3" x14ac:dyDescent="0.35">
      <c r="A694" t="s">
        <v>2193</v>
      </c>
      <c r="B694" t="s">
        <v>2194</v>
      </c>
      <c r="C694" t="s">
        <v>2195</v>
      </c>
    </row>
    <row r="695" spans="1:3" x14ac:dyDescent="0.35">
      <c r="A695" t="s">
        <v>2196</v>
      </c>
      <c r="B695" t="s">
        <v>2197</v>
      </c>
      <c r="C695" t="s">
        <v>2198</v>
      </c>
    </row>
    <row r="696" spans="1:3" x14ac:dyDescent="0.35">
      <c r="A696" t="s">
        <v>2199</v>
      </c>
      <c r="B696" t="s">
        <v>2200</v>
      </c>
      <c r="C696" t="s">
        <v>2201</v>
      </c>
    </row>
    <row r="697" spans="1:3" x14ac:dyDescent="0.35">
      <c r="A697" t="s">
        <v>2202</v>
      </c>
      <c r="B697" t="s">
        <v>2203</v>
      </c>
      <c r="C697" t="s">
        <v>2204</v>
      </c>
    </row>
    <row r="698" spans="1:3" x14ac:dyDescent="0.35">
      <c r="A698" t="s">
        <v>2205</v>
      </c>
      <c r="B698" t="s">
        <v>2206</v>
      </c>
      <c r="C698" t="s">
        <v>2207</v>
      </c>
    </row>
    <row r="699" spans="1:3" x14ac:dyDescent="0.35">
      <c r="A699" t="s">
        <v>2208</v>
      </c>
      <c r="B699" t="s">
        <v>2209</v>
      </c>
      <c r="C699" t="s">
        <v>2210</v>
      </c>
    </row>
    <row r="700" spans="1:3" x14ac:dyDescent="0.35">
      <c r="A700" t="s">
        <v>2211</v>
      </c>
      <c r="B700" t="s">
        <v>2212</v>
      </c>
      <c r="C700" t="s">
        <v>2213</v>
      </c>
    </row>
    <row r="701" spans="1:3" x14ac:dyDescent="0.35">
      <c r="A701" t="s">
        <v>2214</v>
      </c>
      <c r="B701" t="s">
        <v>2215</v>
      </c>
      <c r="C701" t="s">
        <v>2216</v>
      </c>
    </row>
    <row r="702" spans="1:3" x14ac:dyDescent="0.35">
      <c r="A702" t="s">
        <v>2217</v>
      </c>
      <c r="B702" t="s">
        <v>2218</v>
      </c>
      <c r="C702" t="s">
        <v>2219</v>
      </c>
    </row>
    <row r="703" spans="1:3" x14ac:dyDescent="0.35">
      <c r="A703" t="s">
        <v>2220</v>
      </c>
      <c r="B703" t="s">
        <v>2221</v>
      </c>
      <c r="C703" t="s">
        <v>2222</v>
      </c>
    </row>
    <row r="704" spans="1:3" x14ac:dyDescent="0.35">
      <c r="A704" t="s">
        <v>2223</v>
      </c>
      <c r="B704" t="s">
        <v>2224</v>
      </c>
      <c r="C704" t="s">
        <v>2225</v>
      </c>
    </row>
    <row r="705" spans="1:3" x14ac:dyDescent="0.35">
      <c r="A705" t="s">
        <v>2226</v>
      </c>
      <c r="B705" t="s">
        <v>2227</v>
      </c>
      <c r="C705" t="s">
        <v>2228</v>
      </c>
    </row>
    <row r="706" spans="1:3" x14ac:dyDescent="0.35">
      <c r="A706" t="s">
        <v>2229</v>
      </c>
      <c r="B706" t="s">
        <v>2230</v>
      </c>
      <c r="C706" t="s">
        <v>2231</v>
      </c>
    </row>
    <row r="707" spans="1:3" x14ac:dyDescent="0.35">
      <c r="A707" t="s">
        <v>2232</v>
      </c>
      <c r="B707" t="s">
        <v>2233</v>
      </c>
      <c r="C707" t="s">
        <v>2234</v>
      </c>
    </row>
    <row r="708" spans="1:3" x14ac:dyDescent="0.35">
      <c r="A708" t="s">
        <v>2235</v>
      </c>
      <c r="B708" t="s">
        <v>2236</v>
      </c>
      <c r="C708" t="s">
        <v>2237</v>
      </c>
    </row>
    <row r="709" spans="1:3" x14ac:dyDescent="0.35">
      <c r="A709" t="s">
        <v>2238</v>
      </c>
      <c r="B709" t="s">
        <v>2239</v>
      </c>
      <c r="C709" t="s">
        <v>2240</v>
      </c>
    </row>
    <row r="710" spans="1:3" x14ac:dyDescent="0.35">
      <c r="A710" t="s">
        <v>2241</v>
      </c>
      <c r="B710" t="s">
        <v>2242</v>
      </c>
      <c r="C710" t="s">
        <v>2243</v>
      </c>
    </row>
    <row r="711" spans="1:3" x14ac:dyDescent="0.35">
      <c r="A711" t="s">
        <v>2244</v>
      </c>
      <c r="B711" t="s">
        <v>2245</v>
      </c>
      <c r="C711" t="s">
        <v>2246</v>
      </c>
    </row>
    <row r="712" spans="1:3" x14ac:dyDescent="0.35">
      <c r="A712" t="s">
        <v>2247</v>
      </c>
      <c r="B712" t="s">
        <v>2248</v>
      </c>
      <c r="C712" t="s">
        <v>2249</v>
      </c>
    </row>
    <row r="713" spans="1:3" x14ac:dyDescent="0.35">
      <c r="A713" t="s">
        <v>2250</v>
      </c>
      <c r="B713" t="s">
        <v>2251</v>
      </c>
      <c r="C713" t="s">
        <v>2252</v>
      </c>
    </row>
    <row r="714" spans="1:3" x14ac:dyDescent="0.35">
      <c r="A714" t="s">
        <v>2253</v>
      </c>
      <c r="B714" t="s">
        <v>2254</v>
      </c>
      <c r="C714" t="s">
        <v>2255</v>
      </c>
    </row>
    <row r="715" spans="1:3" x14ac:dyDescent="0.35">
      <c r="A715" t="s">
        <v>2256</v>
      </c>
      <c r="B715" t="s">
        <v>2257</v>
      </c>
      <c r="C715" t="s">
        <v>2258</v>
      </c>
    </row>
    <row r="716" spans="1:3" x14ac:dyDescent="0.35">
      <c r="A716" t="s">
        <v>2259</v>
      </c>
      <c r="B716" t="s">
        <v>2260</v>
      </c>
      <c r="C716" t="s">
        <v>2261</v>
      </c>
    </row>
    <row r="717" spans="1:3" x14ac:dyDescent="0.35">
      <c r="A717" t="s">
        <v>2262</v>
      </c>
      <c r="B717" t="s">
        <v>2263</v>
      </c>
      <c r="C717" t="s">
        <v>2264</v>
      </c>
    </row>
    <row r="718" spans="1:3" x14ac:dyDescent="0.35">
      <c r="A718" t="s">
        <v>2265</v>
      </c>
      <c r="B718" t="s">
        <v>2266</v>
      </c>
      <c r="C718" t="s">
        <v>2267</v>
      </c>
    </row>
    <row r="719" spans="1:3" x14ac:dyDescent="0.35">
      <c r="A719" t="s">
        <v>2268</v>
      </c>
      <c r="B719" t="s">
        <v>2269</v>
      </c>
      <c r="C719" t="s">
        <v>2270</v>
      </c>
    </row>
    <row r="720" spans="1:3" x14ac:dyDescent="0.35">
      <c r="A720" t="s">
        <v>2271</v>
      </c>
      <c r="B720" t="s">
        <v>2272</v>
      </c>
      <c r="C720" t="s">
        <v>2273</v>
      </c>
    </row>
    <row r="721" spans="1:3" x14ac:dyDescent="0.35">
      <c r="A721" t="s">
        <v>2274</v>
      </c>
      <c r="B721" t="s">
        <v>2275</v>
      </c>
      <c r="C721" t="s">
        <v>2276</v>
      </c>
    </row>
    <row r="722" spans="1:3" x14ac:dyDescent="0.35">
      <c r="A722" t="s">
        <v>2277</v>
      </c>
      <c r="B722" t="s">
        <v>2278</v>
      </c>
      <c r="C722" t="s">
        <v>2279</v>
      </c>
    </row>
    <row r="723" spans="1:3" x14ac:dyDescent="0.35">
      <c r="A723" t="s">
        <v>2280</v>
      </c>
      <c r="B723" t="s">
        <v>2281</v>
      </c>
      <c r="C723" t="s">
        <v>2282</v>
      </c>
    </row>
    <row r="724" spans="1:3" x14ac:dyDescent="0.35">
      <c r="A724" t="s">
        <v>2283</v>
      </c>
      <c r="B724" t="s">
        <v>2284</v>
      </c>
      <c r="C724" t="s">
        <v>2285</v>
      </c>
    </row>
    <row r="725" spans="1:3" x14ac:dyDescent="0.35">
      <c r="A725" t="s">
        <v>2286</v>
      </c>
      <c r="B725" t="s">
        <v>2287</v>
      </c>
      <c r="C725" t="s">
        <v>2288</v>
      </c>
    </row>
    <row r="726" spans="1:3" x14ac:dyDescent="0.35">
      <c r="A726" t="s">
        <v>2289</v>
      </c>
      <c r="B726" t="s">
        <v>2290</v>
      </c>
      <c r="C726" t="s">
        <v>2291</v>
      </c>
    </row>
    <row r="727" spans="1:3" x14ac:dyDescent="0.35">
      <c r="A727" t="s">
        <v>2292</v>
      </c>
      <c r="B727" t="s">
        <v>2293</v>
      </c>
      <c r="C727" t="s">
        <v>2294</v>
      </c>
    </row>
    <row r="728" spans="1:3" x14ac:dyDescent="0.35">
      <c r="A728" t="s">
        <v>2295</v>
      </c>
      <c r="B728" t="s">
        <v>2296</v>
      </c>
      <c r="C728" t="s">
        <v>2297</v>
      </c>
    </row>
    <row r="729" spans="1:3" x14ac:dyDescent="0.35">
      <c r="A729" t="s">
        <v>2298</v>
      </c>
      <c r="B729" t="s">
        <v>2299</v>
      </c>
      <c r="C729" t="s">
        <v>2300</v>
      </c>
    </row>
    <row r="730" spans="1:3" x14ac:dyDescent="0.35">
      <c r="A730" t="s">
        <v>2301</v>
      </c>
      <c r="B730" t="s">
        <v>2302</v>
      </c>
      <c r="C730" t="s">
        <v>2303</v>
      </c>
    </row>
    <row r="731" spans="1:3" x14ac:dyDescent="0.35">
      <c r="A731" t="s">
        <v>2304</v>
      </c>
      <c r="B731" t="s">
        <v>2305</v>
      </c>
      <c r="C731" t="s">
        <v>2306</v>
      </c>
    </row>
    <row r="732" spans="1:3" x14ac:dyDescent="0.35">
      <c r="A732" t="s">
        <v>2307</v>
      </c>
      <c r="B732" t="s">
        <v>2308</v>
      </c>
      <c r="C732" t="s">
        <v>2309</v>
      </c>
    </row>
    <row r="733" spans="1:3" x14ac:dyDescent="0.35">
      <c r="A733" t="s">
        <v>2310</v>
      </c>
      <c r="B733" t="s">
        <v>2311</v>
      </c>
      <c r="C733" t="s">
        <v>2312</v>
      </c>
    </row>
    <row r="734" spans="1:3" x14ac:dyDescent="0.35">
      <c r="A734" t="s">
        <v>2313</v>
      </c>
      <c r="B734" t="s">
        <v>2314</v>
      </c>
      <c r="C734" t="s">
        <v>2315</v>
      </c>
    </row>
    <row r="735" spans="1:3" x14ac:dyDescent="0.35">
      <c r="A735" t="s">
        <v>2316</v>
      </c>
      <c r="B735" t="s">
        <v>2317</v>
      </c>
      <c r="C735" t="s">
        <v>2318</v>
      </c>
    </row>
    <row r="736" spans="1:3" x14ac:dyDescent="0.35">
      <c r="A736" t="s">
        <v>2319</v>
      </c>
      <c r="B736" t="s">
        <v>2320</v>
      </c>
      <c r="C736" t="s">
        <v>2321</v>
      </c>
    </row>
    <row r="737" spans="1:3" x14ac:dyDescent="0.35">
      <c r="A737" t="s">
        <v>2322</v>
      </c>
      <c r="B737" t="s">
        <v>2323</v>
      </c>
      <c r="C737" t="s">
        <v>2324</v>
      </c>
    </row>
    <row r="738" spans="1:3" x14ac:dyDescent="0.35">
      <c r="A738" t="s">
        <v>2325</v>
      </c>
      <c r="B738" t="s">
        <v>2326</v>
      </c>
      <c r="C738" t="s">
        <v>2327</v>
      </c>
    </row>
    <row r="739" spans="1:3" x14ac:dyDescent="0.35">
      <c r="A739" t="s">
        <v>2328</v>
      </c>
      <c r="B739" t="s">
        <v>2329</v>
      </c>
      <c r="C739" t="s">
        <v>2330</v>
      </c>
    </row>
    <row r="740" spans="1:3" x14ac:dyDescent="0.35">
      <c r="A740" t="s">
        <v>2331</v>
      </c>
      <c r="B740" t="s">
        <v>2332</v>
      </c>
      <c r="C740" t="s">
        <v>2333</v>
      </c>
    </row>
    <row r="741" spans="1:3" x14ac:dyDescent="0.35">
      <c r="A741" t="s">
        <v>2334</v>
      </c>
      <c r="B741" t="s">
        <v>2335</v>
      </c>
      <c r="C741" t="s">
        <v>2336</v>
      </c>
    </row>
    <row r="742" spans="1:3" x14ac:dyDescent="0.35">
      <c r="A742" t="s">
        <v>2337</v>
      </c>
      <c r="B742" t="s">
        <v>2338</v>
      </c>
      <c r="C742" t="s">
        <v>2339</v>
      </c>
    </row>
    <row r="743" spans="1:3" x14ac:dyDescent="0.35">
      <c r="A743" t="s">
        <v>2340</v>
      </c>
      <c r="B743" t="s">
        <v>2341</v>
      </c>
      <c r="C743" t="s">
        <v>2342</v>
      </c>
    </row>
    <row r="744" spans="1:3" x14ac:dyDescent="0.35">
      <c r="A744" t="s">
        <v>2343</v>
      </c>
      <c r="B744" t="s">
        <v>2344</v>
      </c>
      <c r="C744" t="s">
        <v>2345</v>
      </c>
    </row>
    <row r="745" spans="1:3" x14ac:dyDescent="0.35">
      <c r="A745" t="s">
        <v>2346</v>
      </c>
      <c r="B745" t="s">
        <v>2347</v>
      </c>
      <c r="C745" t="s">
        <v>2348</v>
      </c>
    </row>
    <row r="746" spans="1:3" x14ac:dyDescent="0.35">
      <c r="A746" t="s">
        <v>2349</v>
      </c>
      <c r="B746" t="s">
        <v>2350</v>
      </c>
      <c r="C746" t="s">
        <v>2351</v>
      </c>
    </row>
    <row r="747" spans="1:3" x14ac:dyDescent="0.35">
      <c r="A747" t="s">
        <v>2352</v>
      </c>
      <c r="B747" t="s">
        <v>2353</v>
      </c>
      <c r="C747" t="s">
        <v>2354</v>
      </c>
    </row>
    <row r="748" spans="1:3" x14ac:dyDescent="0.35">
      <c r="A748" t="s">
        <v>2355</v>
      </c>
      <c r="B748" t="s">
        <v>2356</v>
      </c>
      <c r="C748" t="s">
        <v>2357</v>
      </c>
    </row>
    <row r="749" spans="1:3" x14ac:dyDescent="0.35">
      <c r="A749" t="s">
        <v>2358</v>
      </c>
      <c r="B749" t="s">
        <v>2359</v>
      </c>
      <c r="C749" t="s">
        <v>2360</v>
      </c>
    </row>
    <row r="750" spans="1:3" x14ac:dyDescent="0.35">
      <c r="A750" t="s">
        <v>2361</v>
      </c>
      <c r="B750" t="s">
        <v>2362</v>
      </c>
      <c r="C750" t="s">
        <v>2363</v>
      </c>
    </row>
    <row r="751" spans="1:3" x14ac:dyDescent="0.35">
      <c r="A751" t="s">
        <v>2364</v>
      </c>
      <c r="B751" t="s">
        <v>2365</v>
      </c>
      <c r="C751" t="s">
        <v>2366</v>
      </c>
    </row>
    <row r="752" spans="1:3" x14ac:dyDescent="0.35">
      <c r="A752" t="s">
        <v>2367</v>
      </c>
      <c r="B752" t="s">
        <v>2368</v>
      </c>
      <c r="C752" t="s">
        <v>2369</v>
      </c>
    </row>
    <row r="753" spans="1:3" x14ac:dyDescent="0.35">
      <c r="A753" t="s">
        <v>2370</v>
      </c>
      <c r="B753" t="s">
        <v>2371</v>
      </c>
      <c r="C753" t="s">
        <v>2372</v>
      </c>
    </row>
    <row r="754" spans="1:3" x14ac:dyDescent="0.35">
      <c r="A754" t="s">
        <v>2373</v>
      </c>
      <c r="B754" t="s">
        <v>2374</v>
      </c>
      <c r="C754" t="s">
        <v>2375</v>
      </c>
    </row>
    <row r="755" spans="1:3" x14ac:dyDescent="0.35">
      <c r="A755" t="s">
        <v>2376</v>
      </c>
      <c r="B755" t="s">
        <v>2377</v>
      </c>
      <c r="C755" t="s">
        <v>2378</v>
      </c>
    </row>
    <row r="756" spans="1:3" x14ac:dyDescent="0.35">
      <c r="A756" t="s">
        <v>2379</v>
      </c>
      <c r="B756" t="s">
        <v>2380</v>
      </c>
      <c r="C756" t="s">
        <v>2381</v>
      </c>
    </row>
    <row r="757" spans="1:3" x14ac:dyDescent="0.35">
      <c r="A757" t="s">
        <v>2382</v>
      </c>
      <c r="B757" t="s">
        <v>2383</v>
      </c>
      <c r="C757" t="s">
        <v>2384</v>
      </c>
    </row>
    <row r="758" spans="1:3" x14ac:dyDescent="0.35">
      <c r="A758" t="s">
        <v>2385</v>
      </c>
      <c r="B758" t="s">
        <v>2386</v>
      </c>
      <c r="C758" t="s">
        <v>2387</v>
      </c>
    </row>
    <row r="759" spans="1:3" x14ac:dyDescent="0.35">
      <c r="A759" t="s">
        <v>2388</v>
      </c>
      <c r="B759" t="s">
        <v>2389</v>
      </c>
      <c r="C759" t="s">
        <v>2390</v>
      </c>
    </row>
    <row r="760" spans="1:3" x14ac:dyDescent="0.35">
      <c r="A760" t="s">
        <v>2391</v>
      </c>
      <c r="B760" t="s">
        <v>2392</v>
      </c>
      <c r="C760" t="s">
        <v>2393</v>
      </c>
    </row>
    <row r="761" spans="1:3" x14ac:dyDescent="0.35">
      <c r="A761" t="s">
        <v>2394</v>
      </c>
      <c r="B761" t="s">
        <v>2395</v>
      </c>
      <c r="C761" t="s">
        <v>2396</v>
      </c>
    </row>
    <row r="762" spans="1:3" x14ac:dyDescent="0.35">
      <c r="A762" t="s">
        <v>2397</v>
      </c>
      <c r="B762" t="s">
        <v>2398</v>
      </c>
      <c r="C762" t="s">
        <v>2399</v>
      </c>
    </row>
    <row r="763" spans="1:3" x14ac:dyDescent="0.35">
      <c r="A763" t="s">
        <v>2400</v>
      </c>
      <c r="B763" t="s">
        <v>2401</v>
      </c>
      <c r="C763" t="s">
        <v>2402</v>
      </c>
    </row>
    <row r="764" spans="1:3" x14ac:dyDescent="0.35">
      <c r="A764" t="s">
        <v>2403</v>
      </c>
      <c r="B764" t="s">
        <v>2404</v>
      </c>
      <c r="C764" t="s">
        <v>2405</v>
      </c>
    </row>
    <row r="765" spans="1:3" x14ac:dyDescent="0.35">
      <c r="A765" t="s">
        <v>2406</v>
      </c>
      <c r="B765" t="s">
        <v>2407</v>
      </c>
      <c r="C765" t="s">
        <v>2408</v>
      </c>
    </row>
    <row r="766" spans="1:3" x14ac:dyDescent="0.35">
      <c r="A766" t="s">
        <v>2409</v>
      </c>
      <c r="B766" t="s">
        <v>2410</v>
      </c>
      <c r="C766" t="s">
        <v>2411</v>
      </c>
    </row>
    <row r="767" spans="1:3" x14ac:dyDescent="0.35">
      <c r="A767" t="s">
        <v>2412</v>
      </c>
      <c r="B767" t="s">
        <v>2413</v>
      </c>
      <c r="C767" t="s">
        <v>2414</v>
      </c>
    </row>
    <row r="768" spans="1:3" x14ac:dyDescent="0.35">
      <c r="A768" t="s">
        <v>2415</v>
      </c>
      <c r="B768" t="s">
        <v>2416</v>
      </c>
      <c r="C768" t="s">
        <v>2417</v>
      </c>
    </row>
    <row r="769" spans="1:3" x14ac:dyDescent="0.35">
      <c r="A769" t="s">
        <v>2418</v>
      </c>
      <c r="B769" t="s">
        <v>2419</v>
      </c>
      <c r="C769" t="s">
        <v>2420</v>
      </c>
    </row>
    <row r="770" spans="1:3" x14ac:dyDescent="0.35">
      <c r="A770" t="s">
        <v>2421</v>
      </c>
      <c r="B770" t="s">
        <v>2422</v>
      </c>
      <c r="C770" t="s">
        <v>2423</v>
      </c>
    </row>
    <row r="771" spans="1:3" x14ac:dyDescent="0.35">
      <c r="A771" t="s">
        <v>2424</v>
      </c>
      <c r="B771" t="s">
        <v>2425</v>
      </c>
      <c r="C771" t="s">
        <v>2426</v>
      </c>
    </row>
    <row r="772" spans="1:3" x14ac:dyDescent="0.35">
      <c r="A772" t="s">
        <v>2427</v>
      </c>
      <c r="B772" t="s">
        <v>2428</v>
      </c>
      <c r="C772" t="s">
        <v>2429</v>
      </c>
    </row>
    <row r="773" spans="1:3" x14ac:dyDescent="0.35">
      <c r="A773" t="s">
        <v>2430</v>
      </c>
      <c r="B773" t="s">
        <v>2431</v>
      </c>
      <c r="C773" t="s">
        <v>2432</v>
      </c>
    </row>
    <row r="774" spans="1:3" x14ac:dyDescent="0.35">
      <c r="A774" t="s">
        <v>2433</v>
      </c>
      <c r="B774" t="s">
        <v>2434</v>
      </c>
      <c r="C774" t="s">
        <v>2435</v>
      </c>
    </row>
    <row r="775" spans="1:3" x14ac:dyDescent="0.35">
      <c r="A775" t="s">
        <v>2436</v>
      </c>
      <c r="B775" t="s">
        <v>2437</v>
      </c>
      <c r="C775" t="s">
        <v>2438</v>
      </c>
    </row>
    <row r="776" spans="1:3" x14ac:dyDescent="0.35">
      <c r="A776" t="s">
        <v>2439</v>
      </c>
      <c r="B776" t="s">
        <v>2440</v>
      </c>
      <c r="C776" t="s">
        <v>2441</v>
      </c>
    </row>
    <row r="777" spans="1:3" x14ac:dyDescent="0.35">
      <c r="A777" t="s">
        <v>2442</v>
      </c>
      <c r="B777" t="s">
        <v>2443</v>
      </c>
      <c r="C777" t="s">
        <v>2444</v>
      </c>
    </row>
    <row r="778" spans="1:3" x14ac:dyDescent="0.35">
      <c r="A778" t="s">
        <v>2445</v>
      </c>
      <c r="B778" t="s">
        <v>2446</v>
      </c>
      <c r="C778" t="s">
        <v>2447</v>
      </c>
    </row>
    <row r="779" spans="1:3" x14ac:dyDescent="0.35">
      <c r="A779" t="s">
        <v>2448</v>
      </c>
      <c r="B779" t="s">
        <v>2449</v>
      </c>
      <c r="C779" t="s">
        <v>2450</v>
      </c>
    </row>
    <row r="780" spans="1:3" x14ac:dyDescent="0.35">
      <c r="A780" t="s">
        <v>2451</v>
      </c>
      <c r="B780" t="s">
        <v>2452</v>
      </c>
      <c r="C780" t="s">
        <v>2453</v>
      </c>
    </row>
    <row r="781" spans="1:3" x14ac:dyDescent="0.35">
      <c r="A781" t="s">
        <v>2454</v>
      </c>
      <c r="B781" t="s">
        <v>2455</v>
      </c>
      <c r="C781" t="s">
        <v>2456</v>
      </c>
    </row>
    <row r="782" spans="1:3" x14ac:dyDescent="0.35">
      <c r="A782" t="s">
        <v>2457</v>
      </c>
      <c r="B782" t="s">
        <v>2458</v>
      </c>
      <c r="C782" t="s">
        <v>2459</v>
      </c>
    </row>
    <row r="783" spans="1:3" x14ac:dyDescent="0.35">
      <c r="A783" t="s">
        <v>2460</v>
      </c>
      <c r="B783" t="s">
        <v>2461</v>
      </c>
      <c r="C783" t="s">
        <v>2462</v>
      </c>
    </row>
    <row r="784" spans="1:3" x14ac:dyDescent="0.35">
      <c r="A784" t="s">
        <v>2463</v>
      </c>
      <c r="B784" t="s">
        <v>2464</v>
      </c>
      <c r="C784" t="s">
        <v>2465</v>
      </c>
    </row>
    <row r="785" spans="1:3" x14ac:dyDescent="0.35">
      <c r="A785" t="s">
        <v>2466</v>
      </c>
      <c r="B785" t="s">
        <v>2467</v>
      </c>
      <c r="C785" t="s">
        <v>2468</v>
      </c>
    </row>
    <row r="786" spans="1:3" x14ac:dyDescent="0.35">
      <c r="A786" t="s">
        <v>2469</v>
      </c>
      <c r="B786" t="s">
        <v>2470</v>
      </c>
      <c r="C786" t="s">
        <v>2471</v>
      </c>
    </row>
    <row r="787" spans="1:3" x14ac:dyDescent="0.35">
      <c r="A787" t="s">
        <v>2472</v>
      </c>
      <c r="B787" t="s">
        <v>2473</v>
      </c>
      <c r="C787" t="s">
        <v>2474</v>
      </c>
    </row>
    <row r="788" spans="1:3" x14ac:dyDescent="0.35">
      <c r="A788" t="s">
        <v>2475</v>
      </c>
      <c r="B788" t="s">
        <v>2476</v>
      </c>
      <c r="C788" t="s">
        <v>2477</v>
      </c>
    </row>
    <row r="789" spans="1:3" x14ac:dyDescent="0.35">
      <c r="A789" t="s">
        <v>2478</v>
      </c>
      <c r="B789" t="s">
        <v>2479</v>
      </c>
      <c r="C789" t="s">
        <v>2480</v>
      </c>
    </row>
    <row r="790" spans="1:3" x14ac:dyDescent="0.35">
      <c r="A790" t="s">
        <v>2481</v>
      </c>
      <c r="B790" t="s">
        <v>2482</v>
      </c>
      <c r="C790" t="s">
        <v>2483</v>
      </c>
    </row>
    <row r="791" spans="1:3" x14ac:dyDescent="0.35">
      <c r="A791" t="s">
        <v>2484</v>
      </c>
      <c r="B791" t="s">
        <v>2485</v>
      </c>
      <c r="C791" t="s">
        <v>2486</v>
      </c>
    </row>
    <row r="792" spans="1:3" x14ac:dyDescent="0.35">
      <c r="A792" t="s">
        <v>2487</v>
      </c>
      <c r="B792" t="s">
        <v>2488</v>
      </c>
      <c r="C792" t="s">
        <v>2489</v>
      </c>
    </row>
    <row r="793" spans="1:3" x14ac:dyDescent="0.35">
      <c r="A793" t="s">
        <v>2490</v>
      </c>
      <c r="B793" t="s">
        <v>2491</v>
      </c>
      <c r="C793" t="s">
        <v>2492</v>
      </c>
    </row>
    <row r="794" spans="1:3" x14ac:dyDescent="0.35">
      <c r="A794" t="s">
        <v>2493</v>
      </c>
      <c r="B794" t="s">
        <v>2494</v>
      </c>
      <c r="C794" t="s">
        <v>2495</v>
      </c>
    </row>
    <row r="795" spans="1:3" x14ac:dyDescent="0.35">
      <c r="A795" t="s">
        <v>2496</v>
      </c>
      <c r="B795" t="s">
        <v>2497</v>
      </c>
      <c r="C795" t="s">
        <v>2498</v>
      </c>
    </row>
    <row r="796" spans="1:3" x14ac:dyDescent="0.35">
      <c r="A796" t="s">
        <v>2499</v>
      </c>
      <c r="B796" t="s">
        <v>2500</v>
      </c>
      <c r="C796" t="s">
        <v>2501</v>
      </c>
    </row>
    <row r="797" spans="1:3" x14ac:dyDescent="0.35">
      <c r="A797" t="s">
        <v>2502</v>
      </c>
      <c r="B797" t="s">
        <v>2503</v>
      </c>
      <c r="C797" t="s">
        <v>2504</v>
      </c>
    </row>
    <row r="798" spans="1:3" x14ac:dyDescent="0.35">
      <c r="A798" t="s">
        <v>2505</v>
      </c>
      <c r="B798" t="s">
        <v>2506</v>
      </c>
      <c r="C798" t="s">
        <v>2507</v>
      </c>
    </row>
    <row r="799" spans="1:3" x14ac:dyDescent="0.35">
      <c r="A799" t="s">
        <v>2508</v>
      </c>
      <c r="B799" t="s">
        <v>2509</v>
      </c>
      <c r="C799" t="s">
        <v>2510</v>
      </c>
    </row>
    <row r="800" spans="1:3" x14ac:dyDescent="0.35">
      <c r="A800" t="s">
        <v>2511</v>
      </c>
      <c r="B800" t="s">
        <v>2512</v>
      </c>
      <c r="C800" t="s">
        <v>2513</v>
      </c>
    </row>
    <row r="801" spans="1:3" x14ac:dyDescent="0.35">
      <c r="A801" t="s">
        <v>2514</v>
      </c>
      <c r="B801" t="s">
        <v>2515</v>
      </c>
      <c r="C801" t="s">
        <v>2516</v>
      </c>
    </row>
    <row r="802" spans="1:3" x14ac:dyDescent="0.35">
      <c r="A802" t="s">
        <v>2517</v>
      </c>
      <c r="B802" t="s">
        <v>2518</v>
      </c>
      <c r="C802" t="s">
        <v>2519</v>
      </c>
    </row>
    <row r="803" spans="1:3" x14ac:dyDescent="0.35">
      <c r="A803" t="s">
        <v>2520</v>
      </c>
      <c r="B803" t="s">
        <v>2521</v>
      </c>
      <c r="C803" t="s">
        <v>2522</v>
      </c>
    </row>
    <row r="804" spans="1:3" x14ac:dyDescent="0.35">
      <c r="A804" t="s">
        <v>2523</v>
      </c>
      <c r="B804" t="s">
        <v>2524</v>
      </c>
      <c r="C804" t="s">
        <v>2525</v>
      </c>
    </row>
    <row r="805" spans="1:3" x14ac:dyDescent="0.35">
      <c r="A805" t="s">
        <v>2526</v>
      </c>
      <c r="B805" t="s">
        <v>2527</v>
      </c>
      <c r="C805" t="s">
        <v>2528</v>
      </c>
    </row>
    <row r="806" spans="1:3" x14ac:dyDescent="0.35">
      <c r="A806" t="s">
        <v>2529</v>
      </c>
      <c r="B806" t="s">
        <v>2530</v>
      </c>
      <c r="C806" t="s">
        <v>2531</v>
      </c>
    </row>
    <row r="807" spans="1:3" x14ac:dyDescent="0.35">
      <c r="A807" t="s">
        <v>2532</v>
      </c>
      <c r="B807" t="s">
        <v>2533</v>
      </c>
      <c r="C807" t="s">
        <v>2534</v>
      </c>
    </row>
    <row r="808" spans="1:3" x14ac:dyDescent="0.35">
      <c r="A808" t="s">
        <v>2535</v>
      </c>
      <c r="B808" t="s">
        <v>2536</v>
      </c>
      <c r="C808" t="s">
        <v>2537</v>
      </c>
    </row>
    <row r="809" spans="1:3" x14ac:dyDescent="0.35">
      <c r="A809" t="s">
        <v>2538</v>
      </c>
      <c r="B809" t="s">
        <v>2539</v>
      </c>
      <c r="C809" t="s">
        <v>2540</v>
      </c>
    </row>
    <row r="810" spans="1:3" x14ac:dyDescent="0.35">
      <c r="A810" t="s">
        <v>2541</v>
      </c>
      <c r="B810" t="s">
        <v>2542</v>
      </c>
      <c r="C810" t="s">
        <v>2543</v>
      </c>
    </row>
    <row r="811" spans="1:3" x14ac:dyDescent="0.35">
      <c r="A811" t="s">
        <v>2544</v>
      </c>
      <c r="B811" t="s">
        <v>2545</v>
      </c>
      <c r="C811" t="s">
        <v>2546</v>
      </c>
    </row>
    <row r="812" spans="1:3" x14ac:dyDescent="0.35">
      <c r="A812" t="s">
        <v>2547</v>
      </c>
      <c r="B812" t="s">
        <v>2548</v>
      </c>
      <c r="C812" t="s">
        <v>2549</v>
      </c>
    </row>
    <row r="813" spans="1:3" x14ac:dyDescent="0.35">
      <c r="A813" t="s">
        <v>2550</v>
      </c>
      <c r="B813" t="s">
        <v>2551</v>
      </c>
      <c r="C813" t="s">
        <v>2552</v>
      </c>
    </row>
    <row r="814" spans="1:3" x14ac:dyDescent="0.35">
      <c r="A814" t="s">
        <v>2553</v>
      </c>
      <c r="B814" t="s">
        <v>2554</v>
      </c>
      <c r="C814" t="s">
        <v>2555</v>
      </c>
    </row>
    <row r="815" spans="1:3" x14ac:dyDescent="0.35">
      <c r="A815" t="s">
        <v>2556</v>
      </c>
      <c r="B815" t="s">
        <v>2557</v>
      </c>
      <c r="C815" t="s">
        <v>2558</v>
      </c>
    </row>
    <row r="816" spans="1:3" x14ac:dyDescent="0.35">
      <c r="A816" t="s">
        <v>2559</v>
      </c>
      <c r="B816" t="s">
        <v>2560</v>
      </c>
      <c r="C816" t="s">
        <v>2561</v>
      </c>
    </row>
    <row r="817" spans="1:3" x14ac:dyDescent="0.35">
      <c r="A817" t="s">
        <v>2562</v>
      </c>
      <c r="B817" t="s">
        <v>2563</v>
      </c>
      <c r="C817" t="s">
        <v>2564</v>
      </c>
    </row>
    <row r="818" spans="1:3" x14ac:dyDescent="0.35">
      <c r="A818" t="s">
        <v>2565</v>
      </c>
      <c r="B818" t="s">
        <v>2566</v>
      </c>
      <c r="C818" t="s">
        <v>2567</v>
      </c>
    </row>
    <row r="819" spans="1:3" x14ac:dyDescent="0.35">
      <c r="A819" t="s">
        <v>2568</v>
      </c>
      <c r="B819" t="s">
        <v>2569</v>
      </c>
      <c r="C819" t="s">
        <v>2570</v>
      </c>
    </row>
    <row r="820" spans="1:3" x14ac:dyDescent="0.35">
      <c r="A820" t="s">
        <v>2571</v>
      </c>
      <c r="B820" t="s">
        <v>2572</v>
      </c>
      <c r="C820" t="s">
        <v>2573</v>
      </c>
    </row>
    <row r="821" spans="1:3" x14ac:dyDescent="0.35">
      <c r="A821" t="s">
        <v>2574</v>
      </c>
      <c r="B821" t="s">
        <v>2575</v>
      </c>
      <c r="C821" t="s">
        <v>2576</v>
      </c>
    </row>
    <row r="822" spans="1:3" x14ac:dyDescent="0.35">
      <c r="A822" t="s">
        <v>2577</v>
      </c>
      <c r="B822" t="s">
        <v>2578</v>
      </c>
      <c r="C822" t="s">
        <v>2579</v>
      </c>
    </row>
    <row r="823" spans="1:3" x14ac:dyDescent="0.35">
      <c r="A823" t="s">
        <v>2580</v>
      </c>
      <c r="B823" t="s">
        <v>2581</v>
      </c>
      <c r="C823" t="s">
        <v>2582</v>
      </c>
    </row>
    <row r="824" spans="1:3" x14ac:dyDescent="0.35">
      <c r="A824" t="s">
        <v>2583</v>
      </c>
      <c r="B824" t="s">
        <v>2584</v>
      </c>
      <c r="C824" t="s">
        <v>2585</v>
      </c>
    </row>
    <row r="825" spans="1:3" x14ac:dyDescent="0.35">
      <c r="A825" t="s">
        <v>2586</v>
      </c>
      <c r="B825" t="s">
        <v>2587</v>
      </c>
      <c r="C825" t="s">
        <v>2588</v>
      </c>
    </row>
    <row r="826" spans="1:3" x14ac:dyDescent="0.35">
      <c r="A826" t="s">
        <v>2589</v>
      </c>
      <c r="B826" t="s">
        <v>2590</v>
      </c>
      <c r="C826" t="s">
        <v>2591</v>
      </c>
    </row>
    <row r="827" spans="1:3" x14ac:dyDescent="0.35">
      <c r="A827" t="s">
        <v>2592</v>
      </c>
      <c r="B827" t="s">
        <v>2593</v>
      </c>
      <c r="C827" t="s">
        <v>2594</v>
      </c>
    </row>
    <row r="828" spans="1:3" x14ac:dyDescent="0.35">
      <c r="A828" t="s">
        <v>2595</v>
      </c>
      <c r="B828" t="s">
        <v>2596</v>
      </c>
      <c r="C828" t="s">
        <v>2597</v>
      </c>
    </row>
    <row r="829" spans="1:3" x14ac:dyDescent="0.35">
      <c r="A829" t="s">
        <v>2598</v>
      </c>
      <c r="B829" t="s">
        <v>2599</v>
      </c>
      <c r="C829" t="s">
        <v>2600</v>
      </c>
    </row>
    <row r="830" spans="1:3" x14ac:dyDescent="0.35">
      <c r="A830" t="s">
        <v>2601</v>
      </c>
      <c r="B830" t="s">
        <v>2602</v>
      </c>
      <c r="C830" t="s">
        <v>2603</v>
      </c>
    </row>
    <row r="831" spans="1:3" x14ac:dyDescent="0.35">
      <c r="A831" t="s">
        <v>2604</v>
      </c>
      <c r="B831" t="s">
        <v>2605</v>
      </c>
      <c r="C831" t="s">
        <v>2606</v>
      </c>
    </row>
    <row r="832" spans="1:3" x14ac:dyDescent="0.35">
      <c r="A832" t="s">
        <v>2607</v>
      </c>
      <c r="B832" t="s">
        <v>2608</v>
      </c>
      <c r="C832" t="s">
        <v>2609</v>
      </c>
    </row>
    <row r="833" spans="1:3" x14ac:dyDescent="0.35">
      <c r="A833" t="s">
        <v>2610</v>
      </c>
      <c r="B833" t="s">
        <v>2611</v>
      </c>
      <c r="C833" t="s">
        <v>2612</v>
      </c>
    </row>
    <row r="834" spans="1:3" x14ac:dyDescent="0.35">
      <c r="A834" t="s">
        <v>2613</v>
      </c>
      <c r="B834" t="s">
        <v>2614</v>
      </c>
      <c r="C834" t="s">
        <v>2615</v>
      </c>
    </row>
    <row r="835" spans="1:3" x14ac:dyDescent="0.35">
      <c r="A835" t="s">
        <v>2616</v>
      </c>
      <c r="B835" t="s">
        <v>2617</v>
      </c>
      <c r="C835" t="s">
        <v>2618</v>
      </c>
    </row>
    <row r="836" spans="1:3" x14ac:dyDescent="0.35">
      <c r="A836" t="s">
        <v>2619</v>
      </c>
      <c r="B836" t="s">
        <v>2620</v>
      </c>
      <c r="C836" t="s">
        <v>2621</v>
      </c>
    </row>
    <row r="837" spans="1:3" x14ac:dyDescent="0.35">
      <c r="A837" t="s">
        <v>2622</v>
      </c>
      <c r="B837" t="s">
        <v>2623</v>
      </c>
      <c r="C837" t="s">
        <v>2624</v>
      </c>
    </row>
    <row r="838" spans="1:3" x14ac:dyDescent="0.35">
      <c r="A838" t="s">
        <v>2625</v>
      </c>
      <c r="B838" t="s">
        <v>2626</v>
      </c>
      <c r="C838" t="s">
        <v>2627</v>
      </c>
    </row>
    <row r="839" spans="1:3" x14ac:dyDescent="0.35">
      <c r="A839" t="s">
        <v>2628</v>
      </c>
      <c r="B839" t="s">
        <v>2629</v>
      </c>
      <c r="C839" t="s">
        <v>2630</v>
      </c>
    </row>
    <row r="840" spans="1:3" x14ac:dyDescent="0.35">
      <c r="A840" t="s">
        <v>2631</v>
      </c>
      <c r="B840" t="s">
        <v>2632</v>
      </c>
      <c r="C840" t="s">
        <v>2633</v>
      </c>
    </row>
    <row r="841" spans="1:3" x14ac:dyDescent="0.35">
      <c r="A841" t="s">
        <v>2634</v>
      </c>
      <c r="B841" t="s">
        <v>2635</v>
      </c>
      <c r="C841" t="s">
        <v>2636</v>
      </c>
    </row>
    <row r="842" spans="1:3" x14ac:dyDescent="0.35">
      <c r="A842" t="s">
        <v>2637</v>
      </c>
      <c r="B842" t="s">
        <v>2638</v>
      </c>
      <c r="C842" t="s">
        <v>2639</v>
      </c>
    </row>
    <row r="843" spans="1:3" x14ac:dyDescent="0.35">
      <c r="A843" t="s">
        <v>2640</v>
      </c>
      <c r="B843" t="s">
        <v>2641</v>
      </c>
      <c r="C843" t="s">
        <v>2642</v>
      </c>
    </row>
    <row r="844" spans="1:3" x14ac:dyDescent="0.35">
      <c r="A844" t="s">
        <v>2643</v>
      </c>
      <c r="B844" t="s">
        <v>2644</v>
      </c>
      <c r="C844" t="s">
        <v>2645</v>
      </c>
    </row>
    <row r="845" spans="1:3" x14ac:dyDescent="0.35">
      <c r="A845" t="s">
        <v>2646</v>
      </c>
      <c r="B845" t="s">
        <v>2647</v>
      </c>
      <c r="C845" t="s">
        <v>2648</v>
      </c>
    </row>
    <row r="846" spans="1:3" x14ac:dyDescent="0.35">
      <c r="A846" t="s">
        <v>2649</v>
      </c>
      <c r="B846" t="s">
        <v>2650</v>
      </c>
      <c r="C846" t="s">
        <v>2651</v>
      </c>
    </row>
    <row r="847" spans="1:3" x14ac:dyDescent="0.35">
      <c r="A847" t="s">
        <v>2652</v>
      </c>
      <c r="B847" t="s">
        <v>2653</v>
      </c>
      <c r="C847" t="s">
        <v>2654</v>
      </c>
    </row>
    <row r="848" spans="1:3" x14ac:dyDescent="0.35">
      <c r="A848" t="s">
        <v>2655</v>
      </c>
      <c r="B848" t="s">
        <v>2656</v>
      </c>
      <c r="C848" t="s">
        <v>2657</v>
      </c>
    </row>
    <row r="849" spans="1:3" x14ac:dyDescent="0.35">
      <c r="A849" t="s">
        <v>2658</v>
      </c>
      <c r="B849" t="s">
        <v>2659</v>
      </c>
      <c r="C849" t="s">
        <v>2660</v>
      </c>
    </row>
    <row r="850" spans="1:3" x14ac:dyDescent="0.35">
      <c r="A850" t="s">
        <v>2661</v>
      </c>
      <c r="B850" t="s">
        <v>2662</v>
      </c>
      <c r="C850" t="s">
        <v>2663</v>
      </c>
    </row>
    <row r="851" spans="1:3" x14ac:dyDescent="0.35">
      <c r="A851" t="s">
        <v>2664</v>
      </c>
      <c r="B851" t="s">
        <v>2665</v>
      </c>
      <c r="C851" t="s">
        <v>2666</v>
      </c>
    </row>
    <row r="852" spans="1:3" x14ac:dyDescent="0.35">
      <c r="A852" t="s">
        <v>2667</v>
      </c>
      <c r="B852" t="s">
        <v>2668</v>
      </c>
      <c r="C852" t="s">
        <v>2669</v>
      </c>
    </row>
    <row r="853" spans="1:3" x14ac:dyDescent="0.35">
      <c r="A853" t="s">
        <v>2670</v>
      </c>
      <c r="B853" t="s">
        <v>2671</v>
      </c>
      <c r="C853" t="s">
        <v>2672</v>
      </c>
    </row>
    <row r="854" spans="1:3" x14ac:dyDescent="0.35">
      <c r="A854" t="s">
        <v>2673</v>
      </c>
      <c r="B854" t="s">
        <v>2674</v>
      </c>
      <c r="C854" t="s">
        <v>2675</v>
      </c>
    </row>
    <row r="855" spans="1:3" x14ac:dyDescent="0.35">
      <c r="A855" t="s">
        <v>2676</v>
      </c>
      <c r="B855" t="s">
        <v>2677</v>
      </c>
      <c r="C855" t="s">
        <v>2678</v>
      </c>
    </row>
    <row r="856" spans="1:3" x14ac:dyDescent="0.35">
      <c r="A856" t="s">
        <v>2679</v>
      </c>
      <c r="B856" t="s">
        <v>2680</v>
      </c>
      <c r="C856" t="s">
        <v>2681</v>
      </c>
    </row>
    <row r="857" spans="1:3" x14ac:dyDescent="0.35">
      <c r="A857" t="s">
        <v>2682</v>
      </c>
      <c r="B857" t="s">
        <v>2683</v>
      </c>
      <c r="C857" t="s">
        <v>2684</v>
      </c>
    </row>
    <row r="858" spans="1:3" x14ac:dyDescent="0.35">
      <c r="A858" t="s">
        <v>2685</v>
      </c>
      <c r="B858" t="s">
        <v>2686</v>
      </c>
      <c r="C858" t="s">
        <v>2687</v>
      </c>
    </row>
    <row r="859" spans="1:3" x14ac:dyDescent="0.35">
      <c r="A859" t="s">
        <v>2688</v>
      </c>
      <c r="B859" t="s">
        <v>2689</v>
      </c>
      <c r="C859" t="s">
        <v>2690</v>
      </c>
    </row>
    <row r="860" spans="1:3" x14ac:dyDescent="0.35">
      <c r="A860" t="s">
        <v>2691</v>
      </c>
      <c r="B860" t="s">
        <v>2692</v>
      </c>
      <c r="C860" t="s">
        <v>2693</v>
      </c>
    </row>
    <row r="861" spans="1:3" x14ac:dyDescent="0.35">
      <c r="A861" t="s">
        <v>2694</v>
      </c>
      <c r="B861" t="s">
        <v>2695</v>
      </c>
      <c r="C861" t="s">
        <v>2696</v>
      </c>
    </row>
    <row r="862" spans="1:3" x14ac:dyDescent="0.35">
      <c r="A862" t="s">
        <v>2697</v>
      </c>
      <c r="B862" t="s">
        <v>2698</v>
      </c>
      <c r="C862" t="s">
        <v>2699</v>
      </c>
    </row>
    <row r="863" spans="1:3" x14ac:dyDescent="0.35">
      <c r="A863" t="s">
        <v>2700</v>
      </c>
      <c r="B863" t="s">
        <v>2701</v>
      </c>
      <c r="C863" t="s">
        <v>2702</v>
      </c>
    </row>
    <row r="864" spans="1:3" x14ac:dyDescent="0.35">
      <c r="A864" t="s">
        <v>2703</v>
      </c>
      <c r="B864" t="s">
        <v>2704</v>
      </c>
      <c r="C864" t="s">
        <v>2705</v>
      </c>
    </row>
    <row r="865" spans="1:3" x14ac:dyDescent="0.35">
      <c r="A865" t="s">
        <v>2706</v>
      </c>
      <c r="B865" t="s">
        <v>2707</v>
      </c>
      <c r="C865" t="s">
        <v>2708</v>
      </c>
    </row>
    <row r="866" spans="1:3" x14ac:dyDescent="0.35">
      <c r="A866" t="s">
        <v>2709</v>
      </c>
      <c r="B866" t="s">
        <v>2710</v>
      </c>
      <c r="C866" t="s">
        <v>2711</v>
      </c>
    </row>
    <row r="867" spans="1:3" x14ac:dyDescent="0.35">
      <c r="A867" t="s">
        <v>84</v>
      </c>
      <c r="B867" t="s">
        <v>2712</v>
      </c>
      <c r="C867" t="s">
        <v>2713</v>
      </c>
    </row>
    <row r="868" spans="1:3" x14ac:dyDescent="0.35">
      <c r="A868" t="s">
        <v>2714</v>
      </c>
      <c r="B868" t="s">
        <v>2715</v>
      </c>
      <c r="C868" t="s">
        <v>2716</v>
      </c>
    </row>
    <row r="869" spans="1:3" x14ac:dyDescent="0.35">
      <c r="A869" t="s">
        <v>2717</v>
      </c>
      <c r="B869" t="s">
        <v>2718</v>
      </c>
      <c r="C869" t="s">
        <v>2719</v>
      </c>
    </row>
    <row r="870" spans="1:3" x14ac:dyDescent="0.35">
      <c r="A870" t="s">
        <v>2720</v>
      </c>
      <c r="B870" t="s">
        <v>2721</v>
      </c>
      <c r="C870" t="s">
        <v>2722</v>
      </c>
    </row>
    <row r="871" spans="1:3" x14ac:dyDescent="0.35">
      <c r="A871" t="s">
        <v>2723</v>
      </c>
      <c r="B871" t="s">
        <v>2724</v>
      </c>
      <c r="C871" t="s">
        <v>2725</v>
      </c>
    </row>
    <row r="872" spans="1:3" x14ac:dyDescent="0.35">
      <c r="A872" t="s">
        <v>2726</v>
      </c>
      <c r="B872" t="s">
        <v>2727</v>
      </c>
      <c r="C872" t="s">
        <v>2728</v>
      </c>
    </row>
    <row r="873" spans="1:3" x14ac:dyDescent="0.35">
      <c r="A873" t="s">
        <v>2729</v>
      </c>
      <c r="B873" t="s">
        <v>2730</v>
      </c>
      <c r="C873" t="s">
        <v>2731</v>
      </c>
    </row>
    <row r="874" spans="1:3" x14ac:dyDescent="0.35">
      <c r="A874" t="s">
        <v>2732</v>
      </c>
      <c r="B874" t="s">
        <v>2733</v>
      </c>
      <c r="C874" t="s">
        <v>2734</v>
      </c>
    </row>
    <row r="875" spans="1:3" x14ac:dyDescent="0.35">
      <c r="A875" t="s">
        <v>2735</v>
      </c>
      <c r="B875" t="s">
        <v>2736</v>
      </c>
      <c r="C875" t="s">
        <v>2737</v>
      </c>
    </row>
    <row r="876" spans="1:3" x14ac:dyDescent="0.35">
      <c r="A876" t="s">
        <v>2738</v>
      </c>
      <c r="B876" t="s">
        <v>2739</v>
      </c>
      <c r="C876" t="s">
        <v>2740</v>
      </c>
    </row>
    <row r="877" spans="1:3" x14ac:dyDescent="0.35">
      <c r="A877" t="s">
        <v>2741</v>
      </c>
      <c r="B877" t="s">
        <v>2742</v>
      </c>
      <c r="C877" t="s">
        <v>2743</v>
      </c>
    </row>
    <row r="878" spans="1:3" x14ac:dyDescent="0.35">
      <c r="A878" t="s">
        <v>2744</v>
      </c>
      <c r="B878" t="s">
        <v>2745</v>
      </c>
      <c r="C878" t="s">
        <v>2746</v>
      </c>
    </row>
    <row r="879" spans="1:3" x14ac:dyDescent="0.35">
      <c r="A879" t="s">
        <v>2747</v>
      </c>
      <c r="B879" t="s">
        <v>2748</v>
      </c>
      <c r="C879" t="s">
        <v>2749</v>
      </c>
    </row>
    <row r="880" spans="1:3" x14ac:dyDescent="0.35">
      <c r="A880" t="s">
        <v>2750</v>
      </c>
      <c r="B880" t="s">
        <v>2751</v>
      </c>
      <c r="C880" t="s">
        <v>2752</v>
      </c>
    </row>
    <row r="881" spans="1:3" x14ac:dyDescent="0.35">
      <c r="A881" t="s">
        <v>2753</v>
      </c>
      <c r="B881" t="s">
        <v>2754</v>
      </c>
      <c r="C881" t="s">
        <v>2755</v>
      </c>
    </row>
    <row r="882" spans="1:3" x14ac:dyDescent="0.35">
      <c r="A882" t="s">
        <v>2756</v>
      </c>
      <c r="B882" t="s">
        <v>2757</v>
      </c>
      <c r="C882" t="s">
        <v>2758</v>
      </c>
    </row>
    <row r="883" spans="1:3" x14ac:dyDescent="0.35">
      <c r="A883" t="s">
        <v>2759</v>
      </c>
      <c r="B883" t="s">
        <v>2760</v>
      </c>
      <c r="C883" t="s">
        <v>2761</v>
      </c>
    </row>
    <row r="884" spans="1:3" x14ac:dyDescent="0.35">
      <c r="A884" t="s">
        <v>2762</v>
      </c>
      <c r="B884" t="s">
        <v>2763</v>
      </c>
      <c r="C884" t="s">
        <v>2764</v>
      </c>
    </row>
    <row r="885" spans="1:3" x14ac:dyDescent="0.35">
      <c r="A885" t="s">
        <v>2765</v>
      </c>
      <c r="B885" t="s">
        <v>2766</v>
      </c>
      <c r="C885" t="s">
        <v>2767</v>
      </c>
    </row>
    <row r="886" spans="1:3" x14ac:dyDescent="0.35">
      <c r="A886" t="s">
        <v>2765</v>
      </c>
      <c r="B886" t="s">
        <v>2080</v>
      </c>
      <c r="C886" t="s">
        <v>2081</v>
      </c>
    </row>
    <row r="887" spans="1:3" x14ac:dyDescent="0.35">
      <c r="A887" t="s">
        <v>2768</v>
      </c>
      <c r="B887" t="s">
        <v>2769</v>
      </c>
      <c r="C887" t="s">
        <v>2770</v>
      </c>
    </row>
    <row r="888" spans="1:3" x14ac:dyDescent="0.35">
      <c r="A888" t="s">
        <v>2768</v>
      </c>
      <c r="B888" t="s">
        <v>2771</v>
      </c>
      <c r="C888" t="s">
        <v>2770</v>
      </c>
    </row>
    <row r="889" spans="1:3" x14ac:dyDescent="0.35">
      <c r="A889" t="s">
        <v>2772</v>
      </c>
      <c r="B889" t="s">
        <v>2773</v>
      </c>
      <c r="C889" t="s">
        <v>2774</v>
      </c>
    </row>
    <row r="890" spans="1:3" x14ac:dyDescent="0.35">
      <c r="A890" t="s">
        <v>2775</v>
      </c>
      <c r="B890" t="s">
        <v>2776</v>
      </c>
      <c r="C890" t="s">
        <v>2777</v>
      </c>
    </row>
    <row r="891" spans="1:3" x14ac:dyDescent="0.35">
      <c r="A891" t="s">
        <v>2778</v>
      </c>
      <c r="B891" t="s">
        <v>2779</v>
      </c>
      <c r="C891" t="s">
        <v>2780</v>
      </c>
    </row>
    <row r="892" spans="1:3" x14ac:dyDescent="0.35">
      <c r="A892" t="s">
        <v>2781</v>
      </c>
      <c r="B892" t="s">
        <v>2782</v>
      </c>
      <c r="C892" t="s">
        <v>2783</v>
      </c>
    </row>
    <row r="893" spans="1:3" x14ac:dyDescent="0.35">
      <c r="A893" t="s">
        <v>2784</v>
      </c>
      <c r="B893" t="s">
        <v>2785</v>
      </c>
      <c r="C893" t="s">
        <v>2786</v>
      </c>
    </row>
    <row r="894" spans="1:3" x14ac:dyDescent="0.35">
      <c r="A894" t="s">
        <v>2787</v>
      </c>
      <c r="B894" t="s">
        <v>2788</v>
      </c>
      <c r="C894" t="s">
        <v>2789</v>
      </c>
    </row>
    <row r="895" spans="1:3" x14ac:dyDescent="0.35">
      <c r="A895" t="s">
        <v>2790</v>
      </c>
      <c r="B895" t="s">
        <v>2791</v>
      </c>
      <c r="C895" t="s">
        <v>2792</v>
      </c>
    </row>
    <row r="896" spans="1:3" x14ac:dyDescent="0.35">
      <c r="A896" t="s">
        <v>2793</v>
      </c>
      <c r="B896" t="s">
        <v>2794</v>
      </c>
      <c r="C896" t="s">
        <v>2795</v>
      </c>
    </row>
    <row r="897" spans="1:3" x14ac:dyDescent="0.35">
      <c r="A897" t="s">
        <v>2796</v>
      </c>
      <c r="B897" t="s">
        <v>2797</v>
      </c>
      <c r="C897" t="s">
        <v>2798</v>
      </c>
    </row>
    <row r="898" spans="1:3" x14ac:dyDescent="0.35">
      <c r="A898" t="s">
        <v>2799</v>
      </c>
      <c r="B898" t="s">
        <v>2800</v>
      </c>
      <c r="C898" t="s">
        <v>2801</v>
      </c>
    </row>
    <row r="899" spans="1:3" x14ac:dyDescent="0.35">
      <c r="A899" t="s">
        <v>2802</v>
      </c>
      <c r="B899" t="s">
        <v>2803</v>
      </c>
      <c r="C899" t="s">
        <v>2804</v>
      </c>
    </row>
    <row r="900" spans="1:3" x14ac:dyDescent="0.35">
      <c r="A900" t="s">
        <v>2805</v>
      </c>
      <c r="B900" t="s">
        <v>2806</v>
      </c>
      <c r="C900" t="s">
        <v>2807</v>
      </c>
    </row>
    <row r="901" spans="1:3" x14ac:dyDescent="0.35">
      <c r="A901" t="s">
        <v>2808</v>
      </c>
      <c r="B901" t="s">
        <v>2809</v>
      </c>
      <c r="C901" t="s">
        <v>2810</v>
      </c>
    </row>
    <row r="902" spans="1:3" x14ac:dyDescent="0.35">
      <c r="A902" t="s">
        <v>2811</v>
      </c>
      <c r="B902" t="s">
        <v>2812</v>
      </c>
      <c r="C902" t="s">
        <v>2813</v>
      </c>
    </row>
    <row r="903" spans="1:3" x14ac:dyDescent="0.35">
      <c r="A903" t="s">
        <v>2814</v>
      </c>
      <c r="B903" t="s">
        <v>2815</v>
      </c>
      <c r="C903" t="s">
        <v>2816</v>
      </c>
    </row>
    <row r="904" spans="1:3" x14ac:dyDescent="0.35">
      <c r="A904" t="s">
        <v>2817</v>
      </c>
      <c r="B904" t="s">
        <v>2818</v>
      </c>
      <c r="C904" t="s">
        <v>2819</v>
      </c>
    </row>
    <row r="905" spans="1:3" x14ac:dyDescent="0.35">
      <c r="A905" t="s">
        <v>2820</v>
      </c>
      <c r="B905" t="s">
        <v>2821</v>
      </c>
      <c r="C905" t="s">
        <v>2822</v>
      </c>
    </row>
    <row r="906" spans="1:3" x14ac:dyDescent="0.35">
      <c r="A906" t="s">
        <v>2823</v>
      </c>
      <c r="B906" t="s">
        <v>2824</v>
      </c>
      <c r="C906" t="s">
        <v>2825</v>
      </c>
    </row>
    <row r="907" spans="1:3" x14ac:dyDescent="0.35">
      <c r="A907" t="s">
        <v>2826</v>
      </c>
      <c r="B907" t="s">
        <v>2827</v>
      </c>
      <c r="C907" t="s">
        <v>2828</v>
      </c>
    </row>
    <row r="908" spans="1:3" x14ac:dyDescent="0.35">
      <c r="A908" t="s">
        <v>2829</v>
      </c>
      <c r="B908" t="s">
        <v>2830</v>
      </c>
      <c r="C908" t="s">
        <v>2831</v>
      </c>
    </row>
    <row r="909" spans="1:3" x14ac:dyDescent="0.35">
      <c r="A909" t="s">
        <v>2832</v>
      </c>
      <c r="B909" t="s">
        <v>2833</v>
      </c>
      <c r="C909" t="s">
        <v>2834</v>
      </c>
    </row>
    <row r="910" spans="1:3" x14ac:dyDescent="0.35">
      <c r="A910" t="s">
        <v>2835</v>
      </c>
      <c r="B910" t="s">
        <v>2836</v>
      </c>
      <c r="C910" t="s">
        <v>2837</v>
      </c>
    </row>
    <row r="911" spans="1:3" x14ac:dyDescent="0.35">
      <c r="A911" t="s">
        <v>2838</v>
      </c>
      <c r="B911" t="s">
        <v>2839</v>
      </c>
      <c r="C911" t="s">
        <v>2840</v>
      </c>
    </row>
    <row r="912" spans="1:3" x14ac:dyDescent="0.35">
      <c r="A912" t="s">
        <v>2841</v>
      </c>
      <c r="B912" t="s">
        <v>2842</v>
      </c>
      <c r="C912" t="s">
        <v>2843</v>
      </c>
    </row>
    <row r="913" spans="1:3" x14ac:dyDescent="0.35">
      <c r="A913" t="s">
        <v>2844</v>
      </c>
      <c r="B913" t="s">
        <v>2845</v>
      </c>
      <c r="C913" t="s">
        <v>2846</v>
      </c>
    </row>
    <row r="914" spans="1:3" x14ac:dyDescent="0.35">
      <c r="A914" t="s">
        <v>2847</v>
      </c>
      <c r="B914" t="s">
        <v>2848</v>
      </c>
      <c r="C914" t="s">
        <v>2849</v>
      </c>
    </row>
    <row r="915" spans="1:3" x14ac:dyDescent="0.35">
      <c r="A915" t="s">
        <v>2850</v>
      </c>
      <c r="B915" t="s">
        <v>2851</v>
      </c>
      <c r="C915" t="s">
        <v>2852</v>
      </c>
    </row>
    <row r="916" spans="1:3" x14ac:dyDescent="0.35">
      <c r="A916" t="s">
        <v>2853</v>
      </c>
      <c r="B916" t="s">
        <v>2854</v>
      </c>
      <c r="C916" t="s">
        <v>2855</v>
      </c>
    </row>
    <row r="917" spans="1:3" x14ac:dyDescent="0.35">
      <c r="A917" t="s">
        <v>2856</v>
      </c>
      <c r="B917" t="s">
        <v>2857</v>
      </c>
      <c r="C917" t="s">
        <v>2858</v>
      </c>
    </row>
    <row r="918" spans="1:3" x14ac:dyDescent="0.35">
      <c r="A918" t="s">
        <v>2859</v>
      </c>
      <c r="B918" t="s">
        <v>2860</v>
      </c>
      <c r="C918" t="s">
        <v>2861</v>
      </c>
    </row>
    <row r="919" spans="1:3" x14ac:dyDescent="0.35">
      <c r="A919" t="s">
        <v>2862</v>
      </c>
      <c r="B919" t="s">
        <v>2863</v>
      </c>
      <c r="C919" t="s">
        <v>2864</v>
      </c>
    </row>
    <row r="920" spans="1:3" x14ac:dyDescent="0.35">
      <c r="A920" t="s">
        <v>2865</v>
      </c>
      <c r="B920" t="s">
        <v>2866</v>
      </c>
      <c r="C920" t="s">
        <v>2867</v>
      </c>
    </row>
    <row r="921" spans="1:3" x14ac:dyDescent="0.35">
      <c r="A921" t="s">
        <v>2868</v>
      </c>
      <c r="B921" t="s">
        <v>2869</v>
      </c>
      <c r="C921" t="s">
        <v>2870</v>
      </c>
    </row>
    <row r="922" spans="1:3" x14ac:dyDescent="0.35">
      <c r="A922" t="s">
        <v>2871</v>
      </c>
      <c r="B922" t="s">
        <v>2872</v>
      </c>
      <c r="C922" t="s">
        <v>2873</v>
      </c>
    </row>
    <row r="923" spans="1:3" x14ac:dyDescent="0.35">
      <c r="A923" t="s">
        <v>2874</v>
      </c>
      <c r="B923" t="s">
        <v>2875</v>
      </c>
      <c r="C923" t="s">
        <v>2876</v>
      </c>
    </row>
    <row r="924" spans="1:3" x14ac:dyDescent="0.35">
      <c r="A924" t="s">
        <v>2877</v>
      </c>
      <c r="B924" t="s">
        <v>2878</v>
      </c>
      <c r="C924" t="s">
        <v>2879</v>
      </c>
    </row>
    <row r="925" spans="1:3" x14ac:dyDescent="0.35">
      <c r="A925" t="s">
        <v>2880</v>
      </c>
      <c r="B925" t="s">
        <v>2881</v>
      </c>
      <c r="C925" t="s">
        <v>2882</v>
      </c>
    </row>
    <row r="926" spans="1:3" x14ac:dyDescent="0.35">
      <c r="A926" t="s">
        <v>2883</v>
      </c>
      <c r="B926" t="s">
        <v>2884</v>
      </c>
      <c r="C926" t="s">
        <v>2885</v>
      </c>
    </row>
    <row r="927" spans="1:3" x14ac:dyDescent="0.35">
      <c r="A927" t="s">
        <v>2886</v>
      </c>
      <c r="B927" t="s">
        <v>2887</v>
      </c>
      <c r="C927" t="s">
        <v>2888</v>
      </c>
    </row>
    <row r="928" spans="1:3" x14ac:dyDescent="0.35">
      <c r="A928" t="s">
        <v>2889</v>
      </c>
      <c r="B928" t="s">
        <v>2890</v>
      </c>
      <c r="C928" t="s">
        <v>2891</v>
      </c>
    </row>
    <row r="929" spans="1:3" x14ac:dyDescent="0.35">
      <c r="A929" t="s">
        <v>2892</v>
      </c>
      <c r="B929" t="s">
        <v>2893</v>
      </c>
      <c r="C929" t="s">
        <v>2894</v>
      </c>
    </row>
    <row r="930" spans="1:3" x14ac:dyDescent="0.35">
      <c r="A930" t="s">
        <v>2895</v>
      </c>
      <c r="B930" t="s">
        <v>2896</v>
      </c>
      <c r="C930" t="s">
        <v>2897</v>
      </c>
    </row>
    <row r="931" spans="1:3" x14ac:dyDescent="0.35">
      <c r="A931" t="s">
        <v>2898</v>
      </c>
      <c r="B931" t="s">
        <v>2899</v>
      </c>
      <c r="C931" t="s">
        <v>2900</v>
      </c>
    </row>
    <row r="932" spans="1:3" x14ac:dyDescent="0.35">
      <c r="A932" t="s">
        <v>2901</v>
      </c>
      <c r="B932" t="s">
        <v>2902</v>
      </c>
      <c r="C932" t="s">
        <v>2903</v>
      </c>
    </row>
    <row r="933" spans="1:3" x14ac:dyDescent="0.35">
      <c r="A933" t="s">
        <v>2904</v>
      </c>
      <c r="B933" t="s">
        <v>2905</v>
      </c>
      <c r="C933" t="s">
        <v>2906</v>
      </c>
    </row>
    <row r="934" spans="1:3" x14ac:dyDescent="0.35">
      <c r="A934" t="s">
        <v>2907</v>
      </c>
      <c r="B934" t="s">
        <v>2908</v>
      </c>
      <c r="C934" t="s">
        <v>2909</v>
      </c>
    </row>
    <row r="935" spans="1:3" x14ac:dyDescent="0.35">
      <c r="A935" t="s">
        <v>2910</v>
      </c>
      <c r="B935" t="s">
        <v>2911</v>
      </c>
      <c r="C935" t="s">
        <v>2912</v>
      </c>
    </row>
    <row r="936" spans="1:3" x14ac:dyDescent="0.35">
      <c r="A936" t="s">
        <v>2913</v>
      </c>
      <c r="B936" t="s">
        <v>2914</v>
      </c>
      <c r="C936" t="s">
        <v>2915</v>
      </c>
    </row>
    <row r="937" spans="1:3" x14ac:dyDescent="0.35">
      <c r="A937" t="s">
        <v>2916</v>
      </c>
      <c r="B937" t="s">
        <v>2917</v>
      </c>
      <c r="C937" t="s">
        <v>2918</v>
      </c>
    </row>
    <row r="938" spans="1:3" x14ac:dyDescent="0.35">
      <c r="A938" t="s">
        <v>2919</v>
      </c>
      <c r="B938" t="s">
        <v>2920</v>
      </c>
      <c r="C938" t="s">
        <v>2921</v>
      </c>
    </row>
    <row r="939" spans="1:3" x14ac:dyDescent="0.35">
      <c r="A939" t="s">
        <v>2922</v>
      </c>
      <c r="B939" t="s">
        <v>2923</v>
      </c>
      <c r="C939" t="s">
        <v>2924</v>
      </c>
    </row>
    <row r="940" spans="1:3" x14ac:dyDescent="0.35">
      <c r="A940" t="s">
        <v>2925</v>
      </c>
      <c r="B940" t="s">
        <v>2926</v>
      </c>
      <c r="C940" t="s">
        <v>2927</v>
      </c>
    </row>
    <row r="941" spans="1:3" x14ac:dyDescent="0.35">
      <c r="A941" t="s">
        <v>2928</v>
      </c>
      <c r="B941" t="s">
        <v>2929</v>
      </c>
      <c r="C941" t="s">
        <v>2930</v>
      </c>
    </row>
    <row r="942" spans="1:3" x14ac:dyDescent="0.35">
      <c r="A942" t="s">
        <v>2931</v>
      </c>
      <c r="B942" t="s">
        <v>2932</v>
      </c>
      <c r="C942" t="s">
        <v>2933</v>
      </c>
    </row>
    <row r="943" spans="1:3" x14ac:dyDescent="0.35">
      <c r="A943" t="s">
        <v>2934</v>
      </c>
      <c r="B943" t="s">
        <v>2935</v>
      </c>
      <c r="C943" t="s">
        <v>2936</v>
      </c>
    </row>
    <row r="944" spans="1:3" x14ac:dyDescent="0.35">
      <c r="A944" t="s">
        <v>2937</v>
      </c>
      <c r="B944" t="s">
        <v>2938</v>
      </c>
      <c r="C944" t="s">
        <v>2939</v>
      </c>
    </row>
    <row r="945" spans="1:3" x14ac:dyDescent="0.35">
      <c r="A945" t="s">
        <v>2940</v>
      </c>
      <c r="B945" t="s">
        <v>2941</v>
      </c>
      <c r="C945" t="s">
        <v>2942</v>
      </c>
    </row>
    <row r="946" spans="1:3" x14ac:dyDescent="0.35">
      <c r="A946" t="s">
        <v>2943</v>
      </c>
      <c r="B946" t="s">
        <v>2944</v>
      </c>
      <c r="C946" t="s">
        <v>2945</v>
      </c>
    </row>
    <row r="947" spans="1:3" x14ac:dyDescent="0.35">
      <c r="A947" t="s">
        <v>2946</v>
      </c>
      <c r="B947" t="s">
        <v>2947</v>
      </c>
      <c r="C947" t="s">
        <v>2948</v>
      </c>
    </row>
    <row r="948" spans="1:3" x14ac:dyDescent="0.35">
      <c r="A948" t="s">
        <v>2949</v>
      </c>
      <c r="B948" t="s">
        <v>2950</v>
      </c>
      <c r="C948" t="s">
        <v>2951</v>
      </c>
    </row>
    <row r="949" spans="1:3" x14ac:dyDescent="0.35">
      <c r="A949" t="s">
        <v>2952</v>
      </c>
      <c r="B949" t="s">
        <v>2953</v>
      </c>
      <c r="C949" t="s">
        <v>2954</v>
      </c>
    </row>
    <row r="950" spans="1:3" x14ac:dyDescent="0.35">
      <c r="A950" t="s">
        <v>2955</v>
      </c>
      <c r="B950" t="s">
        <v>2956</v>
      </c>
      <c r="C950" t="s">
        <v>2957</v>
      </c>
    </row>
    <row r="951" spans="1:3" x14ac:dyDescent="0.35">
      <c r="A951" t="s">
        <v>2958</v>
      </c>
      <c r="B951" t="s">
        <v>2959</v>
      </c>
      <c r="C951" t="s">
        <v>2960</v>
      </c>
    </row>
    <row r="952" spans="1:3" x14ac:dyDescent="0.35">
      <c r="A952" t="s">
        <v>2961</v>
      </c>
      <c r="B952" t="s">
        <v>2962</v>
      </c>
      <c r="C952" t="s">
        <v>2963</v>
      </c>
    </row>
    <row r="953" spans="1:3" x14ac:dyDescent="0.35">
      <c r="A953" t="s">
        <v>2964</v>
      </c>
      <c r="B953" t="s">
        <v>2965</v>
      </c>
      <c r="C953" t="s">
        <v>2966</v>
      </c>
    </row>
    <row r="954" spans="1:3" x14ac:dyDescent="0.35">
      <c r="A954" t="s">
        <v>2967</v>
      </c>
      <c r="B954" t="s">
        <v>2968</v>
      </c>
      <c r="C954" t="s">
        <v>2969</v>
      </c>
    </row>
    <row r="955" spans="1:3" x14ac:dyDescent="0.35">
      <c r="A955" t="s">
        <v>2970</v>
      </c>
      <c r="B955" t="s">
        <v>2971</v>
      </c>
      <c r="C955" t="s">
        <v>2972</v>
      </c>
    </row>
    <row r="956" spans="1:3" x14ac:dyDescent="0.35">
      <c r="A956" t="s">
        <v>2973</v>
      </c>
      <c r="B956" t="s">
        <v>2974</v>
      </c>
      <c r="C956" t="s">
        <v>2975</v>
      </c>
    </row>
    <row r="957" spans="1:3" x14ac:dyDescent="0.35">
      <c r="A957" t="s">
        <v>2976</v>
      </c>
      <c r="B957" t="s">
        <v>2977</v>
      </c>
      <c r="C957" t="s">
        <v>2978</v>
      </c>
    </row>
    <row r="958" spans="1:3" x14ac:dyDescent="0.35">
      <c r="A958" t="s">
        <v>2979</v>
      </c>
      <c r="B958" t="s">
        <v>2980</v>
      </c>
      <c r="C958" t="s">
        <v>2981</v>
      </c>
    </row>
    <row r="959" spans="1:3" x14ac:dyDescent="0.35">
      <c r="A959" t="s">
        <v>2982</v>
      </c>
      <c r="B959" t="s">
        <v>2983</v>
      </c>
      <c r="C959" t="s">
        <v>2984</v>
      </c>
    </row>
    <row r="960" spans="1:3" x14ac:dyDescent="0.35">
      <c r="A960" t="s">
        <v>2985</v>
      </c>
      <c r="B960" t="s">
        <v>2986</v>
      </c>
      <c r="C960" t="s">
        <v>2987</v>
      </c>
    </row>
    <row r="961" spans="1:3" x14ac:dyDescent="0.35">
      <c r="A961" t="s">
        <v>2988</v>
      </c>
      <c r="B961" t="s">
        <v>2989</v>
      </c>
      <c r="C961" t="s">
        <v>2990</v>
      </c>
    </row>
    <row r="962" spans="1:3" x14ac:dyDescent="0.35">
      <c r="A962" t="s">
        <v>2991</v>
      </c>
      <c r="B962" t="s">
        <v>2992</v>
      </c>
      <c r="C962" t="s">
        <v>2993</v>
      </c>
    </row>
    <row r="963" spans="1:3" x14ac:dyDescent="0.35">
      <c r="A963" t="s">
        <v>2994</v>
      </c>
      <c r="B963" t="s">
        <v>2995</v>
      </c>
      <c r="C963" t="s">
        <v>2996</v>
      </c>
    </row>
    <row r="964" spans="1:3" x14ac:dyDescent="0.35">
      <c r="A964" t="s">
        <v>2997</v>
      </c>
      <c r="B964" t="s">
        <v>2998</v>
      </c>
      <c r="C964" t="s">
        <v>2999</v>
      </c>
    </row>
    <row r="965" spans="1:3" x14ac:dyDescent="0.35">
      <c r="A965" t="s">
        <v>3000</v>
      </c>
      <c r="B965" t="s">
        <v>3001</v>
      </c>
      <c r="C965" t="s">
        <v>3002</v>
      </c>
    </row>
    <row r="966" spans="1:3" x14ac:dyDescent="0.35">
      <c r="A966" t="s">
        <v>3003</v>
      </c>
      <c r="B966" t="s">
        <v>3004</v>
      </c>
      <c r="C966" t="s">
        <v>3005</v>
      </c>
    </row>
    <row r="967" spans="1:3" x14ac:dyDescent="0.35">
      <c r="A967" t="s">
        <v>3006</v>
      </c>
      <c r="B967" t="s">
        <v>3007</v>
      </c>
      <c r="C967" t="s">
        <v>3008</v>
      </c>
    </row>
    <row r="968" spans="1:3" x14ac:dyDescent="0.35">
      <c r="A968" t="s">
        <v>3009</v>
      </c>
      <c r="B968" t="s">
        <v>3010</v>
      </c>
      <c r="C968" t="s">
        <v>3011</v>
      </c>
    </row>
    <row r="969" spans="1:3" x14ac:dyDescent="0.35">
      <c r="A969" t="s">
        <v>3012</v>
      </c>
      <c r="B969" t="s">
        <v>3013</v>
      </c>
      <c r="C969" t="s">
        <v>3014</v>
      </c>
    </row>
    <row r="970" spans="1:3" x14ac:dyDescent="0.35">
      <c r="A970" t="s">
        <v>3015</v>
      </c>
      <c r="B970" t="s">
        <v>3016</v>
      </c>
      <c r="C970" t="s">
        <v>3017</v>
      </c>
    </row>
    <row r="971" spans="1:3" x14ac:dyDescent="0.35">
      <c r="A971" t="s">
        <v>3018</v>
      </c>
      <c r="B971" t="s">
        <v>3019</v>
      </c>
      <c r="C971" t="s">
        <v>3020</v>
      </c>
    </row>
    <row r="972" spans="1:3" x14ac:dyDescent="0.35">
      <c r="A972" t="s">
        <v>3021</v>
      </c>
      <c r="B972" t="s">
        <v>3022</v>
      </c>
      <c r="C972" t="s">
        <v>3023</v>
      </c>
    </row>
    <row r="973" spans="1:3" x14ac:dyDescent="0.35">
      <c r="A973" t="s">
        <v>3024</v>
      </c>
      <c r="B973" t="s">
        <v>3025</v>
      </c>
      <c r="C973" t="s">
        <v>3026</v>
      </c>
    </row>
    <row r="974" spans="1:3" x14ac:dyDescent="0.35">
      <c r="A974" t="s">
        <v>85</v>
      </c>
      <c r="B974" t="s">
        <v>3027</v>
      </c>
      <c r="C974" t="s">
        <v>3028</v>
      </c>
    </row>
    <row r="975" spans="1:3" x14ac:dyDescent="0.35">
      <c r="A975" t="s">
        <v>3029</v>
      </c>
      <c r="B975" t="s">
        <v>3030</v>
      </c>
      <c r="C975" t="s">
        <v>3031</v>
      </c>
    </row>
    <row r="976" spans="1:3" x14ac:dyDescent="0.35">
      <c r="A976" t="s">
        <v>3032</v>
      </c>
      <c r="B976" t="s">
        <v>3033</v>
      </c>
      <c r="C976" t="s">
        <v>3034</v>
      </c>
    </row>
    <row r="977" spans="1:3" x14ac:dyDescent="0.35">
      <c r="A977" t="s">
        <v>3035</v>
      </c>
      <c r="B977" t="s">
        <v>3036</v>
      </c>
      <c r="C977" t="s">
        <v>3037</v>
      </c>
    </row>
    <row r="978" spans="1:3" x14ac:dyDescent="0.35">
      <c r="A978" t="s">
        <v>3035</v>
      </c>
      <c r="B978" t="s">
        <v>3038</v>
      </c>
      <c r="C978" t="s">
        <v>3039</v>
      </c>
    </row>
    <row r="979" spans="1:3" x14ac:dyDescent="0.35">
      <c r="A979" t="s">
        <v>3040</v>
      </c>
      <c r="B979" t="s">
        <v>3041</v>
      </c>
      <c r="C979" t="s">
        <v>3042</v>
      </c>
    </row>
    <row r="980" spans="1:3" x14ac:dyDescent="0.35">
      <c r="A980" t="s">
        <v>86</v>
      </c>
      <c r="B980" t="s">
        <v>3043</v>
      </c>
      <c r="C980" t="s">
        <v>3044</v>
      </c>
    </row>
    <row r="981" spans="1:3" x14ac:dyDescent="0.35">
      <c r="A981" t="s">
        <v>3045</v>
      </c>
      <c r="B981" t="s">
        <v>3046</v>
      </c>
      <c r="C981" t="s">
        <v>3047</v>
      </c>
    </row>
    <row r="982" spans="1:3" x14ac:dyDescent="0.35">
      <c r="A982" t="s">
        <v>3048</v>
      </c>
      <c r="B982" t="s">
        <v>3049</v>
      </c>
      <c r="C982" t="s">
        <v>3050</v>
      </c>
    </row>
    <row r="983" spans="1:3" x14ac:dyDescent="0.35">
      <c r="A983" t="s">
        <v>3051</v>
      </c>
      <c r="B983" t="s">
        <v>3052</v>
      </c>
      <c r="C983" t="s">
        <v>3053</v>
      </c>
    </row>
    <row r="984" spans="1:3" x14ac:dyDescent="0.35">
      <c r="A984" t="s">
        <v>3054</v>
      </c>
      <c r="B984" t="s">
        <v>3055</v>
      </c>
      <c r="C984" t="s">
        <v>3056</v>
      </c>
    </row>
    <row r="985" spans="1:3" x14ac:dyDescent="0.35">
      <c r="A985" t="s">
        <v>3057</v>
      </c>
      <c r="B985" t="s">
        <v>3058</v>
      </c>
      <c r="C985" t="s">
        <v>3059</v>
      </c>
    </row>
    <row r="986" spans="1:3" x14ac:dyDescent="0.35">
      <c r="A986" t="s">
        <v>3060</v>
      </c>
      <c r="B986" t="s">
        <v>3061</v>
      </c>
      <c r="C986" t="s">
        <v>3062</v>
      </c>
    </row>
    <row r="987" spans="1:3" x14ac:dyDescent="0.35">
      <c r="A987" t="s">
        <v>3063</v>
      </c>
      <c r="B987" t="s">
        <v>3064</v>
      </c>
      <c r="C987" t="s">
        <v>3065</v>
      </c>
    </row>
    <row r="988" spans="1:3" x14ac:dyDescent="0.35">
      <c r="A988" t="s">
        <v>3066</v>
      </c>
      <c r="B988" t="s">
        <v>3067</v>
      </c>
      <c r="C988" t="s">
        <v>3068</v>
      </c>
    </row>
    <row r="989" spans="1:3" x14ac:dyDescent="0.35">
      <c r="A989" t="s">
        <v>3069</v>
      </c>
      <c r="B989" t="s">
        <v>3070</v>
      </c>
      <c r="C989" t="s">
        <v>3071</v>
      </c>
    </row>
    <row r="990" spans="1:3" x14ac:dyDescent="0.35">
      <c r="A990" t="s">
        <v>3072</v>
      </c>
      <c r="B990" t="s">
        <v>3073</v>
      </c>
      <c r="C990" t="s">
        <v>3074</v>
      </c>
    </row>
    <row r="991" spans="1:3" x14ac:dyDescent="0.35">
      <c r="A991" t="s">
        <v>3075</v>
      </c>
      <c r="B991" t="s">
        <v>3076</v>
      </c>
      <c r="C991" t="s">
        <v>3077</v>
      </c>
    </row>
    <row r="992" spans="1:3" x14ac:dyDescent="0.35">
      <c r="A992" t="s">
        <v>3078</v>
      </c>
      <c r="B992" t="s">
        <v>3079</v>
      </c>
      <c r="C992" t="s">
        <v>3080</v>
      </c>
    </row>
    <row r="993" spans="1:3" x14ac:dyDescent="0.35">
      <c r="A993" t="s">
        <v>3081</v>
      </c>
      <c r="B993" t="s">
        <v>3082</v>
      </c>
      <c r="C993" t="s">
        <v>3083</v>
      </c>
    </row>
    <row r="994" spans="1:3" x14ac:dyDescent="0.35">
      <c r="A994" t="s">
        <v>3084</v>
      </c>
      <c r="B994" t="s">
        <v>3085</v>
      </c>
      <c r="C994" t="s">
        <v>3086</v>
      </c>
    </row>
    <row r="995" spans="1:3" x14ac:dyDescent="0.35">
      <c r="A995" t="s">
        <v>3087</v>
      </c>
      <c r="B995" t="s">
        <v>3088</v>
      </c>
      <c r="C995" t="s">
        <v>3089</v>
      </c>
    </row>
    <row r="996" spans="1:3" x14ac:dyDescent="0.35">
      <c r="A996" t="s">
        <v>3090</v>
      </c>
      <c r="B996" t="s">
        <v>3091</v>
      </c>
      <c r="C996" t="s">
        <v>3092</v>
      </c>
    </row>
    <row r="997" spans="1:3" x14ac:dyDescent="0.35">
      <c r="A997" t="s">
        <v>3093</v>
      </c>
      <c r="B997" t="s">
        <v>3094</v>
      </c>
      <c r="C997" t="s">
        <v>3095</v>
      </c>
    </row>
    <row r="998" spans="1:3" x14ac:dyDescent="0.35">
      <c r="A998" t="s">
        <v>3096</v>
      </c>
      <c r="B998" t="s">
        <v>3097</v>
      </c>
      <c r="C998" t="s">
        <v>3098</v>
      </c>
    </row>
    <row r="999" spans="1:3" x14ac:dyDescent="0.35">
      <c r="A999" t="s">
        <v>3099</v>
      </c>
      <c r="B999" t="s">
        <v>3100</v>
      </c>
      <c r="C999" t="s">
        <v>3101</v>
      </c>
    </row>
    <row r="1000" spans="1:3" x14ac:dyDescent="0.35">
      <c r="A1000" t="s">
        <v>3102</v>
      </c>
      <c r="B1000" t="s">
        <v>3103</v>
      </c>
      <c r="C1000" t="s">
        <v>3104</v>
      </c>
    </row>
    <row r="1001" spans="1:3" x14ac:dyDescent="0.35">
      <c r="A1001" t="s">
        <v>3105</v>
      </c>
      <c r="B1001" t="s">
        <v>3106</v>
      </c>
      <c r="C1001" t="s">
        <v>3107</v>
      </c>
    </row>
    <row r="1002" spans="1:3" x14ac:dyDescent="0.35">
      <c r="A1002" t="s">
        <v>3108</v>
      </c>
      <c r="B1002" t="s">
        <v>3109</v>
      </c>
      <c r="C1002" t="s">
        <v>3110</v>
      </c>
    </row>
    <row r="1003" spans="1:3" x14ac:dyDescent="0.35">
      <c r="A1003" t="s">
        <v>3111</v>
      </c>
      <c r="B1003" t="s">
        <v>3112</v>
      </c>
      <c r="C1003" t="s">
        <v>3113</v>
      </c>
    </row>
    <row r="1004" spans="1:3" x14ac:dyDescent="0.35">
      <c r="A1004" t="s">
        <v>3114</v>
      </c>
      <c r="B1004" t="s">
        <v>3115</v>
      </c>
      <c r="C1004" t="s">
        <v>3116</v>
      </c>
    </row>
    <row r="1005" spans="1:3" x14ac:dyDescent="0.35">
      <c r="A1005" t="s">
        <v>3117</v>
      </c>
      <c r="B1005" t="s">
        <v>3118</v>
      </c>
      <c r="C1005" t="s">
        <v>3119</v>
      </c>
    </row>
    <row r="1006" spans="1:3" x14ac:dyDescent="0.35">
      <c r="A1006" t="s">
        <v>3120</v>
      </c>
      <c r="B1006" t="s">
        <v>3121</v>
      </c>
      <c r="C1006" t="s">
        <v>3122</v>
      </c>
    </row>
    <row r="1007" spans="1:3" x14ac:dyDescent="0.35">
      <c r="A1007" t="s">
        <v>3123</v>
      </c>
      <c r="B1007" t="s">
        <v>3124</v>
      </c>
      <c r="C1007" t="s">
        <v>3125</v>
      </c>
    </row>
    <row r="1008" spans="1:3" x14ac:dyDescent="0.35">
      <c r="A1008" t="s">
        <v>3126</v>
      </c>
      <c r="B1008" t="s">
        <v>3127</v>
      </c>
      <c r="C1008" t="s">
        <v>3128</v>
      </c>
    </row>
    <row r="1009" spans="1:3" x14ac:dyDescent="0.35">
      <c r="A1009" t="s">
        <v>3129</v>
      </c>
      <c r="B1009" t="s">
        <v>3130</v>
      </c>
      <c r="C1009" t="s">
        <v>3131</v>
      </c>
    </row>
    <row r="1010" spans="1:3" x14ac:dyDescent="0.35">
      <c r="A1010" t="s">
        <v>3132</v>
      </c>
      <c r="B1010" t="s">
        <v>3133</v>
      </c>
      <c r="C1010" t="s">
        <v>3134</v>
      </c>
    </row>
    <row r="1011" spans="1:3" x14ac:dyDescent="0.35">
      <c r="A1011" t="s">
        <v>3135</v>
      </c>
      <c r="B1011" t="s">
        <v>3136</v>
      </c>
      <c r="C1011" t="s">
        <v>3137</v>
      </c>
    </row>
    <row r="1012" spans="1:3" x14ac:dyDescent="0.35">
      <c r="A1012" t="s">
        <v>3135</v>
      </c>
      <c r="B1012" t="s">
        <v>3138</v>
      </c>
      <c r="C1012" t="s">
        <v>3137</v>
      </c>
    </row>
    <row r="1013" spans="1:3" x14ac:dyDescent="0.35">
      <c r="A1013" t="s">
        <v>3139</v>
      </c>
      <c r="B1013" t="s">
        <v>3140</v>
      </c>
      <c r="C1013" t="s">
        <v>3141</v>
      </c>
    </row>
    <row r="1014" spans="1:3" x14ac:dyDescent="0.35">
      <c r="A1014" t="s">
        <v>3142</v>
      </c>
      <c r="B1014" t="s">
        <v>3143</v>
      </c>
      <c r="C1014" t="s">
        <v>3144</v>
      </c>
    </row>
    <row r="1015" spans="1:3" x14ac:dyDescent="0.35">
      <c r="A1015" t="s">
        <v>3145</v>
      </c>
      <c r="B1015" t="s">
        <v>3146</v>
      </c>
      <c r="C1015" t="s">
        <v>3147</v>
      </c>
    </row>
    <row r="1016" spans="1:3" x14ac:dyDescent="0.35">
      <c r="A1016" t="s">
        <v>3148</v>
      </c>
      <c r="B1016" t="s">
        <v>3149</v>
      </c>
      <c r="C1016" t="s">
        <v>3150</v>
      </c>
    </row>
    <row r="1017" spans="1:3" x14ac:dyDescent="0.35">
      <c r="A1017" t="s">
        <v>3151</v>
      </c>
      <c r="B1017" t="s">
        <v>3152</v>
      </c>
      <c r="C1017" t="s">
        <v>3153</v>
      </c>
    </row>
    <row r="1018" spans="1:3" x14ac:dyDescent="0.35">
      <c r="A1018" t="s">
        <v>3154</v>
      </c>
      <c r="B1018" t="s">
        <v>3155</v>
      </c>
      <c r="C1018" t="s">
        <v>3156</v>
      </c>
    </row>
    <row r="1019" spans="1:3" x14ac:dyDescent="0.35">
      <c r="A1019" t="s">
        <v>3157</v>
      </c>
      <c r="B1019" t="s">
        <v>3158</v>
      </c>
      <c r="C1019" t="s">
        <v>3159</v>
      </c>
    </row>
    <row r="1020" spans="1:3" x14ac:dyDescent="0.35">
      <c r="A1020" t="s">
        <v>3160</v>
      </c>
      <c r="B1020" t="s">
        <v>3161</v>
      </c>
      <c r="C1020" t="s">
        <v>3162</v>
      </c>
    </row>
    <row r="1021" spans="1:3" x14ac:dyDescent="0.35">
      <c r="A1021" t="s">
        <v>3163</v>
      </c>
      <c r="B1021" t="s">
        <v>3164</v>
      </c>
      <c r="C1021" t="s">
        <v>3165</v>
      </c>
    </row>
    <row r="1022" spans="1:3" x14ac:dyDescent="0.35">
      <c r="A1022" t="s">
        <v>3166</v>
      </c>
      <c r="B1022" t="s">
        <v>3167</v>
      </c>
      <c r="C1022" t="s">
        <v>3168</v>
      </c>
    </row>
    <row r="1023" spans="1:3" x14ac:dyDescent="0.35">
      <c r="A1023" t="s">
        <v>3169</v>
      </c>
      <c r="B1023" t="s">
        <v>3170</v>
      </c>
      <c r="C1023" t="s">
        <v>3171</v>
      </c>
    </row>
    <row r="1024" spans="1:3" x14ac:dyDescent="0.35">
      <c r="A1024" t="s">
        <v>3172</v>
      </c>
      <c r="B1024" t="s">
        <v>3173</v>
      </c>
      <c r="C1024" t="s">
        <v>3174</v>
      </c>
    </row>
    <row r="1025" spans="1:3" x14ac:dyDescent="0.35">
      <c r="A1025" t="s">
        <v>3175</v>
      </c>
      <c r="B1025" t="s">
        <v>3176</v>
      </c>
      <c r="C1025" t="s">
        <v>3177</v>
      </c>
    </row>
    <row r="1026" spans="1:3" x14ac:dyDescent="0.35">
      <c r="A1026" t="s">
        <v>3178</v>
      </c>
      <c r="B1026" t="s">
        <v>3179</v>
      </c>
      <c r="C1026" t="s">
        <v>3180</v>
      </c>
    </row>
    <row r="1027" spans="1:3" x14ac:dyDescent="0.35">
      <c r="A1027" t="s">
        <v>3181</v>
      </c>
      <c r="B1027" t="s">
        <v>3182</v>
      </c>
      <c r="C1027" t="s">
        <v>3183</v>
      </c>
    </row>
    <row r="1028" spans="1:3" x14ac:dyDescent="0.35">
      <c r="A1028" t="s">
        <v>3184</v>
      </c>
      <c r="B1028" t="s">
        <v>3185</v>
      </c>
      <c r="C1028" t="s">
        <v>3186</v>
      </c>
    </row>
    <row r="1029" spans="1:3" x14ac:dyDescent="0.35">
      <c r="A1029" t="s">
        <v>3187</v>
      </c>
      <c r="B1029" t="s">
        <v>3188</v>
      </c>
      <c r="C1029" t="s">
        <v>3189</v>
      </c>
    </row>
    <row r="1030" spans="1:3" x14ac:dyDescent="0.35">
      <c r="A1030" t="s">
        <v>3190</v>
      </c>
      <c r="B1030" t="s">
        <v>3191</v>
      </c>
      <c r="C1030" t="s">
        <v>3192</v>
      </c>
    </row>
    <row r="1031" spans="1:3" x14ac:dyDescent="0.35">
      <c r="A1031" t="s">
        <v>3190</v>
      </c>
      <c r="B1031" t="s">
        <v>3193</v>
      </c>
      <c r="C1031" t="s">
        <v>3194</v>
      </c>
    </row>
    <row r="1032" spans="1:3" x14ac:dyDescent="0.35">
      <c r="A1032" t="s">
        <v>3195</v>
      </c>
      <c r="B1032" t="s">
        <v>3196</v>
      </c>
      <c r="C1032" t="s">
        <v>3197</v>
      </c>
    </row>
    <row r="1033" spans="1:3" x14ac:dyDescent="0.35">
      <c r="A1033" t="s">
        <v>3198</v>
      </c>
      <c r="B1033" t="s">
        <v>3199</v>
      </c>
      <c r="C1033" t="s">
        <v>3200</v>
      </c>
    </row>
    <row r="1034" spans="1:3" x14ac:dyDescent="0.35">
      <c r="A1034" t="s">
        <v>3201</v>
      </c>
      <c r="B1034" t="s">
        <v>3202</v>
      </c>
      <c r="C1034" t="s">
        <v>3203</v>
      </c>
    </row>
    <row r="1035" spans="1:3" x14ac:dyDescent="0.35">
      <c r="A1035" t="s">
        <v>3204</v>
      </c>
      <c r="B1035" t="s">
        <v>3205</v>
      </c>
      <c r="C1035" t="s">
        <v>3206</v>
      </c>
    </row>
    <row r="1036" spans="1:3" x14ac:dyDescent="0.35">
      <c r="A1036" t="s">
        <v>3207</v>
      </c>
      <c r="B1036" t="s">
        <v>3208</v>
      </c>
      <c r="C1036" t="s">
        <v>3209</v>
      </c>
    </row>
    <row r="1037" spans="1:3" x14ac:dyDescent="0.35">
      <c r="A1037" t="s">
        <v>3210</v>
      </c>
      <c r="B1037" t="s">
        <v>3211</v>
      </c>
      <c r="C1037" t="s">
        <v>3212</v>
      </c>
    </row>
    <row r="1038" spans="1:3" x14ac:dyDescent="0.35">
      <c r="A1038" t="s">
        <v>3213</v>
      </c>
      <c r="B1038" t="s">
        <v>3214</v>
      </c>
      <c r="C1038" t="s">
        <v>3215</v>
      </c>
    </row>
    <row r="1039" spans="1:3" x14ac:dyDescent="0.35">
      <c r="A1039" t="s">
        <v>3216</v>
      </c>
      <c r="B1039" t="s">
        <v>3217</v>
      </c>
      <c r="C1039" t="s">
        <v>3218</v>
      </c>
    </row>
    <row r="1040" spans="1:3" x14ac:dyDescent="0.35">
      <c r="A1040" t="s">
        <v>3219</v>
      </c>
      <c r="B1040" t="s">
        <v>3220</v>
      </c>
      <c r="C1040" t="s">
        <v>3221</v>
      </c>
    </row>
    <row r="1041" spans="1:3" x14ac:dyDescent="0.35">
      <c r="A1041" t="s">
        <v>3222</v>
      </c>
      <c r="B1041" t="s">
        <v>3223</v>
      </c>
      <c r="C1041" t="s">
        <v>3224</v>
      </c>
    </row>
    <row r="1042" spans="1:3" x14ac:dyDescent="0.35">
      <c r="A1042" t="s">
        <v>3225</v>
      </c>
      <c r="B1042" t="s">
        <v>3226</v>
      </c>
      <c r="C1042" t="s">
        <v>3227</v>
      </c>
    </row>
    <row r="1043" spans="1:3" x14ac:dyDescent="0.35">
      <c r="A1043" t="s">
        <v>3228</v>
      </c>
      <c r="B1043" t="s">
        <v>3229</v>
      </c>
      <c r="C1043" t="s">
        <v>3230</v>
      </c>
    </row>
    <row r="1044" spans="1:3" x14ac:dyDescent="0.35">
      <c r="A1044" t="s">
        <v>3231</v>
      </c>
      <c r="B1044" t="s">
        <v>3232</v>
      </c>
      <c r="C1044" t="s">
        <v>3233</v>
      </c>
    </row>
    <row r="1045" spans="1:3" x14ac:dyDescent="0.35">
      <c r="A1045" t="s">
        <v>3234</v>
      </c>
      <c r="B1045" t="s">
        <v>3235</v>
      </c>
      <c r="C1045" t="s">
        <v>3236</v>
      </c>
    </row>
    <row r="1046" spans="1:3" x14ac:dyDescent="0.35">
      <c r="A1046" t="s">
        <v>3237</v>
      </c>
      <c r="B1046" t="s">
        <v>3238</v>
      </c>
      <c r="C1046" t="s">
        <v>3239</v>
      </c>
    </row>
    <row r="1047" spans="1:3" x14ac:dyDescent="0.35">
      <c r="A1047" t="s">
        <v>3240</v>
      </c>
      <c r="B1047" t="s">
        <v>3241</v>
      </c>
      <c r="C1047" t="s">
        <v>3242</v>
      </c>
    </row>
    <row r="1048" spans="1:3" x14ac:dyDescent="0.35">
      <c r="A1048" t="s">
        <v>3243</v>
      </c>
      <c r="B1048" t="s">
        <v>3244</v>
      </c>
      <c r="C1048" t="s">
        <v>3245</v>
      </c>
    </row>
    <row r="1049" spans="1:3" x14ac:dyDescent="0.35">
      <c r="A1049" t="s">
        <v>3246</v>
      </c>
      <c r="B1049" t="s">
        <v>3247</v>
      </c>
      <c r="C1049" t="s">
        <v>3248</v>
      </c>
    </row>
    <row r="1050" spans="1:3" x14ac:dyDescent="0.35">
      <c r="A1050" t="s">
        <v>3249</v>
      </c>
      <c r="B1050" t="s">
        <v>3250</v>
      </c>
      <c r="C1050" t="s">
        <v>3251</v>
      </c>
    </row>
    <row r="1051" spans="1:3" x14ac:dyDescent="0.35">
      <c r="A1051" t="s">
        <v>3252</v>
      </c>
      <c r="B1051" t="s">
        <v>3253</v>
      </c>
      <c r="C1051" t="s">
        <v>3254</v>
      </c>
    </row>
    <row r="1052" spans="1:3" x14ac:dyDescent="0.35">
      <c r="A1052" t="s">
        <v>3255</v>
      </c>
      <c r="B1052" t="s">
        <v>3256</v>
      </c>
      <c r="C1052" t="s">
        <v>3257</v>
      </c>
    </row>
    <row r="1053" spans="1:3" x14ac:dyDescent="0.35">
      <c r="A1053" t="s">
        <v>3258</v>
      </c>
      <c r="B1053" t="s">
        <v>3259</v>
      </c>
      <c r="C1053" t="s">
        <v>3260</v>
      </c>
    </row>
    <row r="1054" spans="1:3" x14ac:dyDescent="0.35">
      <c r="A1054" t="s">
        <v>3261</v>
      </c>
      <c r="B1054" t="s">
        <v>3262</v>
      </c>
      <c r="C1054" t="s">
        <v>3263</v>
      </c>
    </row>
    <row r="1055" spans="1:3" x14ac:dyDescent="0.35">
      <c r="A1055" t="s">
        <v>3264</v>
      </c>
      <c r="B1055" t="s">
        <v>3265</v>
      </c>
      <c r="C1055" t="s">
        <v>3266</v>
      </c>
    </row>
    <row r="1056" spans="1:3" x14ac:dyDescent="0.35">
      <c r="A1056" t="s">
        <v>3267</v>
      </c>
      <c r="B1056" t="s">
        <v>3268</v>
      </c>
      <c r="C1056" t="s">
        <v>3269</v>
      </c>
    </row>
    <row r="1057" spans="1:3" x14ac:dyDescent="0.35">
      <c r="A1057" t="s">
        <v>3270</v>
      </c>
      <c r="B1057" t="s">
        <v>3271</v>
      </c>
      <c r="C1057" t="s">
        <v>3272</v>
      </c>
    </row>
    <row r="1058" spans="1:3" x14ac:dyDescent="0.35">
      <c r="A1058" t="s">
        <v>3273</v>
      </c>
      <c r="B1058" t="s">
        <v>3274</v>
      </c>
      <c r="C1058" t="s">
        <v>3275</v>
      </c>
    </row>
    <row r="1059" spans="1:3" x14ac:dyDescent="0.35">
      <c r="A1059" t="s">
        <v>3273</v>
      </c>
      <c r="B1059" t="s">
        <v>3276</v>
      </c>
      <c r="C1059" t="s">
        <v>3275</v>
      </c>
    </row>
    <row r="1060" spans="1:3" x14ac:dyDescent="0.35">
      <c r="A1060" t="s">
        <v>3277</v>
      </c>
      <c r="B1060" t="s">
        <v>3278</v>
      </c>
      <c r="C1060" t="s">
        <v>3279</v>
      </c>
    </row>
    <row r="1061" spans="1:3" x14ac:dyDescent="0.35">
      <c r="A1061" t="s">
        <v>3280</v>
      </c>
      <c r="B1061" t="s">
        <v>3281</v>
      </c>
      <c r="C1061" t="s">
        <v>3282</v>
      </c>
    </row>
    <row r="1062" spans="1:3" x14ac:dyDescent="0.35">
      <c r="A1062" t="s">
        <v>3283</v>
      </c>
      <c r="B1062" t="s">
        <v>3284</v>
      </c>
      <c r="C1062" t="s">
        <v>3285</v>
      </c>
    </row>
    <row r="1063" spans="1:3" x14ac:dyDescent="0.35">
      <c r="A1063" t="s">
        <v>3286</v>
      </c>
      <c r="B1063" t="s">
        <v>3287</v>
      </c>
      <c r="C1063" t="s">
        <v>3288</v>
      </c>
    </row>
    <row r="1064" spans="1:3" x14ac:dyDescent="0.35">
      <c r="A1064" t="s">
        <v>3289</v>
      </c>
      <c r="B1064" t="s">
        <v>3290</v>
      </c>
      <c r="C1064" t="s">
        <v>3291</v>
      </c>
    </row>
    <row r="1065" spans="1:3" x14ac:dyDescent="0.35">
      <c r="A1065" t="s">
        <v>3292</v>
      </c>
      <c r="B1065" t="s">
        <v>3293</v>
      </c>
      <c r="C1065" t="s">
        <v>3294</v>
      </c>
    </row>
    <row r="1066" spans="1:3" x14ac:dyDescent="0.35">
      <c r="A1066" t="s">
        <v>3295</v>
      </c>
      <c r="B1066" t="s">
        <v>3296</v>
      </c>
      <c r="C1066" t="s">
        <v>3297</v>
      </c>
    </row>
    <row r="1067" spans="1:3" x14ac:dyDescent="0.35">
      <c r="A1067" t="s">
        <v>3298</v>
      </c>
      <c r="B1067" t="s">
        <v>3299</v>
      </c>
      <c r="C1067" t="s">
        <v>3300</v>
      </c>
    </row>
    <row r="1068" spans="1:3" x14ac:dyDescent="0.35">
      <c r="A1068" t="s">
        <v>3301</v>
      </c>
      <c r="B1068" t="s">
        <v>3302</v>
      </c>
      <c r="C1068" t="s">
        <v>3303</v>
      </c>
    </row>
    <row r="1069" spans="1:3" x14ac:dyDescent="0.35">
      <c r="A1069" t="s">
        <v>3304</v>
      </c>
      <c r="B1069" t="s">
        <v>3305</v>
      </c>
      <c r="C1069" t="s">
        <v>3306</v>
      </c>
    </row>
    <row r="1070" spans="1:3" x14ac:dyDescent="0.35">
      <c r="A1070" t="s">
        <v>3307</v>
      </c>
      <c r="B1070" t="s">
        <v>3308</v>
      </c>
      <c r="C1070" t="s">
        <v>3309</v>
      </c>
    </row>
    <row r="1071" spans="1:3" x14ac:dyDescent="0.35">
      <c r="A1071" t="s">
        <v>3310</v>
      </c>
      <c r="B1071" t="s">
        <v>3311</v>
      </c>
      <c r="C1071" t="s">
        <v>3312</v>
      </c>
    </row>
    <row r="1072" spans="1:3" x14ac:dyDescent="0.35">
      <c r="A1072" t="s">
        <v>3313</v>
      </c>
      <c r="B1072" t="s">
        <v>3314</v>
      </c>
      <c r="C1072" t="s">
        <v>3315</v>
      </c>
    </row>
    <row r="1073" spans="1:3" x14ac:dyDescent="0.35">
      <c r="A1073" t="s">
        <v>3316</v>
      </c>
      <c r="B1073" t="s">
        <v>3317</v>
      </c>
      <c r="C1073" t="s">
        <v>3318</v>
      </c>
    </row>
    <row r="1074" spans="1:3" x14ac:dyDescent="0.35">
      <c r="A1074" t="s">
        <v>3319</v>
      </c>
      <c r="B1074" t="s">
        <v>3320</v>
      </c>
      <c r="C1074" t="s">
        <v>3321</v>
      </c>
    </row>
    <row r="1075" spans="1:3" x14ac:dyDescent="0.35">
      <c r="A1075" t="s">
        <v>3322</v>
      </c>
      <c r="B1075" t="s">
        <v>3323</v>
      </c>
      <c r="C1075" t="s">
        <v>3324</v>
      </c>
    </row>
    <row r="1076" spans="1:3" x14ac:dyDescent="0.35">
      <c r="A1076" t="s">
        <v>3325</v>
      </c>
      <c r="B1076" t="s">
        <v>3326</v>
      </c>
      <c r="C1076" t="s">
        <v>3327</v>
      </c>
    </row>
    <row r="1077" spans="1:3" x14ac:dyDescent="0.35">
      <c r="A1077" t="s">
        <v>3328</v>
      </c>
      <c r="B1077" t="s">
        <v>3329</v>
      </c>
      <c r="C1077" t="s">
        <v>3330</v>
      </c>
    </row>
    <row r="1078" spans="1:3" x14ac:dyDescent="0.35">
      <c r="A1078" t="s">
        <v>3331</v>
      </c>
      <c r="B1078" t="s">
        <v>3332</v>
      </c>
      <c r="C1078" t="s">
        <v>3333</v>
      </c>
    </row>
    <row r="1079" spans="1:3" x14ac:dyDescent="0.35">
      <c r="A1079" t="s">
        <v>3334</v>
      </c>
      <c r="B1079" t="s">
        <v>3335</v>
      </c>
      <c r="C1079" t="s">
        <v>3336</v>
      </c>
    </row>
    <row r="1080" spans="1:3" x14ac:dyDescent="0.35">
      <c r="A1080" t="s">
        <v>3337</v>
      </c>
      <c r="B1080" t="s">
        <v>3338</v>
      </c>
      <c r="C1080" t="s">
        <v>3339</v>
      </c>
    </row>
    <row r="1081" spans="1:3" x14ac:dyDescent="0.35">
      <c r="A1081" t="s">
        <v>3340</v>
      </c>
      <c r="B1081" t="s">
        <v>3341</v>
      </c>
      <c r="C1081" t="s">
        <v>3342</v>
      </c>
    </row>
    <row r="1082" spans="1:3" x14ac:dyDescent="0.35">
      <c r="A1082" t="s">
        <v>3343</v>
      </c>
      <c r="B1082" t="s">
        <v>3344</v>
      </c>
      <c r="C1082" t="s">
        <v>1314</v>
      </c>
    </row>
    <row r="1083" spans="1:3" x14ac:dyDescent="0.35">
      <c r="A1083" t="s">
        <v>3345</v>
      </c>
      <c r="B1083" t="s">
        <v>3346</v>
      </c>
      <c r="C1083" t="s">
        <v>3347</v>
      </c>
    </row>
    <row r="1084" spans="1:3" x14ac:dyDescent="0.35">
      <c r="A1084" t="s">
        <v>3348</v>
      </c>
      <c r="B1084" t="s">
        <v>3349</v>
      </c>
      <c r="C1084" t="s">
        <v>3350</v>
      </c>
    </row>
    <row r="1085" spans="1:3" x14ac:dyDescent="0.35">
      <c r="A1085" t="s">
        <v>3351</v>
      </c>
      <c r="B1085" t="s">
        <v>3352</v>
      </c>
      <c r="C1085" t="s">
        <v>3353</v>
      </c>
    </row>
    <row r="1086" spans="1:3" x14ac:dyDescent="0.35">
      <c r="A1086" t="s">
        <v>3354</v>
      </c>
      <c r="B1086" t="s">
        <v>3355</v>
      </c>
      <c r="C1086" t="s">
        <v>3356</v>
      </c>
    </row>
    <row r="1087" spans="1:3" x14ac:dyDescent="0.35">
      <c r="A1087" t="s">
        <v>3357</v>
      </c>
      <c r="B1087" t="s">
        <v>3358</v>
      </c>
      <c r="C1087" t="s">
        <v>3359</v>
      </c>
    </row>
    <row r="1088" spans="1:3" x14ac:dyDescent="0.35">
      <c r="A1088" t="s">
        <v>3360</v>
      </c>
      <c r="B1088" t="s">
        <v>3361</v>
      </c>
      <c r="C1088" t="s">
        <v>3362</v>
      </c>
    </row>
    <row r="1089" spans="1:3" x14ac:dyDescent="0.35">
      <c r="A1089" t="s">
        <v>3363</v>
      </c>
      <c r="B1089" t="s">
        <v>3364</v>
      </c>
      <c r="C1089" t="s">
        <v>3365</v>
      </c>
    </row>
    <row r="1090" spans="1:3" x14ac:dyDescent="0.35">
      <c r="A1090" t="s">
        <v>3363</v>
      </c>
      <c r="B1090" t="s">
        <v>3366</v>
      </c>
      <c r="C1090" t="s">
        <v>3365</v>
      </c>
    </row>
    <row r="1091" spans="1:3" x14ac:dyDescent="0.35">
      <c r="A1091" t="s">
        <v>3367</v>
      </c>
      <c r="B1091" t="s">
        <v>3368</v>
      </c>
      <c r="C1091" t="s">
        <v>3369</v>
      </c>
    </row>
    <row r="1092" spans="1:3" x14ac:dyDescent="0.35">
      <c r="A1092" t="s">
        <v>3370</v>
      </c>
      <c r="B1092" t="s">
        <v>3371</v>
      </c>
      <c r="C1092" t="s">
        <v>3372</v>
      </c>
    </row>
    <row r="1093" spans="1:3" x14ac:dyDescent="0.35">
      <c r="A1093" t="s">
        <v>3373</v>
      </c>
      <c r="B1093" t="s">
        <v>3374</v>
      </c>
      <c r="C1093" t="s">
        <v>3375</v>
      </c>
    </row>
    <row r="1094" spans="1:3" x14ac:dyDescent="0.35">
      <c r="A1094" t="s">
        <v>3376</v>
      </c>
      <c r="B1094" t="s">
        <v>3377</v>
      </c>
      <c r="C1094" t="s">
        <v>3378</v>
      </c>
    </row>
    <row r="1095" spans="1:3" x14ac:dyDescent="0.35">
      <c r="A1095" t="s">
        <v>3379</v>
      </c>
      <c r="B1095" t="s">
        <v>3380</v>
      </c>
      <c r="C1095" t="s">
        <v>3381</v>
      </c>
    </row>
    <row r="1096" spans="1:3" x14ac:dyDescent="0.35">
      <c r="A1096" t="s">
        <v>3382</v>
      </c>
      <c r="B1096" t="s">
        <v>3383</v>
      </c>
      <c r="C1096" t="s">
        <v>3384</v>
      </c>
    </row>
    <row r="1097" spans="1:3" x14ac:dyDescent="0.35">
      <c r="A1097" t="s">
        <v>3385</v>
      </c>
      <c r="B1097" t="s">
        <v>3386</v>
      </c>
      <c r="C1097" t="s">
        <v>3387</v>
      </c>
    </row>
    <row r="1098" spans="1:3" x14ac:dyDescent="0.35">
      <c r="A1098" t="s">
        <v>3388</v>
      </c>
      <c r="B1098" t="s">
        <v>3389</v>
      </c>
      <c r="C1098" t="s">
        <v>3390</v>
      </c>
    </row>
    <row r="1099" spans="1:3" x14ac:dyDescent="0.35">
      <c r="A1099" t="s">
        <v>3391</v>
      </c>
      <c r="B1099" t="s">
        <v>3392</v>
      </c>
      <c r="C1099" t="s">
        <v>3393</v>
      </c>
    </row>
    <row r="1100" spans="1:3" x14ac:dyDescent="0.35">
      <c r="A1100" t="s">
        <v>3394</v>
      </c>
      <c r="B1100" t="s">
        <v>3395</v>
      </c>
      <c r="C1100" t="s">
        <v>3396</v>
      </c>
    </row>
    <row r="1101" spans="1:3" x14ac:dyDescent="0.35">
      <c r="A1101" t="s">
        <v>3397</v>
      </c>
      <c r="B1101" t="s">
        <v>3398</v>
      </c>
      <c r="C1101" t="s">
        <v>3399</v>
      </c>
    </row>
    <row r="1102" spans="1:3" x14ac:dyDescent="0.35">
      <c r="A1102" t="s">
        <v>3400</v>
      </c>
      <c r="B1102" t="s">
        <v>3401</v>
      </c>
      <c r="C1102" t="s">
        <v>3402</v>
      </c>
    </row>
    <row r="1103" spans="1:3" x14ac:dyDescent="0.35">
      <c r="A1103" t="s">
        <v>3403</v>
      </c>
      <c r="B1103" t="s">
        <v>3404</v>
      </c>
      <c r="C1103" t="s">
        <v>3405</v>
      </c>
    </row>
    <row r="1104" spans="1:3" x14ac:dyDescent="0.35">
      <c r="A1104" t="s">
        <v>3406</v>
      </c>
      <c r="B1104" t="s">
        <v>3407</v>
      </c>
      <c r="C1104" t="s">
        <v>3408</v>
      </c>
    </row>
    <row r="1105" spans="1:3" x14ac:dyDescent="0.35">
      <c r="A1105" t="s">
        <v>3409</v>
      </c>
      <c r="B1105" t="s">
        <v>3410</v>
      </c>
      <c r="C1105" t="s">
        <v>3411</v>
      </c>
    </row>
    <row r="1106" spans="1:3" x14ac:dyDescent="0.35">
      <c r="A1106" t="s">
        <v>3412</v>
      </c>
      <c r="B1106" t="s">
        <v>3413</v>
      </c>
      <c r="C1106" t="s">
        <v>3414</v>
      </c>
    </row>
    <row r="1107" spans="1:3" x14ac:dyDescent="0.35">
      <c r="A1107" t="s">
        <v>3415</v>
      </c>
      <c r="B1107" t="s">
        <v>3416</v>
      </c>
      <c r="C1107" t="s">
        <v>3417</v>
      </c>
    </row>
    <row r="1108" spans="1:3" x14ac:dyDescent="0.35">
      <c r="A1108" t="s">
        <v>3418</v>
      </c>
      <c r="B1108" t="s">
        <v>3419</v>
      </c>
      <c r="C1108" t="s">
        <v>3420</v>
      </c>
    </row>
    <row r="1109" spans="1:3" x14ac:dyDescent="0.35">
      <c r="A1109" t="s">
        <v>3421</v>
      </c>
      <c r="B1109" t="s">
        <v>3422</v>
      </c>
      <c r="C1109" t="s">
        <v>3423</v>
      </c>
    </row>
    <row r="1110" spans="1:3" x14ac:dyDescent="0.35">
      <c r="A1110" t="s">
        <v>3424</v>
      </c>
      <c r="B1110" t="s">
        <v>3425</v>
      </c>
      <c r="C1110" t="s">
        <v>3426</v>
      </c>
    </row>
    <row r="1111" spans="1:3" x14ac:dyDescent="0.35">
      <c r="A1111" t="s">
        <v>3427</v>
      </c>
      <c r="B1111" t="s">
        <v>3428</v>
      </c>
      <c r="C1111" t="s">
        <v>3429</v>
      </c>
    </row>
    <row r="1112" spans="1:3" x14ac:dyDescent="0.35">
      <c r="A1112" t="s">
        <v>3430</v>
      </c>
      <c r="B1112" t="s">
        <v>3431</v>
      </c>
      <c r="C1112" t="s">
        <v>3432</v>
      </c>
    </row>
    <row r="1113" spans="1:3" x14ac:dyDescent="0.35">
      <c r="A1113" t="s">
        <v>3433</v>
      </c>
      <c r="B1113" t="s">
        <v>3434</v>
      </c>
      <c r="C1113" t="s">
        <v>3435</v>
      </c>
    </row>
    <row r="1114" spans="1:3" x14ac:dyDescent="0.35">
      <c r="A1114" t="s">
        <v>3436</v>
      </c>
      <c r="B1114" t="s">
        <v>3437</v>
      </c>
      <c r="C1114" t="s">
        <v>3438</v>
      </c>
    </row>
    <row r="1115" spans="1:3" x14ac:dyDescent="0.35">
      <c r="A1115" t="s">
        <v>3439</v>
      </c>
      <c r="B1115" t="s">
        <v>3440</v>
      </c>
      <c r="C1115" t="s">
        <v>3441</v>
      </c>
    </row>
    <row r="1116" spans="1:3" x14ac:dyDescent="0.35">
      <c r="A1116" t="s">
        <v>3442</v>
      </c>
      <c r="B1116" t="s">
        <v>3443</v>
      </c>
      <c r="C1116" t="s">
        <v>3444</v>
      </c>
    </row>
    <row r="1117" spans="1:3" x14ac:dyDescent="0.35">
      <c r="A1117" t="s">
        <v>3445</v>
      </c>
      <c r="B1117" t="s">
        <v>3446</v>
      </c>
      <c r="C1117" t="s">
        <v>3447</v>
      </c>
    </row>
    <row r="1118" spans="1:3" x14ac:dyDescent="0.35">
      <c r="A1118" t="s">
        <v>3448</v>
      </c>
      <c r="B1118" t="s">
        <v>3449</v>
      </c>
      <c r="C1118" t="s">
        <v>3450</v>
      </c>
    </row>
    <row r="1119" spans="1:3" x14ac:dyDescent="0.35">
      <c r="A1119" t="s">
        <v>3451</v>
      </c>
      <c r="B1119" t="s">
        <v>3452</v>
      </c>
      <c r="C1119" t="s">
        <v>3453</v>
      </c>
    </row>
    <row r="1120" spans="1:3" x14ac:dyDescent="0.35">
      <c r="A1120" t="s">
        <v>3454</v>
      </c>
      <c r="B1120" t="s">
        <v>3455</v>
      </c>
      <c r="C1120" t="s">
        <v>3456</v>
      </c>
    </row>
    <row r="1121" spans="1:3" x14ac:dyDescent="0.35">
      <c r="A1121" t="s">
        <v>3454</v>
      </c>
      <c r="B1121" t="s">
        <v>3457</v>
      </c>
      <c r="C1121" t="s">
        <v>3458</v>
      </c>
    </row>
    <row r="1122" spans="1:3" x14ac:dyDescent="0.35">
      <c r="A1122" t="s">
        <v>3459</v>
      </c>
      <c r="B1122" t="s">
        <v>3460</v>
      </c>
      <c r="C1122" t="s">
        <v>3461</v>
      </c>
    </row>
    <row r="1123" spans="1:3" x14ac:dyDescent="0.35">
      <c r="A1123" t="s">
        <v>3462</v>
      </c>
      <c r="B1123" t="s">
        <v>3463</v>
      </c>
      <c r="C1123" t="s">
        <v>3464</v>
      </c>
    </row>
    <row r="1124" spans="1:3" x14ac:dyDescent="0.35">
      <c r="A1124" t="s">
        <v>3465</v>
      </c>
      <c r="B1124" t="s">
        <v>3466</v>
      </c>
      <c r="C1124" t="s">
        <v>3467</v>
      </c>
    </row>
    <row r="1125" spans="1:3" x14ac:dyDescent="0.35">
      <c r="A1125" t="s">
        <v>3468</v>
      </c>
      <c r="B1125" t="s">
        <v>3469</v>
      </c>
      <c r="C1125" t="s">
        <v>3470</v>
      </c>
    </row>
    <row r="1126" spans="1:3" x14ac:dyDescent="0.35">
      <c r="A1126" t="s">
        <v>3471</v>
      </c>
      <c r="B1126" t="s">
        <v>3472</v>
      </c>
      <c r="C1126" t="s">
        <v>3473</v>
      </c>
    </row>
    <row r="1127" spans="1:3" x14ac:dyDescent="0.35">
      <c r="A1127" t="s">
        <v>3474</v>
      </c>
      <c r="B1127" t="s">
        <v>3475</v>
      </c>
      <c r="C1127" t="s">
        <v>3476</v>
      </c>
    </row>
    <row r="1128" spans="1:3" x14ac:dyDescent="0.35">
      <c r="A1128" t="s">
        <v>3474</v>
      </c>
      <c r="B1128" t="s">
        <v>3477</v>
      </c>
      <c r="C1128" t="s">
        <v>3478</v>
      </c>
    </row>
    <row r="1129" spans="1:3" x14ac:dyDescent="0.35">
      <c r="A1129" t="s">
        <v>3479</v>
      </c>
      <c r="B1129" t="s">
        <v>3480</v>
      </c>
      <c r="C1129" t="s">
        <v>3481</v>
      </c>
    </row>
    <row r="1130" spans="1:3" x14ac:dyDescent="0.35">
      <c r="A1130" t="s">
        <v>3482</v>
      </c>
      <c r="B1130" t="s">
        <v>3483</v>
      </c>
      <c r="C1130" t="s">
        <v>3484</v>
      </c>
    </row>
    <row r="1131" spans="1:3" x14ac:dyDescent="0.35">
      <c r="A1131" t="s">
        <v>3485</v>
      </c>
      <c r="B1131" t="s">
        <v>3486</v>
      </c>
      <c r="C1131" t="s">
        <v>3487</v>
      </c>
    </row>
    <row r="1132" spans="1:3" x14ac:dyDescent="0.35">
      <c r="A1132" t="s">
        <v>3488</v>
      </c>
      <c r="B1132" t="s">
        <v>3489</v>
      </c>
      <c r="C1132" t="s">
        <v>3490</v>
      </c>
    </row>
    <row r="1133" spans="1:3" x14ac:dyDescent="0.35">
      <c r="A1133" t="s">
        <v>3491</v>
      </c>
      <c r="B1133" t="s">
        <v>3492</v>
      </c>
      <c r="C1133" t="s">
        <v>3493</v>
      </c>
    </row>
    <row r="1134" spans="1:3" x14ac:dyDescent="0.35">
      <c r="A1134" t="s">
        <v>3494</v>
      </c>
      <c r="B1134" t="s">
        <v>3495</v>
      </c>
      <c r="C1134" t="s">
        <v>3496</v>
      </c>
    </row>
    <row r="1135" spans="1:3" x14ac:dyDescent="0.35">
      <c r="A1135" t="s">
        <v>3497</v>
      </c>
      <c r="B1135" t="s">
        <v>3498</v>
      </c>
      <c r="C1135" t="s">
        <v>3499</v>
      </c>
    </row>
    <row r="1136" spans="1:3" x14ac:dyDescent="0.35">
      <c r="A1136" t="s">
        <v>3500</v>
      </c>
      <c r="B1136" t="s">
        <v>3501</v>
      </c>
      <c r="C1136" t="s">
        <v>3502</v>
      </c>
    </row>
    <row r="1137" spans="1:3" x14ac:dyDescent="0.35">
      <c r="A1137" t="s">
        <v>3503</v>
      </c>
      <c r="B1137" t="s">
        <v>3504</v>
      </c>
      <c r="C1137" t="s">
        <v>3505</v>
      </c>
    </row>
    <row r="1138" spans="1:3" x14ac:dyDescent="0.35">
      <c r="A1138" t="s">
        <v>3506</v>
      </c>
      <c r="B1138" t="s">
        <v>3507</v>
      </c>
      <c r="C1138" t="s">
        <v>3508</v>
      </c>
    </row>
    <row r="1139" spans="1:3" x14ac:dyDescent="0.35">
      <c r="A1139" t="s">
        <v>3509</v>
      </c>
      <c r="B1139" t="s">
        <v>3510</v>
      </c>
      <c r="C1139" t="s">
        <v>3511</v>
      </c>
    </row>
    <row r="1140" spans="1:3" x14ac:dyDescent="0.35">
      <c r="A1140" t="s">
        <v>3512</v>
      </c>
      <c r="B1140" t="s">
        <v>3513</v>
      </c>
      <c r="C1140" t="s">
        <v>3514</v>
      </c>
    </row>
    <row r="1141" spans="1:3" x14ac:dyDescent="0.35">
      <c r="A1141" t="s">
        <v>3515</v>
      </c>
      <c r="B1141" t="s">
        <v>3516</v>
      </c>
      <c r="C1141" t="s">
        <v>3517</v>
      </c>
    </row>
    <row r="1142" spans="1:3" x14ac:dyDescent="0.35">
      <c r="A1142" t="s">
        <v>3518</v>
      </c>
      <c r="B1142" t="s">
        <v>3519</v>
      </c>
      <c r="C1142" t="s">
        <v>3520</v>
      </c>
    </row>
    <row r="1143" spans="1:3" x14ac:dyDescent="0.35">
      <c r="A1143" t="s">
        <v>3521</v>
      </c>
      <c r="B1143" t="s">
        <v>3522</v>
      </c>
      <c r="C1143" t="s">
        <v>3523</v>
      </c>
    </row>
    <row r="1144" spans="1:3" x14ac:dyDescent="0.35">
      <c r="A1144" t="s">
        <v>3524</v>
      </c>
      <c r="B1144" t="s">
        <v>3525</v>
      </c>
      <c r="C1144" t="s">
        <v>3526</v>
      </c>
    </row>
    <row r="1145" spans="1:3" x14ac:dyDescent="0.35">
      <c r="A1145" t="s">
        <v>3527</v>
      </c>
      <c r="B1145" t="s">
        <v>3528</v>
      </c>
      <c r="C1145" t="s">
        <v>3529</v>
      </c>
    </row>
    <row r="1146" spans="1:3" x14ac:dyDescent="0.35">
      <c r="A1146" t="s">
        <v>3530</v>
      </c>
      <c r="B1146" t="s">
        <v>3531</v>
      </c>
      <c r="C1146" t="s">
        <v>3532</v>
      </c>
    </row>
    <row r="1147" spans="1:3" x14ac:dyDescent="0.35">
      <c r="A1147" t="s">
        <v>3533</v>
      </c>
      <c r="B1147" t="s">
        <v>3534</v>
      </c>
      <c r="C1147" t="s">
        <v>3535</v>
      </c>
    </row>
    <row r="1148" spans="1:3" x14ac:dyDescent="0.35">
      <c r="A1148" t="s">
        <v>3536</v>
      </c>
      <c r="B1148" t="s">
        <v>3537</v>
      </c>
      <c r="C1148" t="s">
        <v>3538</v>
      </c>
    </row>
    <row r="1149" spans="1:3" x14ac:dyDescent="0.35">
      <c r="A1149" t="s">
        <v>3539</v>
      </c>
      <c r="B1149" t="s">
        <v>3540</v>
      </c>
      <c r="C1149" t="s">
        <v>3541</v>
      </c>
    </row>
    <row r="1150" spans="1:3" x14ac:dyDescent="0.35">
      <c r="A1150" t="s">
        <v>3542</v>
      </c>
      <c r="B1150" t="s">
        <v>3543</v>
      </c>
      <c r="C1150" t="s">
        <v>3544</v>
      </c>
    </row>
    <row r="1151" spans="1:3" x14ac:dyDescent="0.35">
      <c r="A1151" t="s">
        <v>3545</v>
      </c>
      <c r="B1151" t="s">
        <v>3546</v>
      </c>
      <c r="C1151" t="s">
        <v>3547</v>
      </c>
    </row>
    <row r="1152" spans="1:3" x14ac:dyDescent="0.35">
      <c r="A1152" t="s">
        <v>3548</v>
      </c>
      <c r="B1152" t="s">
        <v>3549</v>
      </c>
      <c r="C1152" t="s">
        <v>3550</v>
      </c>
    </row>
    <row r="1153" spans="1:3" x14ac:dyDescent="0.35">
      <c r="A1153" t="s">
        <v>3551</v>
      </c>
      <c r="B1153" t="s">
        <v>3552</v>
      </c>
      <c r="C1153" t="s">
        <v>3553</v>
      </c>
    </row>
    <row r="1154" spans="1:3" x14ac:dyDescent="0.35">
      <c r="A1154" t="s">
        <v>3554</v>
      </c>
      <c r="B1154" t="s">
        <v>3555</v>
      </c>
      <c r="C1154" t="s">
        <v>3556</v>
      </c>
    </row>
    <row r="1155" spans="1:3" x14ac:dyDescent="0.35">
      <c r="A1155" t="s">
        <v>3557</v>
      </c>
      <c r="B1155" t="s">
        <v>3558</v>
      </c>
      <c r="C1155" t="s">
        <v>3559</v>
      </c>
    </row>
    <row r="1156" spans="1:3" x14ac:dyDescent="0.35">
      <c r="A1156" t="s">
        <v>3560</v>
      </c>
      <c r="B1156" t="s">
        <v>3561</v>
      </c>
      <c r="C1156" t="s">
        <v>3562</v>
      </c>
    </row>
    <row r="1157" spans="1:3" x14ac:dyDescent="0.35">
      <c r="A1157" t="s">
        <v>3563</v>
      </c>
      <c r="B1157" t="s">
        <v>3564</v>
      </c>
      <c r="C1157" t="s">
        <v>3565</v>
      </c>
    </row>
    <row r="1158" spans="1:3" x14ac:dyDescent="0.35">
      <c r="A1158" t="s">
        <v>3566</v>
      </c>
      <c r="B1158" t="s">
        <v>3567</v>
      </c>
      <c r="C1158" t="s">
        <v>3568</v>
      </c>
    </row>
    <row r="1159" spans="1:3" x14ac:dyDescent="0.35">
      <c r="A1159" t="s">
        <v>3569</v>
      </c>
      <c r="B1159" t="s">
        <v>3570</v>
      </c>
      <c r="C1159" t="s">
        <v>3571</v>
      </c>
    </row>
    <row r="1160" spans="1:3" x14ac:dyDescent="0.35">
      <c r="A1160" t="s">
        <v>3572</v>
      </c>
      <c r="B1160" t="s">
        <v>3573</v>
      </c>
      <c r="C1160" t="s">
        <v>3574</v>
      </c>
    </row>
    <row r="1161" spans="1:3" x14ac:dyDescent="0.35">
      <c r="A1161" t="s">
        <v>3575</v>
      </c>
      <c r="B1161" t="s">
        <v>3576</v>
      </c>
      <c r="C1161" t="s">
        <v>3577</v>
      </c>
    </row>
    <row r="1162" spans="1:3" x14ac:dyDescent="0.35">
      <c r="A1162" t="s">
        <v>3578</v>
      </c>
      <c r="B1162" t="s">
        <v>3579</v>
      </c>
      <c r="C1162" t="s">
        <v>3580</v>
      </c>
    </row>
    <row r="1163" spans="1:3" x14ac:dyDescent="0.35">
      <c r="A1163" t="s">
        <v>3581</v>
      </c>
      <c r="B1163" t="s">
        <v>3582</v>
      </c>
      <c r="C1163" t="s">
        <v>3583</v>
      </c>
    </row>
    <row r="1164" spans="1:3" x14ac:dyDescent="0.35">
      <c r="A1164" t="s">
        <v>3584</v>
      </c>
      <c r="B1164" t="s">
        <v>3585</v>
      </c>
      <c r="C1164" t="s">
        <v>3586</v>
      </c>
    </row>
    <row r="1165" spans="1:3" x14ac:dyDescent="0.35">
      <c r="A1165" t="s">
        <v>3587</v>
      </c>
      <c r="B1165" t="s">
        <v>3588</v>
      </c>
      <c r="C1165" t="s">
        <v>3589</v>
      </c>
    </row>
    <row r="1166" spans="1:3" x14ac:dyDescent="0.35">
      <c r="A1166" t="s">
        <v>3590</v>
      </c>
      <c r="B1166" t="s">
        <v>3591</v>
      </c>
      <c r="C1166" t="s">
        <v>3592</v>
      </c>
    </row>
    <row r="1167" spans="1:3" x14ac:dyDescent="0.35">
      <c r="A1167" t="s">
        <v>3593</v>
      </c>
      <c r="B1167" t="s">
        <v>3594</v>
      </c>
      <c r="C1167" t="s">
        <v>3595</v>
      </c>
    </row>
    <row r="1168" spans="1:3" x14ac:dyDescent="0.35">
      <c r="A1168" t="s">
        <v>3596</v>
      </c>
      <c r="B1168" t="s">
        <v>3597</v>
      </c>
      <c r="C1168" t="s">
        <v>3598</v>
      </c>
    </row>
    <row r="1169" spans="1:3" x14ac:dyDescent="0.35">
      <c r="A1169" t="s">
        <v>3599</v>
      </c>
      <c r="B1169" t="s">
        <v>3600</v>
      </c>
      <c r="C1169" t="s">
        <v>3601</v>
      </c>
    </row>
    <row r="1170" spans="1:3" x14ac:dyDescent="0.35">
      <c r="A1170" t="s">
        <v>3602</v>
      </c>
      <c r="B1170" t="s">
        <v>3603</v>
      </c>
      <c r="C1170" t="s">
        <v>3604</v>
      </c>
    </row>
    <row r="1171" spans="1:3" x14ac:dyDescent="0.35">
      <c r="A1171" t="s">
        <v>3605</v>
      </c>
      <c r="B1171" t="s">
        <v>3606</v>
      </c>
      <c r="C1171" t="s">
        <v>3607</v>
      </c>
    </row>
    <row r="1172" spans="1:3" x14ac:dyDescent="0.35">
      <c r="A1172" t="s">
        <v>3608</v>
      </c>
      <c r="B1172" t="s">
        <v>3609</v>
      </c>
      <c r="C1172" t="s">
        <v>3610</v>
      </c>
    </row>
    <row r="1173" spans="1:3" x14ac:dyDescent="0.35">
      <c r="A1173" t="s">
        <v>3611</v>
      </c>
      <c r="B1173" t="s">
        <v>3612</v>
      </c>
      <c r="C1173" t="s">
        <v>3613</v>
      </c>
    </row>
    <row r="1174" spans="1:3" x14ac:dyDescent="0.35">
      <c r="A1174" t="s">
        <v>3614</v>
      </c>
      <c r="B1174" t="s">
        <v>3615</v>
      </c>
      <c r="C1174" t="s">
        <v>3616</v>
      </c>
    </row>
    <row r="1175" spans="1:3" x14ac:dyDescent="0.35">
      <c r="A1175" t="s">
        <v>3617</v>
      </c>
      <c r="B1175" t="s">
        <v>3618</v>
      </c>
      <c r="C1175" t="s">
        <v>3619</v>
      </c>
    </row>
    <row r="1176" spans="1:3" x14ac:dyDescent="0.35">
      <c r="A1176" t="s">
        <v>3620</v>
      </c>
      <c r="B1176" t="s">
        <v>3621</v>
      </c>
      <c r="C1176" t="s">
        <v>3622</v>
      </c>
    </row>
    <row r="1177" spans="1:3" x14ac:dyDescent="0.35">
      <c r="A1177" t="s">
        <v>3623</v>
      </c>
      <c r="B1177" t="s">
        <v>3624</v>
      </c>
      <c r="C1177" t="s">
        <v>3625</v>
      </c>
    </row>
    <row r="1178" spans="1:3" x14ac:dyDescent="0.35">
      <c r="A1178" t="s">
        <v>3626</v>
      </c>
      <c r="B1178" t="s">
        <v>3627</v>
      </c>
      <c r="C1178" t="s">
        <v>3628</v>
      </c>
    </row>
    <row r="1179" spans="1:3" x14ac:dyDescent="0.35">
      <c r="A1179" t="s">
        <v>3629</v>
      </c>
      <c r="B1179" t="s">
        <v>3630</v>
      </c>
      <c r="C1179" t="s">
        <v>3631</v>
      </c>
    </row>
    <row r="1180" spans="1:3" x14ac:dyDescent="0.35">
      <c r="A1180" t="s">
        <v>3632</v>
      </c>
      <c r="B1180" t="s">
        <v>3633</v>
      </c>
      <c r="C1180" t="s">
        <v>3634</v>
      </c>
    </row>
    <row r="1181" spans="1:3" x14ac:dyDescent="0.35">
      <c r="A1181" t="s">
        <v>3635</v>
      </c>
      <c r="B1181" t="s">
        <v>3636</v>
      </c>
      <c r="C1181" t="s">
        <v>3637</v>
      </c>
    </row>
    <row r="1182" spans="1:3" x14ac:dyDescent="0.35">
      <c r="A1182" t="s">
        <v>3638</v>
      </c>
      <c r="B1182" t="s">
        <v>3639</v>
      </c>
      <c r="C1182" t="s">
        <v>3640</v>
      </c>
    </row>
    <row r="1183" spans="1:3" x14ac:dyDescent="0.35">
      <c r="A1183" t="s">
        <v>3641</v>
      </c>
      <c r="B1183" t="s">
        <v>3642</v>
      </c>
      <c r="C1183" t="s">
        <v>3643</v>
      </c>
    </row>
    <row r="1184" spans="1:3" x14ac:dyDescent="0.35">
      <c r="A1184" t="s">
        <v>3644</v>
      </c>
      <c r="B1184" t="s">
        <v>3645</v>
      </c>
      <c r="C1184" t="s">
        <v>3646</v>
      </c>
    </row>
    <row r="1185" spans="1:3" x14ac:dyDescent="0.35">
      <c r="A1185" t="s">
        <v>3647</v>
      </c>
      <c r="B1185" t="s">
        <v>3648</v>
      </c>
      <c r="C1185" t="s">
        <v>3649</v>
      </c>
    </row>
    <row r="1186" spans="1:3" x14ac:dyDescent="0.35">
      <c r="A1186" t="s">
        <v>3650</v>
      </c>
      <c r="B1186" t="s">
        <v>3651</v>
      </c>
      <c r="C1186" t="s">
        <v>3652</v>
      </c>
    </row>
    <row r="1187" spans="1:3" x14ac:dyDescent="0.35">
      <c r="A1187" t="s">
        <v>3653</v>
      </c>
      <c r="B1187" t="s">
        <v>3654</v>
      </c>
      <c r="C1187" t="s">
        <v>3655</v>
      </c>
    </row>
    <row r="1188" spans="1:3" x14ac:dyDescent="0.35">
      <c r="A1188" t="s">
        <v>3656</v>
      </c>
      <c r="B1188" t="s">
        <v>3657</v>
      </c>
      <c r="C1188" t="s">
        <v>3658</v>
      </c>
    </row>
    <row r="1189" spans="1:3" x14ac:dyDescent="0.35">
      <c r="A1189" t="s">
        <v>3659</v>
      </c>
      <c r="B1189" t="s">
        <v>3660</v>
      </c>
      <c r="C1189" t="s">
        <v>3661</v>
      </c>
    </row>
    <row r="1190" spans="1:3" x14ac:dyDescent="0.35">
      <c r="A1190" t="s">
        <v>3662</v>
      </c>
      <c r="B1190" t="s">
        <v>3663</v>
      </c>
      <c r="C1190" t="s">
        <v>3664</v>
      </c>
    </row>
    <row r="1191" spans="1:3" x14ac:dyDescent="0.35">
      <c r="A1191" t="s">
        <v>3665</v>
      </c>
      <c r="B1191" t="s">
        <v>3666</v>
      </c>
      <c r="C1191" t="s">
        <v>3667</v>
      </c>
    </row>
    <row r="1192" spans="1:3" x14ac:dyDescent="0.35">
      <c r="A1192" t="s">
        <v>3668</v>
      </c>
      <c r="B1192" t="s">
        <v>3669</v>
      </c>
      <c r="C1192" t="s">
        <v>3670</v>
      </c>
    </row>
    <row r="1193" spans="1:3" x14ac:dyDescent="0.35">
      <c r="A1193" t="s">
        <v>3671</v>
      </c>
      <c r="B1193" t="s">
        <v>3672</v>
      </c>
      <c r="C1193" t="s">
        <v>3673</v>
      </c>
    </row>
    <row r="1194" spans="1:3" x14ac:dyDescent="0.35">
      <c r="A1194" t="s">
        <v>3674</v>
      </c>
      <c r="B1194" t="s">
        <v>3675</v>
      </c>
      <c r="C1194" t="s">
        <v>3676</v>
      </c>
    </row>
    <row r="1195" spans="1:3" x14ac:dyDescent="0.35">
      <c r="A1195" t="s">
        <v>3677</v>
      </c>
      <c r="B1195" t="s">
        <v>3678</v>
      </c>
      <c r="C1195" t="s">
        <v>3679</v>
      </c>
    </row>
    <row r="1196" spans="1:3" x14ac:dyDescent="0.35">
      <c r="A1196" t="s">
        <v>3680</v>
      </c>
      <c r="B1196" t="s">
        <v>3681</v>
      </c>
      <c r="C1196" t="s">
        <v>3682</v>
      </c>
    </row>
    <row r="1197" spans="1:3" x14ac:dyDescent="0.35">
      <c r="A1197" t="s">
        <v>3680</v>
      </c>
      <c r="B1197" t="s">
        <v>3683</v>
      </c>
      <c r="C1197" t="s">
        <v>3682</v>
      </c>
    </row>
    <row r="1198" spans="1:3" x14ac:dyDescent="0.35">
      <c r="A1198" t="s">
        <v>3684</v>
      </c>
      <c r="B1198" t="s">
        <v>3685</v>
      </c>
      <c r="C1198" t="s">
        <v>3686</v>
      </c>
    </row>
    <row r="1199" spans="1:3" x14ac:dyDescent="0.35">
      <c r="A1199" t="s">
        <v>3687</v>
      </c>
      <c r="B1199" t="s">
        <v>3688</v>
      </c>
      <c r="C1199" t="s">
        <v>3689</v>
      </c>
    </row>
    <row r="1200" spans="1:3" x14ac:dyDescent="0.35">
      <c r="A1200" t="s">
        <v>3690</v>
      </c>
      <c r="B1200" t="s">
        <v>3691</v>
      </c>
      <c r="C1200" t="s">
        <v>3692</v>
      </c>
    </row>
    <row r="1201" spans="1:3" x14ac:dyDescent="0.35">
      <c r="A1201" t="s">
        <v>3693</v>
      </c>
      <c r="B1201" t="s">
        <v>3694</v>
      </c>
      <c r="C1201" t="s">
        <v>3695</v>
      </c>
    </row>
    <row r="1202" spans="1:3" x14ac:dyDescent="0.35">
      <c r="A1202" t="s">
        <v>3696</v>
      </c>
      <c r="B1202" t="s">
        <v>3697</v>
      </c>
      <c r="C1202" t="s">
        <v>3698</v>
      </c>
    </row>
    <row r="1203" spans="1:3" x14ac:dyDescent="0.35">
      <c r="A1203" t="s">
        <v>3699</v>
      </c>
      <c r="B1203" t="s">
        <v>3700</v>
      </c>
      <c r="C1203" t="s">
        <v>3701</v>
      </c>
    </row>
    <row r="1204" spans="1:3" x14ac:dyDescent="0.35">
      <c r="A1204" t="s">
        <v>3702</v>
      </c>
      <c r="B1204" t="s">
        <v>3703</v>
      </c>
      <c r="C1204" t="s">
        <v>3704</v>
      </c>
    </row>
    <row r="1205" spans="1:3" x14ac:dyDescent="0.35">
      <c r="A1205" t="s">
        <v>3705</v>
      </c>
      <c r="B1205" t="s">
        <v>3706</v>
      </c>
      <c r="C1205" t="s">
        <v>3707</v>
      </c>
    </row>
    <row r="1206" spans="1:3" x14ac:dyDescent="0.35">
      <c r="A1206" t="s">
        <v>3708</v>
      </c>
      <c r="B1206" t="s">
        <v>3709</v>
      </c>
      <c r="C1206" t="s">
        <v>3710</v>
      </c>
    </row>
    <row r="1207" spans="1:3" x14ac:dyDescent="0.35">
      <c r="A1207" t="s">
        <v>3711</v>
      </c>
      <c r="B1207" t="s">
        <v>3712</v>
      </c>
      <c r="C1207" t="s">
        <v>3713</v>
      </c>
    </row>
    <row r="1208" spans="1:3" x14ac:dyDescent="0.35">
      <c r="A1208" t="s">
        <v>3714</v>
      </c>
      <c r="B1208" t="s">
        <v>3715</v>
      </c>
      <c r="C1208" t="s">
        <v>3716</v>
      </c>
    </row>
    <row r="1209" spans="1:3" x14ac:dyDescent="0.35">
      <c r="A1209" t="s">
        <v>3717</v>
      </c>
      <c r="B1209" t="s">
        <v>3718</v>
      </c>
      <c r="C1209" t="s">
        <v>3719</v>
      </c>
    </row>
    <row r="1210" spans="1:3" x14ac:dyDescent="0.35">
      <c r="A1210" t="s">
        <v>3720</v>
      </c>
      <c r="B1210" t="s">
        <v>3721</v>
      </c>
      <c r="C1210" t="s">
        <v>3722</v>
      </c>
    </row>
    <row r="1211" spans="1:3" x14ac:dyDescent="0.35">
      <c r="A1211" t="s">
        <v>3723</v>
      </c>
      <c r="B1211" t="s">
        <v>3724</v>
      </c>
      <c r="C1211" t="s">
        <v>3725</v>
      </c>
    </row>
    <row r="1212" spans="1:3" x14ac:dyDescent="0.35">
      <c r="A1212" t="s">
        <v>3726</v>
      </c>
      <c r="B1212" t="s">
        <v>3727</v>
      </c>
      <c r="C1212" t="s">
        <v>3728</v>
      </c>
    </row>
    <row r="1213" spans="1:3" x14ac:dyDescent="0.35">
      <c r="A1213" t="s">
        <v>3729</v>
      </c>
      <c r="B1213" t="s">
        <v>3730</v>
      </c>
      <c r="C1213" t="s">
        <v>3731</v>
      </c>
    </row>
    <row r="1214" spans="1:3" x14ac:dyDescent="0.35">
      <c r="A1214" t="s">
        <v>3732</v>
      </c>
      <c r="B1214" t="s">
        <v>3733</v>
      </c>
      <c r="C1214" t="s">
        <v>3734</v>
      </c>
    </row>
    <row r="1215" spans="1:3" x14ac:dyDescent="0.35">
      <c r="A1215" t="s">
        <v>3735</v>
      </c>
      <c r="B1215" t="s">
        <v>3736</v>
      </c>
      <c r="C1215" t="s">
        <v>3737</v>
      </c>
    </row>
    <row r="1216" spans="1:3" x14ac:dyDescent="0.35">
      <c r="A1216" t="s">
        <v>3738</v>
      </c>
      <c r="B1216" t="s">
        <v>3739</v>
      </c>
      <c r="C1216" t="s">
        <v>3740</v>
      </c>
    </row>
    <row r="1217" spans="1:3" x14ac:dyDescent="0.35">
      <c r="A1217" t="s">
        <v>3741</v>
      </c>
      <c r="B1217" t="s">
        <v>3742</v>
      </c>
      <c r="C1217" t="s">
        <v>3743</v>
      </c>
    </row>
    <row r="1218" spans="1:3" x14ac:dyDescent="0.35">
      <c r="A1218" t="s">
        <v>3744</v>
      </c>
      <c r="B1218" t="s">
        <v>3745</v>
      </c>
      <c r="C1218" t="s">
        <v>3746</v>
      </c>
    </row>
    <row r="1219" spans="1:3" x14ac:dyDescent="0.35">
      <c r="A1219" t="s">
        <v>3747</v>
      </c>
      <c r="B1219" t="s">
        <v>3748</v>
      </c>
      <c r="C1219" t="s">
        <v>3749</v>
      </c>
    </row>
    <row r="1220" spans="1:3" x14ac:dyDescent="0.35">
      <c r="A1220" t="s">
        <v>3747</v>
      </c>
      <c r="B1220" t="s">
        <v>3750</v>
      </c>
      <c r="C1220" t="s">
        <v>3751</v>
      </c>
    </row>
    <row r="1221" spans="1:3" x14ac:dyDescent="0.35">
      <c r="A1221" t="s">
        <v>3752</v>
      </c>
      <c r="B1221" t="s">
        <v>3753</v>
      </c>
      <c r="C1221" t="s">
        <v>3754</v>
      </c>
    </row>
    <row r="1222" spans="1:3" x14ac:dyDescent="0.35">
      <c r="A1222" t="s">
        <v>3755</v>
      </c>
      <c r="B1222" t="s">
        <v>3756</v>
      </c>
      <c r="C1222" t="s">
        <v>3757</v>
      </c>
    </row>
    <row r="1223" spans="1:3" x14ac:dyDescent="0.35">
      <c r="A1223" t="s">
        <v>3758</v>
      </c>
      <c r="B1223" t="s">
        <v>3759</v>
      </c>
      <c r="C1223" t="s">
        <v>3760</v>
      </c>
    </row>
    <row r="1224" spans="1:3" x14ac:dyDescent="0.35">
      <c r="A1224" t="s">
        <v>3761</v>
      </c>
      <c r="B1224" t="s">
        <v>3762</v>
      </c>
      <c r="C1224" t="s">
        <v>3763</v>
      </c>
    </row>
    <row r="1225" spans="1:3" x14ac:dyDescent="0.35">
      <c r="A1225" t="s">
        <v>3764</v>
      </c>
      <c r="B1225" t="s">
        <v>3765</v>
      </c>
      <c r="C1225" t="s">
        <v>3766</v>
      </c>
    </row>
    <row r="1226" spans="1:3" x14ac:dyDescent="0.35">
      <c r="A1226" t="s">
        <v>3767</v>
      </c>
      <c r="B1226" t="s">
        <v>3768</v>
      </c>
      <c r="C1226" t="s">
        <v>3769</v>
      </c>
    </row>
    <row r="1227" spans="1:3" x14ac:dyDescent="0.35">
      <c r="A1227" t="s">
        <v>3770</v>
      </c>
      <c r="B1227" t="s">
        <v>3771</v>
      </c>
      <c r="C1227" t="s">
        <v>3772</v>
      </c>
    </row>
    <row r="1228" spans="1:3" x14ac:dyDescent="0.35">
      <c r="A1228" t="s">
        <v>3773</v>
      </c>
      <c r="B1228" t="s">
        <v>3774</v>
      </c>
      <c r="C1228" t="s">
        <v>3775</v>
      </c>
    </row>
    <row r="1229" spans="1:3" x14ac:dyDescent="0.35">
      <c r="A1229" t="s">
        <v>3776</v>
      </c>
      <c r="B1229" t="s">
        <v>3777</v>
      </c>
      <c r="C1229" t="s">
        <v>3778</v>
      </c>
    </row>
    <row r="1230" spans="1:3" x14ac:dyDescent="0.35">
      <c r="A1230" t="s">
        <v>3776</v>
      </c>
      <c r="B1230" t="s">
        <v>3779</v>
      </c>
      <c r="C1230" t="s">
        <v>3780</v>
      </c>
    </row>
    <row r="1231" spans="1:3" x14ac:dyDescent="0.35">
      <c r="A1231" t="s">
        <v>3781</v>
      </c>
      <c r="B1231" t="s">
        <v>3782</v>
      </c>
      <c r="C1231" t="s">
        <v>3783</v>
      </c>
    </row>
    <row r="1232" spans="1:3" x14ac:dyDescent="0.35">
      <c r="A1232" t="s">
        <v>3784</v>
      </c>
      <c r="B1232" t="s">
        <v>3785</v>
      </c>
      <c r="C1232" t="s">
        <v>3786</v>
      </c>
    </row>
    <row r="1233" spans="1:3" x14ac:dyDescent="0.35">
      <c r="A1233" t="s">
        <v>3787</v>
      </c>
      <c r="B1233" t="s">
        <v>3788</v>
      </c>
      <c r="C1233" t="s">
        <v>3789</v>
      </c>
    </row>
    <row r="1234" spans="1:3" x14ac:dyDescent="0.35">
      <c r="A1234" t="s">
        <v>3790</v>
      </c>
      <c r="B1234" t="s">
        <v>3791</v>
      </c>
      <c r="C1234" t="s">
        <v>3792</v>
      </c>
    </row>
    <row r="1235" spans="1:3" x14ac:dyDescent="0.35">
      <c r="A1235" t="s">
        <v>3793</v>
      </c>
      <c r="B1235" t="s">
        <v>3794</v>
      </c>
      <c r="C1235" t="s">
        <v>3795</v>
      </c>
    </row>
    <row r="1236" spans="1:3" x14ac:dyDescent="0.35">
      <c r="A1236" t="s">
        <v>3796</v>
      </c>
      <c r="B1236" t="s">
        <v>3797</v>
      </c>
      <c r="C1236" t="s">
        <v>3798</v>
      </c>
    </row>
    <row r="1237" spans="1:3" x14ac:dyDescent="0.35">
      <c r="A1237" t="s">
        <v>3799</v>
      </c>
      <c r="B1237" t="s">
        <v>3800</v>
      </c>
      <c r="C1237" t="s">
        <v>3801</v>
      </c>
    </row>
    <row r="1238" spans="1:3" x14ac:dyDescent="0.35">
      <c r="A1238" t="s">
        <v>3802</v>
      </c>
      <c r="B1238" t="s">
        <v>3803</v>
      </c>
      <c r="C1238" t="s">
        <v>3804</v>
      </c>
    </row>
    <row r="1239" spans="1:3" x14ac:dyDescent="0.35">
      <c r="A1239" t="s">
        <v>3805</v>
      </c>
      <c r="B1239" t="s">
        <v>3806</v>
      </c>
      <c r="C1239" t="s">
        <v>3807</v>
      </c>
    </row>
    <row r="1240" spans="1:3" x14ac:dyDescent="0.35">
      <c r="A1240" t="s">
        <v>3808</v>
      </c>
      <c r="B1240" t="s">
        <v>3809</v>
      </c>
      <c r="C1240" t="s">
        <v>3810</v>
      </c>
    </row>
    <row r="1241" spans="1:3" x14ac:dyDescent="0.35">
      <c r="A1241" t="s">
        <v>3811</v>
      </c>
      <c r="B1241" t="s">
        <v>3812</v>
      </c>
      <c r="C1241" t="s">
        <v>3813</v>
      </c>
    </row>
    <row r="1242" spans="1:3" x14ac:dyDescent="0.35">
      <c r="A1242" t="s">
        <v>3814</v>
      </c>
      <c r="B1242" t="s">
        <v>3815</v>
      </c>
      <c r="C1242" t="s">
        <v>3816</v>
      </c>
    </row>
    <row r="1243" spans="1:3" x14ac:dyDescent="0.35">
      <c r="A1243" t="s">
        <v>3814</v>
      </c>
      <c r="B1243" t="s">
        <v>3817</v>
      </c>
      <c r="C1243" t="s">
        <v>3818</v>
      </c>
    </row>
    <row r="1244" spans="1:3" x14ac:dyDescent="0.35">
      <c r="A1244" t="s">
        <v>3819</v>
      </c>
      <c r="B1244" t="s">
        <v>3820</v>
      </c>
      <c r="C1244" t="s">
        <v>3821</v>
      </c>
    </row>
    <row r="1245" spans="1:3" x14ac:dyDescent="0.35">
      <c r="A1245" t="s">
        <v>3822</v>
      </c>
      <c r="B1245" t="s">
        <v>3823</v>
      </c>
      <c r="C1245" t="s">
        <v>3824</v>
      </c>
    </row>
    <row r="1246" spans="1:3" x14ac:dyDescent="0.35">
      <c r="A1246" t="s">
        <v>3825</v>
      </c>
      <c r="B1246" t="s">
        <v>3826</v>
      </c>
      <c r="C1246" t="s">
        <v>3827</v>
      </c>
    </row>
    <row r="1247" spans="1:3" x14ac:dyDescent="0.35">
      <c r="A1247" t="s">
        <v>3828</v>
      </c>
      <c r="B1247" t="s">
        <v>3829</v>
      </c>
      <c r="C1247" t="s">
        <v>3830</v>
      </c>
    </row>
    <row r="1248" spans="1:3" x14ac:dyDescent="0.35">
      <c r="A1248" t="s">
        <v>3831</v>
      </c>
      <c r="B1248" t="s">
        <v>3832</v>
      </c>
      <c r="C1248" t="s">
        <v>3833</v>
      </c>
    </row>
    <row r="1249" spans="1:3" x14ac:dyDescent="0.35">
      <c r="A1249" t="s">
        <v>3834</v>
      </c>
      <c r="B1249" t="s">
        <v>3835</v>
      </c>
      <c r="C1249" t="s">
        <v>3836</v>
      </c>
    </row>
    <row r="1250" spans="1:3" x14ac:dyDescent="0.35">
      <c r="A1250" t="s">
        <v>3837</v>
      </c>
      <c r="B1250" t="s">
        <v>3838</v>
      </c>
      <c r="C1250" t="s">
        <v>3839</v>
      </c>
    </row>
    <row r="1251" spans="1:3" x14ac:dyDescent="0.35">
      <c r="A1251" t="s">
        <v>3840</v>
      </c>
      <c r="B1251" t="s">
        <v>3841</v>
      </c>
      <c r="C1251" t="s">
        <v>3842</v>
      </c>
    </row>
    <row r="1252" spans="1:3" x14ac:dyDescent="0.35">
      <c r="A1252" t="s">
        <v>3843</v>
      </c>
      <c r="B1252" t="s">
        <v>3844</v>
      </c>
      <c r="C1252" t="s">
        <v>3845</v>
      </c>
    </row>
    <row r="1253" spans="1:3" x14ac:dyDescent="0.35">
      <c r="A1253" t="s">
        <v>3846</v>
      </c>
      <c r="B1253" t="s">
        <v>3847</v>
      </c>
      <c r="C1253" t="s">
        <v>3848</v>
      </c>
    </row>
    <row r="1254" spans="1:3" x14ac:dyDescent="0.35">
      <c r="A1254" t="s">
        <v>3849</v>
      </c>
      <c r="B1254" t="s">
        <v>3850</v>
      </c>
      <c r="C1254" t="s">
        <v>3851</v>
      </c>
    </row>
    <row r="1255" spans="1:3" x14ac:dyDescent="0.35">
      <c r="A1255" t="s">
        <v>3852</v>
      </c>
      <c r="B1255" t="s">
        <v>3853</v>
      </c>
      <c r="C1255" t="s">
        <v>3854</v>
      </c>
    </row>
    <row r="1256" spans="1:3" x14ac:dyDescent="0.35">
      <c r="A1256" t="s">
        <v>3855</v>
      </c>
      <c r="B1256" t="s">
        <v>3856</v>
      </c>
      <c r="C1256" t="s">
        <v>3857</v>
      </c>
    </row>
    <row r="1257" spans="1:3" x14ac:dyDescent="0.35">
      <c r="A1257" t="s">
        <v>3858</v>
      </c>
      <c r="B1257" t="s">
        <v>3859</v>
      </c>
      <c r="C1257" t="s">
        <v>3860</v>
      </c>
    </row>
    <row r="1258" spans="1:3" x14ac:dyDescent="0.35">
      <c r="A1258" t="s">
        <v>3861</v>
      </c>
      <c r="B1258" t="s">
        <v>3862</v>
      </c>
      <c r="C1258" t="s">
        <v>3863</v>
      </c>
    </row>
    <row r="1259" spans="1:3" x14ac:dyDescent="0.35">
      <c r="A1259" t="s">
        <v>3864</v>
      </c>
      <c r="B1259" t="s">
        <v>3865</v>
      </c>
      <c r="C1259" t="s">
        <v>3866</v>
      </c>
    </row>
    <row r="1260" spans="1:3" x14ac:dyDescent="0.35">
      <c r="A1260" t="s">
        <v>3867</v>
      </c>
      <c r="B1260" t="s">
        <v>3868</v>
      </c>
      <c r="C1260" t="s">
        <v>3869</v>
      </c>
    </row>
    <row r="1261" spans="1:3" x14ac:dyDescent="0.35">
      <c r="A1261" t="s">
        <v>87</v>
      </c>
      <c r="B1261" t="s">
        <v>3870</v>
      </c>
      <c r="C1261" t="s">
        <v>3871</v>
      </c>
    </row>
    <row r="1262" spans="1:3" x14ac:dyDescent="0.35">
      <c r="A1262" t="s">
        <v>88</v>
      </c>
      <c r="B1262" t="s">
        <v>3872</v>
      </c>
      <c r="C1262" t="s">
        <v>3873</v>
      </c>
    </row>
    <row r="1263" spans="1:3" x14ac:dyDescent="0.35">
      <c r="A1263" t="s">
        <v>3874</v>
      </c>
      <c r="B1263" t="s">
        <v>3875</v>
      </c>
      <c r="C1263" t="s">
        <v>3876</v>
      </c>
    </row>
    <row r="1264" spans="1:3" x14ac:dyDescent="0.35">
      <c r="A1264" t="s">
        <v>3877</v>
      </c>
      <c r="B1264" t="s">
        <v>3878</v>
      </c>
      <c r="C1264" t="s">
        <v>3879</v>
      </c>
    </row>
    <row r="1265" spans="1:3" x14ac:dyDescent="0.35">
      <c r="A1265" t="s">
        <v>3880</v>
      </c>
      <c r="B1265" t="s">
        <v>3881</v>
      </c>
      <c r="C1265" t="s">
        <v>3882</v>
      </c>
    </row>
    <row r="1266" spans="1:3" x14ac:dyDescent="0.35">
      <c r="A1266" t="s">
        <v>3880</v>
      </c>
      <c r="B1266" t="s">
        <v>3883</v>
      </c>
      <c r="C1266" t="s">
        <v>3884</v>
      </c>
    </row>
    <row r="1267" spans="1:3" x14ac:dyDescent="0.35">
      <c r="A1267" t="s">
        <v>3885</v>
      </c>
      <c r="B1267" t="s">
        <v>3886</v>
      </c>
      <c r="C1267" t="s">
        <v>3887</v>
      </c>
    </row>
    <row r="1268" spans="1:3" x14ac:dyDescent="0.35">
      <c r="A1268" t="s">
        <v>3888</v>
      </c>
      <c r="B1268" t="s">
        <v>3889</v>
      </c>
      <c r="C1268" t="s">
        <v>3890</v>
      </c>
    </row>
    <row r="1269" spans="1:3" x14ac:dyDescent="0.35">
      <c r="A1269" t="s">
        <v>3891</v>
      </c>
      <c r="B1269" t="s">
        <v>3892</v>
      </c>
      <c r="C1269" t="s">
        <v>3893</v>
      </c>
    </row>
    <row r="1270" spans="1:3" x14ac:dyDescent="0.35">
      <c r="A1270" t="s">
        <v>3894</v>
      </c>
      <c r="B1270" t="s">
        <v>3895</v>
      </c>
      <c r="C1270" t="s">
        <v>3896</v>
      </c>
    </row>
    <row r="1271" spans="1:3" x14ac:dyDescent="0.35">
      <c r="A1271" t="s">
        <v>3897</v>
      </c>
      <c r="B1271" t="s">
        <v>3898</v>
      </c>
      <c r="C1271" t="s">
        <v>3899</v>
      </c>
    </row>
    <row r="1272" spans="1:3" x14ac:dyDescent="0.35">
      <c r="A1272" t="s">
        <v>3900</v>
      </c>
      <c r="B1272" t="s">
        <v>3901</v>
      </c>
      <c r="C1272" t="s">
        <v>3902</v>
      </c>
    </row>
    <row r="1273" spans="1:3" x14ac:dyDescent="0.35">
      <c r="A1273" t="s">
        <v>3903</v>
      </c>
      <c r="B1273" t="s">
        <v>3904</v>
      </c>
      <c r="C1273" t="s">
        <v>3905</v>
      </c>
    </row>
    <row r="1274" spans="1:3" x14ac:dyDescent="0.35">
      <c r="A1274" t="s">
        <v>3906</v>
      </c>
      <c r="B1274" t="s">
        <v>3907</v>
      </c>
      <c r="C1274" t="s">
        <v>3908</v>
      </c>
    </row>
    <row r="1275" spans="1:3" x14ac:dyDescent="0.35">
      <c r="A1275" t="s">
        <v>3909</v>
      </c>
      <c r="B1275" t="s">
        <v>3910</v>
      </c>
      <c r="C1275" t="s">
        <v>3911</v>
      </c>
    </row>
    <row r="1276" spans="1:3" x14ac:dyDescent="0.35">
      <c r="A1276" t="s">
        <v>3912</v>
      </c>
      <c r="B1276" t="s">
        <v>3913</v>
      </c>
      <c r="C1276" t="s">
        <v>3914</v>
      </c>
    </row>
    <row r="1277" spans="1:3" x14ac:dyDescent="0.35">
      <c r="A1277" t="s">
        <v>3912</v>
      </c>
      <c r="B1277" t="s">
        <v>3915</v>
      </c>
      <c r="C1277" t="s">
        <v>3916</v>
      </c>
    </row>
    <row r="1278" spans="1:3" x14ac:dyDescent="0.35">
      <c r="A1278" t="s">
        <v>3917</v>
      </c>
      <c r="B1278" t="s">
        <v>3918</v>
      </c>
      <c r="C1278" t="s">
        <v>3919</v>
      </c>
    </row>
    <row r="1279" spans="1:3" x14ac:dyDescent="0.35">
      <c r="A1279" t="s">
        <v>3920</v>
      </c>
      <c r="B1279" t="s">
        <v>3921</v>
      </c>
      <c r="C1279" t="s">
        <v>3922</v>
      </c>
    </row>
    <row r="1280" spans="1:3" x14ac:dyDescent="0.35">
      <c r="A1280" t="s">
        <v>3923</v>
      </c>
      <c r="B1280" t="s">
        <v>3924</v>
      </c>
      <c r="C1280" t="s">
        <v>3925</v>
      </c>
    </row>
    <row r="1281" spans="1:3" x14ac:dyDescent="0.35">
      <c r="A1281" t="s">
        <v>3926</v>
      </c>
      <c r="B1281" t="s">
        <v>3927</v>
      </c>
      <c r="C1281" t="s">
        <v>3928</v>
      </c>
    </row>
    <row r="1282" spans="1:3" x14ac:dyDescent="0.35">
      <c r="A1282" t="s">
        <v>3929</v>
      </c>
      <c r="B1282" t="s">
        <v>3930</v>
      </c>
      <c r="C1282" t="s">
        <v>3931</v>
      </c>
    </row>
    <row r="1283" spans="1:3" x14ac:dyDescent="0.35">
      <c r="A1283" t="s">
        <v>3932</v>
      </c>
      <c r="B1283" t="s">
        <v>3933</v>
      </c>
      <c r="C1283" t="s">
        <v>3934</v>
      </c>
    </row>
    <row r="1284" spans="1:3" x14ac:dyDescent="0.35">
      <c r="A1284" t="s">
        <v>3935</v>
      </c>
      <c r="B1284" t="s">
        <v>3936</v>
      </c>
      <c r="C1284" t="s">
        <v>3937</v>
      </c>
    </row>
    <row r="1285" spans="1:3" x14ac:dyDescent="0.35">
      <c r="A1285" t="s">
        <v>3938</v>
      </c>
      <c r="B1285" t="s">
        <v>3939</v>
      </c>
      <c r="C1285" t="s">
        <v>3940</v>
      </c>
    </row>
    <row r="1286" spans="1:3" x14ac:dyDescent="0.35">
      <c r="A1286" t="s">
        <v>3941</v>
      </c>
      <c r="B1286" t="s">
        <v>3942</v>
      </c>
      <c r="C1286" t="s">
        <v>3943</v>
      </c>
    </row>
    <row r="1287" spans="1:3" x14ac:dyDescent="0.35">
      <c r="A1287" t="s">
        <v>3944</v>
      </c>
      <c r="B1287" t="s">
        <v>3945</v>
      </c>
      <c r="C1287" t="s">
        <v>3946</v>
      </c>
    </row>
    <row r="1288" spans="1:3" x14ac:dyDescent="0.35">
      <c r="A1288" t="s">
        <v>3947</v>
      </c>
      <c r="B1288" t="s">
        <v>3948</v>
      </c>
      <c r="C1288" t="s">
        <v>3949</v>
      </c>
    </row>
    <row r="1289" spans="1:3" x14ac:dyDescent="0.35">
      <c r="A1289" t="s">
        <v>3950</v>
      </c>
      <c r="B1289" t="s">
        <v>3951</v>
      </c>
      <c r="C1289" t="s">
        <v>3952</v>
      </c>
    </row>
    <row r="1290" spans="1:3" x14ac:dyDescent="0.35">
      <c r="A1290" t="s">
        <v>3953</v>
      </c>
      <c r="B1290" t="s">
        <v>3954</v>
      </c>
      <c r="C1290" t="s">
        <v>3955</v>
      </c>
    </row>
    <row r="1291" spans="1:3" x14ac:dyDescent="0.35">
      <c r="A1291" t="s">
        <v>3953</v>
      </c>
      <c r="B1291" t="s">
        <v>3956</v>
      </c>
      <c r="C1291" t="s">
        <v>3957</v>
      </c>
    </row>
    <row r="1292" spans="1:3" x14ac:dyDescent="0.35">
      <c r="A1292" t="s">
        <v>3958</v>
      </c>
      <c r="B1292" t="s">
        <v>3959</v>
      </c>
      <c r="C1292" t="s">
        <v>3960</v>
      </c>
    </row>
    <row r="1293" spans="1:3" x14ac:dyDescent="0.35">
      <c r="A1293" t="s">
        <v>3961</v>
      </c>
      <c r="B1293" t="s">
        <v>3962</v>
      </c>
      <c r="C1293" t="s">
        <v>3963</v>
      </c>
    </row>
    <row r="1294" spans="1:3" x14ac:dyDescent="0.35">
      <c r="A1294" t="s">
        <v>3964</v>
      </c>
      <c r="B1294" t="s">
        <v>3965</v>
      </c>
      <c r="C1294" t="s">
        <v>3966</v>
      </c>
    </row>
    <row r="1295" spans="1:3" x14ac:dyDescent="0.35">
      <c r="A1295" t="s">
        <v>3967</v>
      </c>
      <c r="B1295" t="s">
        <v>3968</v>
      </c>
      <c r="C1295" t="s">
        <v>3969</v>
      </c>
    </row>
    <row r="1296" spans="1:3" x14ac:dyDescent="0.35">
      <c r="A1296" t="s">
        <v>3970</v>
      </c>
      <c r="B1296" t="s">
        <v>3971</v>
      </c>
      <c r="C1296" t="s">
        <v>3972</v>
      </c>
    </row>
    <row r="1297" spans="1:3" x14ac:dyDescent="0.35">
      <c r="A1297" t="s">
        <v>3973</v>
      </c>
      <c r="B1297" t="s">
        <v>3974</v>
      </c>
      <c r="C1297" t="s">
        <v>3562</v>
      </c>
    </row>
    <row r="1298" spans="1:3" x14ac:dyDescent="0.35">
      <c r="A1298" t="s">
        <v>3975</v>
      </c>
      <c r="B1298" t="s">
        <v>3976</v>
      </c>
      <c r="C1298" t="s">
        <v>3977</v>
      </c>
    </row>
    <row r="1299" spans="1:3" x14ac:dyDescent="0.35">
      <c r="A1299" t="s">
        <v>3978</v>
      </c>
      <c r="B1299" t="s">
        <v>3979</v>
      </c>
      <c r="C1299" t="s">
        <v>3980</v>
      </c>
    </row>
    <row r="1300" spans="1:3" x14ac:dyDescent="0.35">
      <c r="A1300" t="s">
        <v>3981</v>
      </c>
      <c r="B1300" t="s">
        <v>3982</v>
      </c>
      <c r="C1300" t="s">
        <v>3983</v>
      </c>
    </row>
    <row r="1301" spans="1:3" x14ac:dyDescent="0.35">
      <c r="A1301" t="s">
        <v>3984</v>
      </c>
      <c r="B1301" t="s">
        <v>3985</v>
      </c>
      <c r="C1301" t="s">
        <v>3986</v>
      </c>
    </row>
    <row r="1302" spans="1:3" x14ac:dyDescent="0.35">
      <c r="A1302" t="s">
        <v>3987</v>
      </c>
      <c r="B1302" t="s">
        <v>3988</v>
      </c>
      <c r="C1302" t="s">
        <v>3989</v>
      </c>
    </row>
    <row r="1303" spans="1:3" x14ac:dyDescent="0.35">
      <c r="A1303" t="s">
        <v>3990</v>
      </c>
      <c r="B1303" t="s">
        <v>3991</v>
      </c>
      <c r="C1303" t="s">
        <v>3992</v>
      </c>
    </row>
    <row r="1304" spans="1:3" x14ac:dyDescent="0.35">
      <c r="A1304" t="s">
        <v>3993</v>
      </c>
      <c r="B1304" t="s">
        <v>3994</v>
      </c>
      <c r="C1304" t="s">
        <v>3995</v>
      </c>
    </row>
    <row r="1305" spans="1:3" x14ac:dyDescent="0.35">
      <c r="A1305" t="s">
        <v>3996</v>
      </c>
      <c r="B1305" t="s">
        <v>3997</v>
      </c>
      <c r="C1305" t="s">
        <v>3998</v>
      </c>
    </row>
    <row r="1306" spans="1:3" x14ac:dyDescent="0.35">
      <c r="A1306" t="s">
        <v>3999</v>
      </c>
      <c r="B1306" t="s">
        <v>4000</v>
      </c>
      <c r="C1306" t="s">
        <v>4001</v>
      </c>
    </row>
    <row r="1307" spans="1:3" x14ac:dyDescent="0.35">
      <c r="A1307" t="s">
        <v>4002</v>
      </c>
      <c r="B1307" t="s">
        <v>4003</v>
      </c>
      <c r="C1307" t="s">
        <v>4004</v>
      </c>
    </row>
    <row r="1308" spans="1:3" x14ac:dyDescent="0.35">
      <c r="A1308" t="s">
        <v>4005</v>
      </c>
      <c r="B1308" t="s">
        <v>4006</v>
      </c>
      <c r="C1308" t="s">
        <v>4007</v>
      </c>
    </row>
    <row r="1309" spans="1:3" x14ac:dyDescent="0.35">
      <c r="A1309" t="s">
        <v>4008</v>
      </c>
      <c r="B1309" t="s">
        <v>4009</v>
      </c>
      <c r="C1309" t="s">
        <v>4010</v>
      </c>
    </row>
    <row r="1310" spans="1:3" x14ac:dyDescent="0.35">
      <c r="A1310" t="s">
        <v>4011</v>
      </c>
      <c r="B1310" t="s">
        <v>4012</v>
      </c>
      <c r="C1310" t="s">
        <v>4013</v>
      </c>
    </row>
    <row r="1311" spans="1:3" x14ac:dyDescent="0.35">
      <c r="A1311" t="s">
        <v>4014</v>
      </c>
      <c r="B1311" t="s">
        <v>4015</v>
      </c>
      <c r="C1311" t="s">
        <v>4016</v>
      </c>
    </row>
    <row r="1312" spans="1:3" x14ac:dyDescent="0.35">
      <c r="A1312" t="s">
        <v>4017</v>
      </c>
      <c r="B1312" t="s">
        <v>4018</v>
      </c>
      <c r="C1312" t="s">
        <v>4019</v>
      </c>
    </row>
    <row r="1313" spans="1:3" x14ac:dyDescent="0.35">
      <c r="A1313" t="s">
        <v>4020</v>
      </c>
      <c r="B1313" t="s">
        <v>4021</v>
      </c>
      <c r="C1313" t="s">
        <v>4022</v>
      </c>
    </row>
    <row r="1314" spans="1:3" x14ac:dyDescent="0.35">
      <c r="A1314" t="s">
        <v>4023</v>
      </c>
      <c r="B1314" t="s">
        <v>4024</v>
      </c>
      <c r="C1314" t="s">
        <v>4025</v>
      </c>
    </row>
    <row r="1315" spans="1:3" x14ac:dyDescent="0.35">
      <c r="A1315" t="s">
        <v>89</v>
      </c>
      <c r="B1315" t="s">
        <v>4026</v>
      </c>
      <c r="C1315" t="s">
        <v>4027</v>
      </c>
    </row>
    <row r="1316" spans="1:3" x14ac:dyDescent="0.35">
      <c r="A1316" t="s">
        <v>4028</v>
      </c>
      <c r="B1316" t="s">
        <v>4029</v>
      </c>
      <c r="C1316" t="s">
        <v>4030</v>
      </c>
    </row>
    <row r="1317" spans="1:3" x14ac:dyDescent="0.35">
      <c r="A1317" t="s">
        <v>4031</v>
      </c>
      <c r="B1317" t="s">
        <v>4032</v>
      </c>
      <c r="C1317" t="s">
        <v>4033</v>
      </c>
    </row>
    <row r="1318" spans="1:3" x14ac:dyDescent="0.35">
      <c r="A1318" t="s">
        <v>4034</v>
      </c>
      <c r="B1318" t="s">
        <v>4035</v>
      </c>
      <c r="C1318" t="s">
        <v>4036</v>
      </c>
    </row>
    <row r="1319" spans="1:3" x14ac:dyDescent="0.35">
      <c r="A1319" t="s">
        <v>4037</v>
      </c>
      <c r="B1319" t="s">
        <v>4038</v>
      </c>
      <c r="C1319" t="s">
        <v>4039</v>
      </c>
    </row>
    <row r="1320" spans="1:3" x14ac:dyDescent="0.35">
      <c r="A1320" t="s">
        <v>4040</v>
      </c>
      <c r="B1320" t="s">
        <v>4041</v>
      </c>
      <c r="C1320" t="s">
        <v>4042</v>
      </c>
    </row>
    <row r="1321" spans="1:3" x14ac:dyDescent="0.35">
      <c r="A1321" t="s">
        <v>4043</v>
      </c>
      <c r="B1321" t="s">
        <v>4044</v>
      </c>
      <c r="C1321" t="s">
        <v>4045</v>
      </c>
    </row>
    <row r="1322" spans="1:3" x14ac:dyDescent="0.35">
      <c r="A1322" t="s">
        <v>4046</v>
      </c>
      <c r="B1322" t="s">
        <v>4047</v>
      </c>
      <c r="C1322" t="s">
        <v>4048</v>
      </c>
    </row>
    <row r="1323" spans="1:3" x14ac:dyDescent="0.35">
      <c r="A1323" t="s">
        <v>4049</v>
      </c>
      <c r="B1323" t="s">
        <v>4050</v>
      </c>
      <c r="C1323" t="s">
        <v>4051</v>
      </c>
    </row>
    <row r="1324" spans="1:3" x14ac:dyDescent="0.35">
      <c r="A1324" t="s">
        <v>4052</v>
      </c>
      <c r="B1324" t="s">
        <v>4053</v>
      </c>
      <c r="C1324" t="s">
        <v>4054</v>
      </c>
    </row>
    <row r="1325" spans="1:3" x14ac:dyDescent="0.35">
      <c r="A1325" t="s">
        <v>4055</v>
      </c>
      <c r="B1325" t="s">
        <v>4056</v>
      </c>
      <c r="C1325" t="s">
        <v>4057</v>
      </c>
    </row>
    <row r="1326" spans="1:3" x14ac:dyDescent="0.35">
      <c r="A1326" t="s">
        <v>4058</v>
      </c>
      <c r="B1326" t="s">
        <v>4059</v>
      </c>
      <c r="C1326" t="s">
        <v>4060</v>
      </c>
    </row>
    <row r="1327" spans="1:3" x14ac:dyDescent="0.35">
      <c r="A1327" t="s">
        <v>4061</v>
      </c>
      <c r="B1327" t="s">
        <v>4062</v>
      </c>
      <c r="C1327" t="s">
        <v>4063</v>
      </c>
    </row>
    <row r="1328" spans="1:3" x14ac:dyDescent="0.35">
      <c r="A1328" t="s">
        <v>4064</v>
      </c>
      <c r="B1328" t="s">
        <v>4065</v>
      </c>
      <c r="C1328" t="s">
        <v>4066</v>
      </c>
    </row>
    <row r="1329" spans="1:3" x14ac:dyDescent="0.35">
      <c r="A1329" t="s">
        <v>4067</v>
      </c>
      <c r="B1329" t="s">
        <v>4068</v>
      </c>
      <c r="C1329" t="s">
        <v>4069</v>
      </c>
    </row>
    <row r="1330" spans="1:3" x14ac:dyDescent="0.35">
      <c r="A1330" t="s">
        <v>4070</v>
      </c>
      <c r="B1330" t="s">
        <v>4071</v>
      </c>
      <c r="C1330" t="s">
        <v>4072</v>
      </c>
    </row>
    <row r="1331" spans="1:3" x14ac:dyDescent="0.35">
      <c r="A1331" t="s">
        <v>4073</v>
      </c>
      <c r="B1331" t="s">
        <v>4074</v>
      </c>
      <c r="C1331" t="s">
        <v>4075</v>
      </c>
    </row>
    <row r="1332" spans="1:3" x14ac:dyDescent="0.35">
      <c r="A1332" t="s">
        <v>4076</v>
      </c>
      <c r="B1332" t="s">
        <v>4077</v>
      </c>
      <c r="C1332" t="s">
        <v>4078</v>
      </c>
    </row>
    <row r="1333" spans="1:3" x14ac:dyDescent="0.35">
      <c r="A1333" t="s">
        <v>4079</v>
      </c>
      <c r="B1333" t="s">
        <v>4080</v>
      </c>
      <c r="C1333" t="s">
        <v>4081</v>
      </c>
    </row>
    <row r="1334" spans="1:3" x14ac:dyDescent="0.35">
      <c r="A1334" t="s">
        <v>4082</v>
      </c>
      <c r="B1334" t="s">
        <v>4083</v>
      </c>
      <c r="C1334" t="s">
        <v>4084</v>
      </c>
    </row>
    <row r="1335" spans="1:3" x14ac:dyDescent="0.35">
      <c r="A1335" t="s">
        <v>4085</v>
      </c>
      <c r="B1335" t="s">
        <v>4086</v>
      </c>
      <c r="C1335" t="s">
        <v>4087</v>
      </c>
    </row>
    <row r="1336" spans="1:3" x14ac:dyDescent="0.35">
      <c r="A1336" t="s">
        <v>4088</v>
      </c>
      <c r="B1336" t="s">
        <v>4089</v>
      </c>
      <c r="C1336" t="s">
        <v>4090</v>
      </c>
    </row>
    <row r="1337" spans="1:3" x14ac:dyDescent="0.35">
      <c r="A1337" t="s">
        <v>4091</v>
      </c>
      <c r="B1337" t="s">
        <v>4092</v>
      </c>
      <c r="C1337" t="s">
        <v>4093</v>
      </c>
    </row>
    <row r="1338" spans="1:3" x14ac:dyDescent="0.35">
      <c r="A1338" t="s">
        <v>4094</v>
      </c>
      <c r="B1338" t="s">
        <v>4095</v>
      </c>
      <c r="C1338" t="s">
        <v>4096</v>
      </c>
    </row>
    <row r="1339" spans="1:3" x14ac:dyDescent="0.35">
      <c r="A1339" t="s">
        <v>4097</v>
      </c>
      <c r="B1339" t="s">
        <v>4098</v>
      </c>
      <c r="C1339" t="s">
        <v>4099</v>
      </c>
    </row>
    <row r="1340" spans="1:3" x14ac:dyDescent="0.35">
      <c r="A1340" t="s">
        <v>4100</v>
      </c>
      <c r="B1340" t="s">
        <v>4101</v>
      </c>
      <c r="C1340" t="s">
        <v>4102</v>
      </c>
    </row>
    <row r="1341" spans="1:3" x14ac:dyDescent="0.35">
      <c r="A1341" t="s">
        <v>4103</v>
      </c>
      <c r="B1341" t="s">
        <v>4104</v>
      </c>
      <c r="C1341" t="s">
        <v>4105</v>
      </c>
    </row>
    <row r="1342" spans="1:3" x14ac:dyDescent="0.35">
      <c r="A1342" t="s">
        <v>4106</v>
      </c>
      <c r="B1342" t="s">
        <v>4107</v>
      </c>
      <c r="C1342" t="s">
        <v>4108</v>
      </c>
    </row>
    <row r="1343" spans="1:3" x14ac:dyDescent="0.35">
      <c r="A1343" t="s">
        <v>4106</v>
      </c>
      <c r="B1343" t="s">
        <v>4109</v>
      </c>
      <c r="C1343" t="s">
        <v>4110</v>
      </c>
    </row>
    <row r="1344" spans="1:3" x14ac:dyDescent="0.35">
      <c r="A1344" t="s">
        <v>4111</v>
      </c>
      <c r="B1344" t="s">
        <v>4112</v>
      </c>
      <c r="C1344" t="s">
        <v>4113</v>
      </c>
    </row>
    <row r="1345" spans="1:3" x14ac:dyDescent="0.35">
      <c r="A1345" t="s">
        <v>4114</v>
      </c>
      <c r="B1345" t="s">
        <v>4115</v>
      </c>
      <c r="C1345" t="s">
        <v>4116</v>
      </c>
    </row>
    <row r="1346" spans="1:3" x14ac:dyDescent="0.35">
      <c r="A1346" t="s">
        <v>4117</v>
      </c>
      <c r="B1346" t="s">
        <v>4118</v>
      </c>
      <c r="C1346" t="s">
        <v>4119</v>
      </c>
    </row>
    <row r="1347" spans="1:3" x14ac:dyDescent="0.35">
      <c r="A1347" t="s">
        <v>4120</v>
      </c>
      <c r="B1347" t="s">
        <v>4121</v>
      </c>
      <c r="C1347" t="s">
        <v>4122</v>
      </c>
    </row>
    <row r="1348" spans="1:3" x14ac:dyDescent="0.35">
      <c r="A1348" t="s">
        <v>4123</v>
      </c>
      <c r="B1348" t="s">
        <v>4124</v>
      </c>
      <c r="C1348" t="s">
        <v>4125</v>
      </c>
    </row>
    <row r="1349" spans="1:3" x14ac:dyDescent="0.35">
      <c r="A1349" t="s">
        <v>4126</v>
      </c>
      <c r="B1349" t="s">
        <v>4127</v>
      </c>
      <c r="C1349" t="s">
        <v>4128</v>
      </c>
    </row>
    <row r="1350" spans="1:3" x14ac:dyDescent="0.35">
      <c r="A1350" t="s">
        <v>4129</v>
      </c>
      <c r="B1350" t="s">
        <v>4130</v>
      </c>
      <c r="C1350" t="s">
        <v>4131</v>
      </c>
    </row>
    <row r="1351" spans="1:3" x14ac:dyDescent="0.35">
      <c r="A1351" t="s">
        <v>4132</v>
      </c>
      <c r="B1351" t="s">
        <v>4133</v>
      </c>
      <c r="C1351" t="s">
        <v>4134</v>
      </c>
    </row>
    <row r="1352" spans="1:3" x14ac:dyDescent="0.35">
      <c r="A1352" t="s">
        <v>4135</v>
      </c>
      <c r="B1352" t="s">
        <v>4136</v>
      </c>
      <c r="C1352" t="s">
        <v>4137</v>
      </c>
    </row>
    <row r="1353" spans="1:3" x14ac:dyDescent="0.35">
      <c r="A1353" t="s">
        <v>4138</v>
      </c>
      <c r="B1353" t="s">
        <v>4139</v>
      </c>
      <c r="C1353" t="s">
        <v>4140</v>
      </c>
    </row>
    <row r="1354" spans="1:3" x14ac:dyDescent="0.35">
      <c r="A1354" t="s">
        <v>4141</v>
      </c>
      <c r="B1354" t="s">
        <v>4142</v>
      </c>
      <c r="C1354" t="s">
        <v>4143</v>
      </c>
    </row>
    <row r="1355" spans="1:3" x14ac:dyDescent="0.35">
      <c r="A1355" t="s">
        <v>4144</v>
      </c>
      <c r="B1355" t="s">
        <v>4145</v>
      </c>
      <c r="C1355" t="s">
        <v>4146</v>
      </c>
    </row>
    <row r="1356" spans="1:3" x14ac:dyDescent="0.35">
      <c r="A1356" t="s">
        <v>4147</v>
      </c>
      <c r="B1356" t="s">
        <v>4148</v>
      </c>
      <c r="C1356" t="s">
        <v>4149</v>
      </c>
    </row>
    <row r="1357" spans="1:3" x14ac:dyDescent="0.35">
      <c r="A1357" t="s">
        <v>4150</v>
      </c>
      <c r="B1357" t="s">
        <v>4151</v>
      </c>
      <c r="C1357" t="s">
        <v>4152</v>
      </c>
    </row>
    <row r="1358" spans="1:3" x14ac:dyDescent="0.35">
      <c r="A1358" t="s">
        <v>4153</v>
      </c>
      <c r="B1358" t="s">
        <v>4154</v>
      </c>
      <c r="C1358" t="s">
        <v>4155</v>
      </c>
    </row>
    <row r="1359" spans="1:3" x14ac:dyDescent="0.35">
      <c r="A1359" t="s">
        <v>4156</v>
      </c>
      <c r="B1359" t="s">
        <v>4157</v>
      </c>
      <c r="C1359" t="s">
        <v>4158</v>
      </c>
    </row>
    <row r="1360" spans="1:3" x14ac:dyDescent="0.35">
      <c r="A1360" t="s">
        <v>4159</v>
      </c>
      <c r="B1360" t="s">
        <v>4160</v>
      </c>
      <c r="C1360" t="s">
        <v>4161</v>
      </c>
    </row>
    <row r="1361" spans="1:3" x14ac:dyDescent="0.35">
      <c r="A1361" t="s">
        <v>4162</v>
      </c>
      <c r="B1361" t="s">
        <v>4163</v>
      </c>
      <c r="C1361" t="s">
        <v>4164</v>
      </c>
    </row>
    <row r="1362" spans="1:3" x14ac:dyDescent="0.35">
      <c r="A1362" t="s">
        <v>4165</v>
      </c>
      <c r="B1362" t="s">
        <v>4166</v>
      </c>
      <c r="C1362" t="s">
        <v>4167</v>
      </c>
    </row>
    <row r="1363" spans="1:3" x14ac:dyDescent="0.35">
      <c r="A1363" t="s">
        <v>4168</v>
      </c>
      <c r="B1363" t="s">
        <v>4169</v>
      </c>
      <c r="C1363" t="s">
        <v>4170</v>
      </c>
    </row>
    <row r="1364" spans="1:3" x14ac:dyDescent="0.35">
      <c r="A1364" t="s">
        <v>4171</v>
      </c>
      <c r="B1364" t="s">
        <v>4172</v>
      </c>
      <c r="C1364" t="s">
        <v>4173</v>
      </c>
    </row>
    <row r="1365" spans="1:3" x14ac:dyDescent="0.35">
      <c r="A1365" t="s">
        <v>4174</v>
      </c>
      <c r="B1365" t="s">
        <v>4175</v>
      </c>
      <c r="C1365" t="s">
        <v>4176</v>
      </c>
    </row>
    <row r="1366" spans="1:3" x14ac:dyDescent="0.35">
      <c r="A1366" t="s">
        <v>4177</v>
      </c>
      <c r="B1366" t="s">
        <v>4178</v>
      </c>
      <c r="C1366" t="s">
        <v>4179</v>
      </c>
    </row>
    <row r="1367" spans="1:3" x14ac:dyDescent="0.35">
      <c r="A1367" t="s">
        <v>4180</v>
      </c>
      <c r="B1367" t="s">
        <v>4181</v>
      </c>
      <c r="C1367" t="s">
        <v>4182</v>
      </c>
    </row>
    <row r="1368" spans="1:3" x14ac:dyDescent="0.35">
      <c r="A1368" t="s">
        <v>4183</v>
      </c>
      <c r="B1368" t="s">
        <v>4184</v>
      </c>
      <c r="C1368" t="s">
        <v>4185</v>
      </c>
    </row>
    <row r="1369" spans="1:3" x14ac:dyDescent="0.35">
      <c r="A1369" t="s">
        <v>4186</v>
      </c>
      <c r="B1369" t="s">
        <v>4187</v>
      </c>
      <c r="C1369" t="s">
        <v>4188</v>
      </c>
    </row>
    <row r="1370" spans="1:3" x14ac:dyDescent="0.35">
      <c r="A1370" t="s">
        <v>4189</v>
      </c>
      <c r="B1370" t="s">
        <v>4190</v>
      </c>
      <c r="C1370" t="s">
        <v>4191</v>
      </c>
    </row>
    <row r="1371" spans="1:3" x14ac:dyDescent="0.35">
      <c r="A1371" t="s">
        <v>4192</v>
      </c>
      <c r="B1371" t="s">
        <v>4193</v>
      </c>
      <c r="C1371" t="s">
        <v>4194</v>
      </c>
    </row>
    <row r="1372" spans="1:3" x14ac:dyDescent="0.35">
      <c r="A1372" t="s">
        <v>4195</v>
      </c>
      <c r="B1372" t="s">
        <v>4196</v>
      </c>
      <c r="C1372" t="s">
        <v>4197</v>
      </c>
    </row>
    <row r="1373" spans="1:3" x14ac:dyDescent="0.35">
      <c r="A1373" t="s">
        <v>4198</v>
      </c>
      <c r="B1373" t="s">
        <v>4199</v>
      </c>
      <c r="C1373" t="s">
        <v>4200</v>
      </c>
    </row>
    <row r="1374" spans="1:3" x14ac:dyDescent="0.35">
      <c r="A1374" t="s">
        <v>4198</v>
      </c>
      <c r="B1374" t="s">
        <v>4201</v>
      </c>
      <c r="C1374" t="s">
        <v>4202</v>
      </c>
    </row>
    <row r="1375" spans="1:3" x14ac:dyDescent="0.35">
      <c r="A1375" t="s">
        <v>4203</v>
      </c>
      <c r="B1375" t="s">
        <v>4204</v>
      </c>
      <c r="C1375" t="s">
        <v>4205</v>
      </c>
    </row>
    <row r="1376" spans="1:3" x14ac:dyDescent="0.35">
      <c r="A1376" t="s">
        <v>4206</v>
      </c>
      <c r="B1376" t="s">
        <v>4207</v>
      </c>
      <c r="C1376" t="s">
        <v>4208</v>
      </c>
    </row>
    <row r="1377" spans="1:3" x14ac:dyDescent="0.35">
      <c r="A1377" t="s">
        <v>4209</v>
      </c>
      <c r="B1377" t="s">
        <v>4210</v>
      </c>
      <c r="C1377" t="s">
        <v>4211</v>
      </c>
    </row>
    <row r="1378" spans="1:3" x14ac:dyDescent="0.35">
      <c r="A1378" t="s">
        <v>4212</v>
      </c>
      <c r="B1378" t="s">
        <v>4213</v>
      </c>
      <c r="C1378" t="s">
        <v>4214</v>
      </c>
    </row>
    <row r="1379" spans="1:3" x14ac:dyDescent="0.35">
      <c r="A1379" t="s">
        <v>4215</v>
      </c>
      <c r="B1379" t="s">
        <v>4216</v>
      </c>
      <c r="C1379" t="s">
        <v>4217</v>
      </c>
    </row>
    <row r="1380" spans="1:3" x14ac:dyDescent="0.35">
      <c r="A1380" t="s">
        <v>4218</v>
      </c>
      <c r="B1380" t="s">
        <v>4219</v>
      </c>
      <c r="C1380" t="s">
        <v>4220</v>
      </c>
    </row>
    <row r="1381" spans="1:3" x14ac:dyDescent="0.35">
      <c r="A1381" t="s">
        <v>4221</v>
      </c>
      <c r="B1381" t="s">
        <v>4222</v>
      </c>
      <c r="C1381" t="s">
        <v>4223</v>
      </c>
    </row>
    <row r="1382" spans="1:3" x14ac:dyDescent="0.35">
      <c r="A1382" t="s">
        <v>4224</v>
      </c>
      <c r="B1382" t="s">
        <v>4225</v>
      </c>
      <c r="C1382" t="s">
        <v>4226</v>
      </c>
    </row>
    <row r="1383" spans="1:3" x14ac:dyDescent="0.35">
      <c r="A1383" t="s">
        <v>4227</v>
      </c>
      <c r="B1383" t="s">
        <v>4228</v>
      </c>
      <c r="C1383" t="s">
        <v>4229</v>
      </c>
    </row>
    <row r="1384" spans="1:3" x14ac:dyDescent="0.35">
      <c r="A1384" t="s">
        <v>4230</v>
      </c>
      <c r="B1384" t="s">
        <v>4231</v>
      </c>
      <c r="C1384" t="s">
        <v>4232</v>
      </c>
    </row>
    <row r="1385" spans="1:3" x14ac:dyDescent="0.35">
      <c r="A1385" t="s">
        <v>4233</v>
      </c>
      <c r="B1385" t="s">
        <v>4234</v>
      </c>
      <c r="C1385" t="s">
        <v>4235</v>
      </c>
    </row>
    <row r="1386" spans="1:3" x14ac:dyDescent="0.35">
      <c r="A1386" t="s">
        <v>4236</v>
      </c>
      <c r="B1386" t="s">
        <v>4237</v>
      </c>
      <c r="C1386" t="s">
        <v>4238</v>
      </c>
    </row>
    <row r="1387" spans="1:3" x14ac:dyDescent="0.35">
      <c r="A1387" t="s">
        <v>4239</v>
      </c>
      <c r="B1387" t="s">
        <v>4240</v>
      </c>
      <c r="C1387" t="s">
        <v>4241</v>
      </c>
    </row>
    <row r="1388" spans="1:3" x14ac:dyDescent="0.35">
      <c r="A1388" t="s">
        <v>4242</v>
      </c>
      <c r="B1388" t="s">
        <v>4243</v>
      </c>
      <c r="C1388" t="s">
        <v>4244</v>
      </c>
    </row>
    <row r="1389" spans="1:3" x14ac:dyDescent="0.35">
      <c r="A1389" t="s">
        <v>4245</v>
      </c>
      <c r="B1389" t="s">
        <v>4246</v>
      </c>
      <c r="C1389" t="s">
        <v>4247</v>
      </c>
    </row>
    <row r="1390" spans="1:3" x14ac:dyDescent="0.35">
      <c r="A1390" t="s">
        <v>4248</v>
      </c>
      <c r="B1390" t="s">
        <v>4249</v>
      </c>
      <c r="C1390" t="s">
        <v>4250</v>
      </c>
    </row>
    <row r="1391" spans="1:3" x14ac:dyDescent="0.35">
      <c r="A1391" t="s">
        <v>4251</v>
      </c>
      <c r="B1391" t="s">
        <v>4252</v>
      </c>
      <c r="C1391" t="s">
        <v>4253</v>
      </c>
    </row>
    <row r="1392" spans="1:3" x14ac:dyDescent="0.35">
      <c r="A1392" t="s">
        <v>4254</v>
      </c>
      <c r="B1392" t="s">
        <v>4255</v>
      </c>
      <c r="C1392" t="s">
        <v>4256</v>
      </c>
    </row>
    <row r="1393" spans="1:3" x14ac:dyDescent="0.35">
      <c r="A1393" t="s">
        <v>4257</v>
      </c>
      <c r="B1393" t="s">
        <v>4258</v>
      </c>
      <c r="C1393" t="s">
        <v>4259</v>
      </c>
    </row>
    <row r="1394" spans="1:3" x14ac:dyDescent="0.35">
      <c r="A1394" t="s">
        <v>4260</v>
      </c>
      <c r="B1394" t="s">
        <v>4261</v>
      </c>
      <c r="C1394" t="s">
        <v>4262</v>
      </c>
    </row>
    <row r="1395" spans="1:3" x14ac:dyDescent="0.35">
      <c r="A1395" t="s">
        <v>4263</v>
      </c>
      <c r="B1395" t="s">
        <v>4264</v>
      </c>
      <c r="C1395" t="s">
        <v>4265</v>
      </c>
    </row>
    <row r="1396" spans="1:3" x14ac:dyDescent="0.35">
      <c r="A1396" t="s">
        <v>4266</v>
      </c>
      <c r="B1396" t="s">
        <v>4267</v>
      </c>
      <c r="C1396" t="s">
        <v>4268</v>
      </c>
    </row>
    <row r="1397" spans="1:3" x14ac:dyDescent="0.35">
      <c r="A1397" t="s">
        <v>4269</v>
      </c>
      <c r="B1397" t="s">
        <v>4270</v>
      </c>
      <c r="C1397" t="s">
        <v>4271</v>
      </c>
    </row>
    <row r="1398" spans="1:3" x14ac:dyDescent="0.35">
      <c r="A1398" t="s">
        <v>4272</v>
      </c>
      <c r="B1398" t="s">
        <v>4273</v>
      </c>
      <c r="C1398" t="s">
        <v>4274</v>
      </c>
    </row>
    <row r="1399" spans="1:3" x14ac:dyDescent="0.35">
      <c r="A1399" t="s">
        <v>4275</v>
      </c>
      <c r="B1399" t="s">
        <v>4276</v>
      </c>
      <c r="C1399" t="s">
        <v>4277</v>
      </c>
    </row>
    <row r="1400" spans="1:3" x14ac:dyDescent="0.35">
      <c r="A1400" t="s">
        <v>4278</v>
      </c>
      <c r="B1400" t="s">
        <v>4279</v>
      </c>
      <c r="C1400" t="s">
        <v>4280</v>
      </c>
    </row>
    <row r="1401" spans="1:3" x14ac:dyDescent="0.35">
      <c r="A1401" t="s">
        <v>4281</v>
      </c>
      <c r="B1401" t="s">
        <v>4282</v>
      </c>
      <c r="C1401" t="s">
        <v>4283</v>
      </c>
    </row>
    <row r="1402" spans="1:3" x14ac:dyDescent="0.35">
      <c r="A1402" t="s">
        <v>4284</v>
      </c>
      <c r="B1402" t="s">
        <v>4285</v>
      </c>
      <c r="C1402" t="s">
        <v>4286</v>
      </c>
    </row>
    <row r="1403" spans="1:3" x14ac:dyDescent="0.35">
      <c r="A1403" t="s">
        <v>4287</v>
      </c>
      <c r="B1403" t="s">
        <v>4288</v>
      </c>
      <c r="C1403" t="s">
        <v>4289</v>
      </c>
    </row>
    <row r="1404" spans="1:3" x14ac:dyDescent="0.35">
      <c r="A1404" t="s">
        <v>4290</v>
      </c>
      <c r="B1404" t="s">
        <v>4291</v>
      </c>
      <c r="C1404" t="s">
        <v>4292</v>
      </c>
    </row>
    <row r="1405" spans="1:3" x14ac:dyDescent="0.35">
      <c r="A1405" t="s">
        <v>4293</v>
      </c>
      <c r="B1405" t="s">
        <v>4294</v>
      </c>
      <c r="C1405" t="s">
        <v>4295</v>
      </c>
    </row>
    <row r="1406" spans="1:3" x14ac:dyDescent="0.35">
      <c r="A1406" t="s">
        <v>4296</v>
      </c>
      <c r="B1406" t="s">
        <v>4297</v>
      </c>
      <c r="C1406" t="s">
        <v>4298</v>
      </c>
    </row>
    <row r="1407" spans="1:3" x14ac:dyDescent="0.35">
      <c r="A1407" t="s">
        <v>4299</v>
      </c>
      <c r="B1407" t="s">
        <v>4300</v>
      </c>
      <c r="C1407" t="s">
        <v>4301</v>
      </c>
    </row>
    <row r="1408" spans="1:3" x14ac:dyDescent="0.35">
      <c r="A1408" t="s">
        <v>4302</v>
      </c>
      <c r="B1408" t="s">
        <v>4303</v>
      </c>
      <c r="C1408" t="s">
        <v>4304</v>
      </c>
    </row>
    <row r="1409" spans="1:3" x14ac:dyDescent="0.35">
      <c r="A1409" t="s">
        <v>4305</v>
      </c>
      <c r="B1409" t="s">
        <v>4306</v>
      </c>
      <c r="C1409" t="s">
        <v>4307</v>
      </c>
    </row>
    <row r="1410" spans="1:3" x14ac:dyDescent="0.35">
      <c r="A1410" t="s">
        <v>4308</v>
      </c>
      <c r="B1410" t="s">
        <v>4309</v>
      </c>
      <c r="C1410" t="s">
        <v>4310</v>
      </c>
    </row>
    <row r="1411" spans="1:3" x14ac:dyDescent="0.35">
      <c r="A1411" t="s">
        <v>4311</v>
      </c>
      <c r="B1411" t="s">
        <v>4312</v>
      </c>
      <c r="C1411" t="s">
        <v>4313</v>
      </c>
    </row>
    <row r="1412" spans="1:3" x14ac:dyDescent="0.35">
      <c r="A1412" t="s">
        <v>4314</v>
      </c>
      <c r="B1412" t="s">
        <v>4315</v>
      </c>
      <c r="C1412" t="s">
        <v>4316</v>
      </c>
    </row>
    <row r="1413" spans="1:3" x14ac:dyDescent="0.35">
      <c r="A1413" t="s">
        <v>4317</v>
      </c>
      <c r="B1413" t="s">
        <v>4318</v>
      </c>
      <c r="C1413" t="s">
        <v>4319</v>
      </c>
    </row>
    <row r="1414" spans="1:3" x14ac:dyDescent="0.35">
      <c r="A1414" t="s">
        <v>4317</v>
      </c>
      <c r="B1414" t="s">
        <v>4320</v>
      </c>
      <c r="C1414" t="s">
        <v>4321</v>
      </c>
    </row>
    <row r="1415" spans="1:3" x14ac:dyDescent="0.35">
      <c r="A1415" t="s">
        <v>4322</v>
      </c>
      <c r="B1415" t="s">
        <v>4323</v>
      </c>
      <c r="C1415" t="s">
        <v>4324</v>
      </c>
    </row>
    <row r="1416" spans="1:3" x14ac:dyDescent="0.35">
      <c r="A1416" t="s">
        <v>4325</v>
      </c>
      <c r="B1416" t="s">
        <v>4326</v>
      </c>
      <c r="C1416" t="s">
        <v>4327</v>
      </c>
    </row>
    <row r="1417" spans="1:3" x14ac:dyDescent="0.35">
      <c r="A1417" t="s">
        <v>4328</v>
      </c>
      <c r="B1417" t="s">
        <v>4329</v>
      </c>
      <c r="C1417" t="s">
        <v>4330</v>
      </c>
    </row>
    <row r="1418" spans="1:3" x14ac:dyDescent="0.35">
      <c r="A1418" t="s">
        <v>4331</v>
      </c>
      <c r="B1418" t="s">
        <v>4332</v>
      </c>
      <c r="C1418" t="s">
        <v>4333</v>
      </c>
    </row>
    <row r="1419" spans="1:3" x14ac:dyDescent="0.35">
      <c r="A1419" t="s">
        <v>4334</v>
      </c>
      <c r="B1419" t="s">
        <v>4335</v>
      </c>
      <c r="C1419" t="s">
        <v>4336</v>
      </c>
    </row>
    <row r="1420" spans="1:3" x14ac:dyDescent="0.35">
      <c r="A1420" t="s">
        <v>4337</v>
      </c>
      <c r="B1420" t="s">
        <v>4338</v>
      </c>
      <c r="C1420" t="s">
        <v>4339</v>
      </c>
    </row>
    <row r="1421" spans="1:3" x14ac:dyDescent="0.35">
      <c r="A1421" t="s">
        <v>4340</v>
      </c>
      <c r="B1421" t="s">
        <v>4341</v>
      </c>
      <c r="C1421" t="s">
        <v>4342</v>
      </c>
    </row>
    <row r="1422" spans="1:3" x14ac:dyDescent="0.35">
      <c r="A1422" t="s">
        <v>4343</v>
      </c>
      <c r="B1422" t="s">
        <v>4344</v>
      </c>
      <c r="C1422" t="s">
        <v>4345</v>
      </c>
    </row>
    <row r="1423" spans="1:3" x14ac:dyDescent="0.35">
      <c r="A1423" t="s">
        <v>4343</v>
      </c>
      <c r="B1423" t="s">
        <v>4346</v>
      </c>
      <c r="C1423" t="s">
        <v>4347</v>
      </c>
    </row>
    <row r="1424" spans="1:3" x14ac:dyDescent="0.35">
      <c r="A1424" t="s">
        <v>4348</v>
      </c>
      <c r="B1424" t="s">
        <v>4349</v>
      </c>
      <c r="C1424" t="s">
        <v>4350</v>
      </c>
    </row>
    <row r="1425" spans="1:3" x14ac:dyDescent="0.35">
      <c r="A1425" t="s">
        <v>4351</v>
      </c>
      <c r="B1425" t="s">
        <v>4352</v>
      </c>
      <c r="C1425" t="s">
        <v>4353</v>
      </c>
    </row>
    <row r="1426" spans="1:3" x14ac:dyDescent="0.35">
      <c r="A1426" t="s">
        <v>4354</v>
      </c>
      <c r="B1426" t="s">
        <v>4355</v>
      </c>
      <c r="C1426" t="s">
        <v>4356</v>
      </c>
    </row>
    <row r="1427" spans="1:3" x14ac:dyDescent="0.35">
      <c r="A1427" t="s">
        <v>4357</v>
      </c>
      <c r="B1427" t="s">
        <v>4358</v>
      </c>
      <c r="C1427" t="s">
        <v>4359</v>
      </c>
    </row>
    <row r="1428" spans="1:3" x14ac:dyDescent="0.35">
      <c r="A1428" t="s">
        <v>4360</v>
      </c>
      <c r="B1428" t="s">
        <v>4361</v>
      </c>
      <c r="C1428" t="s">
        <v>4362</v>
      </c>
    </row>
    <row r="1429" spans="1:3" x14ac:dyDescent="0.35">
      <c r="A1429" t="s">
        <v>4363</v>
      </c>
      <c r="B1429" t="s">
        <v>4364</v>
      </c>
      <c r="C1429" t="s">
        <v>4365</v>
      </c>
    </row>
    <row r="1430" spans="1:3" x14ac:dyDescent="0.35">
      <c r="A1430" t="s">
        <v>4366</v>
      </c>
      <c r="B1430" t="s">
        <v>4367</v>
      </c>
      <c r="C1430" t="s">
        <v>4368</v>
      </c>
    </row>
    <row r="1431" spans="1:3" x14ac:dyDescent="0.35">
      <c r="A1431" t="s">
        <v>4369</v>
      </c>
      <c r="B1431" t="s">
        <v>4370</v>
      </c>
      <c r="C1431" t="s">
        <v>4371</v>
      </c>
    </row>
    <row r="1432" spans="1:3" x14ac:dyDescent="0.35">
      <c r="A1432" t="s">
        <v>4372</v>
      </c>
      <c r="B1432" t="s">
        <v>4373</v>
      </c>
      <c r="C1432" t="s">
        <v>4374</v>
      </c>
    </row>
    <row r="1433" spans="1:3" x14ac:dyDescent="0.35">
      <c r="A1433" t="s">
        <v>4375</v>
      </c>
      <c r="B1433" t="s">
        <v>4376</v>
      </c>
      <c r="C1433" t="s">
        <v>4377</v>
      </c>
    </row>
    <row r="1434" spans="1:3" x14ac:dyDescent="0.35">
      <c r="A1434" t="s">
        <v>4378</v>
      </c>
      <c r="B1434" t="s">
        <v>4379</v>
      </c>
      <c r="C1434" t="s">
        <v>4380</v>
      </c>
    </row>
    <row r="1435" spans="1:3" x14ac:dyDescent="0.35">
      <c r="A1435" t="s">
        <v>4381</v>
      </c>
      <c r="B1435" t="s">
        <v>4382</v>
      </c>
      <c r="C1435" t="s">
        <v>4383</v>
      </c>
    </row>
    <row r="1436" spans="1:3" x14ac:dyDescent="0.35">
      <c r="A1436" t="s">
        <v>4384</v>
      </c>
      <c r="B1436" t="s">
        <v>4385</v>
      </c>
      <c r="C1436" t="s">
        <v>4386</v>
      </c>
    </row>
    <row r="1437" spans="1:3" x14ac:dyDescent="0.35">
      <c r="A1437" t="s">
        <v>4387</v>
      </c>
      <c r="B1437" t="s">
        <v>4388</v>
      </c>
      <c r="C1437" t="s">
        <v>4389</v>
      </c>
    </row>
    <row r="1438" spans="1:3" x14ac:dyDescent="0.35">
      <c r="A1438" t="s">
        <v>4390</v>
      </c>
      <c r="B1438" t="s">
        <v>4391</v>
      </c>
      <c r="C1438" t="s">
        <v>4392</v>
      </c>
    </row>
    <row r="1439" spans="1:3" x14ac:dyDescent="0.35">
      <c r="A1439" t="s">
        <v>4393</v>
      </c>
      <c r="B1439" t="s">
        <v>4394</v>
      </c>
      <c r="C1439" t="s">
        <v>4395</v>
      </c>
    </row>
    <row r="1440" spans="1:3" x14ac:dyDescent="0.35">
      <c r="A1440" t="s">
        <v>4396</v>
      </c>
      <c r="B1440" t="s">
        <v>4397</v>
      </c>
      <c r="C1440" t="s">
        <v>2846</v>
      </c>
    </row>
    <row r="1441" spans="1:3" x14ac:dyDescent="0.35">
      <c r="A1441" t="s">
        <v>4398</v>
      </c>
      <c r="B1441" t="s">
        <v>4399</v>
      </c>
      <c r="C1441" t="s">
        <v>4400</v>
      </c>
    </row>
    <row r="1442" spans="1:3" x14ac:dyDescent="0.35">
      <c r="A1442" t="s">
        <v>4401</v>
      </c>
      <c r="B1442" t="s">
        <v>4402</v>
      </c>
      <c r="C1442" t="s">
        <v>4403</v>
      </c>
    </row>
    <row r="1443" spans="1:3" x14ac:dyDescent="0.35">
      <c r="A1443" t="s">
        <v>4404</v>
      </c>
      <c r="B1443" t="s">
        <v>4405</v>
      </c>
      <c r="C1443" t="s">
        <v>4406</v>
      </c>
    </row>
    <row r="1444" spans="1:3" x14ac:dyDescent="0.35">
      <c r="A1444" t="s">
        <v>4407</v>
      </c>
      <c r="B1444" t="s">
        <v>4408</v>
      </c>
      <c r="C1444" t="s">
        <v>4409</v>
      </c>
    </row>
    <row r="1445" spans="1:3" x14ac:dyDescent="0.35">
      <c r="A1445" t="s">
        <v>4410</v>
      </c>
      <c r="B1445" t="s">
        <v>4411</v>
      </c>
      <c r="C1445" t="s">
        <v>4412</v>
      </c>
    </row>
    <row r="1446" spans="1:3" x14ac:dyDescent="0.35">
      <c r="A1446" t="s">
        <v>4413</v>
      </c>
      <c r="B1446" t="s">
        <v>4414</v>
      </c>
      <c r="C1446" t="s">
        <v>4415</v>
      </c>
    </row>
    <row r="1447" spans="1:3" x14ac:dyDescent="0.35">
      <c r="A1447" t="s">
        <v>4413</v>
      </c>
      <c r="B1447" t="s">
        <v>4416</v>
      </c>
      <c r="C1447" t="s">
        <v>4417</v>
      </c>
    </row>
    <row r="1448" spans="1:3" x14ac:dyDescent="0.35">
      <c r="A1448" t="s">
        <v>4418</v>
      </c>
      <c r="B1448" t="s">
        <v>4419</v>
      </c>
      <c r="C1448" t="s">
        <v>4420</v>
      </c>
    </row>
    <row r="1449" spans="1:3" x14ac:dyDescent="0.35">
      <c r="A1449" t="s">
        <v>4421</v>
      </c>
      <c r="B1449" t="s">
        <v>4422</v>
      </c>
      <c r="C1449" t="s">
        <v>4423</v>
      </c>
    </row>
    <row r="1450" spans="1:3" x14ac:dyDescent="0.35">
      <c r="A1450" t="s">
        <v>4424</v>
      </c>
      <c r="B1450" t="s">
        <v>4425</v>
      </c>
      <c r="C1450" t="s">
        <v>4426</v>
      </c>
    </row>
    <row r="1451" spans="1:3" x14ac:dyDescent="0.35">
      <c r="A1451" t="s">
        <v>4427</v>
      </c>
      <c r="B1451" t="s">
        <v>4428</v>
      </c>
      <c r="C1451" t="s">
        <v>4429</v>
      </c>
    </row>
    <row r="1452" spans="1:3" x14ac:dyDescent="0.35">
      <c r="A1452" t="s">
        <v>4430</v>
      </c>
      <c r="B1452" t="s">
        <v>4431</v>
      </c>
      <c r="C1452" t="s">
        <v>4432</v>
      </c>
    </row>
    <row r="1453" spans="1:3" x14ac:dyDescent="0.35">
      <c r="A1453" t="s">
        <v>4433</v>
      </c>
      <c r="B1453" t="s">
        <v>4434</v>
      </c>
      <c r="C1453" t="s">
        <v>4435</v>
      </c>
    </row>
    <row r="1454" spans="1:3" x14ac:dyDescent="0.35">
      <c r="A1454" t="s">
        <v>4436</v>
      </c>
      <c r="B1454" t="s">
        <v>4437</v>
      </c>
      <c r="C1454" t="s">
        <v>4438</v>
      </c>
    </row>
    <row r="1455" spans="1:3" x14ac:dyDescent="0.35">
      <c r="A1455" t="s">
        <v>4439</v>
      </c>
      <c r="B1455" t="s">
        <v>4440</v>
      </c>
      <c r="C1455" t="s">
        <v>4441</v>
      </c>
    </row>
    <row r="1456" spans="1:3" x14ac:dyDescent="0.35">
      <c r="A1456" t="s">
        <v>4442</v>
      </c>
      <c r="B1456" t="s">
        <v>4443</v>
      </c>
      <c r="C1456" t="s">
        <v>4444</v>
      </c>
    </row>
    <row r="1457" spans="1:3" x14ac:dyDescent="0.35">
      <c r="A1457" t="s">
        <v>4445</v>
      </c>
      <c r="B1457" t="s">
        <v>4446</v>
      </c>
      <c r="C1457" t="s">
        <v>4447</v>
      </c>
    </row>
    <row r="1458" spans="1:3" x14ac:dyDescent="0.35">
      <c r="A1458" t="s">
        <v>4445</v>
      </c>
      <c r="B1458" t="s">
        <v>4448</v>
      </c>
      <c r="C1458" t="s">
        <v>4449</v>
      </c>
    </row>
    <row r="1459" spans="1:3" x14ac:dyDescent="0.35">
      <c r="A1459" t="s">
        <v>4450</v>
      </c>
      <c r="B1459" t="s">
        <v>4451</v>
      </c>
      <c r="C1459" t="s">
        <v>4452</v>
      </c>
    </row>
    <row r="1460" spans="1:3" x14ac:dyDescent="0.35">
      <c r="A1460" t="s">
        <v>4453</v>
      </c>
      <c r="B1460" t="s">
        <v>4454</v>
      </c>
      <c r="C1460" t="s">
        <v>4455</v>
      </c>
    </row>
    <row r="1461" spans="1:3" x14ac:dyDescent="0.35">
      <c r="A1461" t="s">
        <v>4456</v>
      </c>
      <c r="B1461" t="s">
        <v>4457</v>
      </c>
      <c r="C1461" t="s">
        <v>4458</v>
      </c>
    </row>
    <row r="1462" spans="1:3" x14ac:dyDescent="0.35">
      <c r="A1462" t="s">
        <v>4459</v>
      </c>
      <c r="B1462" t="s">
        <v>4460</v>
      </c>
      <c r="C1462" t="s">
        <v>4461</v>
      </c>
    </row>
    <row r="1463" spans="1:3" x14ac:dyDescent="0.35">
      <c r="A1463" t="s">
        <v>4462</v>
      </c>
      <c r="B1463" t="s">
        <v>4463</v>
      </c>
      <c r="C1463" t="s">
        <v>4464</v>
      </c>
    </row>
    <row r="1464" spans="1:3" x14ac:dyDescent="0.35">
      <c r="A1464" t="s">
        <v>4465</v>
      </c>
      <c r="B1464" t="s">
        <v>4466</v>
      </c>
      <c r="C1464" t="s">
        <v>4467</v>
      </c>
    </row>
    <row r="1465" spans="1:3" x14ac:dyDescent="0.35">
      <c r="A1465" t="s">
        <v>4468</v>
      </c>
      <c r="B1465" t="s">
        <v>4469</v>
      </c>
      <c r="C1465" t="s">
        <v>4470</v>
      </c>
    </row>
    <row r="1466" spans="1:3" x14ac:dyDescent="0.35">
      <c r="A1466" t="s">
        <v>4471</v>
      </c>
      <c r="B1466" t="s">
        <v>4472</v>
      </c>
      <c r="C1466" t="s">
        <v>4473</v>
      </c>
    </row>
    <row r="1467" spans="1:3" x14ac:dyDescent="0.35">
      <c r="A1467" t="s">
        <v>4474</v>
      </c>
      <c r="B1467" t="s">
        <v>4475</v>
      </c>
      <c r="C1467" t="s">
        <v>4476</v>
      </c>
    </row>
    <row r="1468" spans="1:3" x14ac:dyDescent="0.35">
      <c r="A1468" t="s">
        <v>4477</v>
      </c>
      <c r="B1468" t="s">
        <v>4478</v>
      </c>
      <c r="C1468" t="s">
        <v>4479</v>
      </c>
    </row>
    <row r="1469" spans="1:3" x14ac:dyDescent="0.35">
      <c r="A1469" t="s">
        <v>4480</v>
      </c>
      <c r="B1469" t="s">
        <v>4481</v>
      </c>
      <c r="C1469" t="s">
        <v>4482</v>
      </c>
    </row>
    <row r="1470" spans="1:3" x14ac:dyDescent="0.35">
      <c r="A1470" t="s">
        <v>4483</v>
      </c>
      <c r="B1470" t="s">
        <v>4484</v>
      </c>
      <c r="C1470" t="s">
        <v>4485</v>
      </c>
    </row>
    <row r="1471" spans="1:3" x14ac:dyDescent="0.35">
      <c r="A1471" t="s">
        <v>4486</v>
      </c>
      <c r="B1471" t="s">
        <v>4487</v>
      </c>
      <c r="C1471" t="s">
        <v>4488</v>
      </c>
    </row>
    <row r="1472" spans="1:3" x14ac:dyDescent="0.35">
      <c r="A1472" t="s">
        <v>4489</v>
      </c>
      <c r="B1472" t="s">
        <v>4490</v>
      </c>
      <c r="C1472" t="s">
        <v>4491</v>
      </c>
    </row>
    <row r="1473" spans="1:3" x14ac:dyDescent="0.35">
      <c r="A1473" t="s">
        <v>4492</v>
      </c>
      <c r="B1473" t="s">
        <v>4493</v>
      </c>
      <c r="C1473" t="s">
        <v>4494</v>
      </c>
    </row>
    <row r="1474" spans="1:3" x14ac:dyDescent="0.35">
      <c r="A1474" t="s">
        <v>4495</v>
      </c>
      <c r="B1474" t="s">
        <v>4496</v>
      </c>
      <c r="C1474" t="s">
        <v>4497</v>
      </c>
    </row>
    <row r="1475" spans="1:3" x14ac:dyDescent="0.35">
      <c r="A1475" t="s">
        <v>4498</v>
      </c>
      <c r="B1475" t="s">
        <v>4499</v>
      </c>
      <c r="C1475" t="s">
        <v>4500</v>
      </c>
    </row>
    <row r="1476" spans="1:3" x14ac:dyDescent="0.35">
      <c r="A1476" t="s">
        <v>4501</v>
      </c>
      <c r="B1476" t="s">
        <v>4502</v>
      </c>
      <c r="C1476" t="s">
        <v>4503</v>
      </c>
    </row>
    <row r="1477" spans="1:3" x14ac:dyDescent="0.35">
      <c r="A1477" t="s">
        <v>4504</v>
      </c>
      <c r="B1477" t="s">
        <v>4505</v>
      </c>
      <c r="C1477" t="s">
        <v>4506</v>
      </c>
    </row>
    <row r="1478" spans="1:3" x14ac:dyDescent="0.35">
      <c r="A1478" t="s">
        <v>4507</v>
      </c>
      <c r="B1478" t="s">
        <v>4508</v>
      </c>
      <c r="C1478" t="s">
        <v>4509</v>
      </c>
    </row>
    <row r="1479" spans="1:3" x14ac:dyDescent="0.35">
      <c r="A1479" t="s">
        <v>4510</v>
      </c>
      <c r="B1479" t="s">
        <v>4511</v>
      </c>
      <c r="C1479" t="s">
        <v>4512</v>
      </c>
    </row>
    <row r="1480" spans="1:3" x14ac:dyDescent="0.35">
      <c r="A1480" t="s">
        <v>4513</v>
      </c>
      <c r="B1480" t="s">
        <v>4514</v>
      </c>
      <c r="C1480" t="s">
        <v>4515</v>
      </c>
    </row>
    <row r="1481" spans="1:3" x14ac:dyDescent="0.35">
      <c r="A1481" t="s">
        <v>4516</v>
      </c>
      <c r="B1481" t="s">
        <v>4517</v>
      </c>
      <c r="C1481" t="s">
        <v>4518</v>
      </c>
    </row>
    <row r="1482" spans="1:3" x14ac:dyDescent="0.35">
      <c r="A1482" t="s">
        <v>4519</v>
      </c>
      <c r="B1482" t="s">
        <v>4520</v>
      </c>
      <c r="C1482" t="s">
        <v>4521</v>
      </c>
    </row>
    <row r="1483" spans="1:3" x14ac:dyDescent="0.35">
      <c r="A1483" t="s">
        <v>4522</v>
      </c>
      <c r="B1483" t="s">
        <v>4523</v>
      </c>
      <c r="C1483" t="s">
        <v>4524</v>
      </c>
    </row>
    <row r="1484" spans="1:3" x14ac:dyDescent="0.35">
      <c r="A1484" t="s">
        <v>4525</v>
      </c>
      <c r="B1484" t="s">
        <v>4526</v>
      </c>
      <c r="C1484" t="s">
        <v>4527</v>
      </c>
    </row>
    <row r="1485" spans="1:3" x14ac:dyDescent="0.35">
      <c r="A1485" t="s">
        <v>4525</v>
      </c>
      <c r="B1485" t="s">
        <v>4528</v>
      </c>
      <c r="C1485" t="s">
        <v>4529</v>
      </c>
    </row>
    <row r="1486" spans="1:3" x14ac:dyDescent="0.35">
      <c r="A1486" t="s">
        <v>4530</v>
      </c>
      <c r="B1486" t="s">
        <v>4531</v>
      </c>
      <c r="C1486" t="s">
        <v>4532</v>
      </c>
    </row>
    <row r="1487" spans="1:3" x14ac:dyDescent="0.35">
      <c r="A1487" t="s">
        <v>4533</v>
      </c>
      <c r="B1487" t="s">
        <v>4534</v>
      </c>
      <c r="C1487" t="s">
        <v>4535</v>
      </c>
    </row>
    <row r="1488" spans="1:3" x14ac:dyDescent="0.35">
      <c r="A1488" t="s">
        <v>4536</v>
      </c>
      <c r="B1488" t="s">
        <v>4537</v>
      </c>
      <c r="C1488" t="s">
        <v>4538</v>
      </c>
    </row>
    <row r="1489" spans="1:3" x14ac:dyDescent="0.35">
      <c r="A1489" t="s">
        <v>4539</v>
      </c>
      <c r="B1489" t="s">
        <v>4540</v>
      </c>
      <c r="C1489" t="s">
        <v>4541</v>
      </c>
    </row>
    <row r="1490" spans="1:3" x14ac:dyDescent="0.35">
      <c r="A1490" t="s">
        <v>4542</v>
      </c>
      <c r="B1490" t="s">
        <v>4543</v>
      </c>
      <c r="C1490" t="s">
        <v>4544</v>
      </c>
    </row>
    <row r="1491" spans="1:3" x14ac:dyDescent="0.35">
      <c r="A1491" t="s">
        <v>4545</v>
      </c>
      <c r="B1491" t="s">
        <v>4546</v>
      </c>
      <c r="C1491" t="s">
        <v>4547</v>
      </c>
    </row>
    <row r="1492" spans="1:3" x14ac:dyDescent="0.35">
      <c r="A1492" t="s">
        <v>4548</v>
      </c>
      <c r="B1492" t="s">
        <v>4549</v>
      </c>
      <c r="C1492" t="s">
        <v>4550</v>
      </c>
    </row>
    <row r="1493" spans="1:3" x14ac:dyDescent="0.35">
      <c r="A1493" t="s">
        <v>4551</v>
      </c>
      <c r="B1493" t="s">
        <v>4552</v>
      </c>
      <c r="C1493" t="s">
        <v>4553</v>
      </c>
    </row>
    <row r="1494" spans="1:3" x14ac:dyDescent="0.35">
      <c r="A1494" t="s">
        <v>4554</v>
      </c>
      <c r="B1494" t="s">
        <v>4555</v>
      </c>
      <c r="C1494" t="s">
        <v>4556</v>
      </c>
    </row>
    <row r="1495" spans="1:3" x14ac:dyDescent="0.35">
      <c r="A1495" t="s">
        <v>4557</v>
      </c>
      <c r="B1495" t="s">
        <v>4558</v>
      </c>
      <c r="C1495" t="s">
        <v>4559</v>
      </c>
    </row>
    <row r="1496" spans="1:3" x14ac:dyDescent="0.35">
      <c r="A1496" t="s">
        <v>4560</v>
      </c>
      <c r="B1496" t="s">
        <v>4561</v>
      </c>
      <c r="C1496" t="s">
        <v>4562</v>
      </c>
    </row>
    <row r="1497" spans="1:3" x14ac:dyDescent="0.35">
      <c r="A1497" t="s">
        <v>4563</v>
      </c>
      <c r="B1497" t="s">
        <v>4564</v>
      </c>
      <c r="C1497" t="s">
        <v>4565</v>
      </c>
    </row>
    <row r="1498" spans="1:3" x14ac:dyDescent="0.35">
      <c r="A1498" t="s">
        <v>4566</v>
      </c>
      <c r="B1498" t="s">
        <v>4567</v>
      </c>
      <c r="C1498" t="s">
        <v>4568</v>
      </c>
    </row>
    <row r="1499" spans="1:3" x14ac:dyDescent="0.35">
      <c r="A1499" t="s">
        <v>4569</v>
      </c>
      <c r="B1499" t="s">
        <v>4570</v>
      </c>
      <c r="C1499" t="s">
        <v>4571</v>
      </c>
    </row>
    <row r="1500" spans="1:3" x14ac:dyDescent="0.35">
      <c r="A1500" t="s">
        <v>4572</v>
      </c>
      <c r="B1500" t="s">
        <v>4573</v>
      </c>
      <c r="C1500" t="s">
        <v>4574</v>
      </c>
    </row>
    <row r="1501" spans="1:3" x14ac:dyDescent="0.35">
      <c r="A1501" t="s">
        <v>4575</v>
      </c>
      <c r="B1501" t="s">
        <v>4576</v>
      </c>
      <c r="C1501" t="s">
        <v>4577</v>
      </c>
    </row>
    <row r="1502" spans="1:3" x14ac:dyDescent="0.35">
      <c r="A1502" t="s">
        <v>4578</v>
      </c>
      <c r="B1502" t="s">
        <v>4579</v>
      </c>
      <c r="C1502" t="s">
        <v>4580</v>
      </c>
    </row>
    <row r="1503" spans="1:3" x14ac:dyDescent="0.35">
      <c r="A1503" t="s">
        <v>4581</v>
      </c>
      <c r="B1503" t="s">
        <v>4582</v>
      </c>
      <c r="C1503" t="s">
        <v>4583</v>
      </c>
    </row>
    <row r="1504" spans="1:3" x14ac:dyDescent="0.35">
      <c r="A1504" t="s">
        <v>4584</v>
      </c>
      <c r="B1504" t="s">
        <v>4585</v>
      </c>
      <c r="C1504" t="s">
        <v>4586</v>
      </c>
    </row>
    <row r="1505" spans="1:3" x14ac:dyDescent="0.35">
      <c r="A1505" t="s">
        <v>4587</v>
      </c>
      <c r="B1505" t="s">
        <v>4588</v>
      </c>
      <c r="C1505" t="s">
        <v>4589</v>
      </c>
    </row>
    <row r="1506" spans="1:3" x14ac:dyDescent="0.35">
      <c r="A1506" t="s">
        <v>4590</v>
      </c>
      <c r="B1506" t="s">
        <v>4591</v>
      </c>
      <c r="C1506" t="s">
        <v>4592</v>
      </c>
    </row>
    <row r="1507" spans="1:3" x14ac:dyDescent="0.35">
      <c r="A1507" t="s">
        <v>4593</v>
      </c>
      <c r="B1507" t="s">
        <v>4594</v>
      </c>
      <c r="C1507" t="s">
        <v>4595</v>
      </c>
    </row>
    <row r="1508" spans="1:3" x14ac:dyDescent="0.35">
      <c r="A1508" t="s">
        <v>4596</v>
      </c>
      <c r="B1508" t="s">
        <v>4597</v>
      </c>
      <c r="C1508" t="s">
        <v>4598</v>
      </c>
    </row>
    <row r="1509" spans="1:3" x14ac:dyDescent="0.35">
      <c r="A1509" t="s">
        <v>4599</v>
      </c>
      <c r="B1509" t="s">
        <v>4600</v>
      </c>
      <c r="C1509" t="s">
        <v>4601</v>
      </c>
    </row>
    <row r="1510" spans="1:3" x14ac:dyDescent="0.35">
      <c r="A1510" t="s">
        <v>4602</v>
      </c>
      <c r="B1510" t="s">
        <v>4603</v>
      </c>
      <c r="C1510" t="s">
        <v>4604</v>
      </c>
    </row>
    <row r="1511" spans="1:3" x14ac:dyDescent="0.35">
      <c r="A1511" t="s">
        <v>4605</v>
      </c>
      <c r="B1511" t="s">
        <v>4606</v>
      </c>
      <c r="C1511" t="s">
        <v>4607</v>
      </c>
    </row>
    <row r="1512" spans="1:3" x14ac:dyDescent="0.35">
      <c r="A1512" t="s">
        <v>4608</v>
      </c>
      <c r="B1512" t="s">
        <v>4609</v>
      </c>
      <c r="C1512" t="s">
        <v>4610</v>
      </c>
    </row>
    <row r="1513" spans="1:3" x14ac:dyDescent="0.35">
      <c r="A1513" t="s">
        <v>4611</v>
      </c>
      <c r="B1513" t="s">
        <v>4612</v>
      </c>
      <c r="C1513" t="s">
        <v>4613</v>
      </c>
    </row>
    <row r="1514" spans="1:3" x14ac:dyDescent="0.35">
      <c r="A1514" t="s">
        <v>4614</v>
      </c>
      <c r="B1514" t="s">
        <v>4615</v>
      </c>
      <c r="C1514" t="s">
        <v>4616</v>
      </c>
    </row>
    <row r="1515" spans="1:3" x14ac:dyDescent="0.35">
      <c r="A1515" t="s">
        <v>4617</v>
      </c>
      <c r="B1515" t="s">
        <v>4618</v>
      </c>
      <c r="C1515" t="s">
        <v>4619</v>
      </c>
    </row>
    <row r="1516" spans="1:3" x14ac:dyDescent="0.35">
      <c r="A1516" t="s">
        <v>4620</v>
      </c>
      <c r="B1516" t="s">
        <v>4621</v>
      </c>
      <c r="C1516" t="s">
        <v>4622</v>
      </c>
    </row>
    <row r="1517" spans="1:3" x14ac:dyDescent="0.35">
      <c r="A1517" t="s">
        <v>4623</v>
      </c>
      <c r="B1517" t="s">
        <v>4624</v>
      </c>
      <c r="C1517" t="s">
        <v>4625</v>
      </c>
    </row>
    <row r="1518" spans="1:3" x14ac:dyDescent="0.35">
      <c r="A1518" t="s">
        <v>4626</v>
      </c>
      <c r="B1518" t="s">
        <v>4627</v>
      </c>
      <c r="C1518" t="s">
        <v>4628</v>
      </c>
    </row>
    <row r="1519" spans="1:3" x14ac:dyDescent="0.35">
      <c r="A1519" t="s">
        <v>4629</v>
      </c>
      <c r="B1519" t="s">
        <v>4630</v>
      </c>
      <c r="C1519" t="s">
        <v>4631</v>
      </c>
    </row>
    <row r="1520" spans="1:3" x14ac:dyDescent="0.35">
      <c r="A1520" t="s">
        <v>4632</v>
      </c>
      <c r="B1520" t="s">
        <v>4633</v>
      </c>
      <c r="C1520" t="s">
        <v>4634</v>
      </c>
    </row>
    <row r="1521" spans="1:3" x14ac:dyDescent="0.35">
      <c r="A1521" t="s">
        <v>4635</v>
      </c>
      <c r="B1521" t="s">
        <v>4636</v>
      </c>
      <c r="C1521" t="s">
        <v>4637</v>
      </c>
    </row>
    <row r="1522" spans="1:3" x14ac:dyDescent="0.35">
      <c r="A1522" t="s">
        <v>4638</v>
      </c>
      <c r="B1522" t="s">
        <v>4639</v>
      </c>
      <c r="C1522" t="s">
        <v>4640</v>
      </c>
    </row>
    <row r="1523" spans="1:3" x14ac:dyDescent="0.35">
      <c r="A1523" t="s">
        <v>4641</v>
      </c>
      <c r="B1523" t="s">
        <v>4642</v>
      </c>
      <c r="C1523" t="s">
        <v>4643</v>
      </c>
    </row>
    <row r="1524" spans="1:3" x14ac:dyDescent="0.35">
      <c r="A1524" t="s">
        <v>4644</v>
      </c>
      <c r="B1524" t="s">
        <v>4645</v>
      </c>
      <c r="C1524" t="s">
        <v>4646</v>
      </c>
    </row>
    <row r="1525" spans="1:3" x14ac:dyDescent="0.35">
      <c r="A1525" t="s">
        <v>4647</v>
      </c>
      <c r="B1525" t="s">
        <v>4648</v>
      </c>
      <c r="C1525" t="s">
        <v>4649</v>
      </c>
    </row>
    <row r="1526" spans="1:3" x14ac:dyDescent="0.35">
      <c r="A1526" t="s">
        <v>4650</v>
      </c>
      <c r="B1526" t="s">
        <v>4651</v>
      </c>
      <c r="C1526" t="s">
        <v>4652</v>
      </c>
    </row>
    <row r="1527" spans="1:3" x14ac:dyDescent="0.35">
      <c r="A1527" t="s">
        <v>4653</v>
      </c>
      <c r="B1527" t="s">
        <v>4654</v>
      </c>
      <c r="C1527" t="s">
        <v>4655</v>
      </c>
    </row>
    <row r="1528" spans="1:3" x14ac:dyDescent="0.35">
      <c r="A1528" t="s">
        <v>90</v>
      </c>
      <c r="B1528" t="s">
        <v>4656</v>
      </c>
      <c r="C1528" t="s">
        <v>4657</v>
      </c>
    </row>
    <row r="1529" spans="1:3" x14ac:dyDescent="0.35">
      <c r="A1529" t="s">
        <v>4658</v>
      </c>
      <c r="B1529" t="s">
        <v>4659</v>
      </c>
      <c r="C1529" t="s">
        <v>4660</v>
      </c>
    </row>
    <row r="1530" spans="1:3" x14ac:dyDescent="0.35">
      <c r="A1530" t="s">
        <v>4661</v>
      </c>
      <c r="B1530" t="s">
        <v>4662</v>
      </c>
      <c r="C1530" t="s">
        <v>4663</v>
      </c>
    </row>
    <row r="1531" spans="1:3" x14ac:dyDescent="0.35">
      <c r="A1531" t="s">
        <v>4664</v>
      </c>
      <c r="B1531" t="s">
        <v>4665</v>
      </c>
      <c r="C1531" t="s">
        <v>4666</v>
      </c>
    </row>
    <row r="1532" spans="1:3" x14ac:dyDescent="0.35">
      <c r="A1532" t="s">
        <v>4667</v>
      </c>
      <c r="B1532" t="s">
        <v>4668</v>
      </c>
      <c r="C1532" t="s">
        <v>4669</v>
      </c>
    </row>
    <row r="1533" spans="1:3" x14ac:dyDescent="0.35">
      <c r="A1533" t="s">
        <v>4670</v>
      </c>
      <c r="B1533" t="s">
        <v>4671</v>
      </c>
      <c r="C1533" t="s">
        <v>4672</v>
      </c>
    </row>
    <row r="1534" spans="1:3" x14ac:dyDescent="0.35">
      <c r="A1534" t="s">
        <v>4673</v>
      </c>
      <c r="B1534" t="s">
        <v>4674</v>
      </c>
      <c r="C1534" t="s">
        <v>4675</v>
      </c>
    </row>
    <row r="1535" spans="1:3" x14ac:dyDescent="0.35">
      <c r="A1535" t="s">
        <v>4676</v>
      </c>
      <c r="B1535" t="s">
        <v>4677</v>
      </c>
      <c r="C1535" t="s">
        <v>4678</v>
      </c>
    </row>
    <row r="1536" spans="1:3" x14ac:dyDescent="0.35">
      <c r="A1536" t="s">
        <v>4679</v>
      </c>
      <c r="B1536" t="s">
        <v>4680</v>
      </c>
      <c r="C1536" t="s">
        <v>4681</v>
      </c>
    </row>
    <row r="1537" spans="1:3" x14ac:dyDescent="0.35">
      <c r="A1537" t="s">
        <v>4682</v>
      </c>
      <c r="B1537" t="s">
        <v>4683</v>
      </c>
      <c r="C1537" t="s">
        <v>4684</v>
      </c>
    </row>
    <row r="1538" spans="1:3" x14ac:dyDescent="0.35">
      <c r="A1538" t="s">
        <v>4685</v>
      </c>
      <c r="B1538" t="s">
        <v>4686</v>
      </c>
      <c r="C1538" t="s">
        <v>4687</v>
      </c>
    </row>
    <row r="1539" spans="1:3" x14ac:dyDescent="0.35">
      <c r="A1539" t="s">
        <v>4688</v>
      </c>
      <c r="B1539" t="s">
        <v>4689</v>
      </c>
      <c r="C1539" t="s">
        <v>4690</v>
      </c>
    </row>
    <row r="1540" spans="1:3" x14ac:dyDescent="0.35">
      <c r="A1540" t="s">
        <v>4691</v>
      </c>
      <c r="B1540" t="s">
        <v>4692</v>
      </c>
      <c r="C1540" t="s">
        <v>4693</v>
      </c>
    </row>
    <row r="1541" spans="1:3" x14ac:dyDescent="0.35">
      <c r="A1541" t="s">
        <v>4694</v>
      </c>
      <c r="B1541" t="s">
        <v>4695</v>
      </c>
      <c r="C1541" t="s">
        <v>4696</v>
      </c>
    </row>
    <row r="1542" spans="1:3" x14ac:dyDescent="0.35">
      <c r="A1542" t="s">
        <v>4697</v>
      </c>
      <c r="B1542" t="s">
        <v>4698</v>
      </c>
      <c r="C1542" t="s">
        <v>4699</v>
      </c>
    </row>
    <row r="1543" spans="1:3" x14ac:dyDescent="0.35">
      <c r="A1543" t="s">
        <v>4700</v>
      </c>
      <c r="B1543" t="s">
        <v>4701</v>
      </c>
      <c r="C1543" t="s">
        <v>4702</v>
      </c>
    </row>
    <row r="1544" spans="1:3" x14ac:dyDescent="0.35">
      <c r="A1544" t="s">
        <v>4703</v>
      </c>
      <c r="B1544" t="s">
        <v>4704</v>
      </c>
      <c r="C1544" t="s">
        <v>4705</v>
      </c>
    </row>
    <row r="1545" spans="1:3" x14ac:dyDescent="0.35">
      <c r="A1545" t="s">
        <v>4706</v>
      </c>
      <c r="B1545" t="s">
        <v>4707</v>
      </c>
      <c r="C1545" t="s">
        <v>4708</v>
      </c>
    </row>
    <row r="1546" spans="1:3" x14ac:dyDescent="0.35">
      <c r="A1546" t="s">
        <v>4709</v>
      </c>
      <c r="B1546" t="s">
        <v>4710</v>
      </c>
      <c r="C1546" t="s">
        <v>4711</v>
      </c>
    </row>
    <row r="1547" spans="1:3" x14ac:dyDescent="0.35">
      <c r="A1547" t="s">
        <v>4712</v>
      </c>
      <c r="B1547" t="s">
        <v>4713</v>
      </c>
      <c r="C1547" t="s">
        <v>4714</v>
      </c>
    </row>
    <row r="1548" spans="1:3" x14ac:dyDescent="0.35">
      <c r="A1548" t="s">
        <v>4715</v>
      </c>
      <c r="B1548" t="s">
        <v>4716</v>
      </c>
      <c r="C1548" t="s">
        <v>4717</v>
      </c>
    </row>
    <row r="1549" spans="1:3" x14ac:dyDescent="0.35">
      <c r="A1549" t="s">
        <v>4718</v>
      </c>
      <c r="B1549" t="s">
        <v>4719</v>
      </c>
      <c r="C1549" t="s">
        <v>4720</v>
      </c>
    </row>
    <row r="1550" spans="1:3" x14ac:dyDescent="0.35">
      <c r="A1550" t="s">
        <v>4721</v>
      </c>
      <c r="B1550" t="s">
        <v>4722</v>
      </c>
      <c r="C1550" t="s">
        <v>4723</v>
      </c>
    </row>
    <row r="1551" spans="1:3" x14ac:dyDescent="0.35">
      <c r="A1551" t="s">
        <v>4724</v>
      </c>
      <c r="B1551" t="s">
        <v>4725</v>
      </c>
      <c r="C1551" t="s">
        <v>4726</v>
      </c>
    </row>
    <row r="1552" spans="1:3" x14ac:dyDescent="0.35">
      <c r="A1552" t="s">
        <v>4727</v>
      </c>
      <c r="B1552" t="s">
        <v>4728</v>
      </c>
      <c r="C1552" t="s">
        <v>4729</v>
      </c>
    </row>
    <row r="1553" spans="1:3" x14ac:dyDescent="0.35">
      <c r="A1553" t="s">
        <v>4730</v>
      </c>
      <c r="B1553" t="s">
        <v>4731</v>
      </c>
      <c r="C1553" t="s">
        <v>4732</v>
      </c>
    </row>
    <row r="1554" spans="1:3" x14ac:dyDescent="0.35">
      <c r="A1554" t="s">
        <v>4733</v>
      </c>
      <c r="B1554" t="s">
        <v>4734</v>
      </c>
      <c r="C1554" t="s">
        <v>4735</v>
      </c>
    </row>
    <row r="1555" spans="1:3" x14ac:dyDescent="0.35">
      <c r="A1555" t="s">
        <v>4736</v>
      </c>
      <c r="B1555" t="s">
        <v>4737</v>
      </c>
      <c r="C1555" t="s">
        <v>4738</v>
      </c>
    </row>
    <row r="1556" spans="1:3" x14ac:dyDescent="0.35">
      <c r="A1556" t="s">
        <v>4739</v>
      </c>
      <c r="B1556" t="s">
        <v>4740</v>
      </c>
      <c r="C1556" t="s">
        <v>4741</v>
      </c>
    </row>
    <row r="1557" spans="1:3" x14ac:dyDescent="0.35">
      <c r="A1557" t="s">
        <v>4742</v>
      </c>
      <c r="B1557" t="s">
        <v>4743</v>
      </c>
      <c r="C1557" t="s">
        <v>4744</v>
      </c>
    </row>
    <row r="1558" spans="1:3" x14ac:dyDescent="0.35">
      <c r="A1558" t="s">
        <v>4745</v>
      </c>
      <c r="B1558" t="s">
        <v>4746</v>
      </c>
      <c r="C1558" t="s">
        <v>4747</v>
      </c>
    </row>
    <row r="1559" spans="1:3" x14ac:dyDescent="0.35">
      <c r="A1559" t="s">
        <v>4748</v>
      </c>
      <c r="B1559" t="s">
        <v>4749</v>
      </c>
      <c r="C1559" t="s">
        <v>4750</v>
      </c>
    </row>
    <row r="1560" spans="1:3" x14ac:dyDescent="0.35">
      <c r="A1560" t="s">
        <v>4751</v>
      </c>
      <c r="B1560" t="s">
        <v>4752</v>
      </c>
      <c r="C1560" t="s">
        <v>4753</v>
      </c>
    </row>
    <row r="1561" spans="1:3" x14ac:dyDescent="0.35">
      <c r="A1561" t="s">
        <v>4754</v>
      </c>
      <c r="B1561" t="s">
        <v>4755</v>
      </c>
      <c r="C1561" t="s">
        <v>4756</v>
      </c>
    </row>
    <row r="1562" spans="1:3" x14ac:dyDescent="0.35">
      <c r="A1562" t="s">
        <v>4757</v>
      </c>
      <c r="B1562" t="s">
        <v>4758</v>
      </c>
      <c r="C1562" t="s">
        <v>4759</v>
      </c>
    </row>
    <row r="1563" spans="1:3" x14ac:dyDescent="0.35">
      <c r="A1563" t="s">
        <v>4760</v>
      </c>
      <c r="B1563" t="s">
        <v>4761</v>
      </c>
      <c r="C1563" t="s">
        <v>4762</v>
      </c>
    </row>
    <row r="1564" spans="1:3" x14ac:dyDescent="0.35">
      <c r="A1564" t="s">
        <v>4763</v>
      </c>
      <c r="B1564" t="s">
        <v>4764</v>
      </c>
      <c r="C1564" t="s">
        <v>4765</v>
      </c>
    </row>
    <row r="1565" spans="1:3" x14ac:dyDescent="0.35">
      <c r="A1565" t="s">
        <v>4766</v>
      </c>
      <c r="B1565" t="s">
        <v>4767</v>
      </c>
      <c r="C1565" t="s">
        <v>4768</v>
      </c>
    </row>
    <row r="1566" spans="1:3" x14ac:dyDescent="0.35">
      <c r="A1566" t="s">
        <v>4766</v>
      </c>
      <c r="B1566" t="s">
        <v>4769</v>
      </c>
      <c r="C1566" t="s">
        <v>4770</v>
      </c>
    </row>
    <row r="1567" spans="1:3" x14ac:dyDescent="0.35">
      <c r="A1567" t="s">
        <v>4771</v>
      </c>
      <c r="B1567" t="s">
        <v>4772</v>
      </c>
      <c r="C1567" t="s">
        <v>4773</v>
      </c>
    </row>
    <row r="1568" spans="1:3" x14ac:dyDescent="0.35">
      <c r="A1568" t="s">
        <v>4774</v>
      </c>
      <c r="B1568" t="s">
        <v>4775</v>
      </c>
      <c r="C1568" t="s">
        <v>4776</v>
      </c>
    </row>
    <row r="1569" spans="1:3" x14ac:dyDescent="0.35">
      <c r="A1569" t="s">
        <v>4777</v>
      </c>
      <c r="B1569" t="s">
        <v>4778</v>
      </c>
      <c r="C1569" t="s">
        <v>4779</v>
      </c>
    </row>
    <row r="1570" spans="1:3" x14ac:dyDescent="0.35">
      <c r="A1570" t="s">
        <v>4780</v>
      </c>
      <c r="B1570" t="s">
        <v>4781</v>
      </c>
      <c r="C1570" t="s">
        <v>4782</v>
      </c>
    </row>
    <row r="1571" spans="1:3" x14ac:dyDescent="0.35">
      <c r="A1571" t="s">
        <v>4783</v>
      </c>
      <c r="B1571" t="s">
        <v>4784</v>
      </c>
      <c r="C1571" t="s">
        <v>4785</v>
      </c>
    </row>
    <row r="1572" spans="1:3" x14ac:dyDescent="0.35">
      <c r="A1572" t="s">
        <v>4786</v>
      </c>
      <c r="B1572" t="s">
        <v>4787</v>
      </c>
      <c r="C1572" t="s">
        <v>4788</v>
      </c>
    </row>
    <row r="1573" spans="1:3" x14ac:dyDescent="0.35">
      <c r="A1573" t="s">
        <v>4789</v>
      </c>
      <c r="B1573" t="s">
        <v>4790</v>
      </c>
      <c r="C1573" t="s">
        <v>4791</v>
      </c>
    </row>
    <row r="1574" spans="1:3" x14ac:dyDescent="0.35">
      <c r="A1574" t="s">
        <v>4792</v>
      </c>
      <c r="B1574" t="s">
        <v>4793</v>
      </c>
      <c r="C1574" t="s">
        <v>4794</v>
      </c>
    </row>
    <row r="1575" spans="1:3" x14ac:dyDescent="0.35">
      <c r="A1575" t="s">
        <v>4795</v>
      </c>
      <c r="B1575" t="s">
        <v>4796</v>
      </c>
      <c r="C1575" t="s">
        <v>4797</v>
      </c>
    </row>
    <row r="1576" spans="1:3" x14ac:dyDescent="0.35">
      <c r="A1576" t="s">
        <v>4798</v>
      </c>
      <c r="B1576" t="s">
        <v>4799</v>
      </c>
      <c r="C1576" t="s">
        <v>4800</v>
      </c>
    </row>
    <row r="1577" spans="1:3" x14ac:dyDescent="0.35">
      <c r="A1577" t="s">
        <v>4801</v>
      </c>
      <c r="B1577" t="s">
        <v>4802</v>
      </c>
      <c r="C1577" t="s">
        <v>4803</v>
      </c>
    </row>
    <row r="1578" spans="1:3" x14ac:dyDescent="0.35">
      <c r="A1578" t="s">
        <v>4804</v>
      </c>
      <c r="B1578" t="s">
        <v>4805</v>
      </c>
      <c r="C1578" t="s">
        <v>4806</v>
      </c>
    </row>
    <row r="1579" spans="1:3" x14ac:dyDescent="0.35">
      <c r="A1579" t="s">
        <v>4807</v>
      </c>
      <c r="B1579" t="s">
        <v>4808</v>
      </c>
      <c r="C1579" t="s">
        <v>4809</v>
      </c>
    </row>
    <row r="1580" spans="1:3" x14ac:dyDescent="0.35">
      <c r="A1580" t="s">
        <v>4810</v>
      </c>
      <c r="B1580" t="s">
        <v>4811</v>
      </c>
      <c r="C1580" t="s">
        <v>4812</v>
      </c>
    </row>
    <row r="1581" spans="1:3" x14ac:dyDescent="0.35">
      <c r="A1581" t="s">
        <v>4813</v>
      </c>
      <c r="B1581" t="s">
        <v>4814</v>
      </c>
      <c r="C1581" t="s">
        <v>4815</v>
      </c>
    </row>
    <row r="1582" spans="1:3" x14ac:dyDescent="0.35">
      <c r="A1582" t="s">
        <v>4816</v>
      </c>
      <c r="B1582" t="s">
        <v>4817</v>
      </c>
      <c r="C1582" t="s">
        <v>4818</v>
      </c>
    </row>
    <row r="1583" spans="1:3" x14ac:dyDescent="0.35">
      <c r="A1583" t="s">
        <v>4819</v>
      </c>
      <c r="B1583" t="s">
        <v>4820</v>
      </c>
      <c r="C1583" t="s">
        <v>4821</v>
      </c>
    </row>
    <row r="1584" spans="1:3" x14ac:dyDescent="0.35">
      <c r="A1584" t="s">
        <v>4822</v>
      </c>
      <c r="B1584" t="s">
        <v>4823</v>
      </c>
      <c r="C1584" t="s">
        <v>4824</v>
      </c>
    </row>
    <row r="1585" spans="1:3" x14ac:dyDescent="0.35">
      <c r="A1585" t="s">
        <v>4825</v>
      </c>
      <c r="B1585" t="s">
        <v>4826</v>
      </c>
      <c r="C1585" t="s">
        <v>4827</v>
      </c>
    </row>
    <row r="1586" spans="1:3" x14ac:dyDescent="0.35">
      <c r="A1586" t="s">
        <v>4828</v>
      </c>
      <c r="B1586" t="s">
        <v>4829</v>
      </c>
      <c r="C1586" t="s">
        <v>4830</v>
      </c>
    </row>
    <row r="1587" spans="1:3" x14ac:dyDescent="0.35">
      <c r="A1587" t="s">
        <v>4831</v>
      </c>
      <c r="B1587" t="s">
        <v>4832</v>
      </c>
      <c r="C1587" t="s">
        <v>4833</v>
      </c>
    </row>
    <row r="1588" spans="1:3" x14ac:dyDescent="0.35">
      <c r="A1588" t="s">
        <v>4834</v>
      </c>
      <c r="B1588" t="s">
        <v>4835</v>
      </c>
      <c r="C1588" t="s">
        <v>4836</v>
      </c>
    </row>
    <row r="1589" spans="1:3" x14ac:dyDescent="0.35">
      <c r="A1589" t="s">
        <v>4837</v>
      </c>
      <c r="B1589" t="s">
        <v>4838</v>
      </c>
      <c r="C1589" t="s">
        <v>4839</v>
      </c>
    </row>
    <row r="1590" spans="1:3" x14ac:dyDescent="0.35">
      <c r="A1590" t="s">
        <v>4840</v>
      </c>
      <c r="B1590" t="s">
        <v>4841</v>
      </c>
      <c r="C1590" t="s">
        <v>4842</v>
      </c>
    </row>
    <row r="1591" spans="1:3" x14ac:dyDescent="0.35">
      <c r="A1591" t="s">
        <v>4843</v>
      </c>
      <c r="B1591" t="s">
        <v>4844</v>
      </c>
      <c r="C1591" t="s">
        <v>4845</v>
      </c>
    </row>
    <row r="1592" spans="1:3" x14ac:dyDescent="0.35">
      <c r="A1592" t="s">
        <v>4846</v>
      </c>
      <c r="B1592" t="s">
        <v>4847</v>
      </c>
      <c r="C1592" t="s">
        <v>4848</v>
      </c>
    </row>
    <row r="1593" spans="1:3" x14ac:dyDescent="0.35">
      <c r="A1593" t="s">
        <v>4849</v>
      </c>
      <c r="B1593" t="s">
        <v>4850</v>
      </c>
      <c r="C1593" t="s">
        <v>4851</v>
      </c>
    </row>
    <row r="1594" spans="1:3" x14ac:dyDescent="0.35">
      <c r="A1594" t="s">
        <v>4852</v>
      </c>
      <c r="B1594" t="s">
        <v>4853</v>
      </c>
      <c r="C1594" t="s">
        <v>4854</v>
      </c>
    </row>
    <row r="1595" spans="1:3" x14ac:dyDescent="0.35">
      <c r="A1595" t="s">
        <v>4855</v>
      </c>
      <c r="B1595" t="s">
        <v>4856</v>
      </c>
      <c r="C1595" t="s">
        <v>4857</v>
      </c>
    </row>
    <row r="1596" spans="1:3" x14ac:dyDescent="0.35">
      <c r="A1596" t="s">
        <v>4858</v>
      </c>
      <c r="B1596" t="s">
        <v>4859</v>
      </c>
      <c r="C1596" t="s">
        <v>4860</v>
      </c>
    </row>
    <row r="1597" spans="1:3" x14ac:dyDescent="0.35">
      <c r="A1597" t="s">
        <v>4861</v>
      </c>
      <c r="B1597" t="s">
        <v>4862</v>
      </c>
      <c r="C1597" t="s">
        <v>4863</v>
      </c>
    </row>
    <row r="1598" spans="1:3" x14ac:dyDescent="0.35">
      <c r="A1598" t="s">
        <v>4864</v>
      </c>
      <c r="B1598" t="s">
        <v>4865</v>
      </c>
      <c r="C1598" t="s">
        <v>4866</v>
      </c>
    </row>
    <row r="1599" spans="1:3" x14ac:dyDescent="0.35">
      <c r="A1599" t="s">
        <v>4867</v>
      </c>
      <c r="B1599" t="s">
        <v>4868</v>
      </c>
      <c r="C1599" t="s">
        <v>4869</v>
      </c>
    </row>
    <row r="1600" spans="1:3" x14ac:dyDescent="0.35">
      <c r="A1600" t="s">
        <v>4870</v>
      </c>
      <c r="B1600" t="s">
        <v>4871</v>
      </c>
      <c r="C1600" t="s">
        <v>4872</v>
      </c>
    </row>
    <row r="1601" spans="1:3" x14ac:dyDescent="0.35">
      <c r="A1601" t="s">
        <v>4873</v>
      </c>
      <c r="B1601" t="s">
        <v>4874</v>
      </c>
      <c r="C1601" t="s">
        <v>4875</v>
      </c>
    </row>
    <row r="1602" spans="1:3" x14ac:dyDescent="0.35">
      <c r="A1602" t="s">
        <v>4876</v>
      </c>
      <c r="B1602" t="s">
        <v>4877</v>
      </c>
      <c r="C1602" t="s">
        <v>4878</v>
      </c>
    </row>
    <row r="1603" spans="1:3" x14ac:dyDescent="0.35">
      <c r="A1603" t="s">
        <v>4879</v>
      </c>
      <c r="B1603" t="s">
        <v>4880</v>
      </c>
      <c r="C1603" t="s">
        <v>4881</v>
      </c>
    </row>
    <row r="1604" spans="1:3" x14ac:dyDescent="0.35">
      <c r="A1604" t="s">
        <v>4882</v>
      </c>
      <c r="B1604" t="s">
        <v>4883</v>
      </c>
      <c r="C1604" t="s">
        <v>4884</v>
      </c>
    </row>
    <row r="1605" spans="1:3" x14ac:dyDescent="0.35">
      <c r="A1605" t="s">
        <v>4885</v>
      </c>
      <c r="B1605" t="s">
        <v>4886</v>
      </c>
      <c r="C1605" t="s">
        <v>4887</v>
      </c>
    </row>
    <row r="1606" spans="1:3" x14ac:dyDescent="0.35">
      <c r="A1606" t="s">
        <v>4888</v>
      </c>
      <c r="B1606" t="s">
        <v>4889</v>
      </c>
      <c r="C1606" t="s">
        <v>4890</v>
      </c>
    </row>
    <row r="1607" spans="1:3" x14ac:dyDescent="0.35">
      <c r="A1607" t="s">
        <v>4891</v>
      </c>
      <c r="B1607" t="s">
        <v>4892</v>
      </c>
      <c r="C1607" t="s">
        <v>4893</v>
      </c>
    </row>
    <row r="1608" spans="1:3" x14ac:dyDescent="0.35">
      <c r="A1608" t="s">
        <v>4894</v>
      </c>
      <c r="B1608" t="s">
        <v>4895</v>
      </c>
      <c r="C1608" t="s">
        <v>4896</v>
      </c>
    </row>
    <row r="1609" spans="1:3" x14ac:dyDescent="0.35">
      <c r="A1609" t="s">
        <v>4897</v>
      </c>
      <c r="B1609" t="s">
        <v>4898</v>
      </c>
      <c r="C1609" t="s">
        <v>4899</v>
      </c>
    </row>
    <row r="1610" spans="1:3" x14ac:dyDescent="0.35">
      <c r="A1610" t="s">
        <v>4900</v>
      </c>
      <c r="B1610" t="s">
        <v>4901</v>
      </c>
      <c r="C1610" t="s">
        <v>4902</v>
      </c>
    </row>
    <row r="1611" spans="1:3" x14ac:dyDescent="0.35">
      <c r="A1611" t="s">
        <v>4903</v>
      </c>
      <c r="B1611" t="s">
        <v>4904</v>
      </c>
      <c r="C1611" t="s">
        <v>4905</v>
      </c>
    </row>
    <row r="1612" spans="1:3" x14ac:dyDescent="0.35">
      <c r="A1612" t="s">
        <v>4906</v>
      </c>
      <c r="B1612" t="s">
        <v>4907</v>
      </c>
      <c r="C1612" t="s">
        <v>4908</v>
      </c>
    </row>
    <row r="1613" spans="1:3" x14ac:dyDescent="0.35">
      <c r="A1613" t="s">
        <v>4909</v>
      </c>
      <c r="B1613" t="s">
        <v>4910</v>
      </c>
      <c r="C1613" t="s">
        <v>4911</v>
      </c>
    </row>
    <row r="1614" spans="1:3" x14ac:dyDescent="0.35">
      <c r="A1614" t="s">
        <v>4912</v>
      </c>
      <c r="B1614" t="s">
        <v>4913</v>
      </c>
      <c r="C1614" t="s">
        <v>4914</v>
      </c>
    </row>
    <row r="1615" spans="1:3" x14ac:dyDescent="0.35">
      <c r="A1615" t="s">
        <v>4915</v>
      </c>
      <c r="B1615" t="s">
        <v>4916</v>
      </c>
      <c r="C1615" t="s">
        <v>4917</v>
      </c>
    </row>
    <row r="1616" spans="1:3" x14ac:dyDescent="0.35">
      <c r="A1616" t="s">
        <v>4918</v>
      </c>
      <c r="B1616" t="s">
        <v>4919</v>
      </c>
      <c r="C1616" t="s">
        <v>4920</v>
      </c>
    </row>
    <row r="1617" spans="1:3" x14ac:dyDescent="0.35">
      <c r="A1617" t="s">
        <v>4921</v>
      </c>
      <c r="B1617" t="s">
        <v>4922</v>
      </c>
      <c r="C1617" t="s">
        <v>4923</v>
      </c>
    </row>
    <row r="1618" spans="1:3" x14ac:dyDescent="0.35">
      <c r="A1618" t="s">
        <v>4924</v>
      </c>
      <c r="B1618" t="s">
        <v>4925</v>
      </c>
      <c r="C1618" t="s">
        <v>4926</v>
      </c>
    </row>
    <row r="1619" spans="1:3" x14ac:dyDescent="0.35">
      <c r="A1619" t="s">
        <v>4927</v>
      </c>
      <c r="B1619" t="s">
        <v>4928</v>
      </c>
      <c r="C1619" t="s">
        <v>4929</v>
      </c>
    </row>
    <row r="1620" spans="1:3" x14ac:dyDescent="0.35">
      <c r="A1620" t="s">
        <v>4930</v>
      </c>
      <c r="B1620" t="s">
        <v>4931</v>
      </c>
      <c r="C1620" t="s">
        <v>4932</v>
      </c>
    </row>
    <row r="1621" spans="1:3" x14ac:dyDescent="0.35">
      <c r="A1621" t="s">
        <v>4933</v>
      </c>
      <c r="B1621" t="s">
        <v>4934</v>
      </c>
      <c r="C1621" t="s">
        <v>4935</v>
      </c>
    </row>
    <row r="1622" spans="1:3" x14ac:dyDescent="0.35">
      <c r="A1622" t="s">
        <v>4936</v>
      </c>
      <c r="B1622" t="s">
        <v>4937</v>
      </c>
      <c r="C1622" t="s">
        <v>4938</v>
      </c>
    </row>
    <row r="1623" spans="1:3" x14ac:dyDescent="0.35">
      <c r="A1623" t="s">
        <v>4939</v>
      </c>
      <c r="B1623" t="s">
        <v>4940</v>
      </c>
      <c r="C1623" t="s">
        <v>4941</v>
      </c>
    </row>
    <row r="1624" spans="1:3" x14ac:dyDescent="0.35">
      <c r="A1624" t="s">
        <v>4942</v>
      </c>
      <c r="B1624" t="s">
        <v>4943</v>
      </c>
      <c r="C1624" t="s">
        <v>4944</v>
      </c>
    </row>
    <row r="1625" spans="1:3" x14ac:dyDescent="0.35">
      <c r="A1625" t="s">
        <v>4945</v>
      </c>
      <c r="B1625" t="s">
        <v>4946</v>
      </c>
      <c r="C1625" t="s">
        <v>4947</v>
      </c>
    </row>
    <row r="1626" spans="1:3" x14ac:dyDescent="0.35">
      <c r="A1626" t="s">
        <v>4948</v>
      </c>
      <c r="B1626" t="s">
        <v>4949</v>
      </c>
      <c r="C1626" t="s">
        <v>4950</v>
      </c>
    </row>
    <row r="1627" spans="1:3" x14ac:dyDescent="0.35">
      <c r="A1627" t="s">
        <v>4951</v>
      </c>
      <c r="B1627" t="s">
        <v>4952</v>
      </c>
      <c r="C1627" t="s">
        <v>4953</v>
      </c>
    </row>
    <row r="1628" spans="1:3" x14ac:dyDescent="0.35">
      <c r="A1628" t="s">
        <v>4954</v>
      </c>
      <c r="B1628" t="s">
        <v>4955</v>
      </c>
      <c r="C1628" t="s">
        <v>4956</v>
      </c>
    </row>
    <row r="1629" spans="1:3" x14ac:dyDescent="0.35">
      <c r="A1629" t="s">
        <v>4957</v>
      </c>
      <c r="B1629" t="s">
        <v>4958</v>
      </c>
      <c r="C1629" t="s">
        <v>4959</v>
      </c>
    </row>
    <row r="1630" spans="1:3" x14ac:dyDescent="0.35">
      <c r="A1630" t="s">
        <v>4960</v>
      </c>
      <c r="B1630" t="s">
        <v>4961</v>
      </c>
      <c r="C1630" t="s">
        <v>4962</v>
      </c>
    </row>
    <row r="1631" spans="1:3" x14ac:dyDescent="0.35">
      <c r="A1631" t="s">
        <v>4963</v>
      </c>
      <c r="B1631" t="s">
        <v>4964</v>
      </c>
      <c r="C1631" t="s">
        <v>4965</v>
      </c>
    </row>
    <row r="1632" spans="1:3" x14ac:dyDescent="0.35">
      <c r="A1632" t="s">
        <v>4966</v>
      </c>
      <c r="B1632" t="s">
        <v>4967</v>
      </c>
      <c r="C1632" t="s">
        <v>4968</v>
      </c>
    </row>
    <row r="1633" spans="1:3" x14ac:dyDescent="0.35">
      <c r="A1633" t="s">
        <v>4969</v>
      </c>
      <c r="B1633" t="s">
        <v>4970</v>
      </c>
      <c r="C1633" t="s">
        <v>4971</v>
      </c>
    </row>
    <row r="1634" spans="1:3" x14ac:dyDescent="0.35">
      <c r="A1634" t="s">
        <v>4972</v>
      </c>
      <c r="B1634" t="s">
        <v>4973</v>
      </c>
      <c r="C1634" t="s">
        <v>4974</v>
      </c>
    </row>
    <row r="1635" spans="1:3" x14ac:dyDescent="0.35">
      <c r="A1635" t="s">
        <v>4975</v>
      </c>
      <c r="B1635" t="s">
        <v>4976</v>
      </c>
      <c r="C1635" t="s">
        <v>4977</v>
      </c>
    </row>
    <row r="1636" spans="1:3" x14ac:dyDescent="0.35">
      <c r="A1636" t="s">
        <v>4978</v>
      </c>
      <c r="B1636" t="s">
        <v>4979</v>
      </c>
      <c r="C1636" t="s">
        <v>4980</v>
      </c>
    </row>
    <row r="1637" spans="1:3" x14ac:dyDescent="0.35">
      <c r="A1637" t="s">
        <v>4981</v>
      </c>
      <c r="B1637" t="s">
        <v>4982</v>
      </c>
      <c r="C1637" t="s">
        <v>4983</v>
      </c>
    </row>
    <row r="1638" spans="1:3" x14ac:dyDescent="0.35">
      <c r="A1638" t="s">
        <v>4984</v>
      </c>
      <c r="B1638" t="s">
        <v>4985</v>
      </c>
      <c r="C1638" t="s">
        <v>4986</v>
      </c>
    </row>
    <row r="1639" spans="1:3" x14ac:dyDescent="0.35">
      <c r="A1639" t="s">
        <v>4987</v>
      </c>
      <c r="B1639" t="s">
        <v>4988</v>
      </c>
      <c r="C1639" t="s">
        <v>4989</v>
      </c>
    </row>
    <row r="1640" spans="1:3" x14ac:dyDescent="0.35">
      <c r="A1640" t="s">
        <v>4990</v>
      </c>
      <c r="B1640" t="s">
        <v>4991</v>
      </c>
      <c r="C1640" t="s">
        <v>4992</v>
      </c>
    </row>
    <row r="1641" spans="1:3" x14ac:dyDescent="0.35">
      <c r="A1641" t="s">
        <v>4993</v>
      </c>
      <c r="B1641" t="s">
        <v>4994</v>
      </c>
      <c r="C1641" t="s">
        <v>4995</v>
      </c>
    </row>
    <row r="1642" spans="1:3" x14ac:dyDescent="0.35">
      <c r="A1642" t="s">
        <v>4996</v>
      </c>
      <c r="B1642" t="s">
        <v>4997</v>
      </c>
      <c r="C1642" t="s">
        <v>4998</v>
      </c>
    </row>
    <row r="1643" spans="1:3" x14ac:dyDescent="0.35">
      <c r="A1643" t="s">
        <v>4999</v>
      </c>
      <c r="B1643" t="s">
        <v>5000</v>
      </c>
      <c r="C1643" t="s">
        <v>5001</v>
      </c>
    </row>
    <row r="1644" spans="1:3" x14ac:dyDescent="0.35">
      <c r="A1644" t="s">
        <v>5002</v>
      </c>
      <c r="B1644" t="s">
        <v>5003</v>
      </c>
      <c r="C1644" t="s">
        <v>5004</v>
      </c>
    </row>
    <row r="1645" spans="1:3" x14ac:dyDescent="0.35">
      <c r="A1645" t="s">
        <v>5005</v>
      </c>
      <c r="B1645" t="s">
        <v>5006</v>
      </c>
      <c r="C1645" t="s">
        <v>5007</v>
      </c>
    </row>
    <row r="1646" spans="1:3" x14ac:dyDescent="0.35">
      <c r="A1646" t="s">
        <v>5008</v>
      </c>
      <c r="B1646" t="s">
        <v>5009</v>
      </c>
      <c r="C1646" t="s">
        <v>5010</v>
      </c>
    </row>
    <row r="1647" spans="1:3" x14ac:dyDescent="0.35">
      <c r="A1647" t="s">
        <v>5011</v>
      </c>
      <c r="B1647" t="s">
        <v>5012</v>
      </c>
      <c r="C1647" t="s">
        <v>5013</v>
      </c>
    </row>
    <row r="1648" spans="1:3" x14ac:dyDescent="0.35">
      <c r="A1648" t="s">
        <v>5014</v>
      </c>
      <c r="B1648" t="s">
        <v>5015</v>
      </c>
      <c r="C1648" t="s">
        <v>5016</v>
      </c>
    </row>
    <row r="1649" spans="1:3" x14ac:dyDescent="0.35">
      <c r="A1649" t="s">
        <v>5017</v>
      </c>
      <c r="B1649" t="s">
        <v>5018</v>
      </c>
      <c r="C1649" t="s">
        <v>5019</v>
      </c>
    </row>
    <row r="1650" spans="1:3" x14ac:dyDescent="0.35">
      <c r="A1650" t="s">
        <v>5020</v>
      </c>
      <c r="B1650" t="s">
        <v>5021</v>
      </c>
      <c r="C1650" t="s">
        <v>5022</v>
      </c>
    </row>
    <row r="1651" spans="1:3" x14ac:dyDescent="0.35">
      <c r="A1651" t="s">
        <v>5020</v>
      </c>
      <c r="B1651" t="s">
        <v>5023</v>
      </c>
      <c r="C1651" t="s">
        <v>5024</v>
      </c>
    </row>
    <row r="1652" spans="1:3" x14ac:dyDescent="0.35">
      <c r="A1652" t="s">
        <v>5025</v>
      </c>
      <c r="B1652" t="s">
        <v>5026</v>
      </c>
      <c r="C1652" t="s">
        <v>5027</v>
      </c>
    </row>
    <row r="1653" spans="1:3" x14ac:dyDescent="0.35">
      <c r="A1653" t="s">
        <v>5028</v>
      </c>
      <c r="B1653" t="s">
        <v>5029</v>
      </c>
      <c r="C1653" t="s">
        <v>5030</v>
      </c>
    </row>
    <row r="1654" spans="1:3" x14ac:dyDescent="0.35">
      <c r="A1654" t="s">
        <v>5031</v>
      </c>
      <c r="B1654" t="s">
        <v>5032</v>
      </c>
      <c r="C1654" t="s">
        <v>5033</v>
      </c>
    </row>
    <row r="1655" spans="1:3" x14ac:dyDescent="0.35">
      <c r="A1655" t="s">
        <v>5034</v>
      </c>
      <c r="B1655" t="s">
        <v>5035</v>
      </c>
      <c r="C1655" t="s">
        <v>5036</v>
      </c>
    </row>
    <row r="1656" spans="1:3" x14ac:dyDescent="0.35">
      <c r="A1656" t="s">
        <v>5037</v>
      </c>
      <c r="B1656" t="s">
        <v>5038</v>
      </c>
      <c r="C1656" t="s">
        <v>5039</v>
      </c>
    </row>
    <row r="1657" spans="1:3" x14ac:dyDescent="0.35">
      <c r="A1657" t="s">
        <v>5040</v>
      </c>
      <c r="B1657" t="s">
        <v>5041</v>
      </c>
      <c r="C1657" t="s">
        <v>5042</v>
      </c>
    </row>
    <row r="1658" spans="1:3" x14ac:dyDescent="0.35">
      <c r="A1658" t="s">
        <v>5040</v>
      </c>
      <c r="B1658" t="s">
        <v>5043</v>
      </c>
      <c r="C1658" t="s">
        <v>5044</v>
      </c>
    </row>
    <row r="1659" spans="1:3" x14ac:dyDescent="0.35">
      <c r="A1659" t="s">
        <v>5045</v>
      </c>
      <c r="B1659" t="s">
        <v>5046</v>
      </c>
      <c r="C1659" t="s">
        <v>5047</v>
      </c>
    </row>
    <row r="1660" spans="1:3" x14ac:dyDescent="0.35">
      <c r="A1660" t="s">
        <v>5045</v>
      </c>
      <c r="B1660" t="s">
        <v>5048</v>
      </c>
      <c r="C1660" t="s">
        <v>5049</v>
      </c>
    </row>
    <row r="1661" spans="1:3" x14ac:dyDescent="0.35">
      <c r="A1661" t="s">
        <v>5050</v>
      </c>
      <c r="B1661" t="s">
        <v>5051</v>
      </c>
      <c r="C1661" t="s">
        <v>5052</v>
      </c>
    </row>
    <row r="1662" spans="1:3" x14ac:dyDescent="0.35">
      <c r="A1662" t="s">
        <v>5053</v>
      </c>
      <c r="B1662" t="s">
        <v>5054</v>
      </c>
      <c r="C1662" t="s">
        <v>5055</v>
      </c>
    </row>
    <row r="1663" spans="1:3" x14ac:dyDescent="0.35">
      <c r="A1663" t="s">
        <v>5056</v>
      </c>
      <c r="B1663" t="s">
        <v>5057</v>
      </c>
      <c r="C1663" t="s">
        <v>5058</v>
      </c>
    </row>
    <row r="1664" spans="1:3" x14ac:dyDescent="0.35">
      <c r="A1664" t="s">
        <v>5059</v>
      </c>
      <c r="B1664" t="s">
        <v>5060</v>
      </c>
      <c r="C1664" t="s">
        <v>5061</v>
      </c>
    </row>
    <row r="1665" spans="1:3" x14ac:dyDescent="0.35">
      <c r="A1665" t="s">
        <v>5062</v>
      </c>
      <c r="B1665" t="s">
        <v>5063</v>
      </c>
      <c r="C1665" t="s">
        <v>5064</v>
      </c>
    </row>
    <row r="1666" spans="1:3" x14ac:dyDescent="0.35">
      <c r="A1666" t="s">
        <v>5065</v>
      </c>
      <c r="B1666" t="s">
        <v>5066</v>
      </c>
      <c r="C1666" t="s">
        <v>5067</v>
      </c>
    </row>
    <row r="1667" spans="1:3" x14ac:dyDescent="0.35">
      <c r="A1667" t="s">
        <v>5068</v>
      </c>
      <c r="B1667" t="s">
        <v>5069</v>
      </c>
      <c r="C1667" t="s">
        <v>5070</v>
      </c>
    </row>
    <row r="1668" spans="1:3" x14ac:dyDescent="0.35">
      <c r="A1668" t="s">
        <v>5071</v>
      </c>
      <c r="B1668" t="s">
        <v>5072</v>
      </c>
      <c r="C1668" t="s">
        <v>5073</v>
      </c>
    </row>
    <row r="1669" spans="1:3" x14ac:dyDescent="0.35">
      <c r="A1669" t="s">
        <v>5074</v>
      </c>
      <c r="B1669" t="s">
        <v>5075</v>
      </c>
      <c r="C1669" t="s">
        <v>5076</v>
      </c>
    </row>
    <row r="1670" spans="1:3" x14ac:dyDescent="0.35">
      <c r="A1670" t="s">
        <v>5077</v>
      </c>
      <c r="B1670" t="s">
        <v>5078</v>
      </c>
      <c r="C1670" t="s">
        <v>5079</v>
      </c>
    </row>
    <row r="1671" spans="1:3" x14ac:dyDescent="0.35">
      <c r="A1671" t="s">
        <v>5080</v>
      </c>
      <c r="B1671" t="s">
        <v>5081</v>
      </c>
      <c r="C1671" t="s">
        <v>5082</v>
      </c>
    </row>
    <row r="1672" spans="1:3" x14ac:dyDescent="0.35">
      <c r="A1672" t="s">
        <v>5083</v>
      </c>
      <c r="B1672" t="s">
        <v>5084</v>
      </c>
      <c r="C1672" t="s">
        <v>5085</v>
      </c>
    </row>
    <row r="1673" spans="1:3" x14ac:dyDescent="0.35">
      <c r="A1673" t="s">
        <v>5086</v>
      </c>
      <c r="B1673" t="s">
        <v>5087</v>
      </c>
      <c r="C1673" t="s">
        <v>5088</v>
      </c>
    </row>
    <row r="1674" spans="1:3" x14ac:dyDescent="0.35">
      <c r="A1674" t="s">
        <v>5089</v>
      </c>
      <c r="B1674" t="s">
        <v>5090</v>
      </c>
      <c r="C1674" t="s">
        <v>5091</v>
      </c>
    </row>
    <row r="1675" spans="1:3" x14ac:dyDescent="0.35">
      <c r="A1675" t="s">
        <v>5092</v>
      </c>
      <c r="B1675" t="s">
        <v>5093</v>
      </c>
      <c r="C1675" t="s">
        <v>5094</v>
      </c>
    </row>
    <row r="1676" spans="1:3" x14ac:dyDescent="0.35">
      <c r="A1676" t="s">
        <v>5095</v>
      </c>
      <c r="B1676" t="s">
        <v>5096</v>
      </c>
      <c r="C1676" t="s">
        <v>5097</v>
      </c>
    </row>
    <row r="1677" spans="1:3" x14ac:dyDescent="0.35">
      <c r="A1677" t="s">
        <v>5098</v>
      </c>
      <c r="B1677" t="s">
        <v>5099</v>
      </c>
      <c r="C1677" t="s">
        <v>5100</v>
      </c>
    </row>
    <row r="1678" spans="1:3" x14ac:dyDescent="0.35">
      <c r="A1678" t="s">
        <v>5101</v>
      </c>
      <c r="B1678" t="s">
        <v>5102</v>
      </c>
      <c r="C1678" t="s">
        <v>5103</v>
      </c>
    </row>
    <row r="1679" spans="1:3" x14ac:dyDescent="0.35">
      <c r="A1679" t="s">
        <v>5104</v>
      </c>
      <c r="B1679" t="s">
        <v>5105</v>
      </c>
      <c r="C1679" t="s">
        <v>5106</v>
      </c>
    </row>
    <row r="1680" spans="1:3" x14ac:dyDescent="0.35">
      <c r="A1680" t="s">
        <v>5107</v>
      </c>
      <c r="B1680" t="s">
        <v>5108</v>
      </c>
      <c r="C1680" t="s">
        <v>5109</v>
      </c>
    </row>
    <row r="1681" spans="1:3" x14ac:dyDescent="0.35">
      <c r="A1681" t="s">
        <v>5107</v>
      </c>
      <c r="B1681" t="s">
        <v>5110</v>
      </c>
      <c r="C1681" t="s">
        <v>5109</v>
      </c>
    </row>
    <row r="1682" spans="1:3" x14ac:dyDescent="0.35">
      <c r="A1682" t="s">
        <v>5111</v>
      </c>
      <c r="B1682" t="s">
        <v>5112</v>
      </c>
      <c r="C1682" t="s">
        <v>5113</v>
      </c>
    </row>
    <row r="1683" spans="1:3" x14ac:dyDescent="0.35">
      <c r="A1683" t="s">
        <v>5114</v>
      </c>
      <c r="B1683" t="s">
        <v>5115</v>
      </c>
      <c r="C1683" t="s">
        <v>5116</v>
      </c>
    </row>
    <row r="1684" spans="1:3" x14ac:dyDescent="0.35">
      <c r="A1684" t="s">
        <v>5117</v>
      </c>
      <c r="B1684" t="s">
        <v>5118</v>
      </c>
      <c r="C1684" t="s">
        <v>5119</v>
      </c>
    </row>
    <row r="1685" spans="1:3" x14ac:dyDescent="0.35">
      <c r="A1685" t="s">
        <v>5120</v>
      </c>
      <c r="B1685" t="s">
        <v>5121</v>
      </c>
      <c r="C1685" t="s">
        <v>5122</v>
      </c>
    </row>
    <row r="1686" spans="1:3" x14ac:dyDescent="0.35">
      <c r="A1686" t="s">
        <v>5123</v>
      </c>
      <c r="B1686" t="s">
        <v>5124</v>
      </c>
      <c r="C1686" t="s">
        <v>5125</v>
      </c>
    </row>
    <row r="1687" spans="1:3" x14ac:dyDescent="0.35">
      <c r="A1687" t="s">
        <v>91</v>
      </c>
      <c r="B1687" t="s">
        <v>5126</v>
      </c>
      <c r="C1687" t="s">
        <v>5127</v>
      </c>
    </row>
    <row r="1688" spans="1:3" x14ac:dyDescent="0.35">
      <c r="A1688" t="s">
        <v>5128</v>
      </c>
      <c r="B1688" t="s">
        <v>5129</v>
      </c>
      <c r="C1688" t="s">
        <v>5130</v>
      </c>
    </row>
    <row r="1689" spans="1:3" x14ac:dyDescent="0.35">
      <c r="A1689" t="s">
        <v>5131</v>
      </c>
      <c r="B1689" t="s">
        <v>5132</v>
      </c>
      <c r="C1689" t="s">
        <v>5133</v>
      </c>
    </row>
    <row r="1690" spans="1:3" x14ac:dyDescent="0.35">
      <c r="A1690" t="s">
        <v>5134</v>
      </c>
      <c r="B1690" t="s">
        <v>5135</v>
      </c>
      <c r="C1690" t="s">
        <v>5136</v>
      </c>
    </row>
    <row r="1691" spans="1:3" x14ac:dyDescent="0.35">
      <c r="A1691" t="s">
        <v>5137</v>
      </c>
      <c r="B1691" t="s">
        <v>5138</v>
      </c>
      <c r="C1691" t="s">
        <v>5139</v>
      </c>
    </row>
    <row r="1692" spans="1:3" x14ac:dyDescent="0.35">
      <c r="A1692" t="s">
        <v>5140</v>
      </c>
      <c r="B1692" t="s">
        <v>5141</v>
      </c>
      <c r="C1692" t="s">
        <v>5142</v>
      </c>
    </row>
    <row r="1693" spans="1:3" x14ac:dyDescent="0.35">
      <c r="A1693" t="s">
        <v>5143</v>
      </c>
      <c r="B1693" t="s">
        <v>5144</v>
      </c>
      <c r="C1693" t="s">
        <v>5145</v>
      </c>
    </row>
    <row r="1694" spans="1:3" x14ac:dyDescent="0.35">
      <c r="A1694" t="s">
        <v>5146</v>
      </c>
      <c r="B1694" t="s">
        <v>5147</v>
      </c>
      <c r="C1694" t="s">
        <v>5148</v>
      </c>
    </row>
    <row r="1695" spans="1:3" x14ac:dyDescent="0.35">
      <c r="A1695" t="s">
        <v>5149</v>
      </c>
      <c r="B1695" t="s">
        <v>5150</v>
      </c>
      <c r="C1695" t="s">
        <v>5151</v>
      </c>
    </row>
    <row r="1696" spans="1:3" x14ac:dyDescent="0.35">
      <c r="A1696" t="s">
        <v>5152</v>
      </c>
      <c r="B1696" t="s">
        <v>5153</v>
      </c>
      <c r="C1696" t="s">
        <v>5154</v>
      </c>
    </row>
    <row r="1697" spans="1:3" x14ac:dyDescent="0.35">
      <c r="A1697" t="s">
        <v>5155</v>
      </c>
      <c r="B1697" t="s">
        <v>5156</v>
      </c>
      <c r="C1697" t="s">
        <v>5157</v>
      </c>
    </row>
    <row r="1698" spans="1:3" x14ac:dyDescent="0.35">
      <c r="A1698" t="s">
        <v>5158</v>
      </c>
      <c r="B1698" t="s">
        <v>5159</v>
      </c>
      <c r="C1698" t="s">
        <v>5160</v>
      </c>
    </row>
    <row r="1699" spans="1:3" x14ac:dyDescent="0.35">
      <c r="A1699" t="s">
        <v>5161</v>
      </c>
      <c r="B1699" t="s">
        <v>5162</v>
      </c>
      <c r="C1699" t="s">
        <v>5163</v>
      </c>
    </row>
    <row r="1700" spans="1:3" x14ac:dyDescent="0.35">
      <c r="A1700" t="s">
        <v>5164</v>
      </c>
      <c r="B1700" t="s">
        <v>5165</v>
      </c>
      <c r="C1700" t="s">
        <v>5166</v>
      </c>
    </row>
    <row r="1701" spans="1:3" x14ac:dyDescent="0.35">
      <c r="A1701" t="s">
        <v>5167</v>
      </c>
      <c r="B1701" t="s">
        <v>5168</v>
      </c>
      <c r="C1701" t="s">
        <v>5169</v>
      </c>
    </row>
    <row r="1702" spans="1:3" x14ac:dyDescent="0.35">
      <c r="A1702" t="s">
        <v>5170</v>
      </c>
      <c r="B1702" t="s">
        <v>5171</v>
      </c>
      <c r="C1702" t="s">
        <v>5172</v>
      </c>
    </row>
    <row r="1703" spans="1:3" x14ac:dyDescent="0.35">
      <c r="A1703" t="s">
        <v>5173</v>
      </c>
      <c r="B1703" t="s">
        <v>5174</v>
      </c>
      <c r="C1703" t="s">
        <v>5175</v>
      </c>
    </row>
    <row r="1704" spans="1:3" x14ac:dyDescent="0.35">
      <c r="A1704" t="s">
        <v>5176</v>
      </c>
      <c r="B1704" t="s">
        <v>5177</v>
      </c>
      <c r="C1704" t="s">
        <v>5178</v>
      </c>
    </row>
    <row r="1705" spans="1:3" x14ac:dyDescent="0.35">
      <c r="A1705" t="s">
        <v>5179</v>
      </c>
      <c r="B1705" t="s">
        <v>5180</v>
      </c>
      <c r="C1705" t="s">
        <v>5181</v>
      </c>
    </row>
    <row r="1706" spans="1:3" x14ac:dyDescent="0.35">
      <c r="A1706" t="s">
        <v>5182</v>
      </c>
      <c r="B1706" t="s">
        <v>5183</v>
      </c>
      <c r="C1706" t="s">
        <v>5184</v>
      </c>
    </row>
    <row r="1707" spans="1:3" x14ac:dyDescent="0.35">
      <c r="A1707" t="s">
        <v>5185</v>
      </c>
      <c r="B1707" t="s">
        <v>5186</v>
      </c>
      <c r="C1707" t="s">
        <v>5187</v>
      </c>
    </row>
    <row r="1708" spans="1:3" x14ac:dyDescent="0.35">
      <c r="A1708" t="s">
        <v>5188</v>
      </c>
      <c r="B1708" t="s">
        <v>5189</v>
      </c>
      <c r="C1708" t="s">
        <v>5190</v>
      </c>
    </row>
    <row r="1709" spans="1:3" x14ac:dyDescent="0.35">
      <c r="A1709" t="s">
        <v>5191</v>
      </c>
      <c r="B1709" t="s">
        <v>5192</v>
      </c>
      <c r="C1709" t="s">
        <v>5193</v>
      </c>
    </row>
    <row r="1710" spans="1:3" x14ac:dyDescent="0.35">
      <c r="A1710" t="s">
        <v>5194</v>
      </c>
      <c r="B1710" t="s">
        <v>5195</v>
      </c>
      <c r="C1710" t="s">
        <v>5196</v>
      </c>
    </row>
    <row r="1711" spans="1:3" x14ac:dyDescent="0.35">
      <c r="A1711" t="s">
        <v>5197</v>
      </c>
      <c r="B1711" t="s">
        <v>5198</v>
      </c>
      <c r="C1711" t="s">
        <v>5199</v>
      </c>
    </row>
    <row r="1712" spans="1:3" x14ac:dyDescent="0.35">
      <c r="A1712" t="s">
        <v>5200</v>
      </c>
      <c r="B1712" t="s">
        <v>5201</v>
      </c>
      <c r="C1712" t="s">
        <v>5202</v>
      </c>
    </row>
    <row r="1713" spans="1:3" x14ac:dyDescent="0.35">
      <c r="A1713" t="s">
        <v>5203</v>
      </c>
      <c r="B1713" t="s">
        <v>5204</v>
      </c>
      <c r="C1713" t="s">
        <v>5205</v>
      </c>
    </row>
    <row r="1714" spans="1:3" x14ac:dyDescent="0.35">
      <c r="A1714" t="s">
        <v>5206</v>
      </c>
      <c r="B1714" t="s">
        <v>5207</v>
      </c>
      <c r="C1714" t="s">
        <v>5208</v>
      </c>
    </row>
    <row r="1715" spans="1:3" x14ac:dyDescent="0.35">
      <c r="A1715" t="s">
        <v>5209</v>
      </c>
      <c r="B1715" t="s">
        <v>5210</v>
      </c>
      <c r="C1715" t="s">
        <v>5211</v>
      </c>
    </row>
    <row r="1716" spans="1:3" x14ac:dyDescent="0.35">
      <c r="A1716" t="s">
        <v>5212</v>
      </c>
      <c r="B1716" t="s">
        <v>5213</v>
      </c>
      <c r="C1716" t="s">
        <v>5214</v>
      </c>
    </row>
    <row r="1717" spans="1:3" x14ac:dyDescent="0.35">
      <c r="A1717" t="s">
        <v>5215</v>
      </c>
      <c r="B1717" t="s">
        <v>5216</v>
      </c>
      <c r="C1717" t="s">
        <v>5217</v>
      </c>
    </row>
    <row r="1718" spans="1:3" x14ac:dyDescent="0.35">
      <c r="A1718" t="s">
        <v>5218</v>
      </c>
      <c r="B1718" t="s">
        <v>5219</v>
      </c>
      <c r="C1718" t="s">
        <v>5220</v>
      </c>
    </row>
    <row r="1719" spans="1:3" x14ac:dyDescent="0.35">
      <c r="A1719" t="s">
        <v>5221</v>
      </c>
      <c r="B1719" t="s">
        <v>5222</v>
      </c>
      <c r="C1719" t="s">
        <v>5223</v>
      </c>
    </row>
    <row r="1720" spans="1:3" x14ac:dyDescent="0.35">
      <c r="A1720" t="s">
        <v>5224</v>
      </c>
      <c r="B1720" t="s">
        <v>5225</v>
      </c>
      <c r="C1720" t="s">
        <v>5226</v>
      </c>
    </row>
    <row r="1721" spans="1:3" x14ac:dyDescent="0.35">
      <c r="A1721" t="s">
        <v>5227</v>
      </c>
      <c r="B1721" t="s">
        <v>5228</v>
      </c>
      <c r="C1721" t="s">
        <v>5229</v>
      </c>
    </row>
    <row r="1722" spans="1:3" x14ac:dyDescent="0.35">
      <c r="A1722" t="s">
        <v>5230</v>
      </c>
      <c r="B1722" t="s">
        <v>5231</v>
      </c>
      <c r="C1722" t="s">
        <v>5232</v>
      </c>
    </row>
    <row r="1723" spans="1:3" x14ac:dyDescent="0.35">
      <c r="A1723" t="s">
        <v>5233</v>
      </c>
      <c r="B1723" t="s">
        <v>5234</v>
      </c>
      <c r="C1723" t="s">
        <v>5235</v>
      </c>
    </row>
    <row r="1724" spans="1:3" x14ac:dyDescent="0.35">
      <c r="A1724" t="s">
        <v>5236</v>
      </c>
      <c r="B1724" t="s">
        <v>5237</v>
      </c>
      <c r="C1724" t="s">
        <v>5238</v>
      </c>
    </row>
    <row r="1725" spans="1:3" x14ac:dyDescent="0.35">
      <c r="A1725" t="s">
        <v>5239</v>
      </c>
      <c r="B1725" t="s">
        <v>5240</v>
      </c>
      <c r="C1725" t="s">
        <v>5241</v>
      </c>
    </row>
    <row r="1726" spans="1:3" x14ac:dyDescent="0.35">
      <c r="A1726" t="s">
        <v>5242</v>
      </c>
      <c r="B1726" t="s">
        <v>5243</v>
      </c>
      <c r="C1726" t="s">
        <v>5244</v>
      </c>
    </row>
    <row r="1727" spans="1:3" x14ac:dyDescent="0.35">
      <c r="A1727" t="s">
        <v>5245</v>
      </c>
      <c r="B1727" t="s">
        <v>5246</v>
      </c>
      <c r="C1727" t="s">
        <v>5247</v>
      </c>
    </row>
    <row r="1728" spans="1:3" x14ac:dyDescent="0.35">
      <c r="A1728" t="s">
        <v>5248</v>
      </c>
      <c r="B1728" t="s">
        <v>5249</v>
      </c>
      <c r="C1728" t="s">
        <v>5250</v>
      </c>
    </row>
    <row r="1729" spans="1:3" x14ac:dyDescent="0.35">
      <c r="A1729" t="s">
        <v>5251</v>
      </c>
      <c r="B1729" t="s">
        <v>5252</v>
      </c>
      <c r="C1729" t="s">
        <v>5253</v>
      </c>
    </row>
    <row r="1730" spans="1:3" x14ac:dyDescent="0.35">
      <c r="A1730" t="s">
        <v>5254</v>
      </c>
      <c r="B1730" t="s">
        <v>5255</v>
      </c>
      <c r="C1730" t="s">
        <v>5256</v>
      </c>
    </row>
    <row r="1731" spans="1:3" x14ac:dyDescent="0.35">
      <c r="A1731" t="s">
        <v>5257</v>
      </c>
      <c r="B1731" t="s">
        <v>5258</v>
      </c>
      <c r="C1731" t="s">
        <v>5259</v>
      </c>
    </row>
    <row r="1732" spans="1:3" x14ac:dyDescent="0.35">
      <c r="A1732" t="s">
        <v>5260</v>
      </c>
      <c r="B1732" t="s">
        <v>5261</v>
      </c>
      <c r="C1732" t="s">
        <v>5262</v>
      </c>
    </row>
    <row r="1733" spans="1:3" x14ac:dyDescent="0.35">
      <c r="A1733" t="s">
        <v>5263</v>
      </c>
      <c r="B1733" t="s">
        <v>5264</v>
      </c>
      <c r="C1733" t="s">
        <v>5265</v>
      </c>
    </row>
    <row r="1734" spans="1:3" x14ac:dyDescent="0.35">
      <c r="A1734" t="s">
        <v>5266</v>
      </c>
      <c r="B1734" t="s">
        <v>5267</v>
      </c>
      <c r="C1734" t="s">
        <v>5268</v>
      </c>
    </row>
    <row r="1735" spans="1:3" x14ac:dyDescent="0.35">
      <c r="A1735" t="s">
        <v>5269</v>
      </c>
      <c r="B1735" t="s">
        <v>5270</v>
      </c>
      <c r="C1735" t="s">
        <v>5271</v>
      </c>
    </row>
    <row r="1736" spans="1:3" x14ac:dyDescent="0.35">
      <c r="A1736" t="s">
        <v>5272</v>
      </c>
      <c r="B1736" t="s">
        <v>5273</v>
      </c>
      <c r="C1736" t="s">
        <v>5274</v>
      </c>
    </row>
    <row r="1737" spans="1:3" x14ac:dyDescent="0.35">
      <c r="A1737" t="s">
        <v>5275</v>
      </c>
      <c r="B1737" t="s">
        <v>5276</v>
      </c>
      <c r="C1737" t="s">
        <v>5277</v>
      </c>
    </row>
    <row r="1738" spans="1:3" x14ac:dyDescent="0.35">
      <c r="A1738" t="s">
        <v>5278</v>
      </c>
      <c r="B1738" t="s">
        <v>5264</v>
      </c>
      <c r="C1738" t="s">
        <v>5265</v>
      </c>
    </row>
    <row r="1739" spans="1:3" x14ac:dyDescent="0.35">
      <c r="A1739" t="s">
        <v>5279</v>
      </c>
      <c r="B1739" t="s">
        <v>5280</v>
      </c>
      <c r="C1739" t="s">
        <v>5281</v>
      </c>
    </row>
    <row r="1740" spans="1:3" x14ac:dyDescent="0.35">
      <c r="A1740" t="s">
        <v>5282</v>
      </c>
      <c r="B1740" t="s">
        <v>5283</v>
      </c>
      <c r="C1740" t="s">
        <v>5284</v>
      </c>
    </row>
    <row r="1741" spans="1:3" x14ac:dyDescent="0.35">
      <c r="A1741" t="s">
        <v>5285</v>
      </c>
      <c r="B1741" t="s">
        <v>5286</v>
      </c>
      <c r="C1741" t="s">
        <v>5287</v>
      </c>
    </row>
    <row r="1742" spans="1:3" x14ac:dyDescent="0.35">
      <c r="A1742" t="s">
        <v>5288</v>
      </c>
      <c r="B1742" t="s">
        <v>5289</v>
      </c>
      <c r="C1742" t="s">
        <v>5290</v>
      </c>
    </row>
    <row r="1743" spans="1:3" x14ac:dyDescent="0.35">
      <c r="A1743" t="s">
        <v>5291</v>
      </c>
      <c r="B1743" t="s">
        <v>5292</v>
      </c>
      <c r="C1743" t="s">
        <v>5293</v>
      </c>
    </row>
    <row r="1744" spans="1:3" x14ac:dyDescent="0.35">
      <c r="A1744" t="s">
        <v>5294</v>
      </c>
      <c r="B1744" t="s">
        <v>5295</v>
      </c>
      <c r="C1744" t="s">
        <v>5296</v>
      </c>
    </row>
    <row r="1745" spans="1:3" x14ac:dyDescent="0.35">
      <c r="A1745" t="s">
        <v>5297</v>
      </c>
      <c r="B1745" t="s">
        <v>5298</v>
      </c>
      <c r="C1745" t="s">
        <v>5299</v>
      </c>
    </row>
    <row r="1746" spans="1:3" x14ac:dyDescent="0.35">
      <c r="A1746" t="s">
        <v>5300</v>
      </c>
      <c r="B1746" t="s">
        <v>5301</v>
      </c>
      <c r="C1746" t="s">
        <v>5302</v>
      </c>
    </row>
    <row r="1747" spans="1:3" x14ac:dyDescent="0.35">
      <c r="A1747" t="s">
        <v>5303</v>
      </c>
      <c r="B1747" t="s">
        <v>5304</v>
      </c>
      <c r="C1747" t="s">
        <v>5305</v>
      </c>
    </row>
    <row r="1748" spans="1:3" x14ac:dyDescent="0.35">
      <c r="A1748" t="s">
        <v>5306</v>
      </c>
      <c r="B1748" t="s">
        <v>5307</v>
      </c>
      <c r="C1748" t="s">
        <v>5308</v>
      </c>
    </row>
    <row r="1749" spans="1:3" x14ac:dyDescent="0.35">
      <c r="A1749" t="s">
        <v>5309</v>
      </c>
      <c r="B1749" t="s">
        <v>5310</v>
      </c>
      <c r="C1749" t="s">
        <v>5311</v>
      </c>
    </row>
    <row r="1750" spans="1:3" x14ac:dyDescent="0.35">
      <c r="A1750" t="s">
        <v>5312</v>
      </c>
      <c r="B1750" t="s">
        <v>5313</v>
      </c>
      <c r="C1750" t="s">
        <v>5314</v>
      </c>
    </row>
    <row r="1751" spans="1:3" x14ac:dyDescent="0.35">
      <c r="A1751" t="s">
        <v>5315</v>
      </c>
      <c r="B1751" t="s">
        <v>5316</v>
      </c>
      <c r="C1751" t="s">
        <v>2037</v>
      </c>
    </row>
    <row r="1752" spans="1:3" x14ac:dyDescent="0.35">
      <c r="A1752" t="s">
        <v>5317</v>
      </c>
      <c r="B1752" t="s">
        <v>5318</v>
      </c>
      <c r="C1752" t="s">
        <v>5319</v>
      </c>
    </row>
    <row r="1753" spans="1:3" x14ac:dyDescent="0.35">
      <c r="A1753" t="s">
        <v>5320</v>
      </c>
      <c r="B1753" t="s">
        <v>5321</v>
      </c>
      <c r="C1753" t="s">
        <v>5322</v>
      </c>
    </row>
    <row r="1754" spans="1:3" x14ac:dyDescent="0.35">
      <c r="A1754" t="s">
        <v>5323</v>
      </c>
      <c r="B1754" t="s">
        <v>5324</v>
      </c>
      <c r="C1754" t="s">
        <v>5325</v>
      </c>
    </row>
    <row r="1755" spans="1:3" x14ac:dyDescent="0.35">
      <c r="A1755" t="s">
        <v>5326</v>
      </c>
      <c r="B1755" t="s">
        <v>5327</v>
      </c>
      <c r="C1755" t="s">
        <v>5328</v>
      </c>
    </row>
    <row r="1756" spans="1:3" x14ac:dyDescent="0.35">
      <c r="A1756" t="s">
        <v>5329</v>
      </c>
      <c r="B1756" t="s">
        <v>5330</v>
      </c>
      <c r="C1756" t="s">
        <v>5331</v>
      </c>
    </row>
    <row r="1757" spans="1:3" x14ac:dyDescent="0.35">
      <c r="A1757" t="s">
        <v>5332</v>
      </c>
      <c r="B1757" t="s">
        <v>5333</v>
      </c>
      <c r="C1757" t="s">
        <v>5334</v>
      </c>
    </row>
    <row r="1758" spans="1:3" x14ac:dyDescent="0.35">
      <c r="A1758" t="s">
        <v>5335</v>
      </c>
      <c r="B1758" t="s">
        <v>5336</v>
      </c>
      <c r="C1758" t="s">
        <v>5337</v>
      </c>
    </row>
    <row r="1759" spans="1:3" x14ac:dyDescent="0.35">
      <c r="A1759" t="s">
        <v>5338</v>
      </c>
      <c r="B1759" t="s">
        <v>5339</v>
      </c>
      <c r="C1759" t="s">
        <v>5340</v>
      </c>
    </row>
    <row r="1760" spans="1:3" x14ac:dyDescent="0.35">
      <c r="A1760" t="s">
        <v>5341</v>
      </c>
      <c r="B1760" t="s">
        <v>5342</v>
      </c>
      <c r="C1760" t="s">
        <v>5343</v>
      </c>
    </row>
    <row r="1761" spans="1:3" x14ac:dyDescent="0.35">
      <c r="A1761" t="s">
        <v>5344</v>
      </c>
      <c r="B1761" t="s">
        <v>5345</v>
      </c>
      <c r="C1761" t="s">
        <v>5346</v>
      </c>
    </row>
    <row r="1762" spans="1:3" x14ac:dyDescent="0.35">
      <c r="A1762" t="s">
        <v>5347</v>
      </c>
      <c r="B1762" t="s">
        <v>5348</v>
      </c>
      <c r="C1762" t="s">
        <v>5349</v>
      </c>
    </row>
    <row r="1763" spans="1:3" x14ac:dyDescent="0.35">
      <c r="A1763" t="s">
        <v>5350</v>
      </c>
      <c r="B1763" t="s">
        <v>5351</v>
      </c>
      <c r="C1763" t="s">
        <v>5352</v>
      </c>
    </row>
    <row r="1764" spans="1:3" x14ac:dyDescent="0.35">
      <c r="A1764" t="s">
        <v>5353</v>
      </c>
      <c r="B1764" t="s">
        <v>5354</v>
      </c>
      <c r="C1764" t="s">
        <v>5355</v>
      </c>
    </row>
    <row r="1765" spans="1:3" x14ac:dyDescent="0.35">
      <c r="A1765" t="s">
        <v>92</v>
      </c>
      <c r="B1765" t="s">
        <v>5356</v>
      </c>
      <c r="C1765" t="s">
        <v>5357</v>
      </c>
    </row>
    <row r="1766" spans="1:3" x14ac:dyDescent="0.35">
      <c r="A1766" t="s">
        <v>5358</v>
      </c>
      <c r="B1766" t="s">
        <v>5359</v>
      </c>
      <c r="C1766" t="s">
        <v>5360</v>
      </c>
    </row>
    <row r="1767" spans="1:3" x14ac:dyDescent="0.35">
      <c r="A1767" t="s">
        <v>5361</v>
      </c>
      <c r="B1767" t="s">
        <v>5362</v>
      </c>
      <c r="C1767" t="s">
        <v>5363</v>
      </c>
    </row>
    <row r="1768" spans="1:3" x14ac:dyDescent="0.35">
      <c r="A1768" t="s">
        <v>5361</v>
      </c>
      <c r="B1768" t="s">
        <v>5364</v>
      </c>
      <c r="C1768" t="s">
        <v>5365</v>
      </c>
    </row>
    <row r="1769" spans="1:3" x14ac:dyDescent="0.35">
      <c r="A1769" t="s">
        <v>5366</v>
      </c>
      <c r="B1769" t="s">
        <v>5367</v>
      </c>
      <c r="C1769" t="s">
        <v>5368</v>
      </c>
    </row>
    <row r="1770" spans="1:3" x14ac:dyDescent="0.35">
      <c r="A1770" t="s">
        <v>5369</v>
      </c>
      <c r="B1770" t="s">
        <v>5370</v>
      </c>
      <c r="C1770" t="s">
        <v>5371</v>
      </c>
    </row>
    <row r="1771" spans="1:3" x14ac:dyDescent="0.35">
      <c r="A1771" t="s">
        <v>5372</v>
      </c>
      <c r="B1771" t="s">
        <v>5373</v>
      </c>
      <c r="C1771" t="s">
        <v>5374</v>
      </c>
    </row>
    <row r="1772" spans="1:3" x14ac:dyDescent="0.35">
      <c r="A1772" t="s">
        <v>5375</v>
      </c>
      <c r="B1772" t="s">
        <v>5376</v>
      </c>
      <c r="C1772" t="s">
        <v>5377</v>
      </c>
    </row>
    <row r="1773" spans="1:3" x14ac:dyDescent="0.35">
      <c r="A1773" t="s">
        <v>5378</v>
      </c>
      <c r="B1773" t="s">
        <v>5379</v>
      </c>
      <c r="C1773" t="s">
        <v>5380</v>
      </c>
    </row>
    <row r="1774" spans="1:3" x14ac:dyDescent="0.35">
      <c r="A1774" t="s">
        <v>5381</v>
      </c>
      <c r="B1774" t="s">
        <v>5382</v>
      </c>
      <c r="C1774" t="s">
        <v>5383</v>
      </c>
    </row>
    <row r="1775" spans="1:3" x14ac:dyDescent="0.35">
      <c r="A1775" t="s">
        <v>5384</v>
      </c>
      <c r="B1775" t="s">
        <v>5385</v>
      </c>
      <c r="C1775" t="s">
        <v>5386</v>
      </c>
    </row>
    <row r="1776" spans="1:3" x14ac:dyDescent="0.35">
      <c r="A1776" t="s">
        <v>5387</v>
      </c>
      <c r="B1776" t="s">
        <v>5388</v>
      </c>
      <c r="C1776" t="s">
        <v>5389</v>
      </c>
    </row>
    <row r="1777" spans="1:3" x14ac:dyDescent="0.35">
      <c r="A1777" t="s">
        <v>5390</v>
      </c>
      <c r="B1777" t="s">
        <v>5391</v>
      </c>
      <c r="C1777" t="s">
        <v>5392</v>
      </c>
    </row>
    <row r="1778" spans="1:3" x14ac:dyDescent="0.35">
      <c r="A1778" t="s">
        <v>5393</v>
      </c>
      <c r="B1778" t="s">
        <v>5394</v>
      </c>
      <c r="C1778" t="s">
        <v>5395</v>
      </c>
    </row>
    <row r="1779" spans="1:3" x14ac:dyDescent="0.35">
      <c r="A1779" t="s">
        <v>5396</v>
      </c>
      <c r="B1779" t="s">
        <v>5397</v>
      </c>
      <c r="C1779" t="s">
        <v>5398</v>
      </c>
    </row>
    <row r="1780" spans="1:3" x14ac:dyDescent="0.35">
      <c r="A1780" t="s">
        <v>5399</v>
      </c>
      <c r="B1780" t="s">
        <v>5400</v>
      </c>
      <c r="C1780" t="s">
        <v>5401</v>
      </c>
    </row>
    <row r="1781" spans="1:3" x14ac:dyDescent="0.35">
      <c r="A1781" t="s">
        <v>5402</v>
      </c>
      <c r="B1781" t="s">
        <v>5403</v>
      </c>
      <c r="C1781" t="s">
        <v>5404</v>
      </c>
    </row>
    <row r="1782" spans="1:3" x14ac:dyDescent="0.35">
      <c r="A1782" t="s">
        <v>5405</v>
      </c>
      <c r="B1782" t="s">
        <v>5406</v>
      </c>
      <c r="C1782" t="s">
        <v>5407</v>
      </c>
    </row>
    <row r="1783" spans="1:3" x14ac:dyDescent="0.35">
      <c r="A1783" t="s">
        <v>5408</v>
      </c>
      <c r="B1783" t="s">
        <v>5409</v>
      </c>
      <c r="C1783" t="s">
        <v>5410</v>
      </c>
    </row>
    <row r="1784" spans="1:3" x14ac:dyDescent="0.35">
      <c r="A1784" t="s">
        <v>5411</v>
      </c>
      <c r="B1784" t="s">
        <v>5412</v>
      </c>
      <c r="C1784" t="s">
        <v>5413</v>
      </c>
    </row>
    <row r="1785" spans="1:3" x14ac:dyDescent="0.35">
      <c r="A1785" t="s">
        <v>5414</v>
      </c>
      <c r="B1785" t="s">
        <v>5415</v>
      </c>
      <c r="C1785" t="s">
        <v>5416</v>
      </c>
    </row>
    <row r="1786" spans="1:3" x14ac:dyDescent="0.35">
      <c r="A1786" t="s">
        <v>5417</v>
      </c>
      <c r="B1786" t="s">
        <v>5418</v>
      </c>
      <c r="C1786" t="s">
        <v>5419</v>
      </c>
    </row>
    <row r="1787" spans="1:3" x14ac:dyDescent="0.35">
      <c r="A1787" t="s">
        <v>5420</v>
      </c>
      <c r="B1787" t="s">
        <v>5421</v>
      </c>
      <c r="C1787" t="s">
        <v>5422</v>
      </c>
    </row>
    <row r="1788" spans="1:3" x14ac:dyDescent="0.35">
      <c r="A1788" t="s">
        <v>5423</v>
      </c>
      <c r="B1788" t="s">
        <v>5424</v>
      </c>
      <c r="C1788" t="s">
        <v>5425</v>
      </c>
    </row>
    <row r="1789" spans="1:3" x14ac:dyDescent="0.35">
      <c r="A1789" t="s">
        <v>5426</v>
      </c>
      <c r="B1789" t="s">
        <v>5427</v>
      </c>
      <c r="C1789" t="s">
        <v>5428</v>
      </c>
    </row>
    <row r="1790" spans="1:3" x14ac:dyDescent="0.35">
      <c r="A1790" t="s">
        <v>5429</v>
      </c>
      <c r="B1790" t="s">
        <v>5430</v>
      </c>
      <c r="C1790" t="s">
        <v>5431</v>
      </c>
    </row>
    <row r="1791" spans="1:3" x14ac:dyDescent="0.35">
      <c r="A1791" t="s">
        <v>5432</v>
      </c>
      <c r="B1791" t="s">
        <v>5433</v>
      </c>
      <c r="C1791" t="s">
        <v>5434</v>
      </c>
    </row>
    <row r="1792" spans="1:3" x14ac:dyDescent="0.35">
      <c r="A1792" t="s">
        <v>5435</v>
      </c>
      <c r="B1792" t="s">
        <v>5436</v>
      </c>
      <c r="C1792" t="s">
        <v>5437</v>
      </c>
    </row>
    <row r="1793" spans="1:3" x14ac:dyDescent="0.35">
      <c r="A1793" t="s">
        <v>5438</v>
      </c>
      <c r="B1793" t="s">
        <v>5439</v>
      </c>
      <c r="C1793" t="s">
        <v>5440</v>
      </c>
    </row>
    <row r="1794" spans="1:3" x14ac:dyDescent="0.35">
      <c r="A1794" t="s">
        <v>5441</v>
      </c>
      <c r="B1794" t="s">
        <v>5442</v>
      </c>
      <c r="C1794" t="s">
        <v>5443</v>
      </c>
    </row>
    <row r="1795" spans="1:3" x14ac:dyDescent="0.35">
      <c r="A1795" t="s">
        <v>5441</v>
      </c>
      <c r="B1795" t="s">
        <v>5444</v>
      </c>
      <c r="C1795" t="s">
        <v>5445</v>
      </c>
    </row>
    <row r="1796" spans="1:3" x14ac:dyDescent="0.35">
      <c r="A1796" t="s">
        <v>5446</v>
      </c>
      <c r="B1796" t="s">
        <v>5447</v>
      </c>
      <c r="C1796" t="s">
        <v>5448</v>
      </c>
    </row>
    <row r="1797" spans="1:3" x14ac:dyDescent="0.35">
      <c r="A1797" t="s">
        <v>5449</v>
      </c>
      <c r="B1797" t="s">
        <v>5450</v>
      </c>
      <c r="C1797" t="s">
        <v>5451</v>
      </c>
    </row>
    <row r="1798" spans="1:3" x14ac:dyDescent="0.35">
      <c r="A1798" t="s">
        <v>5452</v>
      </c>
      <c r="B1798" t="s">
        <v>5453</v>
      </c>
      <c r="C1798" t="s">
        <v>5454</v>
      </c>
    </row>
    <row r="1799" spans="1:3" x14ac:dyDescent="0.35">
      <c r="A1799" t="s">
        <v>5455</v>
      </c>
      <c r="B1799" t="s">
        <v>5456</v>
      </c>
      <c r="C1799" t="s">
        <v>5457</v>
      </c>
    </row>
    <row r="1800" spans="1:3" x14ac:dyDescent="0.35">
      <c r="A1800" t="s">
        <v>5458</v>
      </c>
      <c r="B1800" t="s">
        <v>5459</v>
      </c>
      <c r="C1800" t="s">
        <v>5460</v>
      </c>
    </row>
    <row r="1801" spans="1:3" x14ac:dyDescent="0.35">
      <c r="A1801" t="s">
        <v>5461</v>
      </c>
      <c r="B1801" t="s">
        <v>5462</v>
      </c>
      <c r="C1801" t="s">
        <v>5463</v>
      </c>
    </row>
    <row r="1802" spans="1:3" x14ac:dyDescent="0.35">
      <c r="A1802" t="s">
        <v>5464</v>
      </c>
      <c r="B1802" t="s">
        <v>5465</v>
      </c>
      <c r="C1802" t="s">
        <v>5466</v>
      </c>
    </row>
    <row r="1803" spans="1:3" x14ac:dyDescent="0.35">
      <c r="A1803" t="s">
        <v>5467</v>
      </c>
      <c r="B1803" t="s">
        <v>5468</v>
      </c>
      <c r="C1803" t="s">
        <v>5469</v>
      </c>
    </row>
    <row r="1804" spans="1:3" x14ac:dyDescent="0.35">
      <c r="A1804" t="s">
        <v>5470</v>
      </c>
      <c r="B1804" t="s">
        <v>5471</v>
      </c>
      <c r="C1804" t="s">
        <v>5472</v>
      </c>
    </row>
    <row r="1805" spans="1:3" x14ac:dyDescent="0.35">
      <c r="A1805" t="s">
        <v>5473</v>
      </c>
      <c r="B1805" t="s">
        <v>5474</v>
      </c>
      <c r="C1805" t="s">
        <v>5475</v>
      </c>
    </row>
    <row r="1806" spans="1:3" x14ac:dyDescent="0.35">
      <c r="A1806" t="s">
        <v>5476</v>
      </c>
      <c r="B1806" t="s">
        <v>5477</v>
      </c>
      <c r="C1806" t="s">
        <v>5478</v>
      </c>
    </row>
    <row r="1807" spans="1:3" x14ac:dyDescent="0.35">
      <c r="A1807" t="s">
        <v>5479</v>
      </c>
      <c r="B1807" t="s">
        <v>5480</v>
      </c>
      <c r="C1807" t="s">
        <v>5481</v>
      </c>
    </row>
    <row r="1808" spans="1:3" x14ac:dyDescent="0.35">
      <c r="A1808" t="s">
        <v>5482</v>
      </c>
      <c r="B1808" t="s">
        <v>5483</v>
      </c>
      <c r="C1808" t="s">
        <v>5484</v>
      </c>
    </row>
    <row r="1809" spans="1:3" x14ac:dyDescent="0.35">
      <c r="A1809" t="s">
        <v>5485</v>
      </c>
      <c r="B1809" t="s">
        <v>5486</v>
      </c>
      <c r="C1809" t="s">
        <v>5487</v>
      </c>
    </row>
    <row r="1810" spans="1:3" x14ac:dyDescent="0.35">
      <c r="A1810" t="s">
        <v>5488</v>
      </c>
      <c r="B1810" t="s">
        <v>5489</v>
      </c>
      <c r="C1810" t="s">
        <v>5363</v>
      </c>
    </row>
    <row r="1811" spans="1:3" x14ac:dyDescent="0.35">
      <c r="A1811" t="s">
        <v>5490</v>
      </c>
      <c r="B1811" t="s">
        <v>5491</v>
      </c>
      <c r="C1811" t="s">
        <v>5492</v>
      </c>
    </row>
    <row r="1812" spans="1:3" x14ac:dyDescent="0.35">
      <c r="A1812" t="s">
        <v>5493</v>
      </c>
      <c r="B1812" t="s">
        <v>5494</v>
      </c>
      <c r="C1812" t="s">
        <v>5495</v>
      </c>
    </row>
    <row r="1813" spans="1:3" x14ac:dyDescent="0.35">
      <c r="A1813" t="s">
        <v>5496</v>
      </c>
      <c r="B1813" t="s">
        <v>5497</v>
      </c>
      <c r="C1813" t="s">
        <v>5498</v>
      </c>
    </row>
    <row r="1814" spans="1:3" x14ac:dyDescent="0.35">
      <c r="A1814" t="s">
        <v>5499</v>
      </c>
      <c r="B1814" t="s">
        <v>5500</v>
      </c>
      <c r="C1814" t="s">
        <v>5501</v>
      </c>
    </row>
    <row r="1815" spans="1:3" x14ac:dyDescent="0.35">
      <c r="A1815" t="s">
        <v>5502</v>
      </c>
      <c r="B1815" t="s">
        <v>5503</v>
      </c>
      <c r="C1815" t="s">
        <v>5504</v>
      </c>
    </row>
    <row r="1816" spans="1:3" x14ac:dyDescent="0.35">
      <c r="A1816" t="s">
        <v>5505</v>
      </c>
      <c r="B1816" t="s">
        <v>5506</v>
      </c>
      <c r="C1816" t="s">
        <v>5507</v>
      </c>
    </row>
    <row r="1817" spans="1:3" x14ac:dyDescent="0.35">
      <c r="A1817" t="s">
        <v>5508</v>
      </c>
      <c r="B1817" t="s">
        <v>5509</v>
      </c>
      <c r="C1817" t="s">
        <v>5510</v>
      </c>
    </row>
    <row r="1818" spans="1:3" x14ac:dyDescent="0.35">
      <c r="A1818" t="s">
        <v>5511</v>
      </c>
      <c r="B1818" t="s">
        <v>5512</v>
      </c>
      <c r="C1818" t="s">
        <v>5513</v>
      </c>
    </row>
    <row r="1819" spans="1:3" x14ac:dyDescent="0.35">
      <c r="A1819" t="s">
        <v>5514</v>
      </c>
      <c r="B1819" t="s">
        <v>5515</v>
      </c>
      <c r="C1819" t="s">
        <v>5516</v>
      </c>
    </row>
    <row r="1820" spans="1:3" x14ac:dyDescent="0.35">
      <c r="A1820" t="s">
        <v>5517</v>
      </c>
      <c r="B1820" t="s">
        <v>5518</v>
      </c>
      <c r="C1820" t="s">
        <v>5519</v>
      </c>
    </row>
    <row r="1821" spans="1:3" x14ac:dyDescent="0.35">
      <c r="A1821" t="s">
        <v>5520</v>
      </c>
      <c r="B1821" t="s">
        <v>5521</v>
      </c>
      <c r="C1821" t="s">
        <v>5522</v>
      </c>
    </row>
    <row r="1822" spans="1:3" x14ac:dyDescent="0.35">
      <c r="A1822" t="s">
        <v>5523</v>
      </c>
      <c r="B1822" t="s">
        <v>5524</v>
      </c>
      <c r="C1822" t="s">
        <v>5525</v>
      </c>
    </row>
    <row r="1823" spans="1:3" x14ac:dyDescent="0.35">
      <c r="A1823" t="s">
        <v>5526</v>
      </c>
      <c r="B1823" t="s">
        <v>5527</v>
      </c>
      <c r="C1823" t="s">
        <v>5528</v>
      </c>
    </row>
    <row r="1824" spans="1:3" x14ac:dyDescent="0.35">
      <c r="A1824" t="s">
        <v>5529</v>
      </c>
      <c r="B1824" t="s">
        <v>5530</v>
      </c>
      <c r="C1824" t="s">
        <v>5531</v>
      </c>
    </row>
    <row r="1825" spans="1:3" x14ac:dyDescent="0.35">
      <c r="A1825" t="s">
        <v>5532</v>
      </c>
      <c r="B1825" t="s">
        <v>5533</v>
      </c>
      <c r="C1825" t="s">
        <v>5534</v>
      </c>
    </row>
    <row r="1826" spans="1:3" x14ac:dyDescent="0.35">
      <c r="A1826" t="s">
        <v>5535</v>
      </c>
      <c r="B1826" t="s">
        <v>5536</v>
      </c>
      <c r="C1826" t="s">
        <v>5537</v>
      </c>
    </row>
    <row r="1827" spans="1:3" x14ac:dyDescent="0.35">
      <c r="A1827" t="s">
        <v>5538</v>
      </c>
      <c r="B1827" t="s">
        <v>5539</v>
      </c>
      <c r="C1827" t="s">
        <v>5540</v>
      </c>
    </row>
    <row r="1828" spans="1:3" x14ac:dyDescent="0.35">
      <c r="A1828" t="s">
        <v>5541</v>
      </c>
      <c r="B1828" t="s">
        <v>5542</v>
      </c>
      <c r="C1828" t="s">
        <v>5543</v>
      </c>
    </row>
    <row r="1829" spans="1:3" x14ac:dyDescent="0.35">
      <c r="A1829" t="s">
        <v>5544</v>
      </c>
      <c r="B1829" t="s">
        <v>5545</v>
      </c>
      <c r="C1829" t="s">
        <v>5546</v>
      </c>
    </row>
    <row r="1830" spans="1:3" x14ac:dyDescent="0.35">
      <c r="A1830" t="s">
        <v>5547</v>
      </c>
      <c r="B1830" t="s">
        <v>5548</v>
      </c>
      <c r="C1830" t="s">
        <v>5549</v>
      </c>
    </row>
    <row r="1831" spans="1:3" x14ac:dyDescent="0.35">
      <c r="A1831" t="s">
        <v>5550</v>
      </c>
      <c r="B1831" t="s">
        <v>5551</v>
      </c>
      <c r="C1831" t="s">
        <v>5552</v>
      </c>
    </row>
    <row r="1832" spans="1:3" x14ac:dyDescent="0.35">
      <c r="A1832" t="s">
        <v>5553</v>
      </c>
      <c r="B1832" t="s">
        <v>5554</v>
      </c>
      <c r="C1832" t="s">
        <v>5555</v>
      </c>
    </row>
    <row r="1833" spans="1:3" x14ac:dyDescent="0.35">
      <c r="A1833" t="s">
        <v>5556</v>
      </c>
      <c r="B1833" t="s">
        <v>5557</v>
      </c>
      <c r="C1833" t="s">
        <v>5558</v>
      </c>
    </row>
    <row r="1834" spans="1:3" x14ac:dyDescent="0.35">
      <c r="A1834" t="s">
        <v>5559</v>
      </c>
      <c r="B1834" t="s">
        <v>5560</v>
      </c>
      <c r="C1834" t="s">
        <v>5561</v>
      </c>
    </row>
    <row r="1835" spans="1:3" x14ac:dyDescent="0.35">
      <c r="A1835" t="s">
        <v>5562</v>
      </c>
      <c r="B1835" t="s">
        <v>5563</v>
      </c>
      <c r="C1835" t="s">
        <v>5564</v>
      </c>
    </row>
    <row r="1836" spans="1:3" x14ac:dyDescent="0.35">
      <c r="A1836" t="s">
        <v>5565</v>
      </c>
      <c r="B1836" t="s">
        <v>5566</v>
      </c>
      <c r="C1836" t="s">
        <v>5567</v>
      </c>
    </row>
    <row r="1837" spans="1:3" x14ac:dyDescent="0.35">
      <c r="A1837" t="s">
        <v>5568</v>
      </c>
      <c r="B1837" t="s">
        <v>5569</v>
      </c>
      <c r="C1837" t="s">
        <v>5570</v>
      </c>
    </row>
    <row r="1838" spans="1:3" x14ac:dyDescent="0.35">
      <c r="A1838" t="s">
        <v>5571</v>
      </c>
      <c r="B1838" t="s">
        <v>5572</v>
      </c>
      <c r="C1838" t="s">
        <v>5573</v>
      </c>
    </row>
    <row r="1839" spans="1:3" x14ac:dyDescent="0.35">
      <c r="A1839" t="s">
        <v>5574</v>
      </c>
      <c r="B1839" t="s">
        <v>5575</v>
      </c>
      <c r="C1839" t="s">
        <v>5576</v>
      </c>
    </row>
    <row r="1840" spans="1:3" x14ac:dyDescent="0.35">
      <c r="A1840" t="s">
        <v>5577</v>
      </c>
      <c r="B1840" t="s">
        <v>5578</v>
      </c>
      <c r="C1840" t="s">
        <v>5579</v>
      </c>
    </row>
    <row r="1841" spans="1:3" x14ac:dyDescent="0.35">
      <c r="A1841" t="s">
        <v>5580</v>
      </c>
      <c r="B1841" t="s">
        <v>5581</v>
      </c>
      <c r="C1841" t="s">
        <v>5582</v>
      </c>
    </row>
    <row r="1842" spans="1:3" x14ac:dyDescent="0.35">
      <c r="A1842" t="s">
        <v>5583</v>
      </c>
      <c r="B1842" t="s">
        <v>5584</v>
      </c>
      <c r="C1842" t="s">
        <v>5585</v>
      </c>
    </row>
    <row r="1843" spans="1:3" x14ac:dyDescent="0.35">
      <c r="A1843" t="s">
        <v>5586</v>
      </c>
      <c r="B1843" t="s">
        <v>5587</v>
      </c>
      <c r="C1843" t="s">
        <v>5588</v>
      </c>
    </row>
    <row r="1844" spans="1:3" x14ac:dyDescent="0.35">
      <c r="A1844" t="s">
        <v>5589</v>
      </c>
      <c r="B1844" t="s">
        <v>5590</v>
      </c>
      <c r="C1844" t="s">
        <v>5591</v>
      </c>
    </row>
    <row r="1845" spans="1:3" x14ac:dyDescent="0.35">
      <c r="A1845" t="s">
        <v>5592</v>
      </c>
      <c r="B1845" t="s">
        <v>5593</v>
      </c>
      <c r="C1845" t="s">
        <v>5594</v>
      </c>
    </row>
    <row r="1846" spans="1:3" x14ac:dyDescent="0.35">
      <c r="A1846" t="s">
        <v>5595</v>
      </c>
      <c r="B1846" t="s">
        <v>5596</v>
      </c>
      <c r="C1846" t="s">
        <v>5597</v>
      </c>
    </row>
    <row r="1847" spans="1:3" x14ac:dyDescent="0.35">
      <c r="A1847" t="s">
        <v>5598</v>
      </c>
      <c r="B1847" t="s">
        <v>5599</v>
      </c>
      <c r="C1847" t="s">
        <v>5600</v>
      </c>
    </row>
    <row r="1848" spans="1:3" x14ac:dyDescent="0.35">
      <c r="A1848" t="s">
        <v>5601</v>
      </c>
      <c r="B1848" t="s">
        <v>5602</v>
      </c>
      <c r="C1848" t="s">
        <v>5603</v>
      </c>
    </row>
    <row r="1849" spans="1:3" x14ac:dyDescent="0.35">
      <c r="A1849" t="s">
        <v>5604</v>
      </c>
      <c r="B1849" t="s">
        <v>5605</v>
      </c>
      <c r="C1849" t="s">
        <v>5606</v>
      </c>
    </row>
    <row r="1850" spans="1:3" x14ac:dyDescent="0.35">
      <c r="A1850" t="s">
        <v>5607</v>
      </c>
      <c r="B1850" t="s">
        <v>5608</v>
      </c>
      <c r="C1850" t="s">
        <v>5609</v>
      </c>
    </row>
    <row r="1851" spans="1:3" x14ac:dyDescent="0.35">
      <c r="A1851" t="s">
        <v>5610</v>
      </c>
      <c r="B1851" t="s">
        <v>5611</v>
      </c>
      <c r="C1851" t="s">
        <v>5612</v>
      </c>
    </row>
    <row r="1852" spans="1:3" x14ac:dyDescent="0.35">
      <c r="A1852" t="s">
        <v>5613</v>
      </c>
      <c r="B1852" t="s">
        <v>5614</v>
      </c>
      <c r="C1852" t="s">
        <v>5615</v>
      </c>
    </row>
    <row r="1853" spans="1:3" x14ac:dyDescent="0.35">
      <c r="A1853" t="s">
        <v>5616</v>
      </c>
      <c r="B1853" t="s">
        <v>5617</v>
      </c>
      <c r="C1853" t="s">
        <v>5618</v>
      </c>
    </row>
    <row r="1854" spans="1:3" x14ac:dyDescent="0.35">
      <c r="A1854" t="s">
        <v>5619</v>
      </c>
      <c r="B1854" t="s">
        <v>5620</v>
      </c>
      <c r="C1854" t="s">
        <v>5621</v>
      </c>
    </row>
    <row r="1855" spans="1:3" x14ac:dyDescent="0.35">
      <c r="A1855" t="s">
        <v>5622</v>
      </c>
      <c r="B1855" t="s">
        <v>5623</v>
      </c>
      <c r="C1855" t="s">
        <v>5624</v>
      </c>
    </row>
    <row r="1856" spans="1:3" x14ac:dyDescent="0.35">
      <c r="A1856" t="s">
        <v>5625</v>
      </c>
      <c r="B1856" t="s">
        <v>5626</v>
      </c>
      <c r="C1856" t="s">
        <v>5627</v>
      </c>
    </row>
    <row r="1857" spans="1:3" x14ac:dyDescent="0.35">
      <c r="A1857" t="s">
        <v>5628</v>
      </c>
      <c r="B1857" t="s">
        <v>5629</v>
      </c>
      <c r="C1857" t="s">
        <v>5630</v>
      </c>
    </row>
    <row r="1858" spans="1:3" x14ac:dyDescent="0.35">
      <c r="A1858" t="s">
        <v>5631</v>
      </c>
      <c r="B1858" t="s">
        <v>5632</v>
      </c>
      <c r="C1858" t="s">
        <v>5633</v>
      </c>
    </row>
    <row r="1859" spans="1:3" x14ac:dyDescent="0.35">
      <c r="A1859" t="s">
        <v>5634</v>
      </c>
      <c r="B1859" t="s">
        <v>5635</v>
      </c>
      <c r="C1859" t="s">
        <v>5636</v>
      </c>
    </row>
    <row r="1860" spans="1:3" x14ac:dyDescent="0.35">
      <c r="A1860" t="s">
        <v>5637</v>
      </c>
      <c r="B1860" t="s">
        <v>5638</v>
      </c>
      <c r="C1860" t="s">
        <v>5639</v>
      </c>
    </row>
    <row r="1861" spans="1:3" x14ac:dyDescent="0.35">
      <c r="A1861" t="s">
        <v>5640</v>
      </c>
      <c r="B1861" t="s">
        <v>5641</v>
      </c>
      <c r="C1861" t="s">
        <v>5642</v>
      </c>
    </row>
    <row r="1862" spans="1:3" x14ac:dyDescent="0.35">
      <c r="A1862" t="s">
        <v>5643</v>
      </c>
      <c r="B1862" t="s">
        <v>5644</v>
      </c>
      <c r="C1862" t="s">
        <v>5645</v>
      </c>
    </row>
    <row r="1863" spans="1:3" x14ac:dyDescent="0.35">
      <c r="A1863" t="s">
        <v>5646</v>
      </c>
      <c r="B1863" t="s">
        <v>5647</v>
      </c>
      <c r="C1863" t="s">
        <v>5648</v>
      </c>
    </row>
    <row r="1864" spans="1:3" x14ac:dyDescent="0.35">
      <c r="A1864" t="s">
        <v>5649</v>
      </c>
      <c r="B1864" t="s">
        <v>5650</v>
      </c>
      <c r="C1864" t="s">
        <v>5651</v>
      </c>
    </row>
    <row r="1865" spans="1:3" x14ac:dyDescent="0.35">
      <c r="A1865" t="s">
        <v>5652</v>
      </c>
      <c r="B1865" t="s">
        <v>5653</v>
      </c>
      <c r="C1865" t="s">
        <v>5654</v>
      </c>
    </row>
    <row r="1866" spans="1:3" x14ac:dyDescent="0.35">
      <c r="A1866" t="s">
        <v>5655</v>
      </c>
      <c r="B1866" t="s">
        <v>5656</v>
      </c>
      <c r="C1866" t="s">
        <v>5657</v>
      </c>
    </row>
    <row r="1867" spans="1:3" x14ac:dyDescent="0.35">
      <c r="A1867" t="s">
        <v>5658</v>
      </c>
      <c r="B1867" t="s">
        <v>5659</v>
      </c>
      <c r="C1867" t="s">
        <v>5660</v>
      </c>
    </row>
    <row r="1868" spans="1:3" x14ac:dyDescent="0.35">
      <c r="A1868" t="s">
        <v>5661</v>
      </c>
      <c r="B1868" t="s">
        <v>5662</v>
      </c>
      <c r="C1868" t="s">
        <v>5663</v>
      </c>
    </row>
    <row r="1869" spans="1:3" x14ac:dyDescent="0.35">
      <c r="A1869" t="s">
        <v>5664</v>
      </c>
      <c r="B1869" t="s">
        <v>5665</v>
      </c>
      <c r="C1869" t="s">
        <v>5666</v>
      </c>
    </row>
    <row r="1870" spans="1:3" x14ac:dyDescent="0.35">
      <c r="A1870" t="s">
        <v>5667</v>
      </c>
      <c r="B1870" t="s">
        <v>5668</v>
      </c>
      <c r="C1870" t="s">
        <v>5669</v>
      </c>
    </row>
    <row r="1871" spans="1:3" x14ac:dyDescent="0.35">
      <c r="A1871" t="s">
        <v>5670</v>
      </c>
      <c r="B1871" t="s">
        <v>5671</v>
      </c>
      <c r="C1871" t="s">
        <v>5672</v>
      </c>
    </row>
    <row r="1872" spans="1:3" x14ac:dyDescent="0.35">
      <c r="A1872" t="s">
        <v>5670</v>
      </c>
      <c r="B1872" t="s">
        <v>5673</v>
      </c>
      <c r="C1872" t="s">
        <v>5674</v>
      </c>
    </row>
    <row r="1873" spans="1:3" x14ac:dyDescent="0.35">
      <c r="A1873" t="s">
        <v>5675</v>
      </c>
      <c r="B1873" t="s">
        <v>5676</v>
      </c>
      <c r="C1873" t="s">
        <v>5677</v>
      </c>
    </row>
    <row r="1874" spans="1:3" x14ac:dyDescent="0.35">
      <c r="A1874" t="s">
        <v>5678</v>
      </c>
      <c r="B1874" t="s">
        <v>5679</v>
      </c>
      <c r="C1874" t="s">
        <v>5680</v>
      </c>
    </row>
    <row r="1875" spans="1:3" x14ac:dyDescent="0.35">
      <c r="A1875" t="s">
        <v>5681</v>
      </c>
      <c r="B1875" t="s">
        <v>5682</v>
      </c>
      <c r="C1875" t="s">
        <v>5683</v>
      </c>
    </row>
    <row r="1876" spans="1:3" x14ac:dyDescent="0.35">
      <c r="A1876" t="s">
        <v>5684</v>
      </c>
      <c r="B1876" t="s">
        <v>5685</v>
      </c>
      <c r="C1876" t="s">
        <v>5686</v>
      </c>
    </row>
    <row r="1877" spans="1:3" x14ac:dyDescent="0.35">
      <c r="A1877" t="s">
        <v>5687</v>
      </c>
      <c r="B1877" t="s">
        <v>5688</v>
      </c>
      <c r="C1877" t="s">
        <v>5689</v>
      </c>
    </row>
    <row r="1878" spans="1:3" x14ac:dyDescent="0.35">
      <c r="A1878" t="s">
        <v>5690</v>
      </c>
      <c r="B1878" t="s">
        <v>5691</v>
      </c>
      <c r="C1878" t="s">
        <v>5692</v>
      </c>
    </row>
    <row r="1879" spans="1:3" x14ac:dyDescent="0.35">
      <c r="A1879" t="s">
        <v>5693</v>
      </c>
      <c r="B1879" t="s">
        <v>5694</v>
      </c>
      <c r="C1879" t="s">
        <v>5695</v>
      </c>
    </row>
    <row r="1880" spans="1:3" x14ac:dyDescent="0.35">
      <c r="A1880" t="s">
        <v>5696</v>
      </c>
      <c r="B1880" t="s">
        <v>5697</v>
      </c>
      <c r="C1880" t="s">
        <v>5698</v>
      </c>
    </row>
    <row r="1881" spans="1:3" x14ac:dyDescent="0.35">
      <c r="A1881" t="s">
        <v>5699</v>
      </c>
      <c r="B1881" t="s">
        <v>5700</v>
      </c>
      <c r="C1881" t="s">
        <v>5701</v>
      </c>
    </row>
    <row r="1882" spans="1:3" x14ac:dyDescent="0.35">
      <c r="A1882" t="s">
        <v>5702</v>
      </c>
      <c r="B1882" t="s">
        <v>5703</v>
      </c>
      <c r="C1882" t="s">
        <v>5704</v>
      </c>
    </row>
    <row r="1883" spans="1:3" x14ac:dyDescent="0.35">
      <c r="A1883" t="s">
        <v>5705</v>
      </c>
      <c r="B1883" t="s">
        <v>5706</v>
      </c>
      <c r="C1883" t="s">
        <v>5707</v>
      </c>
    </row>
    <row r="1884" spans="1:3" x14ac:dyDescent="0.35">
      <c r="A1884" t="s">
        <v>5708</v>
      </c>
      <c r="B1884" t="s">
        <v>5709</v>
      </c>
      <c r="C1884" t="s">
        <v>5710</v>
      </c>
    </row>
    <row r="1885" spans="1:3" x14ac:dyDescent="0.35">
      <c r="A1885" t="s">
        <v>5711</v>
      </c>
      <c r="B1885" t="s">
        <v>5712</v>
      </c>
      <c r="C1885" t="s">
        <v>5713</v>
      </c>
    </row>
    <row r="1886" spans="1:3" x14ac:dyDescent="0.35">
      <c r="A1886" t="s">
        <v>5714</v>
      </c>
      <c r="B1886" t="s">
        <v>5715</v>
      </c>
      <c r="C1886" t="s">
        <v>5716</v>
      </c>
    </row>
    <row r="1887" spans="1:3" x14ac:dyDescent="0.35">
      <c r="A1887" t="s">
        <v>5717</v>
      </c>
      <c r="B1887" t="s">
        <v>5718</v>
      </c>
      <c r="C1887" t="s">
        <v>5719</v>
      </c>
    </row>
    <row r="1888" spans="1:3" x14ac:dyDescent="0.35">
      <c r="A1888" t="s">
        <v>5720</v>
      </c>
      <c r="B1888" t="s">
        <v>5721</v>
      </c>
      <c r="C1888" t="s">
        <v>5722</v>
      </c>
    </row>
    <row r="1889" spans="1:3" x14ac:dyDescent="0.35">
      <c r="A1889" t="s">
        <v>5723</v>
      </c>
      <c r="B1889" t="s">
        <v>5724</v>
      </c>
      <c r="C1889" t="s">
        <v>5725</v>
      </c>
    </row>
    <row r="1890" spans="1:3" x14ac:dyDescent="0.35">
      <c r="A1890" t="s">
        <v>5726</v>
      </c>
      <c r="B1890" t="s">
        <v>5727</v>
      </c>
      <c r="C1890" t="s">
        <v>5728</v>
      </c>
    </row>
    <row r="1891" spans="1:3" x14ac:dyDescent="0.35">
      <c r="A1891" t="s">
        <v>5729</v>
      </c>
      <c r="B1891" t="s">
        <v>5730</v>
      </c>
      <c r="C1891" t="s">
        <v>5731</v>
      </c>
    </row>
    <row r="1892" spans="1:3" x14ac:dyDescent="0.35">
      <c r="A1892" t="s">
        <v>5732</v>
      </c>
      <c r="B1892" t="s">
        <v>5733</v>
      </c>
      <c r="C1892" t="s">
        <v>5734</v>
      </c>
    </row>
    <row r="1893" spans="1:3" x14ac:dyDescent="0.35">
      <c r="A1893" t="s">
        <v>5735</v>
      </c>
      <c r="B1893" t="s">
        <v>5736</v>
      </c>
      <c r="C1893" t="s">
        <v>5737</v>
      </c>
    </row>
    <row r="1894" spans="1:3" x14ac:dyDescent="0.35">
      <c r="A1894" t="s">
        <v>5738</v>
      </c>
      <c r="B1894" t="s">
        <v>5739</v>
      </c>
      <c r="C1894" t="s">
        <v>5740</v>
      </c>
    </row>
    <row r="1895" spans="1:3" x14ac:dyDescent="0.35">
      <c r="A1895" t="s">
        <v>5741</v>
      </c>
      <c r="B1895" t="s">
        <v>5742</v>
      </c>
      <c r="C1895" t="s">
        <v>5743</v>
      </c>
    </row>
    <row r="1896" spans="1:3" x14ac:dyDescent="0.35">
      <c r="A1896" t="s">
        <v>5744</v>
      </c>
      <c r="B1896" t="s">
        <v>5745</v>
      </c>
      <c r="C1896" t="s">
        <v>5746</v>
      </c>
    </row>
    <row r="1897" spans="1:3" x14ac:dyDescent="0.35">
      <c r="A1897" t="s">
        <v>5747</v>
      </c>
      <c r="B1897" t="s">
        <v>5748</v>
      </c>
      <c r="C1897" t="s">
        <v>5749</v>
      </c>
    </row>
    <row r="1898" spans="1:3" x14ac:dyDescent="0.35">
      <c r="A1898" t="s">
        <v>5750</v>
      </c>
      <c r="B1898" t="s">
        <v>5751</v>
      </c>
      <c r="C1898" t="s">
        <v>5752</v>
      </c>
    </row>
    <row r="1899" spans="1:3" x14ac:dyDescent="0.35">
      <c r="A1899" t="s">
        <v>5753</v>
      </c>
      <c r="B1899" t="s">
        <v>5754</v>
      </c>
      <c r="C1899" t="s">
        <v>5755</v>
      </c>
    </row>
    <row r="1900" spans="1:3" x14ac:dyDescent="0.35">
      <c r="A1900" t="s">
        <v>5756</v>
      </c>
      <c r="B1900" t="s">
        <v>5757</v>
      </c>
      <c r="C1900" t="s">
        <v>5758</v>
      </c>
    </row>
    <row r="1901" spans="1:3" x14ac:dyDescent="0.35">
      <c r="A1901" t="s">
        <v>5759</v>
      </c>
      <c r="B1901" t="s">
        <v>5760</v>
      </c>
      <c r="C1901" t="s">
        <v>5761</v>
      </c>
    </row>
    <row r="1902" spans="1:3" x14ac:dyDescent="0.35">
      <c r="A1902" t="s">
        <v>5762</v>
      </c>
      <c r="B1902" t="s">
        <v>5763</v>
      </c>
      <c r="C1902" t="s">
        <v>5764</v>
      </c>
    </row>
    <row r="1903" spans="1:3" x14ac:dyDescent="0.35">
      <c r="A1903" t="s">
        <v>5765</v>
      </c>
      <c r="B1903" t="s">
        <v>5766</v>
      </c>
      <c r="C1903" t="s">
        <v>5767</v>
      </c>
    </row>
    <row r="1904" spans="1:3" x14ac:dyDescent="0.35">
      <c r="A1904" t="s">
        <v>5768</v>
      </c>
      <c r="B1904" t="s">
        <v>5769</v>
      </c>
      <c r="C1904" t="s">
        <v>5770</v>
      </c>
    </row>
    <row r="1905" spans="1:3" x14ac:dyDescent="0.35">
      <c r="A1905" t="s">
        <v>5771</v>
      </c>
      <c r="B1905" t="s">
        <v>5772</v>
      </c>
      <c r="C1905" t="s">
        <v>5773</v>
      </c>
    </row>
    <row r="1906" spans="1:3" x14ac:dyDescent="0.35">
      <c r="A1906" t="s">
        <v>5774</v>
      </c>
      <c r="B1906" t="s">
        <v>5775</v>
      </c>
      <c r="C1906" t="s">
        <v>5776</v>
      </c>
    </row>
    <row r="1907" spans="1:3" x14ac:dyDescent="0.35">
      <c r="A1907" t="s">
        <v>5777</v>
      </c>
      <c r="B1907" t="s">
        <v>5778</v>
      </c>
      <c r="C1907" t="s">
        <v>5779</v>
      </c>
    </row>
    <row r="1908" spans="1:3" x14ac:dyDescent="0.35">
      <c r="A1908" t="s">
        <v>5780</v>
      </c>
      <c r="B1908" t="s">
        <v>5781</v>
      </c>
      <c r="C1908" t="s">
        <v>5782</v>
      </c>
    </row>
    <row r="1909" spans="1:3" x14ac:dyDescent="0.35">
      <c r="A1909" t="s">
        <v>5783</v>
      </c>
      <c r="B1909" t="s">
        <v>5784</v>
      </c>
      <c r="C1909" t="s">
        <v>5785</v>
      </c>
    </row>
    <row r="1910" spans="1:3" x14ac:dyDescent="0.35">
      <c r="A1910" t="s">
        <v>5786</v>
      </c>
      <c r="B1910" t="s">
        <v>5787</v>
      </c>
      <c r="C1910" t="s">
        <v>5788</v>
      </c>
    </row>
    <row r="1911" spans="1:3" x14ac:dyDescent="0.35">
      <c r="A1911" t="s">
        <v>5789</v>
      </c>
      <c r="B1911" t="s">
        <v>5790</v>
      </c>
      <c r="C1911" t="s">
        <v>5791</v>
      </c>
    </row>
    <row r="1912" spans="1:3" x14ac:dyDescent="0.35">
      <c r="A1912" t="s">
        <v>5792</v>
      </c>
      <c r="B1912" t="s">
        <v>5793</v>
      </c>
      <c r="C1912" t="s">
        <v>5794</v>
      </c>
    </row>
    <row r="1913" spans="1:3" x14ac:dyDescent="0.35">
      <c r="A1913" t="s">
        <v>5795</v>
      </c>
      <c r="B1913" t="s">
        <v>5796</v>
      </c>
      <c r="C1913" t="s">
        <v>5797</v>
      </c>
    </row>
    <row r="1914" spans="1:3" x14ac:dyDescent="0.35">
      <c r="A1914" t="s">
        <v>5798</v>
      </c>
      <c r="B1914" t="s">
        <v>5799</v>
      </c>
      <c r="C1914" t="s">
        <v>5800</v>
      </c>
    </row>
    <row r="1915" spans="1:3" x14ac:dyDescent="0.35">
      <c r="A1915" t="s">
        <v>5801</v>
      </c>
      <c r="B1915" t="s">
        <v>5802</v>
      </c>
      <c r="C1915" t="s">
        <v>5803</v>
      </c>
    </row>
    <row r="1916" spans="1:3" x14ac:dyDescent="0.35">
      <c r="A1916" t="s">
        <v>5804</v>
      </c>
      <c r="B1916" t="s">
        <v>5805</v>
      </c>
      <c r="C1916" t="s">
        <v>5806</v>
      </c>
    </row>
    <row r="1917" spans="1:3" x14ac:dyDescent="0.35">
      <c r="A1917" t="s">
        <v>5807</v>
      </c>
      <c r="B1917" t="s">
        <v>5808</v>
      </c>
      <c r="C1917" t="s">
        <v>5809</v>
      </c>
    </row>
    <row r="1918" spans="1:3" x14ac:dyDescent="0.35">
      <c r="A1918" t="s">
        <v>5810</v>
      </c>
      <c r="B1918" t="s">
        <v>5811</v>
      </c>
      <c r="C1918" t="s">
        <v>5812</v>
      </c>
    </row>
    <row r="1919" spans="1:3" x14ac:dyDescent="0.35">
      <c r="A1919" t="s">
        <v>5813</v>
      </c>
      <c r="B1919" t="s">
        <v>5814</v>
      </c>
      <c r="C1919" t="s">
        <v>5815</v>
      </c>
    </row>
    <row r="1920" spans="1:3" x14ac:dyDescent="0.35">
      <c r="A1920" t="s">
        <v>5816</v>
      </c>
      <c r="B1920" t="s">
        <v>5817</v>
      </c>
      <c r="C1920" t="s">
        <v>5818</v>
      </c>
    </row>
    <row r="1921" spans="1:3" x14ac:dyDescent="0.35">
      <c r="A1921" t="s">
        <v>5819</v>
      </c>
      <c r="B1921" t="s">
        <v>5820</v>
      </c>
      <c r="C1921" t="s">
        <v>5821</v>
      </c>
    </row>
    <row r="1922" spans="1:3" x14ac:dyDescent="0.35">
      <c r="A1922" t="s">
        <v>5822</v>
      </c>
      <c r="B1922" t="s">
        <v>5823</v>
      </c>
      <c r="C1922" t="s">
        <v>5824</v>
      </c>
    </row>
    <row r="1923" spans="1:3" x14ac:dyDescent="0.35">
      <c r="A1923" t="s">
        <v>5825</v>
      </c>
      <c r="B1923" t="s">
        <v>5826</v>
      </c>
      <c r="C1923" t="s">
        <v>5827</v>
      </c>
    </row>
    <row r="1924" spans="1:3" x14ac:dyDescent="0.35">
      <c r="A1924" t="s">
        <v>5828</v>
      </c>
      <c r="B1924" t="s">
        <v>5829</v>
      </c>
      <c r="C1924" t="s">
        <v>5830</v>
      </c>
    </row>
    <row r="1925" spans="1:3" x14ac:dyDescent="0.35">
      <c r="A1925" t="s">
        <v>5831</v>
      </c>
      <c r="B1925" t="s">
        <v>5832</v>
      </c>
      <c r="C1925" t="s">
        <v>5833</v>
      </c>
    </row>
    <row r="1926" spans="1:3" x14ac:dyDescent="0.35">
      <c r="A1926" t="s">
        <v>5834</v>
      </c>
      <c r="B1926" t="s">
        <v>5835</v>
      </c>
      <c r="C1926" t="s">
        <v>5836</v>
      </c>
    </row>
    <row r="1927" spans="1:3" x14ac:dyDescent="0.35">
      <c r="A1927" t="s">
        <v>5837</v>
      </c>
      <c r="B1927" t="s">
        <v>5838</v>
      </c>
      <c r="C1927" t="s">
        <v>5839</v>
      </c>
    </row>
    <row r="1928" spans="1:3" x14ac:dyDescent="0.35">
      <c r="A1928" t="s">
        <v>5840</v>
      </c>
      <c r="B1928" t="s">
        <v>5841</v>
      </c>
      <c r="C1928" t="s">
        <v>5842</v>
      </c>
    </row>
    <row r="1929" spans="1:3" x14ac:dyDescent="0.35">
      <c r="A1929" t="s">
        <v>5843</v>
      </c>
      <c r="B1929" t="s">
        <v>5844</v>
      </c>
      <c r="C1929" t="s">
        <v>5845</v>
      </c>
    </row>
    <row r="1930" spans="1:3" x14ac:dyDescent="0.35">
      <c r="A1930" t="s">
        <v>5846</v>
      </c>
      <c r="B1930" t="s">
        <v>5847</v>
      </c>
      <c r="C1930" t="s">
        <v>5848</v>
      </c>
    </row>
    <row r="1931" spans="1:3" x14ac:dyDescent="0.35">
      <c r="A1931" t="s">
        <v>5849</v>
      </c>
      <c r="B1931" t="s">
        <v>5850</v>
      </c>
      <c r="C1931" t="s">
        <v>5851</v>
      </c>
    </row>
    <row r="1932" spans="1:3" x14ac:dyDescent="0.35">
      <c r="A1932" t="s">
        <v>5852</v>
      </c>
      <c r="B1932" t="s">
        <v>5853</v>
      </c>
      <c r="C1932" t="s">
        <v>5854</v>
      </c>
    </row>
    <row r="1933" spans="1:3" x14ac:dyDescent="0.35">
      <c r="A1933" t="s">
        <v>5855</v>
      </c>
      <c r="B1933" t="s">
        <v>5856</v>
      </c>
      <c r="C1933" t="s">
        <v>5857</v>
      </c>
    </row>
    <row r="1934" spans="1:3" x14ac:dyDescent="0.35">
      <c r="A1934" t="s">
        <v>5858</v>
      </c>
      <c r="B1934" t="s">
        <v>5859</v>
      </c>
      <c r="C1934" t="s">
        <v>5860</v>
      </c>
    </row>
    <row r="1935" spans="1:3" x14ac:dyDescent="0.35">
      <c r="A1935" t="s">
        <v>5861</v>
      </c>
      <c r="B1935" t="s">
        <v>5862</v>
      </c>
      <c r="C1935" t="s">
        <v>5863</v>
      </c>
    </row>
    <row r="1936" spans="1:3" x14ac:dyDescent="0.35">
      <c r="A1936" t="s">
        <v>5864</v>
      </c>
      <c r="B1936" t="s">
        <v>5865</v>
      </c>
      <c r="C1936" t="s">
        <v>5866</v>
      </c>
    </row>
    <row r="1937" spans="1:3" x14ac:dyDescent="0.35">
      <c r="A1937" t="s">
        <v>5867</v>
      </c>
      <c r="B1937" t="s">
        <v>5868</v>
      </c>
      <c r="C1937" t="s">
        <v>5869</v>
      </c>
    </row>
    <row r="1938" spans="1:3" x14ac:dyDescent="0.35">
      <c r="A1938" t="s">
        <v>5870</v>
      </c>
      <c r="B1938" t="s">
        <v>5871</v>
      </c>
      <c r="C1938" t="s">
        <v>5872</v>
      </c>
    </row>
    <row r="1939" spans="1:3" x14ac:dyDescent="0.35">
      <c r="A1939" t="s">
        <v>5873</v>
      </c>
      <c r="B1939" t="s">
        <v>5874</v>
      </c>
      <c r="C1939" t="s">
        <v>5875</v>
      </c>
    </row>
    <row r="1940" spans="1:3" x14ac:dyDescent="0.35">
      <c r="A1940" t="s">
        <v>5876</v>
      </c>
      <c r="B1940" t="s">
        <v>5877</v>
      </c>
      <c r="C1940" t="s">
        <v>5878</v>
      </c>
    </row>
    <row r="1941" spans="1:3" x14ac:dyDescent="0.35">
      <c r="A1941" t="s">
        <v>5879</v>
      </c>
      <c r="B1941" t="s">
        <v>5880</v>
      </c>
      <c r="C1941" t="s">
        <v>5881</v>
      </c>
    </row>
    <row r="1942" spans="1:3" x14ac:dyDescent="0.35">
      <c r="A1942" t="s">
        <v>5882</v>
      </c>
      <c r="B1942" t="s">
        <v>5883</v>
      </c>
      <c r="C1942" t="s">
        <v>5884</v>
      </c>
    </row>
    <row r="1943" spans="1:3" x14ac:dyDescent="0.35">
      <c r="A1943" t="s">
        <v>5885</v>
      </c>
      <c r="B1943" t="s">
        <v>5886</v>
      </c>
      <c r="C1943" t="s">
        <v>5887</v>
      </c>
    </row>
    <row r="1944" spans="1:3" x14ac:dyDescent="0.35">
      <c r="A1944" t="s">
        <v>5888</v>
      </c>
      <c r="B1944" t="s">
        <v>5889</v>
      </c>
      <c r="C1944" t="s">
        <v>5890</v>
      </c>
    </row>
    <row r="1945" spans="1:3" x14ac:dyDescent="0.35">
      <c r="A1945" t="s">
        <v>5891</v>
      </c>
      <c r="B1945" t="s">
        <v>5892</v>
      </c>
      <c r="C1945" t="s">
        <v>5893</v>
      </c>
    </row>
    <row r="1946" spans="1:3" x14ac:dyDescent="0.35">
      <c r="A1946" t="s">
        <v>5894</v>
      </c>
      <c r="B1946" t="s">
        <v>5895</v>
      </c>
      <c r="C1946" t="s">
        <v>5896</v>
      </c>
    </row>
    <row r="1947" spans="1:3" x14ac:dyDescent="0.35">
      <c r="A1947" t="s">
        <v>5897</v>
      </c>
      <c r="B1947" t="s">
        <v>5898</v>
      </c>
      <c r="C1947" t="s">
        <v>5899</v>
      </c>
    </row>
    <row r="1948" spans="1:3" x14ac:dyDescent="0.35">
      <c r="A1948" t="s">
        <v>5900</v>
      </c>
      <c r="B1948" t="s">
        <v>5901</v>
      </c>
      <c r="C1948" t="s">
        <v>5902</v>
      </c>
    </row>
    <row r="1949" spans="1:3" x14ac:dyDescent="0.35">
      <c r="A1949" t="s">
        <v>5903</v>
      </c>
      <c r="B1949" t="s">
        <v>5904</v>
      </c>
      <c r="C1949" t="s">
        <v>5905</v>
      </c>
    </row>
    <row r="1950" spans="1:3" x14ac:dyDescent="0.35">
      <c r="A1950" t="s">
        <v>5906</v>
      </c>
      <c r="B1950" t="s">
        <v>5907</v>
      </c>
      <c r="C1950" t="s">
        <v>5908</v>
      </c>
    </row>
    <row r="1951" spans="1:3" x14ac:dyDescent="0.35">
      <c r="A1951" t="s">
        <v>5909</v>
      </c>
      <c r="B1951" t="s">
        <v>5910</v>
      </c>
      <c r="C1951" t="s">
        <v>5911</v>
      </c>
    </row>
    <row r="1952" spans="1:3" x14ac:dyDescent="0.35">
      <c r="A1952" t="s">
        <v>5912</v>
      </c>
      <c r="B1952" t="s">
        <v>5913</v>
      </c>
      <c r="C1952" t="s">
        <v>5914</v>
      </c>
    </row>
    <row r="1953" spans="1:3" x14ac:dyDescent="0.35">
      <c r="A1953" t="s">
        <v>5915</v>
      </c>
      <c r="B1953" t="s">
        <v>5916</v>
      </c>
      <c r="C1953" t="s">
        <v>5917</v>
      </c>
    </row>
    <row r="1954" spans="1:3" x14ac:dyDescent="0.35">
      <c r="A1954" t="s">
        <v>5918</v>
      </c>
      <c r="B1954" t="s">
        <v>5919</v>
      </c>
      <c r="C1954" t="s">
        <v>5920</v>
      </c>
    </row>
    <row r="1955" spans="1:3" x14ac:dyDescent="0.35">
      <c r="A1955" t="s">
        <v>5921</v>
      </c>
      <c r="B1955" t="s">
        <v>5922</v>
      </c>
      <c r="C1955" t="s">
        <v>5923</v>
      </c>
    </row>
    <row r="1956" spans="1:3" x14ac:dyDescent="0.35">
      <c r="A1956" t="s">
        <v>5924</v>
      </c>
      <c r="B1956" t="s">
        <v>5925</v>
      </c>
      <c r="C1956" t="s">
        <v>5926</v>
      </c>
    </row>
    <row r="1957" spans="1:3" x14ac:dyDescent="0.35">
      <c r="A1957" t="s">
        <v>5927</v>
      </c>
      <c r="B1957" t="s">
        <v>5928</v>
      </c>
      <c r="C1957" t="s">
        <v>5929</v>
      </c>
    </row>
    <row r="1958" spans="1:3" x14ac:dyDescent="0.35">
      <c r="A1958" t="s">
        <v>5930</v>
      </c>
      <c r="B1958" t="s">
        <v>5931</v>
      </c>
      <c r="C1958" t="s">
        <v>5932</v>
      </c>
    </row>
    <row r="1959" spans="1:3" x14ac:dyDescent="0.35">
      <c r="A1959" t="s">
        <v>5933</v>
      </c>
      <c r="B1959" t="s">
        <v>5934</v>
      </c>
      <c r="C1959" t="s">
        <v>5935</v>
      </c>
    </row>
    <row r="1960" spans="1:3" x14ac:dyDescent="0.35">
      <c r="A1960" t="s">
        <v>5936</v>
      </c>
      <c r="B1960" t="s">
        <v>5937</v>
      </c>
      <c r="C1960" t="s">
        <v>5938</v>
      </c>
    </row>
    <row r="1961" spans="1:3" x14ac:dyDescent="0.35">
      <c r="A1961" t="s">
        <v>5939</v>
      </c>
      <c r="B1961" t="s">
        <v>5940</v>
      </c>
      <c r="C1961" t="s">
        <v>5941</v>
      </c>
    </row>
    <row r="1962" spans="1:3" x14ac:dyDescent="0.35">
      <c r="A1962" t="s">
        <v>5942</v>
      </c>
      <c r="B1962" t="s">
        <v>5943</v>
      </c>
      <c r="C1962" t="s">
        <v>5944</v>
      </c>
    </row>
    <row r="1963" spans="1:3" x14ac:dyDescent="0.35">
      <c r="A1963" t="s">
        <v>5945</v>
      </c>
      <c r="B1963" t="s">
        <v>5946</v>
      </c>
      <c r="C1963" t="s">
        <v>5947</v>
      </c>
    </row>
    <row r="1964" spans="1:3" x14ac:dyDescent="0.35">
      <c r="A1964" t="s">
        <v>5948</v>
      </c>
      <c r="B1964" t="s">
        <v>5949</v>
      </c>
      <c r="C1964" t="s">
        <v>5950</v>
      </c>
    </row>
    <row r="1965" spans="1:3" x14ac:dyDescent="0.35">
      <c r="A1965" t="s">
        <v>5951</v>
      </c>
      <c r="B1965" t="s">
        <v>5952</v>
      </c>
      <c r="C1965" t="s">
        <v>5953</v>
      </c>
    </row>
    <row r="1966" spans="1:3" x14ac:dyDescent="0.35">
      <c r="A1966" t="s">
        <v>5954</v>
      </c>
      <c r="B1966" t="s">
        <v>5955</v>
      </c>
      <c r="C1966" t="s">
        <v>5956</v>
      </c>
    </row>
    <row r="1967" spans="1:3" x14ac:dyDescent="0.35">
      <c r="A1967" t="s">
        <v>5957</v>
      </c>
      <c r="B1967" t="s">
        <v>5958</v>
      </c>
      <c r="C1967" t="s">
        <v>5959</v>
      </c>
    </row>
    <row r="1968" spans="1:3" x14ac:dyDescent="0.35">
      <c r="A1968" t="s">
        <v>5960</v>
      </c>
      <c r="B1968" t="s">
        <v>5961</v>
      </c>
      <c r="C1968" t="s">
        <v>5962</v>
      </c>
    </row>
    <row r="1969" spans="1:3" x14ac:dyDescent="0.35">
      <c r="A1969" t="s">
        <v>5963</v>
      </c>
      <c r="B1969" t="s">
        <v>5964</v>
      </c>
      <c r="C1969" t="s">
        <v>5965</v>
      </c>
    </row>
    <row r="1970" spans="1:3" x14ac:dyDescent="0.35">
      <c r="A1970" t="s">
        <v>5966</v>
      </c>
      <c r="B1970" t="s">
        <v>5967</v>
      </c>
      <c r="C1970" t="s">
        <v>5968</v>
      </c>
    </row>
    <row r="1971" spans="1:3" x14ac:dyDescent="0.35">
      <c r="A1971" t="s">
        <v>5969</v>
      </c>
      <c r="B1971" t="s">
        <v>5970</v>
      </c>
      <c r="C1971" t="s">
        <v>5971</v>
      </c>
    </row>
    <row r="1972" spans="1:3" x14ac:dyDescent="0.35">
      <c r="A1972" t="s">
        <v>5972</v>
      </c>
      <c r="B1972" t="s">
        <v>5973</v>
      </c>
      <c r="C1972" t="s">
        <v>5953</v>
      </c>
    </row>
    <row r="1973" spans="1:3" x14ac:dyDescent="0.35">
      <c r="A1973" t="s">
        <v>5974</v>
      </c>
      <c r="B1973" t="s">
        <v>5975</v>
      </c>
      <c r="C1973" t="s">
        <v>5976</v>
      </c>
    </row>
    <row r="1974" spans="1:3" x14ac:dyDescent="0.35">
      <c r="A1974" t="s">
        <v>5977</v>
      </c>
      <c r="B1974" t="s">
        <v>5978</v>
      </c>
      <c r="C1974" t="s">
        <v>5979</v>
      </c>
    </row>
    <row r="1975" spans="1:3" x14ac:dyDescent="0.35">
      <c r="A1975" t="s">
        <v>5980</v>
      </c>
      <c r="B1975" t="s">
        <v>5981</v>
      </c>
      <c r="C1975" t="s">
        <v>5982</v>
      </c>
    </row>
    <row r="1976" spans="1:3" x14ac:dyDescent="0.35">
      <c r="A1976" t="s">
        <v>5983</v>
      </c>
      <c r="B1976" t="s">
        <v>5984</v>
      </c>
      <c r="C1976" t="s">
        <v>5985</v>
      </c>
    </row>
    <row r="1977" spans="1:3" x14ac:dyDescent="0.35">
      <c r="A1977" t="s">
        <v>5986</v>
      </c>
      <c r="B1977" t="s">
        <v>5987</v>
      </c>
      <c r="C1977" t="s">
        <v>5988</v>
      </c>
    </row>
    <row r="1978" spans="1:3" x14ac:dyDescent="0.35">
      <c r="A1978" t="s">
        <v>5989</v>
      </c>
      <c r="B1978" t="s">
        <v>5990</v>
      </c>
      <c r="C1978" t="s">
        <v>5991</v>
      </c>
    </row>
    <row r="1979" spans="1:3" x14ac:dyDescent="0.35">
      <c r="A1979" t="s">
        <v>5992</v>
      </c>
      <c r="B1979" t="s">
        <v>5993</v>
      </c>
      <c r="C1979" t="s">
        <v>5994</v>
      </c>
    </row>
    <row r="1980" spans="1:3" x14ac:dyDescent="0.35">
      <c r="A1980" t="s">
        <v>5995</v>
      </c>
      <c r="B1980" t="s">
        <v>5996</v>
      </c>
      <c r="C1980" t="s">
        <v>5997</v>
      </c>
    </row>
    <row r="1981" spans="1:3" x14ac:dyDescent="0.35">
      <c r="A1981" t="s">
        <v>5998</v>
      </c>
      <c r="B1981" t="s">
        <v>5999</v>
      </c>
      <c r="C1981" t="s">
        <v>6000</v>
      </c>
    </row>
    <row r="1982" spans="1:3" x14ac:dyDescent="0.35">
      <c r="A1982" t="s">
        <v>6001</v>
      </c>
      <c r="B1982" t="s">
        <v>6002</v>
      </c>
      <c r="C1982" t="s">
        <v>6003</v>
      </c>
    </row>
    <row r="1983" spans="1:3" x14ac:dyDescent="0.35">
      <c r="A1983" t="s">
        <v>6004</v>
      </c>
      <c r="B1983" t="s">
        <v>6005</v>
      </c>
      <c r="C1983" t="s">
        <v>6006</v>
      </c>
    </row>
    <row r="1984" spans="1:3" x14ac:dyDescent="0.35">
      <c r="A1984" t="s">
        <v>6004</v>
      </c>
      <c r="B1984" t="s">
        <v>6007</v>
      </c>
      <c r="C1984" t="s">
        <v>6008</v>
      </c>
    </row>
    <row r="1985" spans="1:3" x14ac:dyDescent="0.35">
      <c r="A1985" t="s">
        <v>6009</v>
      </c>
      <c r="B1985" t="s">
        <v>6010</v>
      </c>
      <c r="C1985" t="s">
        <v>6011</v>
      </c>
    </row>
    <row r="1986" spans="1:3" x14ac:dyDescent="0.35">
      <c r="A1986" t="s">
        <v>6012</v>
      </c>
      <c r="B1986" t="s">
        <v>6013</v>
      </c>
      <c r="C1986" t="s">
        <v>6014</v>
      </c>
    </row>
    <row r="1987" spans="1:3" x14ac:dyDescent="0.35">
      <c r="A1987" t="s">
        <v>93</v>
      </c>
      <c r="B1987" t="s">
        <v>6015</v>
      </c>
      <c r="C1987" t="s">
        <v>6016</v>
      </c>
    </row>
    <row r="1988" spans="1:3" x14ac:dyDescent="0.35">
      <c r="A1988" t="s">
        <v>6017</v>
      </c>
      <c r="B1988" t="s">
        <v>6018</v>
      </c>
      <c r="C1988" t="s">
        <v>6019</v>
      </c>
    </row>
    <row r="1989" spans="1:3" x14ac:dyDescent="0.35">
      <c r="A1989" t="s">
        <v>6020</v>
      </c>
      <c r="B1989" t="s">
        <v>6021</v>
      </c>
      <c r="C1989" t="s">
        <v>6022</v>
      </c>
    </row>
    <row r="1990" spans="1:3" x14ac:dyDescent="0.35">
      <c r="A1990" t="s">
        <v>6023</v>
      </c>
      <c r="B1990" t="s">
        <v>6024</v>
      </c>
      <c r="C1990" t="s">
        <v>6025</v>
      </c>
    </row>
    <row r="1991" spans="1:3" x14ac:dyDescent="0.35">
      <c r="A1991" t="s">
        <v>6026</v>
      </c>
      <c r="B1991" t="s">
        <v>6027</v>
      </c>
      <c r="C1991" t="s">
        <v>6028</v>
      </c>
    </row>
    <row r="1992" spans="1:3" x14ac:dyDescent="0.35">
      <c r="A1992" t="s">
        <v>6029</v>
      </c>
      <c r="B1992" t="s">
        <v>6030</v>
      </c>
      <c r="C1992" t="s">
        <v>6031</v>
      </c>
    </row>
    <row r="1993" spans="1:3" x14ac:dyDescent="0.35">
      <c r="A1993" t="s">
        <v>6032</v>
      </c>
      <c r="B1993" t="s">
        <v>6033</v>
      </c>
      <c r="C1993" t="s">
        <v>6034</v>
      </c>
    </row>
    <row r="1994" spans="1:3" x14ac:dyDescent="0.35">
      <c r="A1994" t="s">
        <v>6035</v>
      </c>
      <c r="B1994" t="s">
        <v>6036</v>
      </c>
      <c r="C1994" t="s">
        <v>6037</v>
      </c>
    </row>
    <row r="1995" spans="1:3" x14ac:dyDescent="0.35">
      <c r="A1995" t="s">
        <v>6038</v>
      </c>
      <c r="B1995" t="s">
        <v>6039</v>
      </c>
      <c r="C1995" t="s">
        <v>6040</v>
      </c>
    </row>
    <row r="1996" spans="1:3" x14ac:dyDescent="0.35">
      <c r="A1996" t="s">
        <v>6041</v>
      </c>
      <c r="B1996" t="s">
        <v>6042</v>
      </c>
      <c r="C1996" t="s">
        <v>6043</v>
      </c>
    </row>
    <row r="1997" spans="1:3" x14ac:dyDescent="0.35">
      <c r="A1997" t="s">
        <v>6044</v>
      </c>
      <c r="B1997" t="s">
        <v>6045</v>
      </c>
      <c r="C1997" t="s">
        <v>6046</v>
      </c>
    </row>
    <row r="1998" spans="1:3" x14ac:dyDescent="0.35">
      <c r="A1998" t="s">
        <v>6047</v>
      </c>
      <c r="B1998" t="s">
        <v>6048</v>
      </c>
      <c r="C1998" t="s">
        <v>6049</v>
      </c>
    </row>
    <row r="1999" spans="1:3" x14ac:dyDescent="0.35">
      <c r="A1999" t="s">
        <v>6047</v>
      </c>
      <c r="B1999" t="s">
        <v>6050</v>
      </c>
      <c r="C1999" t="s">
        <v>6051</v>
      </c>
    </row>
    <row r="2000" spans="1:3" x14ac:dyDescent="0.35">
      <c r="A2000" t="s">
        <v>6052</v>
      </c>
      <c r="B2000" t="s">
        <v>6053</v>
      </c>
      <c r="C2000" t="s">
        <v>6054</v>
      </c>
    </row>
    <row r="2001" spans="1:3" x14ac:dyDescent="0.35">
      <c r="A2001" t="s">
        <v>6055</v>
      </c>
      <c r="B2001" t="s">
        <v>6056</v>
      </c>
      <c r="C2001" t="s">
        <v>6057</v>
      </c>
    </row>
    <row r="2002" spans="1:3" x14ac:dyDescent="0.35">
      <c r="A2002" t="s">
        <v>6058</v>
      </c>
      <c r="B2002" t="s">
        <v>6059</v>
      </c>
      <c r="C2002" t="s">
        <v>6060</v>
      </c>
    </row>
    <row r="2003" spans="1:3" x14ac:dyDescent="0.35">
      <c r="A2003" t="s">
        <v>6061</v>
      </c>
      <c r="B2003" t="s">
        <v>6062</v>
      </c>
      <c r="C2003" t="s">
        <v>6063</v>
      </c>
    </row>
    <row r="2004" spans="1:3" x14ac:dyDescent="0.35">
      <c r="A2004" t="s">
        <v>6064</v>
      </c>
      <c r="B2004" t="s">
        <v>6065</v>
      </c>
      <c r="C2004" t="s">
        <v>6066</v>
      </c>
    </row>
    <row r="2005" spans="1:3" x14ac:dyDescent="0.35">
      <c r="A2005" t="s">
        <v>6067</v>
      </c>
      <c r="B2005" t="s">
        <v>6068</v>
      </c>
      <c r="C2005" t="s">
        <v>6069</v>
      </c>
    </row>
    <row r="2006" spans="1:3" x14ac:dyDescent="0.35">
      <c r="A2006" t="s">
        <v>6070</v>
      </c>
      <c r="B2006" t="s">
        <v>6071</v>
      </c>
      <c r="C2006" t="s">
        <v>6072</v>
      </c>
    </row>
    <row r="2007" spans="1:3" x14ac:dyDescent="0.35">
      <c r="A2007" t="s">
        <v>6073</v>
      </c>
      <c r="B2007" t="s">
        <v>6074</v>
      </c>
      <c r="C2007" t="s">
        <v>6075</v>
      </c>
    </row>
    <row r="2008" spans="1:3" x14ac:dyDescent="0.35">
      <c r="A2008" t="s">
        <v>6076</v>
      </c>
      <c r="B2008" t="s">
        <v>6077</v>
      </c>
      <c r="C2008" t="s">
        <v>6078</v>
      </c>
    </row>
    <row r="2009" spans="1:3" x14ac:dyDescent="0.35">
      <c r="A2009" t="s">
        <v>6079</v>
      </c>
      <c r="B2009" t="s">
        <v>6080</v>
      </c>
      <c r="C2009" t="s">
        <v>6081</v>
      </c>
    </row>
    <row r="2010" spans="1:3" x14ac:dyDescent="0.35">
      <c r="A2010" t="s">
        <v>6082</v>
      </c>
      <c r="B2010" t="s">
        <v>6083</v>
      </c>
      <c r="C2010" t="s">
        <v>6084</v>
      </c>
    </row>
    <row r="2011" spans="1:3" x14ac:dyDescent="0.35">
      <c r="A2011" t="s">
        <v>6085</v>
      </c>
      <c r="B2011" t="s">
        <v>6086</v>
      </c>
      <c r="C2011" t="s">
        <v>6087</v>
      </c>
    </row>
    <row r="2012" spans="1:3" x14ac:dyDescent="0.35">
      <c r="A2012" t="s">
        <v>6088</v>
      </c>
      <c r="B2012" t="s">
        <v>6089</v>
      </c>
      <c r="C2012" t="s">
        <v>6090</v>
      </c>
    </row>
    <row r="2013" spans="1:3" x14ac:dyDescent="0.35">
      <c r="A2013" t="s">
        <v>6091</v>
      </c>
      <c r="B2013" t="s">
        <v>6092</v>
      </c>
      <c r="C2013" t="s">
        <v>6093</v>
      </c>
    </row>
    <row r="2014" spans="1:3" x14ac:dyDescent="0.35">
      <c r="A2014" t="s">
        <v>6094</v>
      </c>
      <c r="B2014" t="s">
        <v>6095</v>
      </c>
      <c r="C2014" t="s">
        <v>6096</v>
      </c>
    </row>
    <row r="2015" spans="1:3" x14ac:dyDescent="0.35">
      <c r="A2015" t="s">
        <v>6097</v>
      </c>
      <c r="B2015" t="s">
        <v>6098</v>
      </c>
      <c r="C2015" t="s">
        <v>6099</v>
      </c>
    </row>
    <row r="2016" spans="1:3" x14ac:dyDescent="0.35">
      <c r="A2016" t="s">
        <v>6100</v>
      </c>
      <c r="B2016" t="s">
        <v>6101</v>
      </c>
      <c r="C2016" t="s">
        <v>6102</v>
      </c>
    </row>
    <row r="2017" spans="1:3" x14ac:dyDescent="0.35">
      <c r="A2017" t="s">
        <v>6103</v>
      </c>
      <c r="B2017" t="s">
        <v>6104</v>
      </c>
      <c r="C2017" t="s">
        <v>6105</v>
      </c>
    </row>
    <row r="2018" spans="1:3" x14ac:dyDescent="0.35">
      <c r="A2018" t="s">
        <v>6106</v>
      </c>
      <c r="B2018" t="s">
        <v>6107</v>
      </c>
      <c r="C2018" t="s">
        <v>6108</v>
      </c>
    </row>
    <row r="2019" spans="1:3" x14ac:dyDescent="0.35">
      <c r="A2019" t="s">
        <v>6109</v>
      </c>
      <c r="B2019" t="s">
        <v>6110</v>
      </c>
      <c r="C2019" t="s">
        <v>6111</v>
      </c>
    </row>
    <row r="2020" spans="1:3" x14ac:dyDescent="0.35">
      <c r="A2020" t="s">
        <v>6112</v>
      </c>
      <c r="B2020" t="s">
        <v>6113</v>
      </c>
      <c r="C2020" t="s">
        <v>6114</v>
      </c>
    </row>
    <row r="2021" spans="1:3" x14ac:dyDescent="0.35">
      <c r="A2021" t="s">
        <v>6115</v>
      </c>
      <c r="B2021" t="s">
        <v>6116</v>
      </c>
      <c r="C2021" t="s">
        <v>6117</v>
      </c>
    </row>
    <row r="2022" spans="1:3" x14ac:dyDescent="0.35">
      <c r="A2022" t="s">
        <v>6118</v>
      </c>
      <c r="B2022" t="s">
        <v>6119</v>
      </c>
      <c r="C2022" t="s">
        <v>6120</v>
      </c>
    </row>
    <row r="2023" spans="1:3" x14ac:dyDescent="0.35">
      <c r="A2023" t="s">
        <v>6121</v>
      </c>
      <c r="B2023" t="s">
        <v>6122</v>
      </c>
      <c r="C2023" t="s">
        <v>6123</v>
      </c>
    </row>
    <row r="2024" spans="1:3" x14ac:dyDescent="0.35">
      <c r="A2024" t="s">
        <v>6124</v>
      </c>
      <c r="B2024" t="s">
        <v>6125</v>
      </c>
      <c r="C2024" t="s">
        <v>6126</v>
      </c>
    </row>
    <row r="2025" spans="1:3" x14ac:dyDescent="0.35">
      <c r="A2025" t="s">
        <v>6127</v>
      </c>
      <c r="B2025" t="s">
        <v>6128</v>
      </c>
      <c r="C2025" t="s">
        <v>6129</v>
      </c>
    </row>
    <row r="2026" spans="1:3" x14ac:dyDescent="0.35">
      <c r="A2026" t="s">
        <v>6130</v>
      </c>
      <c r="B2026" t="s">
        <v>6131</v>
      </c>
      <c r="C2026" t="s">
        <v>6132</v>
      </c>
    </row>
    <row r="2027" spans="1:3" x14ac:dyDescent="0.35">
      <c r="A2027" t="s">
        <v>6133</v>
      </c>
      <c r="B2027" t="s">
        <v>6134</v>
      </c>
      <c r="C2027" t="s">
        <v>6135</v>
      </c>
    </row>
    <row r="2028" spans="1:3" x14ac:dyDescent="0.35">
      <c r="A2028" t="s">
        <v>6136</v>
      </c>
      <c r="B2028" t="s">
        <v>6137</v>
      </c>
      <c r="C2028" t="s">
        <v>6138</v>
      </c>
    </row>
    <row r="2029" spans="1:3" x14ac:dyDescent="0.35">
      <c r="A2029" t="s">
        <v>6139</v>
      </c>
      <c r="B2029" t="s">
        <v>6140</v>
      </c>
      <c r="C2029" t="s">
        <v>6141</v>
      </c>
    </row>
    <row r="2030" spans="1:3" x14ac:dyDescent="0.35">
      <c r="A2030" t="s">
        <v>6142</v>
      </c>
      <c r="B2030" t="s">
        <v>6143</v>
      </c>
      <c r="C2030" t="s">
        <v>6144</v>
      </c>
    </row>
    <row r="2031" spans="1:3" x14ac:dyDescent="0.35">
      <c r="A2031" t="s">
        <v>6142</v>
      </c>
      <c r="B2031" t="s">
        <v>6145</v>
      </c>
      <c r="C2031" t="s">
        <v>6146</v>
      </c>
    </row>
    <row r="2032" spans="1:3" x14ac:dyDescent="0.35">
      <c r="A2032" t="s">
        <v>6147</v>
      </c>
      <c r="B2032" t="s">
        <v>6148</v>
      </c>
      <c r="C2032" t="s">
        <v>6149</v>
      </c>
    </row>
    <row r="2033" spans="1:3" x14ac:dyDescent="0.35">
      <c r="A2033" t="s">
        <v>6150</v>
      </c>
      <c r="B2033" t="s">
        <v>6151</v>
      </c>
      <c r="C2033" t="s">
        <v>6152</v>
      </c>
    </row>
    <row r="2034" spans="1:3" x14ac:dyDescent="0.35">
      <c r="A2034" t="s">
        <v>6153</v>
      </c>
      <c r="B2034" t="s">
        <v>6154</v>
      </c>
      <c r="C2034" t="s">
        <v>6155</v>
      </c>
    </row>
    <row r="2035" spans="1:3" x14ac:dyDescent="0.35">
      <c r="A2035" t="s">
        <v>6156</v>
      </c>
      <c r="B2035" t="s">
        <v>6157</v>
      </c>
      <c r="C2035" t="s">
        <v>6158</v>
      </c>
    </row>
    <row r="2036" spans="1:3" x14ac:dyDescent="0.35">
      <c r="A2036" t="s">
        <v>6159</v>
      </c>
      <c r="B2036" t="s">
        <v>6160</v>
      </c>
      <c r="C2036" t="s">
        <v>6161</v>
      </c>
    </row>
    <row r="2037" spans="1:3" x14ac:dyDescent="0.35">
      <c r="A2037" t="s">
        <v>6162</v>
      </c>
      <c r="B2037" t="s">
        <v>6163</v>
      </c>
      <c r="C2037" t="s">
        <v>6164</v>
      </c>
    </row>
    <row r="2038" spans="1:3" x14ac:dyDescent="0.35">
      <c r="A2038" t="s">
        <v>6165</v>
      </c>
      <c r="B2038" t="s">
        <v>6166</v>
      </c>
      <c r="C2038" t="s">
        <v>6167</v>
      </c>
    </row>
    <row r="2039" spans="1:3" x14ac:dyDescent="0.35">
      <c r="A2039" t="s">
        <v>6168</v>
      </c>
      <c r="B2039" t="s">
        <v>6169</v>
      </c>
      <c r="C2039" t="s">
        <v>6170</v>
      </c>
    </row>
    <row r="2040" spans="1:3" x14ac:dyDescent="0.35">
      <c r="A2040" t="s">
        <v>6171</v>
      </c>
      <c r="B2040" t="s">
        <v>6172</v>
      </c>
      <c r="C2040" t="s">
        <v>6173</v>
      </c>
    </row>
    <row r="2041" spans="1:3" x14ac:dyDescent="0.35">
      <c r="A2041" t="s">
        <v>6174</v>
      </c>
      <c r="B2041" t="s">
        <v>6175</v>
      </c>
      <c r="C2041" t="s">
        <v>6176</v>
      </c>
    </row>
    <row r="2042" spans="1:3" x14ac:dyDescent="0.35">
      <c r="A2042" t="s">
        <v>6177</v>
      </c>
      <c r="B2042" t="s">
        <v>6178</v>
      </c>
      <c r="C2042" t="s">
        <v>6179</v>
      </c>
    </row>
    <row r="2043" spans="1:3" x14ac:dyDescent="0.35">
      <c r="A2043" t="s">
        <v>6180</v>
      </c>
      <c r="B2043" t="s">
        <v>6181</v>
      </c>
      <c r="C2043" t="s">
        <v>6182</v>
      </c>
    </row>
    <row r="2044" spans="1:3" x14ac:dyDescent="0.35">
      <c r="A2044" t="s">
        <v>6183</v>
      </c>
      <c r="B2044" t="s">
        <v>6184</v>
      </c>
      <c r="C2044" t="s">
        <v>6185</v>
      </c>
    </row>
    <row r="2045" spans="1:3" x14ac:dyDescent="0.35">
      <c r="A2045" t="s">
        <v>6186</v>
      </c>
      <c r="B2045" t="s">
        <v>6187</v>
      </c>
      <c r="C2045" t="s">
        <v>6188</v>
      </c>
    </row>
    <row r="2046" spans="1:3" x14ac:dyDescent="0.35">
      <c r="A2046" t="s">
        <v>6189</v>
      </c>
      <c r="B2046" t="s">
        <v>6190</v>
      </c>
      <c r="C2046" t="s">
        <v>6191</v>
      </c>
    </row>
    <row r="2047" spans="1:3" x14ac:dyDescent="0.35">
      <c r="A2047" t="s">
        <v>6192</v>
      </c>
      <c r="B2047" t="s">
        <v>6193</v>
      </c>
      <c r="C2047" t="s">
        <v>6194</v>
      </c>
    </row>
    <row r="2048" spans="1:3" x14ac:dyDescent="0.35">
      <c r="A2048" t="s">
        <v>6195</v>
      </c>
      <c r="B2048" t="s">
        <v>6196</v>
      </c>
      <c r="C2048" t="s">
        <v>6197</v>
      </c>
    </row>
    <row r="2049" spans="1:3" x14ac:dyDescent="0.35">
      <c r="A2049" t="s">
        <v>6198</v>
      </c>
      <c r="B2049" t="s">
        <v>6199</v>
      </c>
      <c r="C2049" t="s">
        <v>6200</v>
      </c>
    </row>
    <row r="2050" spans="1:3" x14ac:dyDescent="0.35">
      <c r="A2050" t="s">
        <v>6201</v>
      </c>
      <c r="B2050" t="s">
        <v>6202</v>
      </c>
      <c r="C2050" t="s">
        <v>6203</v>
      </c>
    </row>
    <row r="2051" spans="1:3" x14ac:dyDescent="0.35">
      <c r="A2051" t="s">
        <v>6201</v>
      </c>
      <c r="B2051" t="s">
        <v>6204</v>
      </c>
      <c r="C2051" t="s">
        <v>6205</v>
      </c>
    </row>
    <row r="2052" spans="1:3" x14ac:dyDescent="0.35">
      <c r="A2052" t="s">
        <v>6206</v>
      </c>
      <c r="B2052" t="s">
        <v>6207</v>
      </c>
      <c r="C2052" t="s">
        <v>6208</v>
      </c>
    </row>
    <row r="2053" spans="1:3" x14ac:dyDescent="0.35">
      <c r="A2053" t="s">
        <v>6209</v>
      </c>
      <c r="B2053" t="s">
        <v>6210</v>
      </c>
      <c r="C2053" t="s">
        <v>6211</v>
      </c>
    </row>
    <row r="2054" spans="1:3" x14ac:dyDescent="0.35">
      <c r="A2054" t="s">
        <v>6212</v>
      </c>
      <c r="B2054" t="s">
        <v>6213</v>
      </c>
      <c r="C2054" t="s">
        <v>6214</v>
      </c>
    </row>
    <row r="2055" spans="1:3" x14ac:dyDescent="0.35">
      <c r="A2055" t="s">
        <v>6215</v>
      </c>
      <c r="B2055" t="s">
        <v>6216</v>
      </c>
      <c r="C2055" t="s">
        <v>6217</v>
      </c>
    </row>
    <row r="2056" spans="1:3" x14ac:dyDescent="0.35">
      <c r="A2056" t="s">
        <v>6218</v>
      </c>
      <c r="B2056" t="s">
        <v>6219</v>
      </c>
      <c r="C2056" t="s">
        <v>6220</v>
      </c>
    </row>
    <row r="2057" spans="1:3" x14ac:dyDescent="0.35">
      <c r="A2057" t="s">
        <v>6221</v>
      </c>
      <c r="B2057" t="s">
        <v>6222</v>
      </c>
      <c r="C2057" t="s">
        <v>6223</v>
      </c>
    </row>
    <row r="2058" spans="1:3" x14ac:dyDescent="0.35">
      <c r="A2058" t="s">
        <v>6224</v>
      </c>
      <c r="B2058" t="s">
        <v>6225</v>
      </c>
      <c r="C2058" t="s">
        <v>6226</v>
      </c>
    </row>
    <row r="2059" spans="1:3" x14ac:dyDescent="0.35">
      <c r="A2059" t="s">
        <v>6227</v>
      </c>
      <c r="B2059" t="s">
        <v>6228</v>
      </c>
      <c r="C2059" t="s">
        <v>6229</v>
      </c>
    </row>
    <row r="2060" spans="1:3" x14ac:dyDescent="0.35">
      <c r="A2060" t="s">
        <v>6230</v>
      </c>
      <c r="B2060" t="s">
        <v>6231</v>
      </c>
      <c r="C2060" t="s">
        <v>6232</v>
      </c>
    </row>
    <row r="2061" spans="1:3" x14ac:dyDescent="0.35">
      <c r="A2061" t="s">
        <v>6233</v>
      </c>
      <c r="B2061" t="s">
        <v>6234</v>
      </c>
      <c r="C2061" t="s">
        <v>6235</v>
      </c>
    </row>
    <row r="2062" spans="1:3" x14ac:dyDescent="0.35">
      <c r="A2062" t="s">
        <v>6236</v>
      </c>
      <c r="B2062" t="s">
        <v>6237</v>
      </c>
      <c r="C2062" t="s">
        <v>6238</v>
      </c>
    </row>
    <row r="2063" spans="1:3" x14ac:dyDescent="0.35">
      <c r="A2063" t="s">
        <v>6239</v>
      </c>
      <c r="B2063" t="s">
        <v>6240</v>
      </c>
      <c r="C2063" t="s">
        <v>6241</v>
      </c>
    </row>
    <row r="2064" spans="1:3" x14ac:dyDescent="0.35">
      <c r="A2064" t="s">
        <v>6242</v>
      </c>
      <c r="B2064" t="s">
        <v>6243</v>
      </c>
      <c r="C2064" t="s">
        <v>6244</v>
      </c>
    </row>
    <row r="2065" spans="1:3" x14ac:dyDescent="0.35">
      <c r="A2065" t="s">
        <v>6245</v>
      </c>
      <c r="B2065" t="s">
        <v>6246</v>
      </c>
      <c r="C2065" t="s">
        <v>6247</v>
      </c>
    </row>
    <row r="2066" spans="1:3" x14ac:dyDescent="0.35">
      <c r="A2066" t="s">
        <v>94</v>
      </c>
      <c r="B2066" t="s">
        <v>6248</v>
      </c>
      <c r="C2066" t="s">
        <v>6249</v>
      </c>
    </row>
    <row r="2067" spans="1:3" x14ac:dyDescent="0.35">
      <c r="A2067" t="s">
        <v>6250</v>
      </c>
      <c r="B2067" t="s">
        <v>6251</v>
      </c>
      <c r="C2067" t="s">
        <v>6252</v>
      </c>
    </row>
    <row r="2068" spans="1:3" x14ac:dyDescent="0.35">
      <c r="A2068" t="s">
        <v>6253</v>
      </c>
      <c r="B2068" t="s">
        <v>6254</v>
      </c>
      <c r="C2068" t="s">
        <v>6255</v>
      </c>
    </row>
    <row r="2069" spans="1:3" x14ac:dyDescent="0.35">
      <c r="A2069" t="s">
        <v>6256</v>
      </c>
      <c r="B2069" t="s">
        <v>6257</v>
      </c>
      <c r="C2069" t="s">
        <v>6258</v>
      </c>
    </row>
    <row r="2070" spans="1:3" x14ac:dyDescent="0.35">
      <c r="A2070" t="s">
        <v>6259</v>
      </c>
      <c r="B2070" t="s">
        <v>6260</v>
      </c>
      <c r="C2070" t="s">
        <v>6261</v>
      </c>
    </row>
    <row r="2071" spans="1:3" x14ac:dyDescent="0.35">
      <c r="A2071" t="s">
        <v>95</v>
      </c>
      <c r="B2071" t="s">
        <v>6262</v>
      </c>
      <c r="C2071" t="s">
        <v>6263</v>
      </c>
    </row>
    <row r="2072" spans="1:3" x14ac:dyDescent="0.35">
      <c r="A2072" t="s">
        <v>6264</v>
      </c>
      <c r="B2072" t="s">
        <v>6265</v>
      </c>
      <c r="C2072" t="s">
        <v>6266</v>
      </c>
    </row>
    <row r="2073" spans="1:3" x14ac:dyDescent="0.35">
      <c r="A2073" t="s">
        <v>6267</v>
      </c>
      <c r="B2073" t="s">
        <v>6268</v>
      </c>
      <c r="C2073" t="s">
        <v>6269</v>
      </c>
    </row>
    <row r="2074" spans="1:3" x14ac:dyDescent="0.35">
      <c r="A2074" t="s">
        <v>6270</v>
      </c>
      <c r="B2074" t="s">
        <v>6271</v>
      </c>
      <c r="C2074" t="s">
        <v>6272</v>
      </c>
    </row>
    <row r="2075" spans="1:3" x14ac:dyDescent="0.35">
      <c r="A2075" t="s">
        <v>6273</v>
      </c>
      <c r="B2075" t="s">
        <v>6274</v>
      </c>
      <c r="C2075" t="s">
        <v>6275</v>
      </c>
    </row>
    <row r="2076" spans="1:3" x14ac:dyDescent="0.35">
      <c r="A2076" t="s">
        <v>6276</v>
      </c>
      <c r="B2076" t="s">
        <v>6277</v>
      </c>
      <c r="C2076" t="s">
        <v>6278</v>
      </c>
    </row>
    <row r="2077" spans="1:3" x14ac:dyDescent="0.35">
      <c r="A2077" t="s">
        <v>6279</v>
      </c>
      <c r="B2077" t="s">
        <v>6280</v>
      </c>
      <c r="C2077" t="s">
        <v>6281</v>
      </c>
    </row>
    <row r="2078" spans="1:3" x14ac:dyDescent="0.35">
      <c r="A2078" t="s">
        <v>6282</v>
      </c>
      <c r="B2078" t="s">
        <v>6283</v>
      </c>
      <c r="C2078" t="s">
        <v>6284</v>
      </c>
    </row>
    <row r="2079" spans="1:3" x14ac:dyDescent="0.35">
      <c r="A2079" t="s">
        <v>6285</v>
      </c>
      <c r="B2079" t="s">
        <v>6286</v>
      </c>
      <c r="C2079" t="s">
        <v>6287</v>
      </c>
    </row>
    <row r="2080" spans="1:3" x14ac:dyDescent="0.35">
      <c r="A2080" t="s">
        <v>6288</v>
      </c>
      <c r="B2080" t="s">
        <v>6289</v>
      </c>
      <c r="C2080" t="s">
        <v>6290</v>
      </c>
    </row>
    <row r="2081" spans="1:3" x14ac:dyDescent="0.35">
      <c r="A2081" t="s">
        <v>6291</v>
      </c>
      <c r="B2081" t="s">
        <v>6292</v>
      </c>
      <c r="C2081" t="s">
        <v>6293</v>
      </c>
    </row>
    <row r="2082" spans="1:3" x14ac:dyDescent="0.35">
      <c r="A2082" t="s">
        <v>6294</v>
      </c>
      <c r="B2082" t="s">
        <v>6295</v>
      </c>
      <c r="C2082" t="s">
        <v>6296</v>
      </c>
    </row>
    <row r="2083" spans="1:3" x14ac:dyDescent="0.35">
      <c r="A2083" t="s">
        <v>6297</v>
      </c>
      <c r="B2083" t="s">
        <v>6298</v>
      </c>
      <c r="C2083" t="s">
        <v>6299</v>
      </c>
    </row>
    <row r="2084" spans="1:3" x14ac:dyDescent="0.35">
      <c r="A2084" t="s">
        <v>6300</v>
      </c>
      <c r="B2084" t="s">
        <v>6301</v>
      </c>
      <c r="C2084" t="s">
        <v>6302</v>
      </c>
    </row>
    <row r="2085" spans="1:3" x14ac:dyDescent="0.35">
      <c r="A2085" t="s">
        <v>6303</v>
      </c>
      <c r="B2085" t="s">
        <v>6304</v>
      </c>
      <c r="C2085" t="s">
        <v>6305</v>
      </c>
    </row>
    <row r="2086" spans="1:3" x14ac:dyDescent="0.35">
      <c r="A2086" t="s">
        <v>6306</v>
      </c>
      <c r="B2086" t="s">
        <v>6307</v>
      </c>
      <c r="C2086" t="s">
        <v>6308</v>
      </c>
    </row>
    <row r="2087" spans="1:3" x14ac:dyDescent="0.35">
      <c r="A2087" t="s">
        <v>6309</v>
      </c>
      <c r="B2087" t="s">
        <v>6310</v>
      </c>
      <c r="C2087" t="s">
        <v>6311</v>
      </c>
    </row>
    <row r="2088" spans="1:3" x14ac:dyDescent="0.35">
      <c r="A2088" t="s">
        <v>6312</v>
      </c>
      <c r="B2088" t="s">
        <v>6313</v>
      </c>
      <c r="C2088" t="s">
        <v>6314</v>
      </c>
    </row>
    <row r="2089" spans="1:3" x14ac:dyDescent="0.35">
      <c r="A2089" t="s">
        <v>6315</v>
      </c>
      <c r="B2089" t="s">
        <v>6316</v>
      </c>
      <c r="C2089" t="s">
        <v>6317</v>
      </c>
    </row>
    <row r="2090" spans="1:3" x14ac:dyDescent="0.35">
      <c r="A2090" t="s">
        <v>6318</v>
      </c>
      <c r="B2090" t="s">
        <v>6319</v>
      </c>
      <c r="C2090" t="s">
        <v>6320</v>
      </c>
    </row>
    <row r="2091" spans="1:3" x14ac:dyDescent="0.35">
      <c r="A2091" t="s">
        <v>6321</v>
      </c>
      <c r="B2091" t="s">
        <v>6322</v>
      </c>
      <c r="C2091" t="s">
        <v>6323</v>
      </c>
    </row>
    <row r="2092" spans="1:3" x14ac:dyDescent="0.35">
      <c r="A2092" t="s">
        <v>6324</v>
      </c>
      <c r="B2092" t="s">
        <v>6325</v>
      </c>
      <c r="C2092" t="s">
        <v>6326</v>
      </c>
    </row>
    <row r="2093" spans="1:3" x14ac:dyDescent="0.35">
      <c r="A2093" t="s">
        <v>6327</v>
      </c>
      <c r="B2093" t="s">
        <v>6328</v>
      </c>
      <c r="C2093" t="s">
        <v>6329</v>
      </c>
    </row>
    <row r="2094" spans="1:3" x14ac:dyDescent="0.35">
      <c r="A2094" t="s">
        <v>6330</v>
      </c>
      <c r="B2094" t="s">
        <v>6331</v>
      </c>
      <c r="C2094" t="s">
        <v>6332</v>
      </c>
    </row>
    <row r="2095" spans="1:3" x14ac:dyDescent="0.35">
      <c r="A2095" t="s">
        <v>6333</v>
      </c>
      <c r="B2095" t="s">
        <v>6334</v>
      </c>
      <c r="C2095" t="s">
        <v>6335</v>
      </c>
    </row>
    <row r="2096" spans="1:3" x14ac:dyDescent="0.35">
      <c r="A2096" t="s">
        <v>6336</v>
      </c>
      <c r="B2096" t="s">
        <v>6337</v>
      </c>
      <c r="C2096" t="s">
        <v>6338</v>
      </c>
    </row>
    <row r="2097" spans="1:3" x14ac:dyDescent="0.35">
      <c r="A2097" t="s">
        <v>6339</v>
      </c>
      <c r="B2097" t="s">
        <v>6340</v>
      </c>
      <c r="C2097" t="s">
        <v>6341</v>
      </c>
    </row>
    <row r="2098" spans="1:3" x14ac:dyDescent="0.35">
      <c r="A2098" t="s">
        <v>6342</v>
      </c>
      <c r="B2098" t="s">
        <v>6343</v>
      </c>
      <c r="C2098" t="s">
        <v>6344</v>
      </c>
    </row>
    <row r="2099" spans="1:3" x14ac:dyDescent="0.35">
      <c r="A2099" t="s">
        <v>6345</v>
      </c>
      <c r="B2099" t="s">
        <v>6346</v>
      </c>
      <c r="C2099" t="s">
        <v>6347</v>
      </c>
    </row>
    <row r="2100" spans="1:3" x14ac:dyDescent="0.35">
      <c r="A2100" t="s">
        <v>6348</v>
      </c>
      <c r="B2100" t="s">
        <v>6349</v>
      </c>
      <c r="C2100" t="s">
        <v>6350</v>
      </c>
    </row>
    <row r="2101" spans="1:3" x14ac:dyDescent="0.35">
      <c r="A2101" t="s">
        <v>6351</v>
      </c>
      <c r="B2101" t="s">
        <v>6352</v>
      </c>
      <c r="C2101" t="s">
        <v>6353</v>
      </c>
    </row>
    <row r="2102" spans="1:3" x14ac:dyDescent="0.35">
      <c r="A2102" t="s">
        <v>6354</v>
      </c>
      <c r="B2102" t="s">
        <v>6355</v>
      </c>
      <c r="C2102" t="s">
        <v>6356</v>
      </c>
    </row>
    <row r="2103" spans="1:3" x14ac:dyDescent="0.35">
      <c r="A2103" t="s">
        <v>6357</v>
      </c>
      <c r="B2103" t="s">
        <v>6358</v>
      </c>
      <c r="C2103" t="s">
        <v>6359</v>
      </c>
    </row>
    <row r="2104" spans="1:3" x14ac:dyDescent="0.35">
      <c r="A2104" t="s">
        <v>6360</v>
      </c>
      <c r="B2104" t="s">
        <v>6361</v>
      </c>
      <c r="C2104" t="s">
        <v>6362</v>
      </c>
    </row>
    <row r="2105" spans="1:3" x14ac:dyDescent="0.35">
      <c r="A2105" t="s">
        <v>6363</v>
      </c>
      <c r="B2105" t="s">
        <v>6364</v>
      </c>
      <c r="C2105" t="s">
        <v>6365</v>
      </c>
    </row>
    <row r="2106" spans="1:3" x14ac:dyDescent="0.35">
      <c r="A2106" t="s">
        <v>6366</v>
      </c>
      <c r="B2106" t="s">
        <v>6367</v>
      </c>
      <c r="C2106" t="s">
        <v>6368</v>
      </c>
    </row>
    <row r="2107" spans="1:3" x14ac:dyDescent="0.35">
      <c r="A2107" t="s">
        <v>6369</v>
      </c>
      <c r="B2107" t="s">
        <v>6370</v>
      </c>
      <c r="C2107" t="s">
        <v>6371</v>
      </c>
    </row>
    <row r="2108" spans="1:3" x14ac:dyDescent="0.35">
      <c r="A2108" t="s">
        <v>6372</v>
      </c>
      <c r="B2108" t="s">
        <v>6373</v>
      </c>
      <c r="C2108" t="s">
        <v>6374</v>
      </c>
    </row>
    <row r="2109" spans="1:3" x14ac:dyDescent="0.35">
      <c r="A2109" t="s">
        <v>6375</v>
      </c>
      <c r="B2109" t="s">
        <v>6376</v>
      </c>
      <c r="C2109" t="s">
        <v>6377</v>
      </c>
    </row>
    <row r="2110" spans="1:3" x14ac:dyDescent="0.35">
      <c r="A2110" t="s">
        <v>6378</v>
      </c>
      <c r="B2110" t="s">
        <v>6379</v>
      </c>
      <c r="C2110" t="s">
        <v>6380</v>
      </c>
    </row>
    <row r="2111" spans="1:3" x14ac:dyDescent="0.35">
      <c r="A2111" t="s">
        <v>6381</v>
      </c>
      <c r="B2111" t="s">
        <v>6382</v>
      </c>
      <c r="C2111" t="s">
        <v>6383</v>
      </c>
    </row>
    <row r="2112" spans="1:3" x14ac:dyDescent="0.35">
      <c r="A2112" t="s">
        <v>6384</v>
      </c>
      <c r="B2112" t="s">
        <v>6385</v>
      </c>
      <c r="C2112" t="s">
        <v>6386</v>
      </c>
    </row>
    <row r="2113" spans="1:3" x14ac:dyDescent="0.35">
      <c r="A2113" t="s">
        <v>6387</v>
      </c>
      <c r="B2113" t="s">
        <v>6388</v>
      </c>
      <c r="C2113" t="s">
        <v>5959</v>
      </c>
    </row>
    <row r="2114" spans="1:3" x14ac:dyDescent="0.35">
      <c r="A2114" t="s">
        <v>6389</v>
      </c>
      <c r="B2114" t="s">
        <v>6390</v>
      </c>
      <c r="C2114" t="s">
        <v>6391</v>
      </c>
    </row>
    <row r="2115" spans="1:3" x14ac:dyDescent="0.35">
      <c r="A2115" t="s">
        <v>6392</v>
      </c>
      <c r="B2115" t="s">
        <v>6393</v>
      </c>
      <c r="C2115" t="s">
        <v>6394</v>
      </c>
    </row>
    <row r="2116" spans="1:3" x14ac:dyDescent="0.35">
      <c r="A2116" t="s">
        <v>6395</v>
      </c>
      <c r="B2116" t="s">
        <v>6396</v>
      </c>
      <c r="C2116" t="s">
        <v>6397</v>
      </c>
    </row>
    <row r="2117" spans="1:3" x14ac:dyDescent="0.35">
      <c r="A2117" t="s">
        <v>6398</v>
      </c>
      <c r="B2117" t="s">
        <v>6399</v>
      </c>
      <c r="C2117" t="s">
        <v>6400</v>
      </c>
    </row>
    <row r="2118" spans="1:3" x14ac:dyDescent="0.35">
      <c r="A2118" t="s">
        <v>6401</v>
      </c>
      <c r="B2118" t="s">
        <v>6402</v>
      </c>
      <c r="C2118" t="s">
        <v>6403</v>
      </c>
    </row>
    <row r="2119" spans="1:3" x14ac:dyDescent="0.35">
      <c r="A2119" t="s">
        <v>6404</v>
      </c>
      <c r="B2119" t="s">
        <v>6405</v>
      </c>
      <c r="C2119" t="s">
        <v>6406</v>
      </c>
    </row>
    <row r="2120" spans="1:3" x14ac:dyDescent="0.35">
      <c r="A2120" t="s">
        <v>6407</v>
      </c>
      <c r="B2120" t="s">
        <v>6408</v>
      </c>
      <c r="C2120" t="s">
        <v>6409</v>
      </c>
    </row>
    <row r="2121" spans="1:3" x14ac:dyDescent="0.35">
      <c r="A2121" t="s">
        <v>6410</v>
      </c>
      <c r="B2121" t="s">
        <v>6411</v>
      </c>
      <c r="C2121" t="s">
        <v>6412</v>
      </c>
    </row>
    <row r="2122" spans="1:3" x14ac:dyDescent="0.35">
      <c r="A2122" t="s">
        <v>6413</v>
      </c>
      <c r="B2122" t="s">
        <v>6414</v>
      </c>
      <c r="C2122" t="s">
        <v>6415</v>
      </c>
    </row>
    <row r="2123" spans="1:3" x14ac:dyDescent="0.35">
      <c r="A2123" t="s">
        <v>6416</v>
      </c>
      <c r="B2123" t="s">
        <v>6417</v>
      </c>
      <c r="C2123" t="s">
        <v>6418</v>
      </c>
    </row>
    <row r="2124" spans="1:3" x14ac:dyDescent="0.35">
      <c r="A2124" t="s">
        <v>6419</v>
      </c>
      <c r="B2124" t="s">
        <v>6420</v>
      </c>
      <c r="C2124" t="s">
        <v>6421</v>
      </c>
    </row>
    <row r="2125" spans="1:3" x14ac:dyDescent="0.35">
      <c r="A2125" t="s">
        <v>6422</v>
      </c>
      <c r="B2125" t="s">
        <v>6423</v>
      </c>
      <c r="C2125" t="s">
        <v>6424</v>
      </c>
    </row>
    <row r="2126" spans="1:3" x14ac:dyDescent="0.35">
      <c r="A2126" t="s">
        <v>6425</v>
      </c>
      <c r="B2126" t="s">
        <v>6426</v>
      </c>
      <c r="C2126" t="s">
        <v>6427</v>
      </c>
    </row>
    <row r="2127" spans="1:3" x14ac:dyDescent="0.35">
      <c r="A2127" t="s">
        <v>6428</v>
      </c>
      <c r="B2127" t="s">
        <v>6429</v>
      </c>
      <c r="C2127" t="s">
        <v>6430</v>
      </c>
    </row>
    <row r="2128" spans="1:3" x14ac:dyDescent="0.35">
      <c r="A2128" t="s">
        <v>6431</v>
      </c>
      <c r="B2128" t="s">
        <v>6432</v>
      </c>
      <c r="C2128" t="s">
        <v>6433</v>
      </c>
    </row>
    <row r="2129" spans="1:3" x14ac:dyDescent="0.35">
      <c r="A2129" t="s">
        <v>6434</v>
      </c>
      <c r="B2129" t="s">
        <v>6435</v>
      </c>
      <c r="C2129" t="s">
        <v>6436</v>
      </c>
    </row>
    <row r="2130" spans="1:3" x14ac:dyDescent="0.35">
      <c r="A2130" t="s">
        <v>6437</v>
      </c>
      <c r="B2130" t="s">
        <v>6438</v>
      </c>
      <c r="C2130" t="s">
        <v>6439</v>
      </c>
    </row>
    <row r="2131" spans="1:3" x14ac:dyDescent="0.35">
      <c r="A2131" t="s">
        <v>6440</v>
      </c>
      <c r="B2131" t="s">
        <v>6441</v>
      </c>
      <c r="C2131" t="s">
        <v>6442</v>
      </c>
    </row>
    <row r="2132" spans="1:3" x14ac:dyDescent="0.35">
      <c r="A2132" t="s">
        <v>6443</v>
      </c>
      <c r="B2132" t="s">
        <v>6444</v>
      </c>
      <c r="C2132" t="s">
        <v>6445</v>
      </c>
    </row>
    <row r="2133" spans="1:3" x14ac:dyDescent="0.35">
      <c r="A2133" t="s">
        <v>6446</v>
      </c>
      <c r="B2133" t="s">
        <v>6447</v>
      </c>
      <c r="C2133" t="s">
        <v>6448</v>
      </c>
    </row>
    <row r="2134" spans="1:3" x14ac:dyDescent="0.35">
      <c r="A2134" t="s">
        <v>6446</v>
      </c>
      <c r="B2134" t="s">
        <v>6449</v>
      </c>
      <c r="C2134" t="s">
        <v>6450</v>
      </c>
    </row>
    <row r="2135" spans="1:3" x14ac:dyDescent="0.35">
      <c r="A2135" t="s">
        <v>6451</v>
      </c>
      <c r="B2135" t="s">
        <v>6452</v>
      </c>
      <c r="C2135" t="s">
        <v>6453</v>
      </c>
    </row>
    <row r="2136" spans="1:3" x14ac:dyDescent="0.35">
      <c r="A2136" t="s">
        <v>6454</v>
      </c>
      <c r="B2136" t="s">
        <v>6455</v>
      </c>
      <c r="C2136" t="s">
        <v>6456</v>
      </c>
    </row>
    <row r="2137" spans="1:3" x14ac:dyDescent="0.35">
      <c r="A2137" t="s">
        <v>6457</v>
      </c>
      <c r="B2137" t="s">
        <v>6458</v>
      </c>
      <c r="C2137" t="s">
        <v>6459</v>
      </c>
    </row>
    <row r="2138" spans="1:3" x14ac:dyDescent="0.35">
      <c r="A2138" t="s">
        <v>6460</v>
      </c>
      <c r="B2138" t="s">
        <v>6461</v>
      </c>
      <c r="C2138" t="s">
        <v>6462</v>
      </c>
    </row>
    <row r="2139" spans="1:3" x14ac:dyDescent="0.35">
      <c r="A2139" t="s">
        <v>6463</v>
      </c>
      <c r="B2139" t="s">
        <v>6464</v>
      </c>
      <c r="C2139" t="s">
        <v>6465</v>
      </c>
    </row>
    <row r="2140" spans="1:3" x14ac:dyDescent="0.35">
      <c r="A2140" t="s">
        <v>6466</v>
      </c>
      <c r="B2140" t="s">
        <v>6467</v>
      </c>
      <c r="C2140" t="s">
        <v>6468</v>
      </c>
    </row>
    <row r="2141" spans="1:3" x14ac:dyDescent="0.35">
      <c r="A2141" t="s">
        <v>6469</v>
      </c>
      <c r="B2141" t="s">
        <v>6470</v>
      </c>
      <c r="C2141" t="s">
        <v>6471</v>
      </c>
    </row>
    <row r="2142" spans="1:3" x14ac:dyDescent="0.35">
      <c r="A2142" t="s">
        <v>6472</v>
      </c>
      <c r="B2142" t="s">
        <v>6473</v>
      </c>
      <c r="C2142" t="s">
        <v>6474</v>
      </c>
    </row>
    <row r="2143" spans="1:3" x14ac:dyDescent="0.35">
      <c r="A2143" t="s">
        <v>6472</v>
      </c>
      <c r="B2143" t="s">
        <v>6475</v>
      </c>
      <c r="C2143" t="s">
        <v>6476</v>
      </c>
    </row>
    <row r="2144" spans="1:3" x14ac:dyDescent="0.35">
      <c r="A2144" t="s">
        <v>6477</v>
      </c>
      <c r="B2144" t="s">
        <v>6478</v>
      </c>
      <c r="C2144" t="s">
        <v>6479</v>
      </c>
    </row>
    <row r="2145" spans="1:3" x14ac:dyDescent="0.35">
      <c r="A2145" t="s">
        <v>6480</v>
      </c>
      <c r="B2145" t="s">
        <v>6481</v>
      </c>
      <c r="C2145" t="s">
        <v>6482</v>
      </c>
    </row>
    <row r="2146" spans="1:3" x14ac:dyDescent="0.35">
      <c r="A2146" t="s">
        <v>6480</v>
      </c>
      <c r="B2146" t="s">
        <v>6483</v>
      </c>
      <c r="C2146" t="s">
        <v>6484</v>
      </c>
    </row>
    <row r="2147" spans="1:3" x14ac:dyDescent="0.35">
      <c r="A2147" t="s">
        <v>6485</v>
      </c>
      <c r="B2147" t="s">
        <v>6486</v>
      </c>
      <c r="C2147" t="s">
        <v>6487</v>
      </c>
    </row>
    <row r="2148" spans="1:3" x14ac:dyDescent="0.35">
      <c r="A2148" t="s">
        <v>6488</v>
      </c>
      <c r="B2148" t="s">
        <v>6489</v>
      </c>
      <c r="C2148" t="s">
        <v>6490</v>
      </c>
    </row>
    <row r="2149" spans="1:3" x14ac:dyDescent="0.35">
      <c r="A2149" t="s">
        <v>6491</v>
      </c>
      <c r="B2149" t="s">
        <v>6492</v>
      </c>
      <c r="C2149" t="s">
        <v>6493</v>
      </c>
    </row>
    <row r="2150" spans="1:3" x14ac:dyDescent="0.35">
      <c r="A2150" t="s">
        <v>6494</v>
      </c>
      <c r="B2150" t="s">
        <v>6495</v>
      </c>
      <c r="C2150" t="s">
        <v>6496</v>
      </c>
    </row>
    <row r="2151" spans="1:3" x14ac:dyDescent="0.35">
      <c r="A2151" t="s">
        <v>6497</v>
      </c>
      <c r="B2151" t="s">
        <v>6498</v>
      </c>
      <c r="C2151" t="s">
        <v>6499</v>
      </c>
    </row>
    <row r="2152" spans="1:3" x14ac:dyDescent="0.35">
      <c r="A2152" t="s">
        <v>6500</v>
      </c>
      <c r="B2152" t="s">
        <v>6501</v>
      </c>
      <c r="C2152" t="s">
        <v>6502</v>
      </c>
    </row>
    <row r="2153" spans="1:3" x14ac:dyDescent="0.35">
      <c r="A2153" t="s">
        <v>6503</v>
      </c>
      <c r="B2153" t="s">
        <v>6504</v>
      </c>
      <c r="C2153" t="s">
        <v>6505</v>
      </c>
    </row>
    <row r="2154" spans="1:3" x14ac:dyDescent="0.35">
      <c r="A2154" t="s">
        <v>6506</v>
      </c>
      <c r="B2154" t="s">
        <v>6507</v>
      </c>
      <c r="C2154" t="s">
        <v>6508</v>
      </c>
    </row>
    <row r="2155" spans="1:3" x14ac:dyDescent="0.35">
      <c r="A2155" t="s">
        <v>6509</v>
      </c>
      <c r="B2155" t="s">
        <v>6510</v>
      </c>
      <c r="C2155" t="s">
        <v>6511</v>
      </c>
    </row>
    <row r="2156" spans="1:3" x14ac:dyDescent="0.35">
      <c r="A2156" t="s">
        <v>6512</v>
      </c>
      <c r="B2156" t="s">
        <v>6513</v>
      </c>
      <c r="C2156" t="s">
        <v>6514</v>
      </c>
    </row>
    <row r="2157" spans="1:3" x14ac:dyDescent="0.35">
      <c r="A2157" t="s">
        <v>6515</v>
      </c>
      <c r="B2157" t="s">
        <v>6516</v>
      </c>
      <c r="C2157" t="s">
        <v>6517</v>
      </c>
    </row>
    <row r="2158" spans="1:3" x14ac:dyDescent="0.35">
      <c r="A2158" t="s">
        <v>6518</v>
      </c>
      <c r="B2158" t="s">
        <v>6519</v>
      </c>
      <c r="C2158" t="s">
        <v>6520</v>
      </c>
    </row>
    <row r="2159" spans="1:3" x14ac:dyDescent="0.35">
      <c r="A2159" t="s">
        <v>6521</v>
      </c>
      <c r="B2159" t="s">
        <v>6522</v>
      </c>
      <c r="C2159" t="s">
        <v>6523</v>
      </c>
    </row>
    <row r="2160" spans="1:3" x14ac:dyDescent="0.35">
      <c r="A2160" t="s">
        <v>6524</v>
      </c>
      <c r="B2160" t="s">
        <v>6525</v>
      </c>
      <c r="C2160" t="s">
        <v>6526</v>
      </c>
    </row>
    <row r="2161" spans="1:3" x14ac:dyDescent="0.35">
      <c r="A2161" t="s">
        <v>6527</v>
      </c>
      <c r="B2161" t="s">
        <v>6528</v>
      </c>
      <c r="C2161" t="s">
        <v>6529</v>
      </c>
    </row>
    <row r="2162" spans="1:3" x14ac:dyDescent="0.35">
      <c r="A2162" t="s">
        <v>6530</v>
      </c>
      <c r="B2162" t="s">
        <v>6531</v>
      </c>
      <c r="C2162" t="s">
        <v>6532</v>
      </c>
    </row>
    <row r="2163" spans="1:3" x14ac:dyDescent="0.35">
      <c r="A2163" t="s">
        <v>6533</v>
      </c>
      <c r="B2163" t="s">
        <v>6534</v>
      </c>
      <c r="C2163" t="s">
        <v>6535</v>
      </c>
    </row>
    <row r="2164" spans="1:3" x14ac:dyDescent="0.35">
      <c r="A2164" t="s">
        <v>6536</v>
      </c>
      <c r="B2164" t="s">
        <v>6537</v>
      </c>
      <c r="C2164" t="s">
        <v>6538</v>
      </c>
    </row>
    <row r="2165" spans="1:3" x14ac:dyDescent="0.35">
      <c r="A2165" t="s">
        <v>6539</v>
      </c>
      <c r="B2165" t="s">
        <v>6540</v>
      </c>
      <c r="C2165" t="s">
        <v>6541</v>
      </c>
    </row>
    <row r="2166" spans="1:3" x14ac:dyDescent="0.35">
      <c r="A2166" t="s">
        <v>6542</v>
      </c>
      <c r="B2166" t="s">
        <v>6543</v>
      </c>
      <c r="C2166" t="s">
        <v>6544</v>
      </c>
    </row>
    <row r="2167" spans="1:3" x14ac:dyDescent="0.35">
      <c r="A2167" t="s">
        <v>6545</v>
      </c>
      <c r="B2167" t="s">
        <v>6546</v>
      </c>
      <c r="C2167" t="s">
        <v>6547</v>
      </c>
    </row>
    <row r="2168" spans="1:3" x14ac:dyDescent="0.35">
      <c r="A2168" t="s">
        <v>6548</v>
      </c>
      <c r="B2168" t="s">
        <v>6549</v>
      </c>
      <c r="C2168" t="s">
        <v>6550</v>
      </c>
    </row>
    <row r="2169" spans="1:3" x14ac:dyDescent="0.35">
      <c r="A2169" t="s">
        <v>6551</v>
      </c>
      <c r="B2169" t="s">
        <v>6552</v>
      </c>
      <c r="C2169" t="s">
        <v>6553</v>
      </c>
    </row>
    <row r="2170" spans="1:3" x14ac:dyDescent="0.35">
      <c r="A2170" t="s">
        <v>6554</v>
      </c>
      <c r="B2170" t="s">
        <v>6555</v>
      </c>
      <c r="C2170" t="s">
        <v>6556</v>
      </c>
    </row>
    <row r="2171" spans="1:3" x14ac:dyDescent="0.35">
      <c r="A2171" t="s">
        <v>6557</v>
      </c>
      <c r="B2171" t="s">
        <v>6558</v>
      </c>
      <c r="C2171" t="s">
        <v>6559</v>
      </c>
    </row>
    <row r="2172" spans="1:3" x14ac:dyDescent="0.35">
      <c r="A2172" t="s">
        <v>6560</v>
      </c>
      <c r="B2172" t="s">
        <v>6561</v>
      </c>
      <c r="C2172" t="s">
        <v>6562</v>
      </c>
    </row>
    <row r="2173" spans="1:3" x14ac:dyDescent="0.35">
      <c r="A2173" t="s">
        <v>6563</v>
      </c>
      <c r="B2173" t="s">
        <v>6564</v>
      </c>
      <c r="C2173" t="s">
        <v>6565</v>
      </c>
    </row>
    <row r="2174" spans="1:3" x14ac:dyDescent="0.35">
      <c r="A2174" t="s">
        <v>6566</v>
      </c>
      <c r="B2174" t="s">
        <v>6567</v>
      </c>
      <c r="C2174" t="s">
        <v>6568</v>
      </c>
    </row>
    <row r="2175" spans="1:3" x14ac:dyDescent="0.35">
      <c r="A2175" t="s">
        <v>6569</v>
      </c>
      <c r="B2175" t="s">
        <v>6570</v>
      </c>
      <c r="C2175" t="s">
        <v>6571</v>
      </c>
    </row>
    <row r="2176" spans="1:3" x14ac:dyDescent="0.35">
      <c r="A2176" t="s">
        <v>6572</v>
      </c>
      <c r="B2176" t="s">
        <v>6573</v>
      </c>
      <c r="C2176" t="s">
        <v>6574</v>
      </c>
    </row>
    <row r="2177" spans="1:3" x14ac:dyDescent="0.35">
      <c r="A2177" t="s">
        <v>6575</v>
      </c>
      <c r="B2177" t="s">
        <v>6576</v>
      </c>
      <c r="C2177" t="s">
        <v>6577</v>
      </c>
    </row>
    <row r="2178" spans="1:3" x14ac:dyDescent="0.35">
      <c r="A2178" t="s">
        <v>6578</v>
      </c>
      <c r="B2178" t="s">
        <v>6579</v>
      </c>
      <c r="C2178" t="s">
        <v>6580</v>
      </c>
    </row>
    <row r="2179" spans="1:3" x14ac:dyDescent="0.35">
      <c r="A2179" t="s">
        <v>6578</v>
      </c>
      <c r="B2179" t="s">
        <v>6581</v>
      </c>
      <c r="C2179" t="s">
        <v>6582</v>
      </c>
    </row>
    <row r="2180" spans="1:3" x14ac:dyDescent="0.35">
      <c r="A2180" t="s">
        <v>6583</v>
      </c>
      <c r="B2180" t="s">
        <v>6584</v>
      </c>
      <c r="C2180" t="s">
        <v>6585</v>
      </c>
    </row>
    <row r="2181" spans="1:3" x14ac:dyDescent="0.35">
      <c r="A2181" t="s">
        <v>6586</v>
      </c>
      <c r="B2181" t="s">
        <v>6587</v>
      </c>
      <c r="C2181" t="s">
        <v>6588</v>
      </c>
    </row>
    <row r="2182" spans="1:3" x14ac:dyDescent="0.35">
      <c r="A2182" t="s">
        <v>6589</v>
      </c>
      <c r="B2182" t="s">
        <v>6590</v>
      </c>
      <c r="C2182" t="s">
        <v>6591</v>
      </c>
    </row>
    <row r="2183" spans="1:3" x14ac:dyDescent="0.35">
      <c r="A2183" t="s">
        <v>6592</v>
      </c>
      <c r="B2183" t="s">
        <v>6593</v>
      </c>
      <c r="C2183" t="s">
        <v>6594</v>
      </c>
    </row>
    <row r="2184" spans="1:3" x14ac:dyDescent="0.35">
      <c r="A2184" t="s">
        <v>6595</v>
      </c>
      <c r="B2184" t="s">
        <v>6596</v>
      </c>
      <c r="C2184" t="s">
        <v>3194</v>
      </c>
    </row>
    <row r="2185" spans="1:3" x14ac:dyDescent="0.35">
      <c r="A2185" t="s">
        <v>6597</v>
      </c>
      <c r="B2185" t="s">
        <v>6598</v>
      </c>
      <c r="C2185" t="s">
        <v>6599</v>
      </c>
    </row>
    <row r="2186" spans="1:3" x14ac:dyDescent="0.35">
      <c r="A2186" t="s">
        <v>6600</v>
      </c>
      <c r="B2186" t="s">
        <v>6601</v>
      </c>
      <c r="C2186" t="s">
        <v>6602</v>
      </c>
    </row>
    <row r="2187" spans="1:3" x14ac:dyDescent="0.35">
      <c r="A2187" t="s">
        <v>6603</v>
      </c>
      <c r="B2187" t="s">
        <v>6604</v>
      </c>
      <c r="C2187" t="s">
        <v>6605</v>
      </c>
    </row>
    <row r="2188" spans="1:3" x14ac:dyDescent="0.35">
      <c r="A2188" t="s">
        <v>6606</v>
      </c>
      <c r="B2188" t="s">
        <v>6607</v>
      </c>
      <c r="C2188" t="s">
        <v>6608</v>
      </c>
    </row>
    <row r="2189" spans="1:3" x14ac:dyDescent="0.35">
      <c r="A2189" t="s">
        <v>6609</v>
      </c>
      <c r="B2189" t="s">
        <v>6610</v>
      </c>
      <c r="C2189" t="s">
        <v>6611</v>
      </c>
    </row>
    <row r="2190" spans="1:3" x14ac:dyDescent="0.35">
      <c r="A2190" t="s">
        <v>6612</v>
      </c>
      <c r="B2190" t="s">
        <v>6613</v>
      </c>
      <c r="C2190" t="s">
        <v>6614</v>
      </c>
    </row>
    <row r="2191" spans="1:3" x14ac:dyDescent="0.35">
      <c r="A2191" t="s">
        <v>6615</v>
      </c>
      <c r="B2191" t="s">
        <v>6616</v>
      </c>
      <c r="C2191" t="s">
        <v>6617</v>
      </c>
    </row>
    <row r="2192" spans="1:3" x14ac:dyDescent="0.35">
      <c r="A2192" t="s">
        <v>6618</v>
      </c>
      <c r="B2192" t="s">
        <v>6619</v>
      </c>
      <c r="C2192" t="s">
        <v>6620</v>
      </c>
    </row>
    <row r="2193" spans="1:3" x14ac:dyDescent="0.35">
      <c r="A2193" t="s">
        <v>6621</v>
      </c>
      <c r="B2193" t="s">
        <v>6622</v>
      </c>
      <c r="C2193" t="s">
        <v>6623</v>
      </c>
    </row>
    <row r="2194" spans="1:3" x14ac:dyDescent="0.35">
      <c r="A2194" t="s">
        <v>6624</v>
      </c>
      <c r="B2194" t="s">
        <v>6625</v>
      </c>
      <c r="C2194" t="s">
        <v>6626</v>
      </c>
    </row>
    <row r="2195" spans="1:3" x14ac:dyDescent="0.35">
      <c r="A2195" t="s">
        <v>6627</v>
      </c>
      <c r="B2195" t="s">
        <v>6628</v>
      </c>
      <c r="C2195" t="s">
        <v>6629</v>
      </c>
    </row>
    <row r="2196" spans="1:3" x14ac:dyDescent="0.35">
      <c r="A2196" t="s">
        <v>6630</v>
      </c>
      <c r="B2196" t="s">
        <v>6631</v>
      </c>
      <c r="C2196" t="s">
        <v>6632</v>
      </c>
    </row>
    <row r="2197" spans="1:3" x14ac:dyDescent="0.35">
      <c r="A2197" t="s">
        <v>6633</v>
      </c>
      <c r="B2197" t="s">
        <v>6634</v>
      </c>
      <c r="C2197" t="s">
        <v>6635</v>
      </c>
    </row>
    <row r="2198" spans="1:3" x14ac:dyDescent="0.35">
      <c r="A2198" t="s">
        <v>6636</v>
      </c>
      <c r="B2198" t="s">
        <v>6637</v>
      </c>
      <c r="C2198" t="s">
        <v>6638</v>
      </c>
    </row>
    <row r="2199" spans="1:3" x14ac:dyDescent="0.35">
      <c r="A2199" t="s">
        <v>6639</v>
      </c>
      <c r="B2199" t="s">
        <v>6640</v>
      </c>
      <c r="C2199" t="s">
        <v>6641</v>
      </c>
    </row>
    <row r="2200" spans="1:3" x14ac:dyDescent="0.35">
      <c r="A2200" t="s">
        <v>6639</v>
      </c>
      <c r="B2200" t="s">
        <v>6642</v>
      </c>
      <c r="C2200" t="s">
        <v>6643</v>
      </c>
    </row>
    <row r="2201" spans="1:3" x14ac:dyDescent="0.35">
      <c r="A2201" t="s">
        <v>6644</v>
      </c>
      <c r="B2201" t="s">
        <v>6645</v>
      </c>
      <c r="C2201" t="s">
        <v>6646</v>
      </c>
    </row>
    <row r="2202" spans="1:3" x14ac:dyDescent="0.35">
      <c r="A2202" t="s">
        <v>6647</v>
      </c>
      <c r="B2202" t="s">
        <v>6648</v>
      </c>
      <c r="C2202" t="s">
        <v>6649</v>
      </c>
    </row>
    <row r="2203" spans="1:3" x14ac:dyDescent="0.35">
      <c r="A2203" t="s">
        <v>6650</v>
      </c>
      <c r="B2203" t="s">
        <v>6651</v>
      </c>
      <c r="C2203" t="s">
        <v>6652</v>
      </c>
    </row>
    <row r="2204" spans="1:3" x14ac:dyDescent="0.35">
      <c r="A2204" t="s">
        <v>6653</v>
      </c>
      <c r="B2204" t="s">
        <v>6654</v>
      </c>
      <c r="C2204" t="s">
        <v>6655</v>
      </c>
    </row>
    <row r="2205" spans="1:3" x14ac:dyDescent="0.35">
      <c r="A2205" t="s">
        <v>6656</v>
      </c>
      <c r="B2205" t="s">
        <v>6657</v>
      </c>
      <c r="C2205" t="s">
        <v>6658</v>
      </c>
    </row>
    <row r="2206" spans="1:3" x14ac:dyDescent="0.35">
      <c r="A2206" t="s">
        <v>6656</v>
      </c>
      <c r="B2206" t="s">
        <v>6659</v>
      </c>
      <c r="C2206" t="s">
        <v>6660</v>
      </c>
    </row>
    <row r="2207" spans="1:3" x14ac:dyDescent="0.35">
      <c r="A2207" t="s">
        <v>6661</v>
      </c>
      <c r="B2207" t="s">
        <v>6662</v>
      </c>
      <c r="C2207" t="s">
        <v>6663</v>
      </c>
    </row>
    <row r="2208" spans="1:3" x14ac:dyDescent="0.35">
      <c r="A2208" t="s">
        <v>6664</v>
      </c>
      <c r="B2208" t="s">
        <v>6665</v>
      </c>
      <c r="C2208" t="s">
        <v>6666</v>
      </c>
    </row>
    <row r="2209" spans="1:3" x14ac:dyDescent="0.35">
      <c r="A2209" t="s">
        <v>6667</v>
      </c>
      <c r="B2209" t="s">
        <v>6668</v>
      </c>
      <c r="C2209" t="s">
        <v>6669</v>
      </c>
    </row>
    <row r="2210" spans="1:3" x14ac:dyDescent="0.35">
      <c r="A2210" t="s">
        <v>6670</v>
      </c>
      <c r="B2210" t="s">
        <v>6671</v>
      </c>
      <c r="C2210" t="s">
        <v>6672</v>
      </c>
    </row>
    <row r="2211" spans="1:3" x14ac:dyDescent="0.35">
      <c r="A2211" t="s">
        <v>6673</v>
      </c>
      <c r="B2211" t="s">
        <v>6674</v>
      </c>
      <c r="C2211" t="s">
        <v>6675</v>
      </c>
    </row>
    <row r="2212" spans="1:3" x14ac:dyDescent="0.35">
      <c r="A2212" t="s">
        <v>6676</v>
      </c>
      <c r="B2212" t="s">
        <v>6677</v>
      </c>
      <c r="C2212" t="s">
        <v>6678</v>
      </c>
    </row>
    <row r="2213" spans="1:3" x14ac:dyDescent="0.35">
      <c r="A2213" t="s">
        <v>6679</v>
      </c>
      <c r="B2213" t="s">
        <v>6680</v>
      </c>
      <c r="C2213" t="s">
        <v>6681</v>
      </c>
    </row>
    <row r="2214" spans="1:3" x14ac:dyDescent="0.35">
      <c r="A2214" t="s">
        <v>6682</v>
      </c>
      <c r="B2214" t="s">
        <v>6683</v>
      </c>
      <c r="C2214" t="s">
        <v>6684</v>
      </c>
    </row>
    <row r="2215" spans="1:3" x14ac:dyDescent="0.35">
      <c r="A2215" t="s">
        <v>6685</v>
      </c>
      <c r="B2215" t="s">
        <v>6686</v>
      </c>
      <c r="C2215" t="s">
        <v>6687</v>
      </c>
    </row>
    <row r="2216" spans="1:3" x14ac:dyDescent="0.35">
      <c r="A2216" t="s">
        <v>6688</v>
      </c>
      <c r="B2216" t="s">
        <v>6689</v>
      </c>
      <c r="C2216" t="s">
        <v>6690</v>
      </c>
    </row>
    <row r="2217" spans="1:3" x14ac:dyDescent="0.35">
      <c r="A2217" t="s">
        <v>6691</v>
      </c>
      <c r="B2217" t="s">
        <v>6692</v>
      </c>
      <c r="C2217" t="s">
        <v>6693</v>
      </c>
    </row>
    <row r="2218" spans="1:3" x14ac:dyDescent="0.35">
      <c r="A2218" t="s">
        <v>6694</v>
      </c>
      <c r="B2218" t="s">
        <v>6695</v>
      </c>
      <c r="C2218" t="s">
        <v>6696</v>
      </c>
    </row>
    <row r="2219" spans="1:3" x14ac:dyDescent="0.35">
      <c r="A2219" t="s">
        <v>6697</v>
      </c>
      <c r="B2219" t="s">
        <v>6698</v>
      </c>
      <c r="C2219" t="s">
        <v>6699</v>
      </c>
    </row>
    <row r="2220" spans="1:3" x14ac:dyDescent="0.35">
      <c r="A2220" t="s">
        <v>6700</v>
      </c>
      <c r="B2220" t="s">
        <v>6701</v>
      </c>
      <c r="C2220" t="s">
        <v>6702</v>
      </c>
    </row>
    <row r="2221" spans="1:3" x14ac:dyDescent="0.35">
      <c r="A2221" t="s">
        <v>6703</v>
      </c>
      <c r="B2221" t="s">
        <v>6704</v>
      </c>
      <c r="C2221" t="s">
        <v>6705</v>
      </c>
    </row>
    <row r="2222" spans="1:3" x14ac:dyDescent="0.35">
      <c r="A2222" t="s">
        <v>6706</v>
      </c>
      <c r="B2222" t="s">
        <v>6707</v>
      </c>
      <c r="C2222" t="s">
        <v>6708</v>
      </c>
    </row>
    <row r="2223" spans="1:3" x14ac:dyDescent="0.35">
      <c r="A2223" t="s">
        <v>6709</v>
      </c>
      <c r="B2223" t="s">
        <v>6710</v>
      </c>
      <c r="C2223" t="s">
        <v>6711</v>
      </c>
    </row>
    <row r="2224" spans="1:3" x14ac:dyDescent="0.35">
      <c r="A2224" t="s">
        <v>6712</v>
      </c>
      <c r="B2224" t="s">
        <v>6713</v>
      </c>
      <c r="C2224" t="s">
        <v>6714</v>
      </c>
    </row>
    <row r="2225" spans="1:3" x14ac:dyDescent="0.35">
      <c r="A2225" t="s">
        <v>6715</v>
      </c>
      <c r="B2225" t="s">
        <v>6716</v>
      </c>
      <c r="C2225" t="s">
        <v>6717</v>
      </c>
    </row>
    <row r="2226" spans="1:3" x14ac:dyDescent="0.35">
      <c r="A2226" t="s">
        <v>6718</v>
      </c>
      <c r="B2226" t="s">
        <v>6719</v>
      </c>
      <c r="C2226" t="s">
        <v>6720</v>
      </c>
    </row>
    <row r="2227" spans="1:3" x14ac:dyDescent="0.35">
      <c r="A2227" t="s">
        <v>6721</v>
      </c>
      <c r="B2227" t="s">
        <v>6722</v>
      </c>
      <c r="C2227" t="s">
        <v>6723</v>
      </c>
    </row>
    <row r="2228" spans="1:3" x14ac:dyDescent="0.35">
      <c r="A2228" t="s">
        <v>6724</v>
      </c>
      <c r="B2228" t="s">
        <v>6725</v>
      </c>
      <c r="C2228" t="s">
        <v>6726</v>
      </c>
    </row>
    <row r="2229" spans="1:3" x14ac:dyDescent="0.35">
      <c r="A2229" t="s">
        <v>6724</v>
      </c>
      <c r="B2229" t="s">
        <v>6727</v>
      </c>
      <c r="C2229" t="s">
        <v>6728</v>
      </c>
    </row>
    <row r="2230" spans="1:3" x14ac:dyDescent="0.35">
      <c r="A2230" t="s">
        <v>6729</v>
      </c>
      <c r="B2230" t="s">
        <v>6730</v>
      </c>
      <c r="C2230" t="s">
        <v>6731</v>
      </c>
    </row>
    <row r="2231" spans="1:3" x14ac:dyDescent="0.35">
      <c r="A2231" t="s">
        <v>6732</v>
      </c>
      <c r="B2231" t="s">
        <v>6733</v>
      </c>
      <c r="C2231" t="s">
        <v>6734</v>
      </c>
    </row>
    <row r="2232" spans="1:3" x14ac:dyDescent="0.35">
      <c r="A2232" t="s">
        <v>6735</v>
      </c>
      <c r="B2232" t="s">
        <v>6736</v>
      </c>
      <c r="C2232" t="s">
        <v>6737</v>
      </c>
    </row>
    <row r="2233" spans="1:3" x14ac:dyDescent="0.35">
      <c r="A2233" t="s">
        <v>6738</v>
      </c>
      <c r="B2233" t="s">
        <v>6739</v>
      </c>
      <c r="C2233" t="s">
        <v>6740</v>
      </c>
    </row>
    <row r="2234" spans="1:3" x14ac:dyDescent="0.35">
      <c r="A2234" t="s">
        <v>6741</v>
      </c>
      <c r="B2234" t="s">
        <v>6742</v>
      </c>
      <c r="C2234" t="s">
        <v>6743</v>
      </c>
    </row>
    <row r="2235" spans="1:3" x14ac:dyDescent="0.35">
      <c r="A2235" t="s">
        <v>6744</v>
      </c>
      <c r="B2235" t="s">
        <v>6745</v>
      </c>
      <c r="C2235" t="s">
        <v>6746</v>
      </c>
    </row>
    <row r="2236" spans="1:3" x14ac:dyDescent="0.35">
      <c r="A2236" t="s">
        <v>6747</v>
      </c>
      <c r="B2236" t="s">
        <v>6748</v>
      </c>
      <c r="C2236" t="s">
        <v>6749</v>
      </c>
    </row>
    <row r="2237" spans="1:3" x14ac:dyDescent="0.35">
      <c r="A2237" t="s">
        <v>6750</v>
      </c>
      <c r="B2237" t="s">
        <v>6751</v>
      </c>
      <c r="C2237" t="s">
        <v>6752</v>
      </c>
    </row>
    <row r="2238" spans="1:3" x14ac:dyDescent="0.35">
      <c r="A2238" t="s">
        <v>6753</v>
      </c>
      <c r="B2238" t="s">
        <v>6754</v>
      </c>
      <c r="C2238" t="s">
        <v>6755</v>
      </c>
    </row>
    <row r="2239" spans="1:3" x14ac:dyDescent="0.35">
      <c r="A2239" t="s">
        <v>6756</v>
      </c>
      <c r="B2239" t="s">
        <v>6757</v>
      </c>
      <c r="C2239" t="s">
        <v>6758</v>
      </c>
    </row>
    <row r="2240" spans="1:3" x14ac:dyDescent="0.35">
      <c r="A2240" t="s">
        <v>6759</v>
      </c>
      <c r="B2240" t="s">
        <v>6760</v>
      </c>
      <c r="C2240" t="s">
        <v>6761</v>
      </c>
    </row>
    <row r="2241" spans="1:3" x14ac:dyDescent="0.35">
      <c r="A2241" t="s">
        <v>6762</v>
      </c>
      <c r="B2241" t="s">
        <v>6763</v>
      </c>
      <c r="C2241" t="s">
        <v>6764</v>
      </c>
    </row>
    <row r="2242" spans="1:3" x14ac:dyDescent="0.35">
      <c r="A2242" t="s">
        <v>6765</v>
      </c>
      <c r="B2242" t="s">
        <v>6766</v>
      </c>
      <c r="C2242" t="s">
        <v>6767</v>
      </c>
    </row>
    <row r="2243" spans="1:3" x14ac:dyDescent="0.35">
      <c r="A2243" t="s">
        <v>6768</v>
      </c>
      <c r="B2243" t="s">
        <v>6769</v>
      </c>
      <c r="C2243" t="s">
        <v>6770</v>
      </c>
    </row>
    <row r="2244" spans="1:3" x14ac:dyDescent="0.35">
      <c r="A2244" t="s">
        <v>6771</v>
      </c>
      <c r="B2244" t="s">
        <v>6772</v>
      </c>
      <c r="C2244" t="s">
        <v>6773</v>
      </c>
    </row>
    <row r="2245" spans="1:3" x14ac:dyDescent="0.35">
      <c r="A2245" t="s">
        <v>6774</v>
      </c>
      <c r="B2245" t="s">
        <v>6775</v>
      </c>
      <c r="C2245" t="s">
        <v>6776</v>
      </c>
    </row>
    <row r="2246" spans="1:3" x14ac:dyDescent="0.35">
      <c r="A2246" t="s">
        <v>6777</v>
      </c>
      <c r="B2246" t="s">
        <v>6778</v>
      </c>
      <c r="C2246" t="s">
        <v>6779</v>
      </c>
    </row>
    <row r="2247" spans="1:3" x14ac:dyDescent="0.35">
      <c r="A2247" t="s">
        <v>6780</v>
      </c>
      <c r="B2247" t="s">
        <v>6781</v>
      </c>
      <c r="C2247" t="s">
        <v>6782</v>
      </c>
    </row>
    <row r="2248" spans="1:3" x14ac:dyDescent="0.35">
      <c r="A2248" t="s">
        <v>6783</v>
      </c>
      <c r="B2248" t="s">
        <v>6784</v>
      </c>
      <c r="C2248" t="s">
        <v>6785</v>
      </c>
    </row>
    <row r="2249" spans="1:3" x14ac:dyDescent="0.35">
      <c r="A2249" t="s">
        <v>6786</v>
      </c>
      <c r="B2249" t="s">
        <v>6787</v>
      </c>
      <c r="C2249" t="s">
        <v>6788</v>
      </c>
    </row>
    <row r="2250" spans="1:3" x14ac:dyDescent="0.35">
      <c r="A2250" t="s">
        <v>6789</v>
      </c>
      <c r="B2250" t="s">
        <v>6790</v>
      </c>
      <c r="C2250" t="s">
        <v>6791</v>
      </c>
    </row>
    <row r="2251" spans="1:3" x14ac:dyDescent="0.35">
      <c r="A2251" t="s">
        <v>6789</v>
      </c>
      <c r="B2251" t="s">
        <v>6792</v>
      </c>
      <c r="C2251" t="s">
        <v>6793</v>
      </c>
    </row>
    <row r="2252" spans="1:3" x14ac:dyDescent="0.35">
      <c r="A2252" t="s">
        <v>6794</v>
      </c>
      <c r="B2252" t="s">
        <v>6795</v>
      </c>
      <c r="C2252" t="s">
        <v>6796</v>
      </c>
    </row>
    <row r="2253" spans="1:3" x14ac:dyDescent="0.35">
      <c r="A2253" t="s">
        <v>6797</v>
      </c>
      <c r="B2253" t="s">
        <v>6798</v>
      </c>
      <c r="C2253" t="s">
        <v>6799</v>
      </c>
    </row>
    <row r="2254" spans="1:3" x14ac:dyDescent="0.35">
      <c r="A2254" t="s">
        <v>6800</v>
      </c>
      <c r="B2254" t="s">
        <v>6801</v>
      </c>
      <c r="C2254" t="s">
        <v>6802</v>
      </c>
    </row>
    <row r="2255" spans="1:3" x14ac:dyDescent="0.35">
      <c r="A2255" t="s">
        <v>6803</v>
      </c>
      <c r="B2255" t="s">
        <v>6804</v>
      </c>
      <c r="C2255" t="s">
        <v>6805</v>
      </c>
    </row>
    <row r="2256" spans="1:3" x14ac:dyDescent="0.35">
      <c r="A2256" t="s">
        <v>6806</v>
      </c>
      <c r="B2256" t="s">
        <v>6790</v>
      </c>
      <c r="C2256" t="s">
        <v>6807</v>
      </c>
    </row>
    <row r="2257" spans="1:3" x14ac:dyDescent="0.35">
      <c r="A2257" t="s">
        <v>6808</v>
      </c>
      <c r="B2257" t="s">
        <v>6809</v>
      </c>
      <c r="C2257" t="s">
        <v>6810</v>
      </c>
    </row>
    <row r="2258" spans="1:3" x14ac:dyDescent="0.35">
      <c r="A2258" t="s">
        <v>6811</v>
      </c>
      <c r="B2258" t="s">
        <v>6812</v>
      </c>
      <c r="C2258" t="s">
        <v>6813</v>
      </c>
    </row>
    <row r="2259" spans="1:3" x14ac:dyDescent="0.35">
      <c r="A2259" t="s">
        <v>6814</v>
      </c>
      <c r="B2259" t="s">
        <v>6815</v>
      </c>
      <c r="C2259" t="s">
        <v>6816</v>
      </c>
    </row>
    <row r="2260" spans="1:3" x14ac:dyDescent="0.35">
      <c r="A2260" t="s">
        <v>6817</v>
      </c>
      <c r="B2260" t="s">
        <v>6818</v>
      </c>
      <c r="C2260" t="s">
        <v>6819</v>
      </c>
    </row>
    <row r="2261" spans="1:3" x14ac:dyDescent="0.35">
      <c r="A2261" t="s">
        <v>6820</v>
      </c>
      <c r="B2261" t="s">
        <v>6821</v>
      </c>
      <c r="C2261" t="s">
        <v>6822</v>
      </c>
    </row>
    <row r="2262" spans="1:3" x14ac:dyDescent="0.35">
      <c r="A2262" t="s">
        <v>6823</v>
      </c>
      <c r="B2262" t="s">
        <v>6824</v>
      </c>
      <c r="C2262" t="s">
        <v>6825</v>
      </c>
    </row>
    <row r="2263" spans="1:3" x14ac:dyDescent="0.35">
      <c r="A2263" t="s">
        <v>6826</v>
      </c>
      <c r="B2263" t="s">
        <v>6827</v>
      </c>
      <c r="C2263" t="s">
        <v>6828</v>
      </c>
    </row>
    <row r="2264" spans="1:3" x14ac:dyDescent="0.35">
      <c r="A2264" t="s">
        <v>6829</v>
      </c>
      <c r="B2264" t="s">
        <v>6830</v>
      </c>
      <c r="C2264" t="s">
        <v>6831</v>
      </c>
    </row>
    <row r="2265" spans="1:3" x14ac:dyDescent="0.35">
      <c r="A2265" t="s">
        <v>6832</v>
      </c>
      <c r="B2265" t="s">
        <v>6833</v>
      </c>
      <c r="C2265" t="s">
        <v>6834</v>
      </c>
    </row>
    <row r="2266" spans="1:3" x14ac:dyDescent="0.35">
      <c r="A2266" t="s">
        <v>6835</v>
      </c>
      <c r="B2266" t="s">
        <v>6836</v>
      </c>
      <c r="C2266" t="s">
        <v>6837</v>
      </c>
    </row>
    <row r="2267" spans="1:3" x14ac:dyDescent="0.35">
      <c r="A2267" t="s">
        <v>6838</v>
      </c>
      <c r="B2267" t="s">
        <v>6839</v>
      </c>
      <c r="C2267" t="s">
        <v>6840</v>
      </c>
    </row>
    <row r="2268" spans="1:3" x14ac:dyDescent="0.35">
      <c r="A2268" t="s">
        <v>6841</v>
      </c>
      <c r="B2268" t="s">
        <v>6842</v>
      </c>
      <c r="C2268" t="s">
        <v>6843</v>
      </c>
    </row>
    <row r="2269" spans="1:3" x14ac:dyDescent="0.35">
      <c r="A2269" t="s">
        <v>6844</v>
      </c>
      <c r="B2269" t="s">
        <v>6845</v>
      </c>
      <c r="C2269" t="s">
        <v>6846</v>
      </c>
    </row>
    <row r="2270" spans="1:3" x14ac:dyDescent="0.35">
      <c r="A2270" t="s">
        <v>6847</v>
      </c>
      <c r="B2270" t="s">
        <v>6848</v>
      </c>
      <c r="C2270" t="s">
        <v>6849</v>
      </c>
    </row>
    <row r="2271" spans="1:3" x14ac:dyDescent="0.35">
      <c r="A2271" t="s">
        <v>6850</v>
      </c>
      <c r="B2271" t="s">
        <v>6851</v>
      </c>
      <c r="C2271" t="s">
        <v>6852</v>
      </c>
    </row>
    <row r="2272" spans="1:3" x14ac:dyDescent="0.35">
      <c r="A2272" t="s">
        <v>6853</v>
      </c>
      <c r="B2272" t="s">
        <v>6854</v>
      </c>
      <c r="C2272" t="s">
        <v>6855</v>
      </c>
    </row>
    <row r="2273" spans="1:3" x14ac:dyDescent="0.35">
      <c r="A2273" t="s">
        <v>6856</v>
      </c>
      <c r="B2273" t="s">
        <v>6857</v>
      </c>
      <c r="C2273" t="s">
        <v>6858</v>
      </c>
    </row>
    <row r="2274" spans="1:3" x14ac:dyDescent="0.35">
      <c r="A2274" t="s">
        <v>6859</v>
      </c>
      <c r="B2274" t="s">
        <v>6860</v>
      </c>
      <c r="C2274" t="s">
        <v>6861</v>
      </c>
    </row>
    <row r="2275" spans="1:3" x14ac:dyDescent="0.35">
      <c r="A2275" t="s">
        <v>6862</v>
      </c>
      <c r="B2275" t="s">
        <v>6863</v>
      </c>
      <c r="C2275" t="s">
        <v>6864</v>
      </c>
    </row>
    <row r="2276" spans="1:3" x14ac:dyDescent="0.35">
      <c r="A2276" t="s">
        <v>6865</v>
      </c>
      <c r="B2276" t="s">
        <v>6866</v>
      </c>
      <c r="C2276" t="s">
        <v>6867</v>
      </c>
    </row>
    <row r="2277" spans="1:3" x14ac:dyDescent="0.35">
      <c r="A2277" t="s">
        <v>6868</v>
      </c>
      <c r="B2277" t="s">
        <v>6869</v>
      </c>
      <c r="C2277" t="s">
        <v>6870</v>
      </c>
    </row>
    <row r="2278" spans="1:3" x14ac:dyDescent="0.35">
      <c r="A2278" t="s">
        <v>6871</v>
      </c>
      <c r="B2278" t="s">
        <v>6872</v>
      </c>
      <c r="C2278" t="s">
        <v>6873</v>
      </c>
    </row>
    <row r="2279" spans="1:3" x14ac:dyDescent="0.35">
      <c r="A2279" t="s">
        <v>6874</v>
      </c>
      <c r="B2279" t="s">
        <v>6875</v>
      </c>
      <c r="C2279" t="s">
        <v>6876</v>
      </c>
    </row>
    <row r="2280" spans="1:3" x14ac:dyDescent="0.35">
      <c r="A2280" t="s">
        <v>6877</v>
      </c>
      <c r="B2280" t="s">
        <v>6878</v>
      </c>
      <c r="C2280" t="s">
        <v>6879</v>
      </c>
    </row>
    <row r="2281" spans="1:3" x14ac:dyDescent="0.35">
      <c r="A2281" t="s">
        <v>6880</v>
      </c>
      <c r="B2281" t="s">
        <v>6881</v>
      </c>
      <c r="C2281" t="s">
        <v>6882</v>
      </c>
    </row>
    <row r="2282" spans="1:3" x14ac:dyDescent="0.35">
      <c r="A2282" t="s">
        <v>6883</v>
      </c>
      <c r="B2282" t="s">
        <v>6884</v>
      </c>
      <c r="C2282" t="s">
        <v>6885</v>
      </c>
    </row>
    <row r="2283" spans="1:3" x14ac:dyDescent="0.35">
      <c r="A2283" t="s">
        <v>6886</v>
      </c>
      <c r="B2283" t="s">
        <v>6887</v>
      </c>
      <c r="C2283" t="s">
        <v>6888</v>
      </c>
    </row>
    <row r="2284" spans="1:3" x14ac:dyDescent="0.35">
      <c r="A2284" t="s">
        <v>6889</v>
      </c>
      <c r="B2284" t="s">
        <v>6890</v>
      </c>
      <c r="C2284" t="s">
        <v>6891</v>
      </c>
    </row>
    <row r="2285" spans="1:3" x14ac:dyDescent="0.35">
      <c r="A2285" t="s">
        <v>6892</v>
      </c>
      <c r="B2285" t="s">
        <v>6893</v>
      </c>
      <c r="C2285" t="s">
        <v>6894</v>
      </c>
    </row>
    <row r="2286" spans="1:3" x14ac:dyDescent="0.35">
      <c r="A2286" t="s">
        <v>6895</v>
      </c>
      <c r="B2286" t="s">
        <v>6896</v>
      </c>
      <c r="C2286" t="s">
        <v>6897</v>
      </c>
    </row>
    <row r="2287" spans="1:3" x14ac:dyDescent="0.35">
      <c r="A2287" t="s">
        <v>6898</v>
      </c>
      <c r="B2287" t="s">
        <v>6899</v>
      </c>
      <c r="C2287" t="s">
        <v>6900</v>
      </c>
    </row>
    <row r="2288" spans="1:3" x14ac:dyDescent="0.35">
      <c r="A2288" t="s">
        <v>6901</v>
      </c>
      <c r="B2288" t="s">
        <v>6902</v>
      </c>
      <c r="C2288" t="s">
        <v>6903</v>
      </c>
    </row>
    <row r="2289" spans="1:3" x14ac:dyDescent="0.35">
      <c r="A2289" t="s">
        <v>6904</v>
      </c>
      <c r="B2289" t="s">
        <v>6905</v>
      </c>
      <c r="C2289" t="s">
        <v>6906</v>
      </c>
    </row>
    <row r="2290" spans="1:3" x14ac:dyDescent="0.35">
      <c r="A2290" t="s">
        <v>6907</v>
      </c>
      <c r="B2290" t="s">
        <v>6908</v>
      </c>
      <c r="C2290" t="s">
        <v>6909</v>
      </c>
    </row>
    <row r="2291" spans="1:3" x14ac:dyDescent="0.35">
      <c r="A2291" t="s">
        <v>6910</v>
      </c>
      <c r="B2291" t="s">
        <v>6911</v>
      </c>
      <c r="C2291" t="s">
        <v>6912</v>
      </c>
    </row>
    <row r="2292" spans="1:3" x14ac:dyDescent="0.35">
      <c r="A2292" t="s">
        <v>6913</v>
      </c>
      <c r="B2292" t="s">
        <v>6914</v>
      </c>
      <c r="C2292" t="s">
        <v>6915</v>
      </c>
    </row>
    <row r="2293" spans="1:3" x14ac:dyDescent="0.35">
      <c r="A2293" t="s">
        <v>6916</v>
      </c>
      <c r="B2293" t="s">
        <v>6917</v>
      </c>
      <c r="C2293" t="s">
        <v>6918</v>
      </c>
    </row>
    <row r="2294" spans="1:3" x14ac:dyDescent="0.35">
      <c r="A2294" t="s">
        <v>6919</v>
      </c>
      <c r="B2294" t="s">
        <v>6920</v>
      </c>
      <c r="C2294" t="s">
        <v>6921</v>
      </c>
    </row>
    <row r="2295" spans="1:3" x14ac:dyDescent="0.35">
      <c r="A2295" t="s">
        <v>6922</v>
      </c>
      <c r="B2295" t="s">
        <v>6923</v>
      </c>
      <c r="C2295" t="s">
        <v>6924</v>
      </c>
    </row>
    <row r="2296" spans="1:3" x14ac:dyDescent="0.35">
      <c r="A2296" t="s">
        <v>6925</v>
      </c>
      <c r="B2296" t="s">
        <v>6926</v>
      </c>
      <c r="C2296" t="s">
        <v>6927</v>
      </c>
    </row>
    <row r="2297" spans="1:3" x14ac:dyDescent="0.35">
      <c r="A2297" t="s">
        <v>6928</v>
      </c>
      <c r="B2297" t="s">
        <v>6929</v>
      </c>
      <c r="C2297" t="s">
        <v>6930</v>
      </c>
    </row>
    <row r="2298" spans="1:3" x14ac:dyDescent="0.35">
      <c r="A2298" t="s">
        <v>6931</v>
      </c>
      <c r="B2298" t="s">
        <v>6932</v>
      </c>
      <c r="C2298" t="s">
        <v>6933</v>
      </c>
    </row>
    <row r="2299" spans="1:3" x14ac:dyDescent="0.35">
      <c r="A2299" t="s">
        <v>6934</v>
      </c>
      <c r="B2299" t="s">
        <v>6935</v>
      </c>
      <c r="C2299" t="s">
        <v>6936</v>
      </c>
    </row>
    <row r="2300" spans="1:3" x14ac:dyDescent="0.35">
      <c r="A2300" t="s">
        <v>6937</v>
      </c>
      <c r="B2300" t="s">
        <v>6938</v>
      </c>
      <c r="C2300" t="s">
        <v>6939</v>
      </c>
    </row>
    <row r="2301" spans="1:3" x14ac:dyDescent="0.35">
      <c r="A2301" t="s">
        <v>6940</v>
      </c>
      <c r="B2301" t="s">
        <v>6941</v>
      </c>
      <c r="C2301" t="s">
        <v>6942</v>
      </c>
    </row>
    <row r="2302" spans="1:3" x14ac:dyDescent="0.35">
      <c r="A2302" t="s">
        <v>6943</v>
      </c>
      <c r="B2302" t="s">
        <v>6944</v>
      </c>
      <c r="C2302" t="s">
        <v>6945</v>
      </c>
    </row>
    <row r="2303" spans="1:3" x14ac:dyDescent="0.35">
      <c r="A2303" t="s">
        <v>6946</v>
      </c>
      <c r="B2303" t="s">
        <v>6947</v>
      </c>
      <c r="C2303" t="s">
        <v>6948</v>
      </c>
    </row>
    <row r="2304" spans="1:3" x14ac:dyDescent="0.35">
      <c r="A2304" t="s">
        <v>6946</v>
      </c>
      <c r="B2304" t="s">
        <v>6949</v>
      </c>
      <c r="C2304" t="s">
        <v>6950</v>
      </c>
    </row>
    <row r="2305" spans="1:3" x14ac:dyDescent="0.35">
      <c r="A2305" t="s">
        <v>6951</v>
      </c>
      <c r="B2305" t="s">
        <v>6952</v>
      </c>
      <c r="C2305" t="s">
        <v>6953</v>
      </c>
    </row>
    <row r="2306" spans="1:3" x14ac:dyDescent="0.35">
      <c r="A2306" t="s">
        <v>6954</v>
      </c>
      <c r="B2306" t="s">
        <v>6955</v>
      </c>
      <c r="C2306" t="s">
        <v>6956</v>
      </c>
    </row>
    <row r="2307" spans="1:3" x14ac:dyDescent="0.35">
      <c r="A2307" t="s">
        <v>6957</v>
      </c>
      <c r="B2307" t="s">
        <v>6958</v>
      </c>
      <c r="C2307" t="s">
        <v>6959</v>
      </c>
    </row>
    <row r="2308" spans="1:3" x14ac:dyDescent="0.35">
      <c r="A2308" t="s">
        <v>6960</v>
      </c>
      <c r="B2308" t="s">
        <v>6961</v>
      </c>
      <c r="C2308" t="s">
        <v>6962</v>
      </c>
    </row>
    <row r="2309" spans="1:3" x14ac:dyDescent="0.35">
      <c r="A2309" t="s">
        <v>6963</v>
      </c>
      <c r="B2309" t="s">
        <v>6944</v>
      </c>
      <c r="C2309" t="s">
        <v>6964</v>
      </c>
    </row>
    <row r="2310" spans="1:3" x14ac:dyDescent="0.35">
      <c r="A2310" t="s">
        <v>6965</v>
      </c>
      <c r="B2310" t="s">
        <v>6966</v>
      </c>
      <c r="C2310" t="s">
        <v>6967</v>
      </c>
    </row>
    <row r="2311" spans="1:3" x14ac:dyDescent="0.35">
      <c r="A2311" t="s">
        <v>6968</v>
      </c>
      <c r="B2311" t="s">
        <v>6969</v>
      </c>
      <c r="C2311" t="s">
        <v>6970</v>
      </c>
    </row>
    <row r="2312" spans="1:3" x14ac:dyDescent="0.35">
      <c r="A2312" t="s">
        <v>6971</v>
      </c>
      <c r="B2312" t="s">
        <v>6972</v>
      </c>
      <c r="C2312" t="s">
        <v>6973</v>
      </c>
    </row>
    <row r="2313" spans="1:3" x14ac:dyDescent="0.35">
      <c r="A2313" t="s">
        <v>6974</v>
      </c>
      <c r="B2313" t="s">
        <v>6974</v>
      </c>
      <c r="C2313" t="s">
        <v>6975</v>
      </c>
    </row>
    <row r="2314" spans="1:3" x14ac:dyDescent="0.35">
      <c r="A2314" t="s">
        <v>6976</v>
      </c>
      <c r="B2314" t="s">
        <v>6977</v>
      </c>
      <c r="C2314" t="s">
        <v>6978</v>
      </c>
    </row>
    <row r="2315" spans="1:3" x14ac:dyDescent="0.35">
      <c r="A2315" t="s">
        <v>6979</v>
      </c>
      <c r="B2315" t="s">
        <v>6980</v>
      </c>
      <c r="C2315" t="s">
        <v>6981</v>
      </c>
    </row>
    <row r="2316" spans="1:3" x14ac:dyDescent="0.35">
      <c r="A2316" t="s">
        <v>6982</v>
      </c>
      <c r="B2316" t="s">
        <v>6983</v>
      </c>
      <c r="C2316" t="s">
        <v>6984</v>
      </c>
    </row>
    <row r="2317" spans="1:3" x14ac:dyDescent="0.35">
      <c r="A2317" t="s">
        <v>6985</v>
      </c>
      <c r="B2317" t="s">
        <v>6986</v>
      </c>
      <c r="C2317" t="s">
        <v>6987</v>
      </c>
    </row>
    <row r="2318" spans="1:3" x14ac:dyDescent="0.35">
      <c r="A2318" t="s">
        <v>6988</v>
      </c>
      <c r="B2318" t="s">
        <v>6989</v>
      </c>
      <c r="C2318" t="s">
        <v>6990</v>
      </c>
    </row>
    <row r="2319" spans="1:3" x14ac:dyDescent="0.35">
      <c r="A2319" t="s">
        <v>96</v>
      </c>
      <c r="B2319" t="s">
        <v>6991</v>
      </c>
      <c r="C2319" t="s">
        <v>6992</v>
      </c>
    </row>
    <row r="2320" spans="1:3" x14ac:dyDescent="0.35">
      <c r="A2320" t="s">
        <v>6993</v>
      </c>
      <c r="B2320" t="s">
        <v>6994</v>
      </c>
      <c r="C2320" t="s">
        <v>6995</v>
      </c>
    </row>
    <row r="2321" spans="1:3" x14ac:dyDescent="0.35">
      <c r="A2321" t="s">
        <v>6996</v>
      </c>
      <c r="B2321" t="s">
        <v>6997</v>
      </c>
      <c r="C2321" t="s">
        <v>6998</v>
      </c>
    </row>
    <row r="2322" spans="1:3" x14ac:dyDescent="0.35">
      <c r="A2322" t="s">
        <v>6999</v>
      </c>
      <c r="B2322" t="s">
        <v>7000</v>
      </c>
      <c r="C2322" t="s">
        <v>7001</v>
      </c>
    </row>
    <row r="2323" spans="1:3" x14ac:dyDescent="0.35">
      <c r="A2323" t="s">
        <v>7002</v>
      </c>
      <c r="B2323" t="s">
        <v>7003</v>
      </c>
      <c r="C2323" t="s">
        <v>7004</v>
      </c>
    </row>
    <row r="2324" spans="1:3" x14ac:dyDescent="0.35">
      <c r="A2324" t="s">
        <v>7005</v>
      </c>
      <c r="B2324" t="s">
        <v>7006</v>
      </c>
      <c r="C2324" t="s">
        <v>7007</v>
      </c>
    </row>
    <row r="2325" spans="1:3" x14ac:dyDescent="0.35">
      <c r="A2325" t="s">
        <v>7008</v>
      </c>
      <c r="B2325" t="s">
        <v>7009</v>
      </c>
      <c r="C2325" t="s">
        <v>7010</v>
      </c>
    </row>
    <row r="2326" spans="1:3" x14ac:dyDescent="0.35">
      <c r="A2326" t="s">
        <v>7011</v>
      </c>
      <c r="B2326" t="s">
        <v>7012</v>
      </c>
      <c r="C2326" t="s">
        <v>7013</v>
      </c>
    </row>
    <row r="2327" spans="1:3" x14ac:dyDescent="0.35">
      <c r="A2327" t="s">
        <v>7014</v>
      </c>
      <c r="B2327" t="s">
        <v>7015</v>
      </c>
      <c r="C2327" t="s">
        <v>7016</v>
      </c>
    </row>
    <row r="2328" spans="1:3" x14ac:dyDescent="0.35">
      <c r="A2328" t="s">
        <v>7014</v>
      </c>
      <c r="B2328" t="s">
        <v>7017</v>
      </c>
      <c r="C2328" t="s">
        <v>7018</v>
      </c>
    </row>
    <row r="2329" spans="1:3" x14ac:dyDescent="0.35">
      <c r="A2329" t="s">
        <v>7019</v>
      </c>
      <c r="B2329" t="s">
        <v>7020</v>
      </c>
      <c r="C2329" t="s">
        <v>7021</v>
      </c>
    </row>
    <row r="2330" spans="1:3" x14ac:dyDescent="0.35">
      <c r="A2330" t="s">
        <v>7022</v>
      </c>
      <c r="B2330" t="s">
        <v>7023</v>
      </c>
      <c r="C2330" t="s">
        <v>7024</v>
      </c>
    </row>
    <row r="2331" spans="1:3" x14ac:dyDescent="0.35">
      <c r="A2331" t="s">
        <v>7025</v>
      </c>
      <c r="B2331" t="s">
        <v>7026</v>
      </c>
      <c r="C2331" t="s">
        <v>7027</v>
      </c>
    </row>
    <row r="2332" spans="1:3" x14ac:dyDescent="0.35">
      <c r="A2332" t="s">
        <v>7028</v>
      </c>
      <c r="B2332" t="s">
        <v>7029</v>
      </c>
      <c r="C2332" t="s">
        <v>7030</v>
      </c>
    </row>
    <row r="2333" spans="1:3" x14ac:dyDescent="0.35">
      <c r="A2333" t="s">
        <v>7031</v>
      </c>
      <c r="B2333" t="s">
        <v>7032</v>
      </c>
      <c r="C2333" t="s">
        <v>7033</v>
      </c>
    </row>
    <row r="2334" spans="1:3" x14ac:dyDescent="0.35">
      <c r="A2334" t="s">
        <v>7031</v>
      </c>
      <c r="B2334" t="s">
        <v>7034</v>
      </c>
      <c r="C2334" t="s">
        <v>7035</v>
      </c>
    </row>
    <row r="2335" spans="1:3" x14ac:dyDescent="0.35">
      <c r="A2335" t="s">
        <v>7036</v>
      </c>
      <c r="B2335" t="s">
        <v>7037</v>
      </c>
      <c r="C2335" t="s">
        <v>7038</v>
      </c>
    </row>
    <row r="2336" spans="1:3" x14ac:dyDescent="0.35">
      <c r="A2336" t="s">
        <v>7039</v>
      </c>
      <c r="B2336" t="s">
        <v>7040</v>
      </c>
      <c r="C2336" t="s">
        <v>7041</v>
      </c>
    </row>
    <row r="2337" spans="1:3" x14ac:dyDescent="0.35">
      <c r="A2337" t="s">
        <v>7042</v>
      </c>
      <c r="B2337" t="s">
        <v>7043</v>
      </c>
      <c r="C2337" t="s">
        <v>7044</v>
      </c>
    </row>
    <row r="2338" spans="1:3" x14ac:dyDescent="0.35">
      <c r="A2338" t="s">
        <v>7045</v>
      </c>
      <c r="B2338" t="s">
        <v>7046</v>
      </c>
      <c r="C2338" t="s">
        <v>7047</v>
      </c>
    </row>
    <row r="2339" spans="1:3" x14ac:dyDescent="0.35">
      <c r="A2339" t="s">
        <v>7048</v>
      </c>
      <c r="B2339" t="s">
        <v>7049</v>
      </c>
      <c r="C2339" t="s">
        <v>7050</v>
      </c>
    </row>
    <row r="2340" spans="1:3" x14ac:dyDescent="0.35">
      <c r="A2340" t="s">
        <v>7051</v>
      </c>
      <c r="B2340" t="s">
        <v>7052</v>
      </c>
      <c r="C2340" t="s">
        <v>7053</v>
      </c>
    </row>
    <row r="2341" spans="1:3" x14ac:dyDescent="0.35">
      <c r="A2341" t="s">
        <v>7054</v>
      </c>
      <c r="B2341" t="s">
        <v>7055</v>
      </c>
      <c r="C2341" t="s">
        <v>7056</v>
      </c>
    </row>
    <row r="2342" spans="1:3" x14ac:dyDescent="0.35">
      <c r="A2342" t="s">
        <v>7057</v>
      </c>
      <c r="B2342" t="s">
        <v>7058</v>
      </c>
      <c r="C2342" t="s">
        <v>7059</v>
      </c>
    </row>
    <row r="2343" spans="1:3" x14ac:dyDescent="0.35">
      <c r="A2343" t="s">
        <v>7060</v>
      </c>
      <c r="B2343" t="s">
        <v>7061</v>
      </c>
      <c r="C2343" t="s">
        <v>7062</v>
      </c>
    </row>
    <row r="2344" spans="1:3" x14ac:dyDescent="0.35">
      <c r="A2344" t="s">
        <v>7063</v>
      </c>
      <c r="B2344" t="s">
        <v>7064</v>
      </c>
      <c r="C2344" t="s">
        <v>7065</v>
      </c>
    </row>
    <row r="2345" spans="1:3" x14ac:dyDescent="0.35">
      <c r="A2345" t="s">
        <v>7066</v>
      </c>
      <c r="B2345" t="s">
        <v>7067</v>
      </c>
      <c r="C2345" t="s">
        <v>7068</v>
      </c>
    </row>
    <row r="2346" spans="1:3" x14ac:dyDescent="0.35">
      <c r="A2346" t="s">
        <v>7069</v>
      </c>
      <c r="B2346" t="s">
        <v>7070</v>
      </c>
      <c r="C2346" t="s">
        <v>7071</v>
      </c>
    </row>
    <row r="2347" spans="1:3" x14ac:dyDescent="0.35">
      <c r="A2347" t="s">
        <v>7072</v>
      </c>
      <c r="B2347" t="s">
        <v>7073</v>
      </c>
      <c r="C2347" t="s">
        <v>7074</v>
      </c>
    </row>
    <row r="2348" spans="1:3" x14ac:dyDescent="0.35">
      <c r="A2348" t="s">
        <v>7075</v>
      </c>
      <c r="B2348" t="s">
        <v>7076</v>
      </c>
      <c r="C2348" t="s">
        <v>7077</v>
      </c>
    </row>
    <row r="2349" spans="1:3" x14ac:dyDescent="0.35">
      <c r="A2349" t="s">
        <v>7078</v>
      </c>
      <c r="B2349" t="s">
        <v>7079</v>
      </c>
      <c r="C2349" t="s">
        <v>7080</v>
      </c>
    </row>
    <row r="2350" spans="1:3" x14ac:dyDescent="0.35">
      <c r="A2350" t="s">
        <v>7081</v>
      </c>
      <c r="B2350" t="s">
        <v>7082</v>
      </c>
      <c r="C2350" t="s">
        <v>7083</v>
      </c>
    </row>
    <row r="2351" spans="1:3" x14ac:dyDescent="0.35">
      <c r="A2351" t="s">
        <v>7084</v>
      </c>
      <c r="B2351" t="s">
        <v>7085</v>
      </c>
      <c r="C2351" t="s">
        <v>7086</v>
      </c>
    </row>
    <row r="2352" spans="1:3" x14ac:dyDescent="0.35">
      <c r="A2352" t="s">
        <v>7087</v>
      </c>
      <c r="B2352" t="s">
        <v>7088</v>
      </c>
      <c r="C2352" t="s">
        <v>7089</v>
      </c>
    </row>
    <row r="2353" spans="1:3" x14ac:dyDescent="0.35">
      <c r="A2353" t="s">
        <v>7090</v>
      </c>
      <c r="B2353" t="s">
        <v>7091</v>
      </c>
      <c r="C2353" t="s">
        <v>7092</v>
      </c>
    </row>
    <row r="2354" spans="1:3" x14ac:dyDescent="0.35">
      <c r="A2354" t="s">
        <v>7093</v>
      </c>
      <c r="B2354" t="s">
        <v>7094</v>
      </c>
      <c r="C2354" t="s">
        <v>7095</v>
      </c>
    </row>
    <row r="2355" spans="1:3" x14ac:dyDescent="0.35">
      <c r="A2355" t="s">
        <v>7096</v>
      </c>
      <c r="B2355" t="s">
        <v>7097</v>
      </c>
      <c r="C2355" t="s">
        <v>7098</v>
      </c>
    </row>
    <row r="2356" spans="1:3" x14ac:dyDescent="0.35">
      <c r="A2356" t="s">
        <v>7099</v>
      </c>
      <c r="B2356" t="s">
        <v>7100</v>
      </c>
      <c r="C2356" t="s">
        <v>7101</v>
      </c>
    </row>
    <row r="2357" spans="1:3" x14ac:dyDescent="0.35">
      <c r="A2357" t="s">
        <v>7102</v>
      </c>
      <c r="B2357" t="s">
        <v>7103</v>
      </c>
      <c r="C2357" t="s">
        <v>7104</v>
      </c>
    </row>
    <row r="2358" spans="1:3" x14ac:dyDescent="0.35">
      <c r="A2358" t="s">
        <v>7105</v>
      </c>
      <c r="B2358" t="s">
        <v>7106</v>
      </c>
      <c r="C2358" t="s">
        <v>7107</v>
      </c>
    </row>
    <row r="2359" spans="1:3" x14ac:dyDescent="0.35">
      <c r="A2359" t="s">
        <v>7108</v>
      </c>
      <c r="B2359" t="s">
        <v>7109</v>
      </c>
      <c r="C2359" t="s">
        <v>7110</v>
      </c>
    </row>
    <row r="2360" spans="1:3" x14ac:dyDescent="0.35">
      <c r="A2360" t="s">
        <v>7111</v>
      </c>
      <c r="B2360" t="s">
        <v>7112</v>
      </c>
      <c r="C2360" t="s">
        <v>7113</v>
      </c>
    </row>
    <row r="2361" spans="1:3" x14ac:dyDescent="0.35">
      <c r="A2361" t="s">
        <v>7114</v>
      </c>
      <c r="B2361" t="s">
        <v>7115</v>
      </c>
      <c r="C2361" t="s">
        <v>7116</v>
      </c>
    </row>
    <row r="2362" spans="1:3" x14ac:dyDescent="0.35">
      <c r="A2362" t="s">
        <v>7117</v>
      </c>
      <c r="B2362" t="s">
        <v>7118</v>
      </c>
      <c r="C2362" t="s">
        <v>7119</v>
      </c>
    </row>
    <row r="2363" spans="1:3" x14ac:dyDescent="0.35">
      <c r="A2363" t="s">
        <v>7120</v>
      </c>
      <c r="B2363" t="s">
        <v>7121</v>
      </c>
      <c r="C2363" t="s">
        <v>7122</v>
      </c>
    </row>
    <row r="2364" spans="1:3" x14ac:dyDescent="0.35">
      <c r="A2364" t="s">
        <v>7123</v>
      </c>
      <c r="B2364" t="s">
        <v>7124</v>
      </c>
      <c r="C2364" t="s">
        <v>7125</v>
      </c>
    </row>
    <row r="2365" spans="1:3" x14ac:dyDescent="0.35">
      <c r="A2365" t="s">
        <v>7126</v>
      </c>
      <c r="B2365" t="s">
        <v>7127</v>
      </c>
      <c r="C2365" t="s">
        <v>7128</v>
      </c>
    </row>
    <row r="2366" spans="1:3" x14ac:dyDescent="0.35">
      <c r="A2366" t="s">
        <v>7129</v>
      </c>
      <c r="B2366" t="s">
        <v>7130</v>
      </c>
      <c r="C2366" t="s">
        <v>7131</v>
      </c>
    </row>
    <row r="2367" spans="1:3" x14ac:dyDescent="0.35">
      <c r="A2367" t="s">
        <v>7132</v>
      </c>
      <c r="B2367" t="s">
        <v>7133</v>
      </c>
      <c r="C2367" t="s">
        <v>7134</v>
      </c>
    </row>
    <row r="2368" spans="1:3" x14ac:dyDescent="0.35">
      <c r="A2368" t="s">
        <v>7135</v>
      </c>
      <c r="B2368" t="s">
        <v>7136</v>
      </c>
      <c r="C2368" t="s">
        <v>7137</v>
      </c>
    </row>
    <row r="2369" spans="1:3" x14ac:dyDescent="0.35">
      <c r="A2369" t="s">
        <v>7138</v>
      </c>
      <c r="B2369" t="s">
        <v>7139</v>
      </c>
      <c r="C2369" t="s">
        <v>7140</v>
      </c>
    </row>
    <row r="2370" spans="1:3" x14ac:dyDescent="0.35">
      <c r="A2370" t="s">
        <v>7141</v>
      </c>
      <c r="B2370" t="s">
        <v>7142</v>
      </c>
      <c r="C2370" t="s">
        <v>7143</v>
      </c>
    </row>
    <row r="2371" spans="1:3" x14ac:dyDescent="0.35">
      <c r="A2371" t="s">
        <v>7144</v>
      </c>
      <c r="B2371" t="s">
        <v>7145</v>
      </c>
      <c r="C2371" t="s">
        <v>7146</v>
      </c>
    </row>
    <row r="2372" spans="1:3" x14ac:dyDescent="0.35">
      <c r="A2372" t="s">
        <v>7147</v>
      </c>
      <c r="B2372" t="s">
        <v>7148</v>
      </c>
      <c r="C2372" t="s">
        <v>7149</v>
      </c>
    </row>
    <row r="2373" spans="1:3" x14ac:dyDescent="0.35">
      <c r="A2373" t="s">
        <v>7150</v>
      </c>
      <c r="B2373" t="s">
        <v>7151</v>
      </c>
      <c r="C2373" t="s">
        <v>7152</v>
      </c>
    </row>
    <row r="2374" spans="1:3" x14ac:dyDescent="0.35">
      <c r="A2374" t="s">
        <v>7153</v>
      </c>
      <c r="B2374" t="s">
        <v>7154</v>
      </c>
      <c r="C2374" t="s">
        <v>7155</v>
      </c>
    </row>
    <row r="2375" spans="1:3" x14ac:dyDescent="0.35">
      <c r="A2375" t="s">
        <v>7156</v>
      </c>
      <c r="B2375" t="s">
        <v>7157</v>
      </c>
      <c r="C2375" t="s">
        <v>7158</v>
      </c>
    </row>
    <row r="2376" spans="1:3" x14ac:dyDescent="0.35">
      <c r="A2376" t="s">
        <v>7159</v>
      </c>
      <c r="B2376" t="s">
        <v>7160</v>
      </c>
      <c r="C2376" t="s">
        <v>7161</v>
      </c>
    </row>
    <row r="2377" spans="1:3" x14ac:dyDescent="0.35">
      <c r="A2377" t="s">
        <v>7162</v>
      </c>
      <c r="B2377" t="s">
        <v>7163</v>
      </c>
      <c r="C2377" t="s">
        <v>7164</v>
      </c>
    </row>
    <row r="2378" spans="1:3" x14ac:dyDescent="0.35">
      <c r="A2378" t="s">
        <v>7165</v>
      </c>
      <c r="B2378" t="s">
        <v>7166</v>
      </c>
      <c r="C2378" t="s">
        <v>7167</v>
      </c>
    </row>
    <row r="2379" spans="1:3" x14ac:dyDescent="0.35">
      <c r="A2379" t="s">
        <v>7168</v>
      </c>
      <c r="B2379" t="s">
        <v>7169</v>
      </c>
      <c r="C2379" t="s">
        <v>7170</v>
      </c>
    </row>
    <row r="2380" spans="1:3" x14ac:dyDescent="0.35">
      <c r="A2380" t="s">
        <v>7171</v>
      </c>
      <c r="B2380" t="s">
        <v>7172</v>
      </c>
      <c r="C2380" t="s">
        <v>7173</v>
      </c>
    </row>
    <row r="2381" spans="1:3" x14ac:dyDescent="0.35">
      <c r="A2381" t="s">
        <v>7174</v>
      </c>
      <c r="B2381" t="s">
        <v>7175</v>
      </c>
      <c r="C2381" t="s">
        <v>7176</v>
      </c>
    </row>
    <row r="2382" spans="1:3" x14ac:dyDescent="0.35">
      <c r="A2382" t="s">
        <v>7177</v>
      </c>
      <c r="B2382" t="s">
        <v>7178</v>
      </c>
      <c r="C2382" t="s">
        <v>7179</v>
      </c>
    </row>
    <row r="2383" spans="1:3" x14ac:dyDescent="0.35">
      <c r="A2383" t="s">
        <v>7177</v>
      </c>
      <c r="B2383" t="s">
        <v>7180</v>
      </c>
      <c r="C2383" t="s">
        <v>7181</v>
      </c>
    </row>
    <row r="2384" spans="1:3" x14ac:dyDescent="0.35">
      <c r="A2384" t="s">
        <v>7182</v>
      </c>
      <c r="B2384" t="s">
        <v>7183</v>
      </c>
      <c r="C2384" t="s">
        <v>7184</v>
      </c>
    </row>
    <row r="2385" spans="1:3" x14ac:dyDescent="0.35">
      <c r="A2385" t="s">
        <v>7185</v>
      </c>
      <c r="B2385" t="s">
        <v>7186</v>
      </c>
      <c r="C2385" t="s">
        <v>7187</v>
      </c>
    </row>
    <row r="2386" spans="1:3" x14ac:dyDescent="0.35">
      <c r="A2386" t="s">
        <v>7188</v>
      </c>
      <c r="B2386" t="s">
        <v>7189</v>
      </c>
      <c r="C2386" t="s">
        <v>7190</v>
      </c>
    </row>
    <row r="2387" spans="1:3" x14ac:dyDescent="0.35">
      <c r="A2387" t="s">
        <v>7191</v>
      </c>
      <c r="B2387" t="s">
        <v>7192</v>
      </c>
      <c r="C2387" t="s">
        <v>7193</v>
      </c>
    </row>
    <row r="2388" spans="1:3" x14ac:dyDescent="0.35">
      <c r="A2388" t="s">
        <v>7194</v>
      </c>
      <c r="B2388" t="s">
        <v>7195</v>
      </c>
      <c r="C2388" t="s">
        <v>7196</v>
      </c>
    </row>
    <row r="2389" spans="1:3" x14ac:dyDescent="0.35">
      <c r="A2389" t="s">
        <v>7197</v>
      </c>
      <c r="B2389" t="s">
        <v>7198</v>
      </c>
      <c r="C2389" t="s">
        <v>7199</v>
      </c>
    </row>
    <row r="2390" spans="1:3" x14ac:dyDescent="0.35">
      <c r="A2390" t="s">
        <v>7200</v>
      </c>
      <c r="B2390" t="s">
        <v>7201</v>
      </c>
      <c r="C2390" t="s">
        <v>7202</v>
      </c>
    </row>
    <row r="2391" spans="1:3" x14ac:dyDescent="0.35">
      <c r="A2391" t="s">
        <v>7203</v>
      </c>
      <c r="B2391" t="s">
        <v>7204</v>
      </c>
      <c r="C2391" t="s">
        <v>7205</v>
      </c>
    </row>
    <row r="2392" spans="1:3" x14ac:dyDescent="0.35">
      <c r="A2392" t="s">
        <v>7206</v>
      </c>
      <c r="B2392" t="s">
        <v>7207</v>
      </c>
      <c r="C2392" t="s">
        <v>7208</v>
      </c>
    </row>
    <row r="2393" spans="1:3" x14ac:dyDescent="0.35">
      <c r="A2393" t="s">
        <v>7209</v>
      </c>
      <c r="B2393" t="s">
        <v>7210</v>
      </c>
      <c r="C2393" t="s">
        <v>7211</v>
      </c>
    </row>
    <row r="2394" spans="1:3" x14ac:dyDescent="0.35">
      <c r="A2394" t="s">
        <v>7212</v>
      </c>
      <c r="B2394" t="s">
        <v>7213</v>
      </c>
      <c r="C2394" t="s">
        <v>7214</v>
      </c>
    </row>
    <row r="2395" spans="1:3" x14ac:dyDescent="0.35">
      <c r="A2395" t="s">
        <v>7215</v>
      </c>
      <c r="B2395" t="s">
        <v>7216</v>
      </c>
      <c r="C2395" t="s">
        <v>7217</v>
      </c>
    </row>
    <row r="2396" spans="1:3" x14ac:dyDescent="0.35">
      <c r="A2396" t="s">
        <v>7218</v>
      </c>
      <c r="B2396" t="s">
        <v>7219</v>
      </c>
      <c r="C2396" t="s">
        <v>7220</v>
      </c>
    </row>
    <row r="2397" spans="1:3" x14ac:dyDescent="0.35">
      <c r="A2397" t="s">
        <v>7221</v>
      </c>
      <c r="B2397" t="s">
        <v>7222</v>
      </c>
      <c r="C2397" t="s">
        <v>7223</v>
      </c>
    </row>
    <row r="2398" spans="1:3" x14ac:dyDescent="0.35">
      <c r="A2398" t="s">
        <v>7224</v>
      </c>
      <c r="B2398" t="s">
        <v>7225</v>
      </c>
      <c r="C2398" t="s">
        <v>7226</v>
      </c>
    </row>
    <row r="2399" spans="1:3" x14ac:dyDescent="0.35">
      <c r="A2399" t="s">
        <v>7227</v>
      </c>
      <c r="B2399" t="s">
        <v>7228</v>
      </c>
      <c r="C2399" t="s">
        <v>7229</v>
      </c>
    </row>
    <row r="2400" spans="1:3" x14ac:dyDescent="0.35">
      <c r="A2400" t="s">
        <v>7227</v>
      </c>
      <c r="B2400" t="s">
        <v>7230</v>
      </c>
      <c r="C2400" t="s">
        <v>7231</v>
      </c>
    </row>
    <row r="2401" spans="1:3" x14ac:dyDescent="0.35">
      <c r="A2401" t="s">
        <v>7232</v>
      </c>
      <c r="B2401" t="s">
        <v>7233</v>
      </c>
      <c r="C2401" t="s">
        <v>7234</v>
      </c>
    </row>
    <row r="2402" spans="1:3" x14ac:dyDescent="0.35">
      <c r="A2402" t="s">
        <v>7235</v>
      </c>
      <c r="B2402" t="s">
        <v>7236</v>
      </c>
      <c r="C2402" t="s">
        <v>7237</v>
      </c>
    </row>
    <row r="2403" spans="1:3" x14ac:dyDescent="0.35">
      <c r="A2403" t="s">
        <v>7238</v>
      </c>
      <c r="B2403" t="s">
        <v>7239</v>
      </c>
      <c r="C2403" t="s">
        <v>7240</v>
      </c>
    </row>
    <row r="2404" spans="1:3" x14ac:dyDescent="0.35">
      <c r="A2404" t="s">
        <v>7241</v>
      </c>
      <c r="B2404" t="s">
        <v>7242</v>
      </c>
      <c r="C2404" t="s">
        <v>7243</v>
      </c>
    </row>
    <row r="2405" spans="1:3" x14ac:dyDescent="0.35">
      <c r="A2405" t="s">
        <v>7244</v>
      </c>
      <c r="B2405" t="s">
        <v>7245</v>
      </c>
      <c r="C2405" t="s">
        <v>7246</v>
      </c>
    </row>
    <row r="2406" spans="1:3" x14ac:dyDescent="0.35">
      <c r="A2406" t="s">
        <v>7247</v>
      </c>
      <c r="B2406" t="s">
        <v>7248</v>
      </c>
      <c r="C2406" t="s">
        <v>7249</v>
      </c>
    </row>
    <row r="2407" spans="1:3" x14ac:dyDescent="0.35">
      <c r="A2407" t="s">
        <v>7250</v>
      </c>
      <c r="B2407" t="s">
        <v>7251</v>
      </c>
      <c r="C2407" t="s">
        <v>7252</v>
      </c>
    </row>
    <row r="2408" spans="1:3" x14ac:dyDescent="0.35">
      <c r="A2408" t="s">
        <v>7253</v>
      </c>
      <c r="B2408" t="s">
        <v>7254</v>
      </c>
      <c r="C2408" t="s">
        <v>7255</v>
      </c>
    </row>
    <row r="2409" spans="1:3" x14ac:dyDescent="0.35">
      <c r="A2409" t="s">
        <v>7256</v>
      </c>
      <c r="B2409" t="s">
        <v>7257</v>
      </c>
      <c r="C2409" t="s">
        <v>7258</v>
      </c>
    </row>
    <row r="2410" spans="1:3" x14ac:dyDescent="0.35">
      <c r="A2410" t="s">
        <v>7259</v>
      </c>
      <c r="B2410" t="s">
        <v>7260</v>
      </c>
      <c r="C2410" t="s">
        <v>7261</v>
      </c>
    </row>
    <row r="2411" spans="1:3" x14ac:dyDescent="0.35">
      <c r="A2411" t="s">
        <v>7262</v>
      </c>
      <c r="B2411" t="s">
        <v>7263</v>
      </c>
      <c r="C2411" t="s">
        <v>7264</v>
      </c>
    </row>
    <row r="2412" spans="1:3" x14ac:dyDescent="0.35">
      <c r="A2412" t="s">
        <v>7265</v>
      </c>
      <c r="B2412" t="s">
        <v>7266</v>
      </c>
      <c r="C2412" t="s">
        <v>7267</v>
      </c>
    </row>
    <row r="2413" spans="1:3" x14ac:dyDescent="0.35">
      <c r="A2413" t="s">
        <v>7268</v>
      </c>
      <c r="B2413" t="s">
        <v>7269</v>
      </c>
      <c r="C2413" t="s">
        <v>7270</v>
      </c>
    </row>
    <row r="2414" spans="1:3" x14ac:dyDescent="0.35">
      <c r="A2414" t="s">
        <v>7271</v>
      </c>
      <c r="B2414" t="s">
        <v>7272</v>
      </c>
      <c r="C2414" t="s">
        <v>7273</v>
      </c>
    </row>
    <row r="2415" spans="1:3" x14ac:dyDescent="0.35">
      <c r="A2415" t="s">
        <v>7274</v>
      </c>
      <c r="B2415" t="s">
        <v>7275</v>
      </c>
      <c r="C2415" t="s">
        <v>7276</v>
      </c>
    </row>
    <row r="2416" spans="1:3" x14ac:dyDescent="0.35">
      <c r="A2416" t="s">
        <v>7277</v>
      </c>
      <c r="B2416" t="s">
        <v>7278</v>
      </c>
      <c r="C2416" t="s">
        <v>7279</v>
      </c>
    </row>
    <row r="2417" spans="1:3" x14ac:dyDescent="0.35">
      <c r="A2417" t="s">
        <v>7280</v>
      </c>
      <c r="B2417" t="s">
        <v>7281</v>
      </c>
      <c r="C2417" t="s">
        <v>7282</v>
      </c>
    </row>
    <row r="2418" spans="1:3" x14ac:dyDescent="0.35">
      <c r="A2418" t="s">
        <v>7283</v>
      </c>
      <c r="B2418" t="s">
        <v>7284</v>
      </c>
      <c r="C2418" t="s">
        <v>7285</v>
      </c>
    </row>
    <row r="2419" spans="1:3" x14ac:dyDescent="0.35">
      <c r="A2419" t="s">
        <v>7283</v>
      </c>
      <c r="B2419" t="s">
        <v>7286</v>
      </c>
      <c r="C2419" t="s">
        <v>7287</v>
      </c>
    </row>
    <row r="2420" spans="1:3" x14ac:dyDescent="0.35">
      <c r="A2420" t="s">
        <v>7288</v>
      </c>
      <c r="B2420" t="s">
        <v>7289</v>
      </c>
      <c r="C2420" t="s">
        <v>7290</v>
      </c>
    </row>
    <row r="2421" spans="1:3" x14ac:dyDescent="0.35">
      <c r="A2421" t="s">
        <v>7291</v>
      </c>
      <c r="B2421" t="s">
        <v>7292</v>
      </c>
      <c r="C2421" t="s">
        <v>7293</v>
      </c>
    </row>
    <row r="2422" spans="1:3" x14ac:dyDescent="0.35">
      <c r="A2422" t="s">
        <v>7294</v>
      </c>
      <c r="B2422" t="s">
        <v>7295</v>
      </c>
      <c r="C2422" t="s">
        <v>7296</v>
      </c>
    </row>
    <row r="2423" spans="1:3" x14ac:dyDescent="0.35">
      <c r="A2423" t="s">
        <v>7297</v>
      </c>
      <c r="B2423" t="s">
        <v>7298</v>
      </c>
      <c r="C2423" t="s">
        <v>7299</v>
      </c>
    </row>
    <row r="2424" spans="1:3" x14ac:dyDescent="0.35">
      <c r="A2424" t="s">
        <v>7300</v>
      </c>
      <c r="B2424" t="s">
        <v>7301</v>
      </c>
      <c r="C2424" t="s">
        <v>7302</v>
      </c>
    </row>
    <row r="2425" spans="1:3" x14ac:dyDescent="0.35">
      <c r="A2425" t="s">
        <v>7303</v>
      </c>
      <c r="B2425" t="s">
        <v>7304</v>
      </c>
      <c r="C2425" t="s">
        <v>7305</v>
      </c>
    </row>
    <row r="2426" spans="1:3" x14ac:dyDescent="0.35">
      <c r="A2426" t="s">
        <v>7306</v>
      </c>
      <c r="B2426" t="s">
        <v>7307</v>
      </c>
      <c r="C2426" t="s">
        <v>7308</v>
      </c>
    </row>
    <row r="2427" spans="1:3" x14ac:dyDescent="0.35">
      <c r="A2427" t="s">
        <v>7309</v>
      </c>
      <c r="B2427" t="s">
        <v>7310</v>
      </c>
      <c r="C2427" t="s">
        <v>7311</v>
      </c>
    </row>
    <row r="2428" spans="1:3" x14ac:dyDescent="0.35">
      <c r="A2428" t="s">
        <v>7312</v>
      </c>
      <c r="B2428" t="s">
        <v>7313</v>
      </c>
      <c r="C2428" t="s">
        <v>7314</v>
      </c>
    </row>
    <row r="2429" spans="1:3" x14ac:dyDescent="0.35">
      <c r="A2429" t="s">
        <v>7315</v>
      </c>
      <c r="B2429" t="s">
        <v>7316</v>
      </c>
      <c r="C2429" t="s">
        <v>7317</v>
      </c>
    </row>
    <row r="2430" spans="1:3" x14ac:dyDescent="0.35">
      <c r="A2430" t="s">
        <v>7318</v>
      </c>
      <c r="B2430" t="s">
        <v>7319</v>
      </c>
      <c r="C2430" t="s">
        <v>7320</v>
      </c>
    </row>
    <row r="2431" spans="1:3" x14ac:dyDescent="0.35">
      <c r="A2431" t="s">
        <v>7321</v>
      </c>
      <c r="B2431" t="s">
        <v>7322</v>
      </c>
      <c r="C2431" t="s">
        <v>7323</v>
      </c>
    </row>
    <row r="2432" spans="1:3" x14ac:dyDescent="0.35">
      <c r="A2432" t="s">
        <v>7324</v>
      </c>
      <c r="B2432" t="s">
        <v>7325</v>
      </c>
      <c r="C2432" t="s">
        <v>7326</v>
      </c>
    </row>
    <row r="2433" spans="1:3" x14ac:dyDescent="0.35">
      <c r="A2433" t="s">
        <v>7327</v>
      </c>
      <c r="B2433" t="s">
        <v>7328</v>
      </c>
      <c r="C2433" t="s">
        <v>7329</v>
      </c>
    </row>
    <row r="2434" spans="1:3" x14ac:dyDescent="0.35">
      <c r="A2434" t="s">
        <v>7330</v>
      </c>
      <c r="B2434" t="s">
        <v>7331</v>
      </c>
      <c r="C2434" t="s">
        <v>7332</v>
      </c>
    </row>
    <row r="2435" spans="1:3" x14ac:dyDescent="0.35">
      <c r="A2435" t="s">
        <v>7333</v>
      </c>
      <c r="B2435" t="s">
        <v>7334</v>
      </c>
      <c r="C2435" t="s">
        <v>7335</v>
      </c>
    </row>
    <row r="2436" spans="1:3" x14ac:dyDescent="0.35">
      <c r="A2436" t="s">
        <v>7336</v>
      </c>
      <c r="B2436" t="s">
        <v>7337</v>
      </c>
      <c r="C2436" t="s">
        <v>7338</v>
      </c>
    </row>
    <row r="2437" spans="1:3" x14ac:dyDescent="0.35">
      <c r="A2437" t="s">
        <v>7339</v>
      </c>
      <c r="B2437" t="s">
        <v>7340</v>
      </c>
      <c r="C2437" t="s">
        <v>7341</v>
      </c>
    </row>
    <row r="2438" spans="1:3" x14ac:dyDescent="0.35">
      <c r="A2438" t="s">
        <v>7342</v>
      </c>
      <c r="B2438" t="s">
        <v>7343</v>
      </c>
      <c r="C2438" t="s">
        <v>7344</v>
      </c>
    </row>
    <row r="2439" spans="1:3" x14ac:dyDescent="0.35">
      <c r="A2439" t="s">
        <v>7345</v>
      </c>
      <c r="B2439" t="s">
        <v>7346</v>
      </c>
      <c r="C2439" t="s">
        <v>7347</v>
      </c>
    </row>
    <row r="2440" spans="1:3" x14ac:dyDescent="0.35">
      <c r="A2440" t="s">
        <v>7348</v>
      </c>
      <c r="B2440" t="s">
        <v>7349</v>
      </c>
      <c r="C2440" t="s">
        <v>7350</v>
      </c>
    </row>
    <row r="2441" spans="1:3" x14ac:dyDescent="0.35">
      <c r="A2441" t="s">
        <v>7351</v>
      </c>
      <c r="B2441" t="s">
        <v>7352</v>
      </c>
      <c r="C2441" t="s">
        <v>7353</v>
      </c>
    </row>
    <row r="2442" spans="1:3" x14ac:dyDescent="0.35">
      <c r="A2442" t="s">
        <v>7354</v>
      </c>
      <c r="B2442" t="s">
        <v>7355</v>
      </c>
      <c r="C2442" t="s">
        <v>7356</v>
      </c>
    </row>
    <row r="2443" spans="1:3" x14ac:dyDescent="0.35">
      <c r="A2443" t="s">
        <v>7357</v>
      </c>
      <c r="B2443" t="s">
        <v>7358</v>
      </c>
      <c r="C2443" t="s">
        <v>7359</v>
      </c>
    </row>
    <row r="2444" spans="1:3" x14ac:dyDescent="0.35">
      <c r="A2444" t="s">
        <v>7357</v>
      </c>
      <c r="B2444" t="s">
        <v>7360</v>
      </c>
      <c r="C2444" t="s">
        <v>7361</v>
      </c>
    </row>
    <row r="2445" spans="1:3" x14ac:dyDescent="0.35">
      <c r="A2445" t="s">
        <v>7362</v>
      </c>
      <c r="B2445" t="s">
        <v>7363</v>
      </c>
      <c r="C2445" t="s">
        <v>7364</v>
      </c>
    </row>
    <row r="2446" spans="1:3" x14ac:dyDescent="0.35">
      <c r="A2446" t="s">
        <v>7365</v>
      </c>
      <c r="B2446" t="s">
        <v>7366</v>
      </c>
      <c r="C2446" t="s">
        <v>7367</v>
      </c>
    </row>
    <row r="2447" spans="1:3" x14ac:dyDescent="0.35">
      <c r="A2447" t="s">
        <v>7368</v>
      </c>
      <c r="B2447" t="s">
        <v>7369</v>
      </c>
      <c r="C2447" t="s">
        <v>7370</v>
      </c>
    </row>
    <row r="2448" spans="1:3" x14ac:dyDescent="0.35">
      <c r="A2448" t="s">
        <v>7371</v>
      </c>
      <c r="B2448" t="s">
        <v>7372</v>
      </c>
      <c r="C2448" t="s">
        <v>7373</v>
      </c>
    </row>
    <row r="2449" spans="1:3" x14ac:dyDescent="0.35">
      <c r="A2449" t="s">
        <v>7374</v>
      </c>
      <c r="B2449" t="s">
        <v>7375</v>
      </c>
      <c r="C2449" t="s">
        <v>7376</v>
      </c>
    </row>
    <row r="2450" spans="1:3" x14ac:dyDescent="0.35">
      <c r="A2450" t="s">
        <v>7377</v>
      </c>
      <c r="B2450" t="s">
        <v>7378</v>
      </c>
      <c r="C2450" t="s">
        <v>7379</v>
      </c>
    </row>
    <row r="2451" spans="1:3" x14ac:dyDescent="0.35">
      <c r="A2451" t="s">
        <v>7380</v>
      </c>
      <c r="B2451" t="s">
        <v>7381</v>
      </c>
      <c r="C2451" t="s">
        <v>7382</v>
      </c>
    </row>
    <row r="2452" spans="1:3" x14ac:dyDescent="0.35">
      <c r="A2452" t="s">
        <v>7383</v>
      </c>
      <c r="B2452" t="s">
        <v>7384</v>
      </c>
      <c r="C2452" t="s">
        <v>7385</v>
      </c>
    </row>
    <row r="2453" spans="1:3" x14ac:dyDescent="0.35">
      <c r="A2453" t="s">
        <v>7386</v>
      </c>
      <c r="B2453" t="s">
        <v>7387</v>
      </c>
      <c r="C2453" t="s">
        <v>7388</v>
      </c>
    </row>
    <row r="2454" spans="1:3" x14ac:dyDescent="0.35">
      <c r="A2454" t="s">
        <v>7389</v>
      </c>
      <c r="B2454" t="s">
        <v>7390</v>
      </c>
      <c r="C2454" t="s">
        <v>7391</v>
      </c>
    </row>
    <row r="2455" spans="1:3" x14ac:dyDescent="0.35">
      <c r="A2455" t="s">
        <v>7392</v>
      </c>
      <c r="B2455" t="s">
        <v>7393</v>
      </c>
      <c r="C2455" t="s">
        <v>7394</v>
      </c>
    </row>
    <row r="2456" spans="1:3" x14ac:dyDescent="0.35">
      <c r="A2456" t="s">
        <v>7395</v>
      </c>
      <c r="B2456" t="s">
        <v>7396</v>
      </c>
      <c r="C2456" t="s">
        <v>7397</v>
      </c>
    </row>
    <row r="2457" spans="1:3" x14ac:dyDescent="0.35">
      <c r="A2457" t="s">
        <v>7398</v>
      </c>
      <c r="B2457" t="s">
        <v>7399</v>
      </c>
      <c r="C2457" t="s">
        <v>7400</v>
      </c>
    </row>
    <row r="2458" spans="1:3" x14ac:dyDescent="0.35">
      <c r="A2458" t="s">
        <v>7401</v>
      </c>
      <c r="B2458" t="s">
        <v>7402</v>
      </c>
      <c r="C2458" t="s">
        <v>7403</v>
      </c>
    </row>
    <row r="2459" spans="1:3" x14ac:dyDescent="0.35">
      <c r="A2459" t="s">
        <v>7404</v>
      </c>
      <c r="B2459" t="s">
        <v>7405</v>
      </c>
      <c r="C2459" t="s">
        <v>7406</v>
      </c>
    </row>
    <row r="2460" spans="1:3" x14ac:dyDescent="0.35">
      <c r="A2460" t="s">
        <v>7407</v>
      </c>
      <c r="B2460" t="s">
        <v>7408</v>
      </c>
      <c r="C2460" t="s">
        <v>7409</v>
      </c>
    </row>
    <row r="2461" spans="1:3" x14ac:dyDescent="0.35">
      <c r="A2461" t="s">
        <v>7410</v>
      </c>
      <c r="B2461" t="s">
        <v>7411</v>
      </c>
      <c r="C2461" t="s">
        <v>7412</v>
      </c>
    </row>
    <row r="2462" spans="1:3" x14ac:dyDescent="0.35">
      <c r="A2462" t="s">
        <v>7413</v>
      </c>
      <c r="B2462" t="s">
        <v>7414</v>
      </c>
      <c r="C2462" t="s">
        <v>7415</v>
      </c>
    </row>
    <row r="2463" spans="1:3" x14ac:dyDescent="0.35">
      <c r="A2463" t="s">
        <v>7416</v>
      </c>
      <c r="B2463" t="s">
        <v>7417</v>
      </c>
      <c r="C2463" t="s">
        <v>7418</v>
      </c>
    </row>
    <row r="2464" spans="1:3" x14ac:dyDescent="0.35">
      <c r="A2464" t="s">
        <v>7419</v>
      </c>
      <c r="B2464" t="s">
        <v>7420</v>
      </c>
      <c r="C2464" t="s">
        <v>7421</v>
      </c>
    </row>
    <row r="2465" spans="1:3" x14ac:dyDescent="0.35">
      <c r="A2465" t="s">
        <v>7422</v>
      </c>
      <c r="B2465" t="s">
        <v>7423</v>
      </c>
      <c r="C2465" t="s">
        <v>7424</v>
      </c>
    </row>
    <row r="2466" spans="1:3" x14ac:dyDescent="0.35">
      <c r="A2466" t="s">
        <v>7425</v>
      </c>
      <c r="B2466" t="s">
        <v>7426</v>
      </c>
      <c r="C2466" t="s">
        <v>7427</v>
      </c>
    </row>
    <row r="2467" spans="1:3" x14ac:dyDescent="0.35">
      <c r="A2467" t="s">
        <v>7428</v>
      </c>
      <c r="B2467" t="s">
        <v>7429</v>
      </c>
      <c r="C2467" t="s">
        <v>7430</v>
      </c>
    </row>
    <row r="2468" spans="1:3" x14ac:dyDescent="0.35">
      <c r="A2468" t="s">
        <v>7431</v>
      </c>
      <c r="B2468" t="s">
        <v>7432</v>
      </c>
      <c r="C2468" t="s">
        <v>7433</v>
      </c>
    </row>
    <row r="2469" spans="1:3" x14ac:dyDescent="0.35">
      <c r="A2469" t="s">
        <v>7434</v>
      </c>
      <c r="B2469" t="s">
        <v>7435</v>
      </c>
      <c r="C2469" t="s">
        <v>7436</v>
      </c>
    </row>
    <row r="2470" spans="1:3" x14ac:dyDescent="0.35">
      <c r="A2470" t="s">
        <v>7437</v>
      </c>
      <c r="B2470" t="s">
        <v>7438</v>
      </c>
      <c r="C2470" t="s">
        <v>7439</v>
      </c>
    </row>
    <row r="2471" spans="1:3" x14ac:dyDescent="0.35">
      <c r="A2471" t="s">
        <v>7440</v>
      </c>
      <c r="B2471" t="s">
        <v>7441</v>
      </c>
      <c r="C2471" t="s">
        <v>7442</v>
      </c>
    </row>
    <row r="2472" spans="1:3" x14ac:dyDescent="0.35">
      <c r="A2472" t="s">
        <v>7443</v>
      </c>
      <c r="B2472" t="s">
        <v>7444</v>
      </c>
      <c r="C2472" t="s">
        <v>7445</v>
      </c>
    </row>
    <row r="2473" spans="1:3" x14ac:dyDescent="0.35">
      <c r="A2473" t="s">
        <v>7446</v>
      </c>
      <c r="B2473" t="s">
        <v>7447</v>
      </c>
      <c r="C2473" t="s">
        <v>7448</v>
      </c>
    </row>
    <row r="2474" spans="1:3" x14ac:dyDescent="0.35">
      <c r="A2474" t="s">
        <v>7449</v>
      </c>
      <c r="B2474" t="s">
        <v>7450</v>
      </c>
      <c r="C2474" t="s">
        <v>7451</v>
      </c>
    </row>
    <row r="2475" spans="1:3" x14ac:dyDescent="0.35">
      <c r="A2475" t="s">
        <v>7452</v>
      </c>
      <c r="B2475" t="s">
        <v>7453</v>
      </c>
      <c r="C2475" t="s">
        <v>7454</v>
      </c>
    </row>
    <row r="2476" spans="1:3" x14ac:dyDescent="0.35">
      <c r="A2476" t="s">
        <v>7455</v>
      </c>
      <c r="B2476" t="s">
        <v>7456</v>
      </c>
      <c r="C2476" t="s">
        <v>7457</v>
      </c>
    </row>
    <row r="2477" spans="1:3" x14ac:dyDescent="0.35">
      <c r="A2477" t="s">
        <v>7458</v>
      </c>
      <c r="B2477" t="s">
        <v>7459</v>
      </c>
      <c r="C2477" t="s">
        <v>7460</v>
      </c>
    </row>
    <row r="2478" spans="1:3" x14ac:dyDescent="0.35">
      <c r="A2478" t="s">
        <v>7461</v>
      </c>
      <c r="B2478" t="s">
        <v>7462</v>
      </c>
      <c r="C2478" t="s">
        <v>7463</v>
      </c>
    </row>
    <row r="2479" spans="1:3" x14ac:dyDescent="0.35">
      <c r="A2479" t="s">
        <v>7464</v>
      </c>
      <c r="B2479" t="s">
        <v>7465</v>
      </c>
      <c r="C2479" t="s">
        <v>7466</v>
      </c>
    </row>
    <row r="2480" spans="1:3" x14ac:dyDescent="0.35">
      <c r="A2480" t="s">
        <v>7467</v>
      </c>
      <c r="B2480" t="s">
        <v>7468</v>
      </c>
      <c r="C2480" t="s">
        <v>7469</v>
      </c>
    </row>
    <row r="2481" spans="1:3" x14ac:dyDescent="0.35">
      <c r="A2481" t="s">
        <v>7470</v>
      </c>
      <c r="B2481" t="s">
        <v>7471</v>
      </c>
      <c r="C2481" t="s">
        <v>7472</v>
      </c>
    </row>
    <row r="2482" spans="1:3" x14ac:dyDescent="0.35">
      <c r="A2482" t="s">
        <v>7473</v>
      </c>
      <c r="B2482" t="s">
        <v>7474</v>
      </c>
      <c r="C2482" t="s">
        <v>7475</v>
      </c>
    </row>
    <row r="2483" spans="1:3" x14ac:dyDescent="0.35">
      <c r="A2483" t="s">
        <v>7476</v>
      </c>
      <c r="B2483" t="s">
        <v>7477</v>
      </c>
      <c r="C2483" t="s">
        <v>7478</v>
      </c>
    </row>
    <row r="2484" spans="1:3" x14ac:dyDescent="0.35">
      <c r="A2484" t="s">
        <v>7479</v>
      </c>
      <c r="B2484" t="s">
        <v>7480</v>
      </c>
      <c r="C2484" t="s">
        <v>7481</v>
      </c>
    </row>
    <row r="2485" spans="1:3" x14ac:dyDescent="0.35">
      <c r="A2485" t="s">
        <v>7482</v>
      </c>
      <c r="B2485" t="s">
        <v>7483</v>
      </c>
      <c r="C2485" t="s">
        <v>7484</v>
      </c>
    </row>
    <row r="2486" spans="1:3" x14ac:dyDescent="0.35">
      <c r="A2486" t="s">
        <v>7485</v>
      </c>
      <c r="B2486" t="s">
        <v>7486</v>
      </c>
      <c r="C2486" t="s">
        <v>7487</v>
      </c>
    </row>
    <row r="2487" spans="1:3" x14ac:dyDescent="0.35">
      <c r="A2487" t="s">
        <v>7488</v>
      </c>
      <c r="B2487" t="s">
        <v>7489</v>
      </c>
      <c r="C2487" t="s">
        <v>7490</v>
      </c>
    </row>
    <row r="2488" spans="1:3" x14ac:dyDescent="0.35">
      <c r="A2488" t="s">
        <v>7491</v>
      </c>
      <c r="B2488" t="s">
        <v>7492</v>
      </c>
      <c r="C2488" t="s">
        <v>7493</v>
      </c>
    </row>
    <row r="2489" spans="1:3" x14ac:dyDescent="0.35">
      <c r="A2489" t="s">
        <v>7494</v>
      </c>
      <c r="B2489" t="s">
        <v>7495</v>
      </c>
      <c r="C2489" t="s">
        <v>7496</v>
      </c>
    </row>
    <row r="2490" spans="1:3" x14ac:dyDescent="0.35">
      <c r="A2490" t="s">
        <v>7497</v>
      </c>
      <c r="B2490" t="s">
        <v>7498</v>
      </c>
      <c r="C2490" t="s">
        <v>7499</v>
      </c>
    </row>
    <row r="2491" spans="1:3" x14ac:dyDescent="0.35">
      <c r="A2491" t="s">
        <v>7500</v>
      </c>
      <c r="B2491" t="s">
        <v>7483</v>
      </c>
      <c r="C2491" t="s">
        <v>7484</v>
      </c>
    </row>
    <row r="2492" spans="1:3" x14ac:dyDescent="0.35">
      <c r="A2492" t="s">
        <v>7501</v>
      </c>
      <c r="B2492" t="s">
        <v>7502</v>
      </c>
      <c r="C2492" t="s">
        <v>7503</v>
      </c>
    </row>
    <row r="2493" spans="1:3" x14ac:dyDescent="0.35">
      <c r="A2493" t="s">
        <v>7504</v>
      </c>
      <c r="B2493" t="s">
        <v>7505</v>
      </c>
      <c r="C2493" t="s">
        <v>7506</v>
      </c>
    </row>
    <row r="2494" spans="1:3" x14ac:dyDescent="0.35">
      <c r="A2494" t="s">
        <v>7507</v>
      </c>
      <c r="B2494" t="s">
        <v>7508</v>
      </c>
      <c r="C2494" t="s">
        <v>7509</v>
      </c>
    </row>
    <row r="2495" spans="1:3" x14ac:dyDescent="0.35">
      <c r="A2495" t="s">
        <v>7510</v>
      </c>
      <c r="B2495" t="s">
        <v>7511</v>
      </c>
      <c r="C2495" t="s">
        <v>7512</v>
      </c>
    </row>
    <row r="2496" spans="1:3" x14ac:dyDescent="0.35">
      <c r="A2496" t="s">
        <v>7513</v>
      </c>
      <c r="B2496" t="s">
        <v>7514</v>
      </c>
      <c r="C2496" t="s">
        <v>7515</v>
      </c>
    </row>
    <row r="2497" spans="1:3" x14ac:dyDescent="0.35">
      <c r="A2497" t="s">
        <v>7516</v>
      </c>
      <c r="B2497" t="s">
        <v>7517</v>
      </c>
      <c r="C2497" t="s">
        <v>7518</v>
      </c>
    </row>
    <row r="2498" spans="1:3" x14ac:dyDescent="0.35">
      <c r="A2498" t="s">
        <v>7519</v>
      </c>
      <c r="B2498" t="s">
        <v>7520</v>
      </c>
      <c r="C2498" t="s">
        <v>7521</v>
      </c>
    </row>
    <row r="2499" spans="1:3" x14ac:dyDescent="0.35">
      <c r="A2499" t="s">
        <v>7522</v>
      </c>
      <c r="B2499" t="s">
        <v>7523</v>
      </c>
      <c r="C2499" t="s">
        <v>7524</v>
      </c>
    </row>
    <row r="2500" spans="1:3" x14ac:dyDescent="0.35">
      <c r="A2500" t="s">
        <v>7525</v>
      </c>
      <c r="B2500" t="s">
        <v>7526</v>
      </c>
      <c r="C2500" t="s">
        <v>7527</v>
      </c>
    </row>
    <row r="2501" spans="1:3" x14ac:dyDescent="0.35">
      <c r="A2501" t="s">
        <v>7528</v>
      </c>
      <c r="B2501" t="s">
        <v>7529</v>
      </c>
      <c r="C2501" t="s">
        <v>7530</v>
      </c>
    </row>
    <row r="2502" spans="1:3" x14ac:dyDescent="0.35">
      <c r="A2502" t="s">
        <v>7531</v>
      </c>
      <c r="B2502" t="s">
        <v>7532</v>
      </c>
      <c r="C2502" t="s">
        <v>7533</v>
      </c>
    </row>
    <row r="2503" spans="1:3" x14ac:dyDescent="0.35">
      <c r="A2503" t="s">
        <v>7534</v>
      </c>
      <c r="B2503" t="s">
        <v>7535</v>
      </c>
      <c r="C2503" t="s">
        <v>7536</v>
      </c>
    </row>
    <row r="2504" spans="1:3" x14ac:dyDescent="0.35">
      <c r="A2504" t="s">
        <v>7537</v>
      </c>
      <c r="B2504" t="s">
        <v>7538</v>
      </c>
      <c r="C2504" t="s">
        <v>7539</v>
      </c>
    </row>
    <row r="2505" spans="1:3" x14ac:dyDescent="0.35">
      <c r="A2505" t="s">
        <v>7540</v>
      </c>
      <c r="B2505" t="s">
        <v>7541</v>
      </c>
      <c r="C2505" t="s">
        <v>7542</v>
      </c>
    </row>
    <row r="2506" spans="1:3" x14ac:dyDescent="0.35">
      <c r="A2506" t="s">
        <v>97</v>
      </c>
      <c r="B2506" t="s">
        <v>7543</v>
      </c>
      <c r="C2506" t="s">
        <v>7544</v>
      </c>
    </row>
    <row r="2507" spans="1:3" x14ac:dyDescent="0.35">
      <c r="A2507" t="s">
        <v>7545</v>
      </c>
      <c r="B2507" t="s">
        <v>7546</v>
      </c>
      <c r="C2507" t="s">
        <v>7547</v>
      </c>
    </row>
    <row r="2508" spans="1:3" x14ac:dyDescent="0.35">
      <c r="A2508" t="s">
        <v>7548</v>
      </c>
      <c r="B2508" t="s">
        <v>7549</v>
      </c>
      <c r="C2508" t="s">
        <v>7550</v>
      </c>
    </row>
    <row r="2509" spans="1:3" x14ac:dyDescent="0.35">
      <c r="A2509" t="s">
        <v>7551</v>
      </c>
      <c r="B2509" t="s">
        <v>7552</v>
      </c>
      <c r="C2509" t="s">
        <v>7553</v>
      </c>
    </row>
    <row r="2510" spans="1:3" x14ac:dyDescent="0.35">
      <c r="A2510" t="s">
        <v>7551</v>
      </c>
      <c r="B2510" t="s">
        <v>7554</v>
      </c>
      <c r="C2510" t="s">
        <v>7555</v>
      </c>
    </row>
    <row r="2511" spans="1:3" x14ac:dyDescent="0.35">
      <c r="A2511" t="s">
        <v>7556</v>
      </c>
      <c r="B2511" t="s">
        <v>7557</v>
      </c>
      <c r="C2511" t="s">
        <v>7558</v>
      </c>
    </row>
    <row r="2512" spans="1:3" x14ac:dyDescent="0.35">
      <c r="A2512" t="s">
        <v>7559</v>
      </c>
      <c r="B2512" t="s">
        <v>7560</v>
      </c>
      <c r="C2512" t="s">
        <v>7561</v>
      </c>
    </row>
    <row r="2513" spans="1:3" x14ac:dyDescent="0.35">
      <c r="A2513" t="s">
        <v>7562</v>
      </c>
      <c r="B2513" t="s">
        <v>7563</v>
      </c>
      <c r="C2513" t="s">
        <v>7564</v>
      </c>
    </row>
    <row r="2514" spans="1:3" x14ac:dyDescent="0.35">
      <c r="A2514" t="s">
        <v>7565</v>
      </c>
      <c r="B2514" t="s">
        <v>7566</v>
      </c>
      <c r="C2514" t="s">
        <v>7567</v>
      </c>
    </row>
    <row r="2515" spans="1:3" x14ac:dyDescent="0.35">
      <c r="A2515" t="s">
        <v>7568</v>
      </c>
      <c r="B2515" t="s">
        <v>7569</v>
      </c>
      <c r="C2515" t="s">
        <v>7570</v>
      </c>
    </row>
    <row r="2516" spans="1:3" x14ac:dyDescent="0.35">
      <c r="A2516" t="s">
        <v>7571</v>
      </c>
      <c r="B2516" t="s">
        <v>7572</v>
      </c>
      <c r="C2516" t="s">
        <v>7573</v>
      </c>
    </row>
    <row r="2517" spans="1:3" x14ac:dyDescent="0.35">
      <c r="A2517" t="s">
        <v>7574</v>
      </c>
      <c r="B2517" t="s">
        <v>7575</v>
      </c>
      <c r="C2517" t="s">
        <v>7576</v>
      </c>
    </row>
    <row r="2518" spans="1:3" x14ac:dyDescent="0.35">
      <c r="A2518" t="s">
        <v>7577</v>
      </c>
      <c r="B2518" t="s">
        <v>7578</v>
      </c>
      <c r="C2518" t="s">
        <v>7579</v>
      </c>
    </row>
    <row r="2519" spans="1:3" x14ac:dyDescent="0.35">
      <c r="A2519" t="s">
        <v>7580</v>
      </c>
      <c r="B2519" t="s">
        <v>7581</v>
      </c>
      <c r="C2519" t="s">
        <v>7582</v>
      </c>
    </row>
    <row r="2520" spans="1:3" x14ac:dyDescent="0.35">
      <c r="A2520" t="s">
        <v>7583</v>
      </c>
      <c r="B2520" t="s">
        <v>7584</v>
      </c>
      <c r="C2520" t="s">
        <v>7585</v>
      </c>
    </row>
    <row r="2521" spans="1:3" x14ac:dyDescent="0.35">
      <c r="A2521" t="s">
        <v>7586</v>
      </c>
      <c r="B2521" t="s">
        <v>7587</v>
      </c>
      <c r="C2521" t="s">
        <v>7588</v>
      </c>
    </row>
    <row r="2522" spans="1:3" x14ac:dyDescent="0.35">
      <c r="A2522" t="s">
        <v>7589</v>
      </c>
      <c r="B2522" t="s">
        <v>7590</v>
      </c>
      <c r="C2522" t="s">
        <v>7591</v>
      </c>
    </row>
    <row r="2523" spans="1:3" x14ac:dyDescent="0.35">
      <c r="A2523" t="s">
        <v>7592</v>
      </c>
      <c r="B2523" t="s">
        <v>7593</v>
      </c>
      <c r="C2523" t="s">
        <v>7594</v>
      </c>
    </row>
    <row r="2524" spans="1:3" x14ac:dyDescent="0.35">
      <c r="A2524" t="s">
        <v>7595</v>
      </c>
      <c r="B2524" t="s">
        <v>7596</v>
      </c>
      <c r="C2524" t="s">
        <v>7597</v>
      </c>
    </row>
    <row r="2525" spans="1:3" x14ac:dyDescent="0.35">
      <c r="A2525" t="s">
        <v>7598</v>
      </c>
      <c r="B2525" t="s">
        <v>7599</v>
      </c>
      <c r="C2525" t="s">
        <v>7600</v>
      </c>
    </row>
    <row r="2526" spans="1:3" x14ac:dyDescent="0.35">
      <c r="A2526" t="s">
        <v>7601</v>
      </c>
      <c r="B2526" t="s">
        <v>7602</v>
      </c>
      <c r="C2526" t="s">
        <v>7603</v>
      </c>
    </row>
    <row r="2527" spans="1:3" x14ac:dyDescent="0.35">
      <c r="A2527" t="s">
        <v>7604</v>
      </c>
      <c r="B2527" t="s">
        <v>7605</v>
      </c>
      <c r="C2527" t="s">
        <v>7606</v>
      </c>
    </row>
    <row r="2528" spans="1:3" x14ac:dyDescent="0.35">
      <c r="A2528" t="s">
        <v>7607</v>
      </c>
      <c r="B2528" t="s">
        <v>7608</v>
      </c>
      <c r="C2528" t="s">
        <v>7609</v>
      </c>
    </row>
    <row r="2529" spans="1:3" x14ac:dyDescent="0.35">
      <c r="A2529" t="s">
        <v>7610</v>
      </c>
      <c r="B2529" t="s">
        <v>7611</v>
      </c>
      <c r="C2529" t="s">
        <v>7612</v>
      </c>
    </row>
    <row r="2530" spans="1:3" x14ac:dyDescent="0.35">
      <c r="A2530" t="s">
        <v>7613</v>
      </c>
      <c r="B2530" t="s">
        <v>7614</v>
      </c>
      <c r="C2530" t="s">
        <v>7615</v>
      </c>
    </row>
    <row r="2531" spans="1:3" x14ac:dyDescent="0.35">
      <c r="A2531" t="s">
        <v>7616</v>
      </c>
      <c r="B2531" t="s">
        <v>7617</v>
      </c>
      <c r="C2531" t="s">
        <v>7618</v>
      </c>
    </row>
    <row r="2532" spans="1:3" x14ac:dyDescent="0.35">
      <c r="A2532" t="s">
        <v>7619</v>
      </c>
      <c r="B2532" t="s">
        <v>7620</v>
      </c>
      <c r="C2532" t="s">
        <v>7621</v>
      </c>
    </row>
    <row r="2533" spans="1:3" x14ac:dyDescent="0.35">
      <c r="A2533" t="s">
        <v>7622</v>
      </c>
      <c r="B2533" t="s">
        <v>7623</v>
      </c>
      <c r="C2533" t="s">
        <v>7624</v>
      </c>
    </row>
    <row r="2534" spans="1:3" x14ac:dyDescent="0.35">
      <c r="A2534" t="s">
        <v>7625</v>
      </c>
      <c r="B2534" t="s">
        <v>7626</v>
      </c>
      <c r="C2534" t="s">
        <v>7627</v>
      </c>
    </row>
    <row r="2535" spans="1:3" x14ac:dyDescent="0.35">
      <c r="A2535" t="s">
        <v>7628</v>
      </c>
      <c r="B2535" t="s">
        <v>7629</v>
      </c>
      <c r="C2535" t="s">
        <v>7630</v>
      </c>
    </row>
    <row r="2536" spans="1:3" x14ac:dyDescent="0.35">
      <c r="A2536" t="s">
        <v>7631</v>
      </c>
      <c r="B2536" t="s">
        <v>7632</v>
      </c>
      <c r="C2536" t="s">
        <v>7633</v>
      </c>
    </row>
    <row r="2537" spans="1:3" x14ac:dyDescent="0.35">
      <c r="A2537" t="s">
        <v>7634</v>
      </c>
      <c r="B2537" t="s">
        <v>7635</v>
      </c>
      <c r="C2537" t="s">
        <v>7636</v>
      </c>
    </row>
    <row r="2538" spans="1:3" x14ac:dyDescent="0.35">
      <c r="A2538" t="s">
        <v>7637</v>
      </c>
      <c r="B2538" t="s">
        <v>7638</v>
      </c>
      <c r="C2538" t="s">
        <v>7639</v>
      </c>
    </row>
    <row r="2539" spans="1:3" x14ac:dyDescent="0.35">
      <c r="A2539" t="s">
        <v>7640</v>
      </c>
      <c r="B2539" t="s">
        <v>7641</v>
      </c>
      <c r="C2539" t="s">
        <v>7642</v>
      </c>
    </row>
    <row r="2540" spans="1:3" x14ac:dyDescent="0.35">
      <c r="A2540" t="s">
        <v>7643</v>
      </c>
      <c r="B2540" t="s">
        <v>7644</v>
      </c>
      <c r="C2540" t="s">
        <v>7645</v>
      </c>
    </row>
    <row r="2541" spans="1:3" x14ac:dyDescent="0.35">
      <c r="A2541" t="s">
        <v>7646</v>
      </c>
      <c r="B2541" t="s">
        <v>7647</v>
      </c>
      <c r="C2541" t="s">
        <v>7648</v>
      </c>
    </row>
    <row r="2542" spans="1:3" x14ac:dyDescent="0.35">
      <c r="A2542" t="s">
        <v>7649</v>
      </c>
      <c r="B2542" t="s">
        <v>7650</v>
      </c>
      <c r="C2542" t="s">
        <v>7651</v>
      </c>
    </row>
    <row r="2543" spans="1:3" x14ac:dyDescent="0.35">
      <c r="A2543" t="s">
        <v>7652</v>
      </c>
      <c r="B2543" t="s">
        <v>7653</v>
      </c>
      <c r="C2543" t="s">
        <v>7654</v>
      </c>
    </row>
    <row r="2544" spans="1:3" x14ac:dyDescent="0.35">
      <c r="A2544" t="s">
        <v>7655</v>
      </c>
      <c r="B2544" t="s">
        <v>7656</v>
      </c>
      <c r="C2544" t="s">
        <v>7657</v>
      </c>
    </row>
    <row r="2545" spans="1:3" x14ac:dyDescent="0.35">
      <c r="A2545" t="s">
        <v>7658</v>
      </c>
      <c r="B2545" t="s">
        <v>7659</v>
      </c>
      <c r="C2545" t="s">
        <v>7660</v>
      </c>
    </row>
    <row r="2546" spans="1:3" x14ac:dyDescent="0.35">
      <c r="A2546" t="s">
        <v>7661</v>
      </c>
      <c r="B2546" t="s">
        <v>7662</v>
      </c>
      <c r="C2546" t="s">
        <v>7663</v>
      </c>
    </row>
    <row r="2547" spans="1:3" x14ac:dyDescent="0.35">
      <c r="A2547" t="s">
        <v>7664</v>
      </c>
      <c r="B2547" t="s">
        <v>7665</v>
      </c>
      <c r="C2547" t="s">
        <v>7666</v>
      </c>
    </row>
    <row r="2548" spans="1:3" x14ac:dyDescent="0.35">
      <c r="A2548" t="s">
        <v>7667</v>
      </c>
      <c r="B2548" t="s">
        <v>7668</v>
      </c>
      <c r="C2548" t="s">
        <v>7669</v>
      </c>
    </row>
    <row r="2549" spans="1:3" x14ac:dyDescent="0.35">
      <c r="A2549" t="s">
        <v>7670</v>
      </c>
      <c r="B2549" t="s">
        <v>7671</v>
      </c>
      <c r="C2549" t="s">
        <v>7672</v>
      </c>
    </row>
    <row r="2550" spans="1:3" x14ac:dyDescent="0.35">
      <c r="A2550" t="s">
        <v>7673</v>
      </c>
      <c r="B2550" t="s">
        <v>7674</v>
      </c>
      <c r="C2550" t="s">
        <v>7675</v>
      </c>
    </row>
    <row r="2551" spans="1:3" x14ac:dyDescent="0.35">
      <c r="A2551" t="s">
        <v>7676</v>
      </c>
      <c r="B2551" t="s">
        <v>7677</v>
      </c>
      <c r="C2551" t="s">
        <v>7678</v>
      </c>
    </row>
    <row r="2552" spans="1:3" x14ac:dyDescent="0.35">
      <c r="A2552" t="s">
        <v>7679</v>
      </c>
      <c r="B2552" t="s">
        <v>7680</v>
      </c>
      <c r="C2552" t="s">
        <v>7681</v>
      </c>
    </row>
    <row r="2553" spans="1:3" x14ac:dyDescent="0.35">
      <c r="A2553" t="s">
        <v>7682</v>
      </c>
      <c r="B2553" t="s">
        <v>7683</v>
      </c>
      <c r="C2553" t="s">
        <v>7684</v>
      </c>
    </row>
    <row r="2554" spans="1:3" x14ac:dyDescent="0.35">
      <c r="A2554" t="s">
        <v>7685</v>
      </c>
      <c r="B2554" t="s">
        <v>7685</v>
      </c>
      <c r="C2554" t="s">
        <v>7686</v>
      </c>
    </row>
    <row r="2555" spans="1:3" x14ac:dyDescent="0.35">
      <c r="A2555" t="s">
        <v>7687</v>
      </c>
      <c r="B2555" t="s">
        <v>7688</v>
      </c>
      <c r="C2555" t="s">
        <v>7689</v>
      </c>
    </row>
    <row r="2556" spans="1:3" x14ac:dyDescent="0.35">
      <c r="A2556" t="s">
        <v>7690</v>
      </c>
      <c r="B2556" t="s">
        <v>7691</v>
      </c>
      <c r="C2556" t="s">
        <v>7692</v>
      </c>
    </row>
    <row r="2557" spans="1:3" x14ac:dyDescent="0.35">
      <c r="A2557" t="s">
        <v>7693</v>
      </c>
      <c r="B2557" t="s">
        <v>7694</v>
      </c>
      <c r="C2557" t="s">
        <v>7695</v>
      </c>
    </row>
    <row r="2558" spans="1:3" x14ac:dyDescent="0.35">
      <c r="A2558" t="s">
        <v>7696</v>
      </c>
      <c r="B2558" t="s">
        <v>7697</v>
      </c>
      <c r="C2558" t="s">
        <v>7698</v>
      </c>
    </row>
    <row r="2559" spans="1:3" x14ac:dyDescent="0.35">
      <c r="A2559" t="s">
        <v>7699</v>
      </c>
      <c r="B2559" t="s">
        <v>7700</v>
      </c>
      <c r="C2559" t="s">
        <v>7701</v>
      </c>
    </row>
    <row r="2560" spans="1:3" x14ac:dyDescent="0.35">
      <c r="A2560" t="s">
        <v>7702</v>
      </c>
      <c r="B2560" t="s">
        <v>7703</v>
      </c>
      <c r="C2560" t="s">
        <v>7704</v>
      </c>
    </row>
    <row r="2561" spans="1:3" x14ac:dyDescent="0.35">
      <c r="A2561" t="s">
        <v>7705</v>
      </c>
      <c r="B2561" t="s">
        <v>7706</v>
      </c>
      <c r="C2561" t="s">
        <v>7707</v>
      </c>
    </row>
    <row r="2562" spans="1:3" x14ac:dyDescent="0.35">
      <c r="A2562" t="s">
        <v>7708</v>
      </c>
      <c r="B2562" t="s">
        <v>7709</v>
      </c>
      <c r="C2562" t="s">
        <v>7710</v>
      </c>
    </row>
    <row r="2563" spans="1:3" x14ac:dyDescent="0.35">
      <c r="A2563" t="s">
        <v>7711</v>
      </c>
      <c r="B2563" t="s">
        <v>7712</v>
      </c>
      <c r="C2563" t="s">
        <v>7713</v>
      </c>
    </row>
    <row r="2564" spans="1:3" x14ac:dyDescent="0.35">
      <c r="A2564" t="s">
        <v>7714</v>
      </c>
      <c r="B2564" t="s">
        <v>7715</v>
      </c>
      <c r="C2564" t="s">
        <v>7716</v>
      </c>
    </row>
    <row r="2565" spans="1:3" x14ac:dyDescent="0.35">
      <c r="A2565" t="s">
        <v>7717</v>
      </c>
      <c r="B2565" t="s">
        <v>7718</v>
      </c>
      <c r="C2565" t="s">
        <v>7719</v>
      </c>
    </row>
    <row r="2566" spans="1:3" x14ac:dyDescent="0.35">
      <c r="A2566" t="s">
        <v>7720</v>
      </c>
      <c r="B2566" t="s">
        <v>7721</v>
      </c>
      <c r="C2566" t="s">
        <v>7722</v>
      </c>
    </row>
    <row r="2567" spans="1:3" x14ac:dyDescent="0.35">
      <c r="A2567" t="s">
        <v>7723</v>
      </c>
      <c r="B2567" t="s">
        <v>7724</v>
      </c>
      <c r="C2567" t="s">
        <v>7725</v>
      </c>
    </row>
    <row r="2568" spans="1:3" x14ac:dyDescent="0.35">
      <c r="A2568" t="s">
        <v>7726</v>
      </c>
      <c r="B2568" t="s">
        <v>7727</v>
      </c>
      <c r="C2568" t="s">
        <v>7728</v>
      </c>
    </row>
    <row r="2569" spans="1:3" x14ac:dyDescent="0.35">
      <c r="A2569" t="s">
        <v>7729</v>
      </c>
      <c r="B2569" t="s">
        <v>7730</v>
      </c>
      <c r="C2569" t="s">
        <v>7731</v>
      </c>
    </row>
    <row r="2570" spans="1:3" x14ac:dyDescent="0.35">
      <c r="A2570" t="s">
        <v>7732</v>
      </c>
      <c r="B2570" t="s">
        <v>7733</v>
      </c>
      <c r="C2570" t="s">
        <v>7734</v>
      </c>
    </row>
    <row r="2571" spans="1:3" x14ac:dyDescent="0.35">
      <c r="A2571" t="s">
        <v>7735</v>
      </c>
      <c r="B2571" t="s">
        <v>7736</v>
      </c>
      <c r="C2571" t="s">
        <v>7737</v>
      </c>
    </row>
    <row r="2572" spans="1:3" x14ac:dyDescent="0.35">
      <c r="A2572" t="s">
        <v>7738</v>
      </c>
      <c r="B2572" t="s">
        <v>7739</v>
      </c>
      <c r="C2572" t="s">
        <v>7740</v>
      </c>
    </row>
    <row r="2573" spans="1:3" x14ac:dyDescent="0.35">
      <c r="A2573" t="s">
        <v>7741</v>
      </c>
      <c r="B2573" t="s">
        <v>7742</v>
      </c>
      <c r="C2573" t="s">
        <v>7743</v>
      </c>
    </row>
    <row r="2574" spans="1:3" x14ac:dyDescent="0.35">
      <c r="A2574" t="s">
        <v>7744</v>
      </c>
      <c r="B2574" t="s">
        <v>7745</v>
      </c>
      <c r="C2574" t="s">
        <v>7746</v>
      </c>
    </row>
    <row r="2575" spans="1:3" x14ac:dyDescent="0.35">
      <c r="A2575" t="s">
        <v>7747</v>
      </c>
      <c r="B2575" t="s">
        <v>7748</v>
      </c>
      <c r="C2575" t="s">
        <v>7749</v>
      </c>
    </row>
    <row r="2576" spans="1:3" x14ac:dyDescent="0.35">
      <c r="A2576" t="s">
        <v>7750</v>
      </c>
      <c r="B2576" t="s">
        <v>7751</v>
      </c>
      <c r="C2576" t="s">
        <v>7752</v>
      </c>
    </row>
    <row r="2577" spans="1:3" x14ac:dyDescent="0.35">
      <c r="A2577" t="s">
        <v>7753</v>
      </c>
      <c r="B2577" t="s">
        <v>7754</v>
      </c>
      <c r="C2577" t="s">
        <v>7755</v>
      </c>
    </row>
    <row r="2578" spans="1:3" x14ac:dyDescent="0.35">
      <c r="A2578" t="s">
        <v>7756</v>
      </c>
      <c r="B2578" t="s">
        <v>7757</v>
      </c>
      <c r="C2578" t="s">
        <v>7758</v>
      </c>
    </row>
    <row r="2579" spans="1:3" x14ac:dyDescent="0.35">
      <c r="A2579" t="s">
        <v>7759</v>
      </c>
      <c r="B2579" t="s">
        <v>7760</v>
      </c>
      <c r="C2579" t="s">
        <v>7761</v>
      </c>
    </row>
    <row r="2580" spans="1:3" x14ac:dyDescent="0.35">
      <c r="A2580" t="s">
        <v>7762</v>
      </c>
      <c r="B2580" t="s">
        <v>7763</v>
      </c>
      <c r="C2580" t="s">
        <v>7764</v>
      </c>
    </row>
    <row r="2581" spans="1:3" x14ac:dyDescent="0.35">
      <c r="A2581" t="s">
        <v>7765</v>
      </c>
      <c r="B2581" t="s">
        <v>7766</v>
      </c>
      <c r="C2581" t="s">
        <v>7767</v>
      </c>
    </row>
    <row r="2582" spans="1:3" x14ac:dyDescent="0.35">
      <c r="A2582" t="s">
        <v>7768</v>
      </c>
      <c r="B2582" t="s">
        <v>7769</v>
      </c>
      <c r="C2582" t="s">
        <v>7770</v>
      </c>
    </row>
    <row r="2583" spans="1:3" x14ac:dyDescent="0.35">
      <c r="A2583" t="s">
        <v>7771</v>
      </c>
      <c r="B2583" t="s">
        <v>7772</v>
      </c>
      <c r="C2583" t="s">
        <v>7773</v>
      </c>
    </row>
    <row r="2584" spans="1:3" x14ac:dyDescent="0.35">
      <c r="A2584" t="s">
        <v>7774</v>
      </c>
      <c r="B2584" t="s">
        <v>7775</v>
      </c>
      <c r="C2584" t="s">
        <v>7776</v>
      </c>
    </row>
    <row r="2585" spans="1:3" x14ac:dyDescent="0.35">
      <c r="A2585" t="s">
        <v>7774</v>
      </c>
      <c r="B2585" t="s">
        <v>7777</v>
      </c>
      <c r="C2585" t="s">
        <v>7776</v>
      </c>
    </row>
    <row r="2586" spans="1:3" x14ac:dyDescent="0.35">
      <c r="A2586" t="s">
        <v>7778</v>
      </c>
      <c r="B2586" t="s">
        <v>7779</v>
      </c>
      <c r="C2586" t="s">
        <v>7780</v>
      </c>
    </row>
    <row r="2587" spans="1:3" x14ac:dyDescent="0.35">
      <c r="A2587" t="s">
        <v>7781</v>
      </c>
      <c r="B2587" t="s">
        <v>7782</v>
      </c>
      <c r="C2587" t="s">
        <v>7783</v>
      </c>
    </row>
    <row r="2588" spans="1:3" x14ac:dyDescent="0.35">
      <c r="A2588" t="s">
        <v>7784</v>
      </c>
      <c r="B2588" t="s">
        <v>7785</v>
      </c>
      <c r="C2588" t="s">
        <v>7786</v>
      </c>
    </row>
    <row r="2589" spans="1:3" x14ac:dyDescent="0.35">
      <c r="A2589" t="s">
        <v>7787</v>
      </c>
      <c r="B2589" t="s">
        <v>7788</v>
      </c>
      <c r="C2589" t="s">
        <v>7789</v>
      </c>
    </row>
    <row r="2590" spans="1:3" x14ac:dyDescent="0.35">
      <c r="A2590" t="s">
        <v>7790</v>
      </c>
      <c r="B2590" t="s">
        <v>7791</v>
      </c>
      <c r="C2590" t="s">
        <v>7792</v>
      </c>
    </row>
    <row r="2591" spans="1:3" x14ac:dyDescent="0.35">
      <c r="A2591" t="s">
        <v>7793</v>
      </c>
      <c r="B2591" t="s">
        <v>7794</v>
      </c>
      <c r="C2591" t="s">
        <v>7795</v>
      </c>
    </row>
    <row r="2592" spans="1:3" x14ac:dyDescent="0.35">
      <c r="A2592" t="s">
        <v>7796</v>
      </c>
      <c r="B2592" t="s">
        <v>7797</v>
      </c>
      <c r="C2592" t="s">
        <v>7798</v>
      </c>
    </row>
    <row r="2593" spans="1:3" x14ac:dyDescent="0.35">
      <c r="A2593" t="s">
        <v>7799</v>
      </c>
      <c r="B2593" t="s">
        <v>7800</v>
      </c>
      <c r="C2593" t="s">
        <v>7801</v>
      </c>
    </row>
    <row r="2594" spans="1:3" x14ac:dyDescent="0.35">
      <c r="A2594" t="s">
        <v>7802</v>
      </c>
      <c r="B2594" t="s">
        <v>7803</v>
      </c>
      <c r="C2594" t="s">
        <v>7804</v>
      </c>
    </row>
    <row r="2595" spans="1:3" x14ac:dyDescent="0.35">
      <c r="A2595" t="s">
        <v>7805</v>
      </c>
      <c r="B2595" t="s">
        <v>7806</v>
      </c>
      <c r="C2595" t="s">
        <v>7807</v>
      </c>
    </row>
    <row r="2596" spans="1:3" x14ac:dyDescent="0.35">
      <c r="A2596" t="s">
        <v>7808</v>
      </c>
      <c r="B2596" t="s">
        <v>7809</v>
      </c>
      <c r="C2596" t="s">
        <v>7810</v>
      </c>
    </row>
    <row r="2597" spans="1:3" x14ac:dyDescent="0.35">
      <c r="A2597" t="s">
        <v>7811</v>
      </c>
      <c r="B2597" t="s">
        <v>7812</v>
      </c>
      <c r="C2597" t="s">
        <v>7813</v>
      </c>
    </row>
    <row r="2598" spans="1:3" x14ac:dyDescent="0.35">
      <c r="A2598" t="s">
        <v>7814</v>
      </c>
      <c r="B2598" t="s">
        <v>7815</v>
      </c>
      <c r="C2598" t="s">
        <v>7816</v>
      </c>
    </row>
    <row r="2599" spans="1:3" x14ac:dyDescent="0.35">
      <c r="A2599" t="s">
        <v>7817</v>
      </c>
      <c r="B2599" t="s">
        <v>7818</v>
      </c>
      <c r="C2599" t="s">
        <v>7819</v>
      </c>
    </row>
    <row r="2600" spans="1:3" x14ac:dyDescent="0.35">
      <c r="A2600" t="s">
        <v>7820</v>
      </c>
      <c r="B2600" t="s">
        <v>7821</v>
      </c>
      <c r="C2600" t="s">
        <v>7822</v>
      </c>
    </row>
    <row r="2601" spans="1:3" x14ac:dyDescent="0.35">
      <c r="A2601" t="s">
        <v>7823</v>
      </c>
      <c r="B2601" t="s">
        <v>7824</v>
      </c>
      <c r="C2601" t="s">
        <v>7825</v>
      </c>
    </row>
    <row r="2602" spans="1:3" x14ac:dyDescent="0.35">
      <c r="A2602" t="s">
        <v>7826</v>
      </c>
      <c r="B2602" t="s">
        <v>7827</v>
      </c>
      <c r="C2602" t="s">
        <v>7828</v>
      </c>
    </row>
    <row r="2603" spans="1:3" x14ac:dyDescent="0.35">
      <c r="A2603" t="s">
        <v>7829</v>
      </c>
      <c r="B2603" t="s">
        <v>7830</v>
      </c>
      <c r="C2603" t="s">
        <v>7831</v>
      </c>
    </row>
    <row r="2604" spans="1:3" x14ac:dyDescent="0.35">
      <c r="A2604" t="s">
        <v>7832</v>
      </c>
      <c r="B2604" t="s">
        <v>7833</v>
      </c>
      <c r="C2604" t="s">
        <v>7834</v>
      </c>
    </row>
    <row r="2605" spans="1:3" x14ac:dyDescent="0.35">
      <c r="A2605" t="s">
        <v>7835</v>
      </c>
      <c r="B2605" t="s">
        <v>7836</v>
      </c>
      <c r="C2605" t="s">
        <v>7837</v>
      </c>
    </row>
    <row r="2606" spans="1:3" x14ac:dyDescent="0.35">
      <c r="A2606" t="s">
        <v>7838</v>
      </c>
      <c r="B2606" t="s">
        <v>7839</v>
      </c>
      <c r="C2606" t="s">
        <v>7840</v>
      </c>
    </row>
    <row r="2607" spans="1:3" x14ac:dyDescent="0.35">
      <c r="A2607" t="s">
        <v>7841</v>
      </c>
      <c r="B2607" t="s">
        <v>7842</v>
      </c>
      <c r="C2607" t="s">
        <v>7843</v>
      </c>
    </row>
    <row r="2608" spans="1:3" x14ac:dyDescent="0.35">
      <c r="A2608" t="s">
        <v>7844</v>
      </c>
      <c r="B2608" t="s">
        <v>7845</v>
      </c>
      <c r="C2608" t="s">
        <v>7846</v>
      </c>
    </row>
    <row r="2609" spans="1:3" x14ac:dyDescent="0.35">
      <c r="A2609" t="s">
        <v>7847</v>
      </c>
      <c r="B2609" t="s">
        <v>7848</v>
      </c>
      <c r="C2609" t="s">
        <v>7849</v>
      </c>
    </row>
    <row r="2610" spans="1:3" x14ac:dyDescent="0.35">
      <c r="A2610" t="s">
        <v>7850</v>
      </c>
      <c r="B2610" t="s">
        <v>7851</v>
      </c>
      <c r="C2610" t="s">
        <v>7852</v>
      </c>
    </row>
    <row r="2611" spans="1:3" x14ac:dyDescent="0.35">
      <c r="A2611" t="s">
        <v>7853</v>
      </c>
      <c r="B2611" t="s">
        <v>7854</v>
      </c>
      <c r="C2611" t="s">
        <v>7855</v>
      </c>
    </row>
    <row r="2612" spans="1:3" x14ac:dyDescent="0.35">
      <c r="A2612" t="s">
        <v>7856</v>
      </c>
      <c r="B2612" t="s">
        <v>7857</v>
      </c>
      <c r="C2612" t="s">
        <v>7858</v>
      </c>
    </row>
    <row r="2613" spans="1:3" x14ac:dyDescent="0.35">
      <c r="A2613" t="s">
        <v>7859</v>
      </c>
      <c r="B2613" t="s">
        <v>7860</v>
      </c>
      <c r="C2613" t="s">
        <v>7861</v>
      </c>
    </row>
    <row r="2614" spans="1:3" x14ac:dyDescent="0.35">
      <c r="A2614" t="s">
        <v>7862</v>
      </c>
      <c r="B2614" t="s">
        <v>7863</v>
      </c>
      <c r="C2614" t="s">
        <v>7864</v>
      </c>
    </row>
    <row r="2615" spans="1:3" x14ac:dyDescent="0.35">
      <c r="A2615" t="s">
        <v>7865</v>
      </c>
      <c r="B2615" t="s">
        <v>7866</v>
      </c>
      <c r="C2615" t="s">
        <v>7867</v>
      </c>
    </row>
    <row r="2616" spans="1:3" x14ac:dyDescent="0.35">
      <c r="A2616" t="s">
        <v>7868</v>
      </c>
      <c r="B2616" t="s">
        <v>7869</v>
      </c>
      <c r="C2616" t="s">
        <v>7870</v>
      </c>
    </row>
    <row r="2617" spans="1:3" x14ac:dyDescent="0.35">
      <c r="A2617" t="s">
        <v>7871</v>
      </c>
      <c r="B2617" t="s">
        <v>7872</v>
      </c>
      <c r="C2617" t="s">
        <v>7873</v>
      </c>
    </row>
    <row r="2618" spans="1:3" x14ac:dyDescent="0.35">
      <c r="A2618" t="s">
        <v>7874</v>
      </c>
      <c r="B2618" t="s">
        <v>7875</v>
      </c>
      <c r="C2618" t="s">
        <v>7876</v>
      </c>
    </row>
    <row r="2619" spans="1:3" x14ac:dyDescent="0.35">
      <c r="A2619" t="s">
        <v>7877</v>
      </c>
      <c r="B2619" t="s">
        <v>7878</v>
      </c>
      <c r="C2619" t="s">
        <v>7879</v>
      </c>
    </row>
    <row r="2620" spans="1:3" x14ac:dyDescent="0.35">
      <c r="A2620" t="s">
        <v>7880</v>
      </c>
      <c r="B2620" t="s">
        <v>7881</v>
      </c>
      <c r="C2620" t="s">
        <v>7882</v>
      </c>
    </row>
    <row r="2621" spans="1:3" x14ac:dyDescent="0.35">
      <c r="A2621" t="s">
        <v>7883</v>
      </c>
      <c r="B2621" t="s">
        <v>7884</v>
      </c>
      <c r="C2621" t="s">
        <v>7885</v>
      </c>
    </row>
    <row r="2622" spans="1:3" x14ac:dyDescent="0.35">
      <c r="A2622" t="s">
        <v>7886</v>
      </c>
      <c r="B2622" t="s">
        <v>7887</v>
      </c>
      <c r="C2622" t="s">
        <v>7888</v>
      </c>
    </row>
    <row r="2623" spans="1:3" x14ac:dyDescent="0.35">
      <c r="A2623" t="s">
        <v>7889</v>
      </c>
      <c r="B2623" t="s">
        <v>7890</v>
      </c>
      <c r="C2623" t="s">
        <v>7891</v>
      </c>
    </row>
    <row r="2624" spans="1:3" x14ac:dyDescent="0.35">
      <c r="A2624" t="s">
        <v>7892</v>
      </c>
      <c r="B2624" t="s">
        <v>7893</v>
      </c>
      <c r="C2624" t="s">
        <v>7894</v>
      </c>
    </row>
    <row r="2625" spans="1:3" x14ac:dyDescent="0.35">
      <c r="A2625" t="s">
        <v>7895</v>
      </c>
      <c r="B2625" t="s">
        <v>7896</v>
      </c>
      <c r="C2625" t="s">
        <v>7897</v>
      </c>
    </row>
    <row r="2626" spans="1:3" x14ac:dyDescent="0.35">
      <c r="A2626" t="s">
        <v>7898</v>
      </c>
      <c r="B2626" t="s">
        <v>7899</v>
      </c>
      <c r="C2626" t="s">
        <v>7900</v>
      </c>
    </row>
    <row r="2627" spans="1:3" x14ac:dyDescent="0.35">
      <c r="A2627" t="s">
        <v>7901</v>
      </c>
      <c r="B2627" t="s">
        <v>7902</v>
      </c>
      <c r="C2627" t="s">
        <v>7903</v>
      </c>
    </row>
    <row r="2628" spans="1:3" x14ac:dyDescent="0.35">
      <c r="A2628" t="s">
        <v>7904</v>
      </c>
      <c r="B2628" t="s">
        <v>7905</v>
      </c>
      <c r="C2628" t="s">
        <v>7906</v>
      </c>
    </row>
    <row r="2629" spans="1:3" x14ac:dyDescent="0.35">
      <c r="A2629" t="s">
        <v>7907</v>
      </c>
      <c r="B2629" t="s">
        <v>7908</v>
      </c>
      <c r="C2629" t="s">
        <v>7909</v>
      </c>
    </row>
    <row r="2630" spans="1:3" x14ac:dyDescent="0.35">
      <c r="A2630" t="s">
        <v>7910</v>
      </c>
      <c r="B2630" t="s">
        <v>7911</v>
      </c>
      <c r="C2630" t="s">
        <v>7912</v>
      </c>
    </row>
    <row r="2631" spans="1:3" x14ac:dyDescent="0.35">
      <c r="A2631" t="s">
        <v>7913</v>
      </c>
      <c r="B2631" t="s">
        <v>7914</v>
      </c>
      <c r="C2631" t="s">
        <v>7915</v>
      </c>
    </row>
    <row r="2632" spans="1:3" x14ac:dyDescent="0.35">
      <c r="A2632" t="s">
        <v>7916</v>
      </c>
      <c r="B2632" t="s">
        <v>7917</v>
      </c>
      <c r="C2632" t="s">
        <v>7918</v>
      </c>
    </row>
    <row r="2633" spans="1:3" x14ac:dyDescent="0.35">
      <c r="A2633" t="s">
        <v>7919</v>
      </c>
      <c r="B2633" t="s">
        <v>7920</v>
      </c>
      <c r="C2633" t="s">
        <v>7921</v>
      </c>
    </row>
    <row r="2634" spans="1:3" x14ac:dyDescent="0.35">
      <c r="A2634" t="s">
        <v>7922</v>
      </c>
      <c r="B2634" t="s">
        <v>7923</v>
      </c>
      <c r="C2634" t="s">
        <v>7924</v>
      </c>
    </row>
    <row r="2635" spans="1:3" x14ac:dyDescent="0.35">
      <c r="A2635" t="s">
        <v>7925</v>
      </c>
      <c r="B2635" t="s">
        <v>7926</v>
      </c>
      <c r="C2635" t="s">
        <v>7927</v>
      </c>
    </row>
    <row r="2636" spans="1:3" x14ac:dyDescent="0.35">
      <c r="A2636" t="s">
        <v>7928</v>
      </c>
      <c r="B2636" t="s">
        <v>7929</v>
      </c>
      <c r="C2636" t="s">
        <v>7930</v>
      </c>
    </row>
    <row r="2637" spans="1:3" x14ac:dyDescent="0.35">
      <c r="A2637" t="s">
        <v>7931</v>
      </c>
      <c r="B2637" t="s">
        <v>7932</v>
      </c>
      <c r="C2637" t="s">
        <v>7933</v>
      </c>
    </row>
    <row r="2638" spans="1:3" x14ac:dyDescent="0.35">
      <c r="A2638" t="s">
        <v>7934</v>
      </c>
      <c r="B2638" t="s">
        <v>7935</v>
      </c>
      <c r="C2638" t="s">
        <v>7936</v>
      </c>
    </row>
    <row r="2639" spans="1:3" x14ac:dyDescent="0.35">
      <c r="A2639" t="s">
        <v>7937</v>
      </c>
      <c r="B2639" t="s">
        <v>7938</v>
      </c>
      <c r="C2639" t="s">
        <v>7939</v>
      </c>
    </row>
    <row r="2640" spans="1:3" x14ac:dyDescent="0.35">
      <c r="A2640" t="s">
        <v>7940</v>
      </c>
      <c r="B2640" t="s">
        <v>7941</v>
      </c>
      <c r="C2640" t="s">
        <v>7942</v>
      </c>
    </row>
    <row r="2641" spans="1:3" x14ac:dyDescent="0.35">
      <c r="A2641" t="s">
        <v>7943</v>
      </c>
      <c r="B2641" t="s">
        <v>7944</v>
      </c>
      <c r="C2641" t="s">
        <v>7945</v>
      </c>
    </row>
    <row r="2642" spans="1:3" x14ac:dyDescent="0.35">
      <c r="A2642" t="s">
        <v>7946</v>
      </c>
      <c r="B2642" t="s">
        <v>7947</v>
      </c>
      <c r="C2642" t="s">
        <v>7948</v>
      </c>
    </row>
    <row r="2643" spans="1:3" x14ac:dyDescent="0.35">
      <c r="A2643" t="s">
        <v>7949</v>
      </c>
      <c r="B2643" t="s">
        <v>7950</v>
      </c>
      <c r="C2643" t="s">
        <v>7951</v>
      </c>
    </row>
    <row r="2644" spans="1:3" x14ac:dyDescent="0.35">
      <c r="A2644" t="s">
        <v>7952</v>
      </c>
      <c r="B2644" t="s">
        <v>7953</v>
      </c>
      <c r="C2644" t="s">
        <v>7954</v>
      </c>
    </row>
    <row r="2645" spans="1:3" x14ac:dyDescent="0.35">
      <c r="A2645" t="s">
        <v>7955</v>
      </c>
      <c r="B2645" t="s">
        <v>7956</v>
      </c>
      <c r="C2645" t="s">
        <v>7957</v>
      </c>
    </row>
    <row r="2646" spans="1:3" x14ac:dyDescent="0.35">
      <c r="A2646" t="s">
        <v>7958</v>
      </c>
      <c r="B2646" t="s">
        <v>7959</v>
      </c>
      <c r="C2646" t="s">
        <v>7960</v>
      </c>
    </row>
    <row r="2647" spans="1:3" x14ac:dyDescent="0.35">
      <c r="A2647" t="s">
        <v>7961</v>
      </c>
      <c r="B2647" t="s">
        <v>7962</v>
      </c>
      <c r="C2647" t="s">
        <v>7963</v>
      </c>
    </row>
    <row r="2648" spans="1:3" x14ac:dyDescent="0.35">
      <c r="A2648" t="s">
        <v>7964</v>
      </c>
      <c r="B2648" t="s">
        <v>7965</v>
      </c>
      <c r="C2648" t="s">
        <v>7966</v>
      </c>
    </row>
    <row r="2649" spans="1:3" x14ac:dyDescent="0.35">
      <c r="A2649" t="s">
        <v>7967</v>
      </c>
      <c r="B2649" t="s">
        <v>7968</v>
      </c>
      <c r="C2649" t="s">
        <v>7969</v>
      </c>
    </row>
    <row r="2650" spans="1:3" x14ac:dyDescent="0.35">
      <c r="A2650" t="s">
        <v>7970</v>
      </c>
      <c r="B2650" t="s">
        <v>7971</v>
      </c>
      <c r="C2650" t="s">
        <v>7972</v>
      </c>
    </row>
    <row r="2651" spans="1:3" x14ac:dyDescent="0.35">
      <c r="A2651" t="s">
        <v>7973</v>
      </c>
      <c r="B2651" t="s">
        <v>7974</v>
      </c>
      <c r="C2651" t="s">
        <v>7975</v>
      </c>
    </row>
    <row r="2652" spans="1:3" x14ac:dyDescent="0.35">
      <c r="A2652" t="s">
        <v>7976</v>
      </c>
      <c r="B2652" t="s">
        <v>7977</v>
      </c>
      <c r="C2652" t="s">
        <v>7978</v>
      </c>
    </row>
    <row r="2653" spans="1:3" x14ac:dyDescent="0.35">
      <c r="A2653" t="s">
        <v>7979</v>
      </c>
      <c r="B2653" t="s">
        <v>7980</v>
      </c>
      <c r="C2653" t="s">
        <v>7981</v>
      </c>
    </row>
    <row r="2654" spans="1:3" x14ac:dyDescent="0.35">
      <c r="A2654" t="s">
        <v>7982</v>
      </c>
      <c r="B2654" t="s">
        <v>7983</v>
      </c>
      <c r="C2654" t="s">
        <v>7984</v>
      </c>
    </row>
    <row r="2655" spans="1:3" x14ac:dyDescent="0.35">
      <c r="A2655" t="s">
        <v>7985</v>
      </c>
      <c r="B2655" t="s">
        <v>7986</v>
      </c>
      <c r="C2655" t="s">
        <v>7987</v>
      </c>
    </row>
    <row r="2656" spans="1:3" x14ac:dyDescent="0.35">
      <c r="A2656" t="s">
        <v>7988</v>
      </c>
      <c r="B2656" t="s">
        <v>7989</v>
      </c>
      <c r="C2656" t="s">
        <v>7990</v>
      </c>
    </row>
    <row r="2657" spans="1:3" x14ac:dyDescent="0.35">
      <c r="A2657" t="s">
        <v>7991</v>
      </c>
      <c r="B2657" t="s">
        <v>7992</v>
      </c>
      <c r="C2657" t="s">
        <v>7993</v>
      </c>
    </row>
    <row r="2658" spans="1:3" x14ac:dyDescent="0.35">
      <c r="A2658" t="s">
        <v>7994</v>
      </c>
      <c r="B2658" t="s">
        <v>7995</v>
      </c>
      <c r="C2658" t="s">
        <v>7996</v>
      </c>
    </row>
    <row r="2659" spans="1:3" x14ac:dyDescent="0.35">
      <c r="A2659" t="s">
        <v>7997</v>
      </c>
      <c r="B2659" t="s">
        <v>7998</v>
      </c>
      <c r="C2659" t="s">
        <v>7999</v>
      </c>
    </row>
    <row r="2660" spans="1:3" x14ac:dyDescent="0.35">
      <c r="A2660" t="s">
        <v>8000</v>
      </c>
      <c r="B2660" t="s">
        <v>8001</v>
      </c>
      <c r="C2660" t="s">
        <v>8002</v>
      </c>
    </row>
    <row r="2661" spans="1:3" x14ac:dyDescent="0.35">
      <c r="A2661" t="s">
        <v>8003</v>
      </c>
      <c r="B2661" t="s">
        <v>8004</v>
      </c>
      <c r="C2661" t="s">
        <v>8005</v>
      </c>
    </row>
    <row r="2662" spans="1:3" x14ac:dyDescent="0.35">
      <c r="A2662" t="s">
        <v>8006</v>
      </c>
      <c r="B2662" t="s">
        <v>8007</v>
      </c>
      <c r="C2662" t="s">
        <v>8008</v>
      </c>
    </row>
    <row r="2663" spans="1:3" x14ac:dyDescent="0.35">
      <c r="A2663" t="s">
        <v>8009</v>
      </c>
      <c r="B2663" t="s">
        <v>8010</v>
      </c>
      <c r="C2663" t="s">
        <v>8011</v>
      </c>
    </row>
    <row r="2664" spans="1:3" x14ac:dyDescent="0.35">
      <c r="A2664" t="s">
        <v>23111</v>
      </c>
      <c r="B2664" t="s">
        <v>23112</v>
      </c>
      <c r="C2664" t="s">
        <v>23113</v>
      </c>
    </row>
    <row r="2665" spans="1:3" x14ac:dyDescent="0.35">
      <c r="A2665" t="s">
        <v>8012</v>
      </c>
      <c r="B2665" t="s">
        <v>8013</v>
      </c>
      <c r="C2665" t="s">
        <v>8014</v>
      </c>
    </row>
    <row r="2666" spans="1:3" x14ac:dyDescent="0.35">
      <c r="A2666" t="s">
        <v>8015</v>
      </c>
      <c r="B2666" t="s">
        <v>8016</v>
      </c>
      <c r="C2666" t="s">
        <v>8017</v>
      </c>
    </row>
    <row r="2667" spans="1:3" x14ac:dyDescent="0.35">
      <c r="A2667" t="s">
        <v>8018</v>
      </c>
      <c r="B2667" t="s">
        <v>8019</v>
      </c>
      <c r="C2667" t="s">
        <v>8020</v>
      </c>
    </row>
    <row r="2668" spans="1:3" x14ac:dyDescent="0.35">
      <c r="A2668" t="s">
        <v>8021</v>
      </c>
      <c r="B2668" t="s">
        <v>8022</v>
      </c>
      <c r="C2668" t="s">
        <v>8023</v>
      </c>
    </row>
    <row r="2669" spans="1:3" x14ac:dyDescent="0.35">
      <c r="A2669" t="s">
        <v>8024</v>
      </c>
      <c r="B2669" t="s">
        <v>8025</v>
      </c>
      <c r="C2669" t="s">
        <v>8026</v>
      </c>
    </row>
    <row r="2670" spans="1:3" x14ac:dyDescent="0.35">
      <c r="A2670" t="s">
        <v>8027</v>
      </c>
      <c r="B2670" t="s">
        <v>8028</v>
      </c>
      <c r="C2670" t="s">
        <v>8029</v>
      </c>
    </row>
    <row r="2671" spans="1:3" x14ac:dyDescent="0.35">
      <c r="A2671" t="s">
        <v>8030</v>
      </c>
      <c r="B2671" t="s">
        <v>8031</v>
      </c>
      <c r="C2671" t="s">
        <v>8032</v>
      </c>
    </row>
    <row r="2672" spans="1:3" x14ac:dyDescent="0.35">
      <c r="A2672" t="s">
        <v>8033</v>
      </c>
      <c r="B2672" t="s">
        <v>8034</v>
      </c>
      <c r="C2672" t="s">
        <v>8035</v>
      </c>
    </row>
    <row r="2673" spans="1:3" x14ac:dyDescent="0.35">
      <c r="A2673" t="s">
        <v>8036</v>
      </c>
      <c r="B2673" t="s">
        <v>8037</v>
      </c>
      <c r="C2673" t="s">
        <v>8038</v>
      </c>
    </row>
    <row r="2674" spans="1:3" x14ac:dyDescent="0.35">
      <c r="A2674" t="s">
        <v>8039</v>
      </c>
      <c r="B2674" t="s">
        <v>8040</v>
      </c>
      <c r="C2674" t="s">
        <v>8041</v>
      </c>
    </row>
    <row r="2675" spans="1:3" x14ac:dyDescent="0.35">
      <c r="A2675" t="s">
        <v>8042</v>
      </c>
      <c r="B2675" t="s">
        <v>8043</v>
      </c>
      <c r="C2675" t="s">
        <v>8044</v>
      </c>
    </row>
    <row r="2676" spans="1:3" x14ac:dyDescent="0.35">
      <c r="A2676" t="s">
        <v>8045</v>
      </c>
      <c r="B2676" t="s">
        <v>8046</v>
      </c>
      <c r="C2676" t="s">
        <v>8047</v>
      </c>
    </row>
    <row r="2677" spans="1:3" x14ac:dyDescent="0.35">
      <c r="A2677" t="s">
        <v>8048</v>
      </c>
      <c r="B2677" t="s">
        <v>8049</v>
      </c>
      <c r="C2677" t="s">
        <v>8050</v>
      </c>
    </row>
    <row r="2678" spans="1:3" x14ac:dyDescent="0.35">
      <c r="A2678" t="s">
        <v>8051</v>
      </c>
      <c r="B2678" t="s">
        <v>8052</v>
      </c>
      <c r="C2678" t="s">
        <v>8053</v>
      </c>
    </row>
    <row r="2679" spans="1:3" x14ac:dyDescent="0.35">
      <c r="A2679" t="s">
        <v>8054</v>
      </c>
      <c r="B2679" t="s">
        <v>8055</v>
      </c>
      <c r="C2679" t="s">
        <v>8056</v>
      </c>
    </row>
    <row r="2680" spans="1:3" x14ac:dyDescent="0.35">
      <c r="A2680" t="s">
        <v>8057</v>
      </c>
      <c r="B2680" t="s">
        <v>8058</v>
      </c>
      <c r="C2680" t="s">
        <v>8059</v>
      </c>
    </row>
    <row r="2681" spans="1:3" x14ac:dyDescent="0.35">
      <c r="A2681" t="s">
        <v>8060</v>
      </c>
      <c r="B2681" t="s">
        <v>8061</v>
      </c>
      <c r="C2681" t="s">
        <v>8062</v>
      </c>
    </row>
    <row r="2682" spans="1:3" x14ac:dyDescent="0.35">
      <c r="A2682" t="s">
        <v>8063</v>
      </c>
      <c r="B2682" t="s">
        <v>8064</v>
      </c>
      <c r="C2682" t="s">
        <v>8065</v>
      </c>
    </row>
    <row r="2683" spans="1:3" x14ac:dyDescent="0.35">
      <c r="A2683" t="s">
        <v>8066</v>
      </c>
      <c r="B2683" t="s">
        <v>8067</v>
      </c>
      <c r="C2683" t="s">
        <v>8068</v>
      </c>
    </row>
    <row r="2684" spans="1:3" x14ac:dyDescent="0.35">
      <c r="A2684" t="s">
        <v>8069</v>
      </c>
      <c r="B2684" t="s">
        <v>8070</v>
      </c>
      <c r="C2684" t="s">
        <v>8071</v>
      </c>
    </row>
    <row r="2685" spans="1:3" x14ac:dyDescent="0.35">
      <c r="A2685" t="s">
        <v>8069</v>
      </c>
      <c r="B2685" t="s">
        <v>8072</v>
      </c>
      <c r="C2685" t="s">
        <v>8071</v>
      </c>
    </row>
    <row r="2686" spans="1:3" x14ac:dyDescent="0.35">
      <c r="A2686" t="s">
        <v>8073</v>
      </c>
      <c r="B2686" t="s">
        <v>8074</v>
      </c>
      <c r="C2686" t="s">
        <v>8075</v>
      </c>
    </row>
    <row r="2687" spans="1:3" x14ac:dyDescent="0.35">
      <c r="A2687" t="s">
        <v>8076</v>
      </c>
      <c r="B2687" t="s">
        <v>8077</v>
      </c>
      <c r="C2687" t="s">
        <v>8078</v>
      </c>
    </row>
    <row r="2688" spans="1:3" x14ac:dyDescent="0.35">
      <c r="A2688" t="s">
        <v>8079</v>
      </c>
      <c r="B2688" t="s">
        <v>8080</v>
      </c>
      <c r="C2688" t="s">
        <v>8081</v>
      </c>
    </row>
    <row r="2689" spans="1:3" x14ac:dyDescent="0.35">
      <c r="A2689" t="s">
        <v>8082</v>
      </c>
      <c r="B2689" t="s">
        <v>8083</v>
      </c>
      <c r="C2689" t="s">
        <v>8084</v>
      </c>
    </row>
    <row r="2690" spans="1:3" x14ac:dyDescent="0.35">
      <c r="A2690" t="s">
        <v>8085</v>
      </c>
      <c r="B2690" t="s">
        <v>8086</v>
      </c>
      <c r="C2690" t="s">
        <v>8087</v>
      </c>
    </row>
    <row r="2691" spans="1:3" x14ac:dyDescent="0.35">
      <c r="A2691" t="s">
        <v>8088</v>
      </c>
      <c r="B2691" t="s">
        <v>8089</v>
      </c>
      <c r="C2691" t="s">
        <v>8090</v>
      </c>
    </row>
    <row r="2692" spans="1:3" x14ac:dyDescent="0.35">
      <c r="A2692" t="s">
        <v>8091</v>
      </c>
      <c r="B2692" t="s">
        <v>8092</v>
      </c>
      <c r="C2692" t="s">
        <v>8093</v>
      </c>
    </row>
    <row r="2693" spans="1:3" x14ac:dyDescent="0.35">
      <c r="A2693" t="s">
        <v>8094</v>
      </c>
      <c r="B2693" t="s">
        <v>8095</v>
      </c>
      <c r="C2693" t="s">
        <v>8096</v>
      </c>
    </row>
    <row r="2694" spans="1:3" x14ac:dyDescent="0.35">
      <c r="A2694" t="s">
        <v>8097</v>
      </c>
      <c r="B2694" t="s">
        <v>8098</v>
      </c>
      <c r="C2694" t="s">
        <v>8099</v>
      </c>
    </row>
    <row r="2695" spans="1:3" x14ac:dyDescent="0.35">
      <c r="A2695" t="s">
        <v>98</v>
      </c>
      <c r="B2695" t="s">
        <v>8100</v>
      </c>
      <c r="C2695" t="s">
        <v>8101</v>
      </c>
    </row>
    <row r="2696" spans="1:3" x14ac:dyDescent="0.35">
      <c r="A2696" t="s">
        <v>8102</v>
      </c>
      <c r="B2696" t="s">
        <v>8103</v>
      </c>
      <c r="C2696" t="s">
        <v>8104</v>
      </c>
    </row>
    <row r="2697" spans="1:3" x14ac:dyDescent="0.35">
      <c r="A2697" t="s">
        <v>8105</v>
      </c>
      <c r="B2697" t="s">
        <v>8106</v>
      </c>
      <c r="C2697" t="s">
        <v>8107</v>
      </c>
    </row>
    <row r="2698" spans="1:3" x14ac:dyDescent="0.35">
      <c r="A2698" t="s">
        <v>8108</v>
      </c>
      <c r="B2698" t="s">
        <v>8109</v>
      </c>
      <c r="C2698" t="s">
        <v>8110</v>
      </c>
    </row>
    <row r="2699" spans="1:3" x14ac:dyDescent="0.35">
      <c r="A2699" t="s">
        <v>8111</v>
      </c>
      <c r="B2699" t="s">
        <v>8112</v>
      </c>
      <c r="C2699" t="s">
        <v>8113</v>
      </c>
    </row>
    <row r="2700" spans="1:3" x14ac:dyDescent="0.35">
      <c r="A2700" t="s">
        <v>8114</v>
      </c>
      <c r="B2700" t="s">
        <v>8115</v>
      </c>
      <c r="C2700" t="s">
        <v>8116</v>
      </c>
    </row>
    <row r="2701" spans="1:3" x14ac:dyDescent="0.35">
      <c r="A2701" t="s">
        <v>8117</v>
      </c>
      <c r="B2701" t="s">
        <v>8118</v>
      </c>
      <c r="C2701" t="s">
        <v>8119</v>
      </c>
    </row>
    <row r="2702" spans="1:3" x14ac:dyDescent="0.35">
      <c r="A2702" t="s">
        <v>8120</v>
      </c>
      <c r="B2702" t="s">
        <v>8121</v>
      </c>
      <c r="C2702" t="s">
        <v>8122</v>
      </c>
    </row>
    <row r="2703" spans="1:3" x14ac:dyDescent="0.35">
      <c r="A2703" t="s">
        <v>8123</v>
      </c>
      <c r="B2703" t="s">
        <v>8124</v>
      </c>
      <c r="C2703" t="s">
        <v>8125</v>
      </c>
    </row>
    <row r="2704" spans="1:3" x14ac:dyDescent="0.35">
      <c r="A2704" t="s">
        <v>8126</v>
      </c>
      <c r="B2704" t="s">
        <v>8127</v>
      </c>
      <c r="C2704" t="s">
        <v>8128</v>
      </c>
    </row>
    <row r="2705" spans="1:3" x14ac:dyDescent="0.35">
      <c r="A2705" t="s">
        <v>8129</v>
      </c>
      <c r="B2705" t="s">
        <v>8130</v>
      </c>
      <c r="C2705" t="s">
        <v>8131</v>
      </c>
    </row>
    <row r="2706" spans="1:3" x14ac:dyDescent="0.35">
      <c r="A2706" t="s">
        <v>8132</v>
      </c>
      <c r="B2706" t="s">
        <v>8133</v>
      </c>
      <c r="C2706" t="s">
        <v>8134</v>
      </c>
    </row>
    <row r="2707" spans="1:3" x14ac:dyDescent="0.35">
      <c r="A2707" t="s">
        <v>8135</v>
      </c>
      <c r="B2707" t="s">
        <v>8136</v>
      </c>
      <c r="C2707" t="s">
        <v>8137</v>
      </c>
    </row>
    <row r="2708" spans="1:3" x14ac:dyDescent="0.35">
      <c r="A2708" t="s">
        <v>8138</v>
      </c>
      <c r="B2708" t="s">
        <v>8139</v>
      </c>
      <c r="C2708" t="s">
        <v>8140</v>
      </c>
    </row>
    <row r="2709" spans="1:3" x14ac:dyDescent="0.35">
      <c r="A2709" t="s">
        <v>8141</v>
      </c>
      <c r="B2709" t="s">
        <v>8142</v>
      </c>
      <c r="C2709" t="s">
        <v>8143</v>
      </c>
    </row>
    <row r="2710" spans="1:3" x14ac:dyDescent="0.35">
      <c r="A2710" t="s">
        <v>8144</v>
      </c>
      <c r="B2710" t="s">
        <v>8145</v>
      </c>
      <c r="C2710" t="s">
        <v>8146</v>
      </c>
    </row>
    <row r="2711" spans="1:3" x14ac:dyDescent="0.35">
      <c r="A2711" t="s">
        <v>8147</v>
      </c>
      <c r="B2711" t="s">
        <v>8148</v>
      </c>
      <c r="C2711" t="s">
        <v>8149</v>
      </c>
    </row>
    <row r="2712" spans="1:3" x14ac:dyDescent="0.35">
      <c r="A2712" t="s">
        <v>8150</v>
      </c>
      <c r="B2712" t="s">
        <v>8151</v>
      </c>
      <c r="C2712" t="s">
        <v>8152</v>
      </c>
    </row>
    <row r="2713" spans="1:3" x14ac:dyDescent="0.35">
      <c r="A2713" t="s">
        <v>8153</v>
      </c>
      <c r="B2713" t="s">
        <v>8154</v>
      </c>
      <c r="C2713" t="s">
        <v>8155</v>
      </c>
    </row>
    <row r="2714" spans="1:3" x14ac:dyDescent="0.35">
      <c r="A2714" t="s">
        <v>8156</v>
      </c>
      <c r="B2714" t="s">
        <v>8157</v>
      </c>
      <c r="C2714" t="s">
        <v>8158</v>
      </c>
    </row>
    <row r="2715" spans="1:3" x14ac:dyDescent="0.35">
      <c r="A2715" t="s">
        <v>8159</v>
      </c>
      <c r="B2715" t="s">
        <v>8160</v>
      </c>
      <c r="C2715" t="s">
        <v>8161</v>
      </c>
    </row>
    <row r="2716" spans="1:3" x14ac:dyDescent="0.35">
      <c r="A2716" t="s">
        <v>8162</v>
      </c>
      <c r="B2716" t="s">
        <v>8163</v>
      </c>
      <c r="C2716" t="s">
        <v>8164</v>
      </c>
    </row>
    <row r="2717" spans="1:3" x14ac:dyDescent="0.35">
      <c r="A2717" t="s">
        <v>8165</v>
      </c>
      <c r="B2717" t="s">
        <v>8166</v>
      </c>
      <c r="C2717" t="s">
        <v>8167</v>
      </c>
    </row>
    <row r="2718" spans="1:3" x14ac:dyDescent="0.35">
      <c r="A2718" t="s">
        <v>8168</v>
      </c>
      <c r="B2718" t="s">
        <v>8169</v>
      </c>
      <c r="C2718" t="s">
        <v>8170</v>
      </c>
    </row>
    <row r="2719" spans="1:3" x14ac:dyDescent="0.35">
      <c r="A2719" t="s">
        <v>8171</v>
      </c>
      <c r="B2719" t="s">
        <v>8172</v>
      </c>
      <c r="C2719" t="s">
        <v>8173</v>
      </c>
    </row>
    <row r="2720" spans="1:3" x14ac:dyDescent="0.35">
      <c r="A2720" t="s">
        <v>8174</v>
      </c>
      <c r="B2720" t="s">
        <v>8175</v>
      </c>
      <c r="C2720" t="s">
        <v>8176</v>
      </c>
    </row>
    <row r="2721" spans="1:3" x14ac:dyDescent="0.35">
      <c r="A2721" t="s">
        <v>8177</v>
      </c>
      <c r="B2721" t="s">
        <v>8178</v>
      </c>
      <c r="C2721" t="s">
        <v>8179</v>
      </c>
    </row>
    <row r="2722" spans="1:3" x14ac:dyDescent="0.35">
      <c r="A2722" t="s">
        <v>8180</v>
      </c>
      <c r="B2722" t="s">
        <v>8181</v>
      </c>
      <c r="C2722" t="s">
        <v>8182</v>
      </c>
    </row>
    <row r="2723" spans="1:3" x14ac:dyDescent="0.35">
      <c r="A2723" t="s">
        <v>8183</v>
      </c>
      <c r="B2723" t="s">
        <v>8184</v>
      </c>
      <c r="C2723" t="s">
        <v>8185</v>
      </c>
    </row>
    <row r="2724" spans="1:3" x14ac:dyDescent="0.35">
      <c r="A2724" t="s">
        <v>8186</v>
      </c>
      <c r="B2724" t="s">
        <v>8187</v>
      </c>
      <c r="C2724" t="s">
        <v>8188</v>
      </c>
    </row>
    <row r="2725" spans="1:3" x14ac:dyDescent="0.35">
      <c r="A2725" t="s">
        <v>8189</v>
      </c>
      <c r="B2725" t="s">
        <v>8190</v>
      </c>
      <c r="C2725" t="s">
        <v>8191</v>
      </c>
    </row>
    <row r="2726" spans="1:3" x14ac:dyDescent="0.35">
      <c r="A2726" t="s">
        <v>8192</v>
      </c>
      <c r="B2726" t="s">
        <v>8193</v>
      </c>
      <c r="C2726" t="s">
        <v>8194</v>
      </c>
    </row>
    <row r="2727" spans="1:3" x14ac:dyDescent="0.35">
      <c r="A2727" t="s">
        <v>8195</v>
      </c>
      <c r="B2727" t="s">
        <v>8196</v>
      </c>
      <c r="C2727" t="s">
        <v>8197</v>
      </c>
    </row>
    <row r="2728" spans="1:3" x14ac:dyDescent="0.35">
      <c r="A2728" t="s">
        <v>8198</v>
      </c>
      <c r="B2728" t="s">
        <v>8199</v>
      </c>
      <c r="C2728" t="s">
        <v>8200</v>
      </c>
    </row>
    <row r="2729" spans="1:3" x14ac:dyDescent="0.35">
      <c r="A2729" t="s">
        <v>8201</v>
      </c>
      <c r="B2729" t="s">
        <v>8202</v>
      </c>
      <c r="C2729" t="s">
        <v>8203</v>
      </c>
    </row>
    <row r="2730" spans="1:3" x14ac:dyDescent="0.35">
      <c r="A2730" t="s">
        <v>8204</v>
      </c>
      <c r="B2730" t="s">
        <v>8205</v>
      </c>
      <c r="C2730" t="s">
        <v>8206</v>
      </c>
    </row>
    <row r="2731" spans="1:3" x14ac:dyDescent="0.35">
      <c r="A2731" t="s">
        <v>8207</v>
      </c>
      <c r="B2731" t="s">
        <v>8208</v>
      </c>
      <c r="C2731" t="s">
        <v>8209</v>
      </c>
    </row>
    <row r="2732" spans="1:3" x14ac:dyDescent="0.35">
      <c r="A2732" t="s">
        <v>8210</v>
      </c>
      <c r="B2732" t="s">
        <v>8211</v>
      </c>
      <c r="C2732" t="s">
        <v>8212</v>
      </c>
    </row>
    <row r="2733" spans="1:3" x14ac:dyDescent="0.35">
      <c r="A2733" t="s">
        <v>8213</v>
      </c>
      <c r="B2733" t="s">
        <v>8214</v>
      </c>
      <c r="C2733" t="s">
        <v>8215</v>
      </c>
    </row>
    <row r="2734" spans="1:3" x14ac:dyDescent="0.35">
      <c r="A2734" t="s">
        <v>8216</v>
      </c>
      <c r="B2734" t="s">
        <v>8217</v>
      </c>
      <c r="C2734" t="s">
        <v>8218</v>
      </c>
    </row>
    <row r="2735" spans="1:3" x14ac:dyDescent="0.35">
      <c r="A2735" t="s">
        <v>8219</v>
      </c>
      <c r="B2735" t="s">
        <v>8220</v>
      </c>
      <c r="C2735" t="s">
        <v>8221</v>
      </c>
    </row>
    <row r="2736" spans="1:3" x14ac:dyDescent="0.35">
      <c r="A2736" t="s">
        <v>8222</v>
      </c>
      <c r="B2736" t="s">
        <v>8223</v>
      </c>
      <c r="C2736" t="s">
        <v>8224</v>
      </c>
    </row>
    <row r="2737" spans="1:3" x14ac:dyDescent="0.35">
      <c r="A2737" t="s">
        <v>8225</v>
      </c>
      <c r="B2737" t="s">
        <v>8226</v>
      </c>
      <c r="C2737" t="s">
        <v>8227</v>
      </c>
    </row>
    <row r="2738" spans="1:3" x14ac:dyDescent="0.35">
      <c r="A2738" t="s">
        <v>8228</v>
      </c>
      <c r="B2738" t="s">
        <v>8229</v>
      </c>
      <c r="C2738" t="s">
        <v>8230</v>
      </c>
    </row>
    <row r="2739" spans="1:3" x14ac:dyDescent="0.35">
      <c r="A2739" t="s">
        <v>8231</v>
      </c>
      <c r="B2739" t="s">
        <v>8232</v>
      </c>
      <c r="C2739" t="s">
        <v>8233</v>
      </c>
    </row>
    <row r="2740" spans="1:3" x14ac:dyDescent="0.35">
      <c r="A2740" t="s">
        <v>8234</v>
      </c>
      <c r="B2740" t="s">
        <v>8235</v>
      </c>
      <c r="C2740" t="s">
        <v>8236</v>
      </c>
    </row>
    <row r="2741" spans="1:3" x14ac:dyDescent="0.35">
      <c r="A2741" t="s">
        <v>8237</v>
      </c>
      <c r="B2741" t="s">
        <v>8238</v>
      </c>
      <c r="C2741" t="s">
        <v>8239</v>
      </c>
    </row>
    <row r="2742" spans="1:3" x14ac:dyDescent="0.35">
      <c r="A2742" t="s">
        <v>8240</v>
      </c>
      <c r="B2742" t="s">
        <v>8241</v>
      </c>
      <c r="C2742" t="s">
        <v>8242</v>
      </c>
    </row>
    <row r="2743" spans="1:3" x14ac:dyDescent="0.35">
      <c r="A2743" t="s">
        <v>8243</v>
      </c>
      <c r="B2743" t="s">
        <v>8244</v>
      </c>
      <c r="C2743" t="s">
        <v>8245</v>
      </c>
    </row>
    <row r="2744" spans="1:3" x14ac:dyDescent="0.35">
      <c r="A2744" t="s">
        <v>8246</v>
      </c>
      <c r="B2744" t="s">
        <v>8247</v>
      </c>
      <c r="C2744" t="s">
        <v>8248</v>
      </c>
    </row>
    <row r="2745" spans="1:3" x14ac:dyDescent="0.35">
      <c r="A2745" t="s">
        <v>8249</v>
      </c>
      <c r="B2745" t="s">
        <v>8250</v>
      </c>
      <c r="C2745" t="s">
        <v>8251</v>
      </c>
    </row>
    <row r="2746" spans="1:3" x14ac:dyDescent="0.35">
      <c r="A2746" t="s">
        <v>8252</v>
      </c>
      <c r="B2746" t="s">
        <v>8253</v>
      </c>
      <c r="C2746" t="s">
        <v>8254</v>
      </c>
    </row>
    <row r="2747" spans="1:3" x14ac:dyDescent="0.35">
      <c r="A2747" t="s">
        <v>8255</v>
      </c>
      <c r="B2747" t="s">
        <v>8256</v>
      </c>
      <c r="C2747" t="s">
        <v>8257</v>
      </c>
    </row>
    <row r="2748" spans="1:3" x14ac:dyDescent="0.35">
      <c r="A2748" t="s">
        <v>8258</v>
      </c>
      <c r="B2748" t="s">
        <v>8259</v>
      </c>
      <c r="C2748" t="s">
        <v>8260</v>
      </c>
    </row>
    <row r="2749" spans="1:3" x14ac:dyDescent="0.35">
      <c r="A2749" t="s">
        <v>8261</v>
      </c>
      <c r="B2749" t="s">
        <v>8262</v>
      </c>
      <c r="C2749" t="s">
        <v>8263</v>
      </c>
    </row>
    <row r="2750" spans="1:3" x14ac:dyDescent="0.35">
      <c r="A2750" t="s">
        <v>8264</v>
      </c>
      <c r="B2750" t="s">
        <v>8265</v>
      </c>
      <c r="C2750" t="s">
        <v>8266</v>
      </c>
    </row>
    <row r="2751" spans="1:3" x14ac:dyDescent="0.35">
      <c r="A2751" t="s">
        <v>8267</v>
      </c>
      <c r="B2751" t="s">
        <v>8268</v>
      </c>
      <c r="C2751" t="s">
        <v>8269</v>
      </c>
    </row>
    <row r="2752" spans="1:3" x14ac:dyDescent="0.35">
      <c r="A2752" t="s">
        <v>8270</v>
      </c>
      <c r="B2752" t="s">
        <v>8271</v>
      </c>
      <c r="C2752" t="s">
        <v>8272</v>
      </c>
    </row>
    <row r="2753" spans="1:3" x14ac:dyDescent="0.35">
      <c r="A2753" t="s">
        <v>8273</v>
      </c>
      <c r="B2753" t="s">
        <v>8274</v>
      </c>
      <c r="C2753" t="s">
        <v>8275</v>
      </c>
    </row>
    <row r="2754" spans="1:3" x14ac:dyDescent="0.35">
      <c r="A2754" t="s">
        <v>8276</v>
      </c>
      <c r="B2754" t="s">
        <v>8277</v>
      </c>
      <c r="C2754" t="s">
        <v>8278</v>
      </c>
    </row>
    <row r="2755" spans="1:3" x14ac:dyDescent="0.35">
      <c r="A2755" t="s">
        <v>8279</v>
      </c>
      <c r="B2755" t="s">
        <v>8280</v>
      </c>
      <c r="C2755" t="s">
        <v>8281</v>
      </c>
    </row>
    <row r="2756" spans="1:3" x14ac:dyDescent="0.35">
      <c r="A2756" t="s">
        <v>8282</v>
      </c>
      <c r="B2756" t="s">
        <v>8283</v>
      </c>
      <c r="C2756" t="s">
        <v>8284</v>
      </c>
    </row>
    <row r="2757" spans="1:3" x14ac:dyDescent="0.35">
      <c r="A2757" t="s">
        <v>8285</v>
      </c>
      <c r="B2757" t="s">
        <v>8286</v>
      </c>
      <c r="C2757" t="s">
        <v>8287</v>
      </c>
    </row>
    <row r="2758" spans="1:3" x14ac:dyDescent="0.35">
      <c r="A2758" t="s">
        <v>8288</v>
      </c>
      <c r="B2758" t="s">
        <v>8289</v>
      </c>
      <c r="C2758" t="s">
        <v>8290</v>
      </c>
    </row>
    <row r="2759" spans="1:3" x14ac:dyDescent="0.35">
      <c r="A2759" t="s">
        <v>8291</v>
      </c>
      <c r="B2759" t="s">
        <v>8292</v>
      </c>
      <c r="C2759" t="s">
        <v>8293</v>
      </c>
    </row>
    <row r="2760" spans="1:3" x14ac:dyDescent="0.35">
      <c r="A2760" t="s">
        <v>8294</v>
      </c>
      <c r="B2760" t="s">
        <v>8295</v>
      </c>
      <c r="C2760" t="s">
        <v>8296</v>
      </c>
    </row>
    <row r="2761" spans="1:3" x14ac:dyDescent="0.35">
      <c r="A2761" t="s">
        <v>8297</v>
      </c>
      <c r="B2761" t="s">
        <v>8298</v>
      </c>
      <c r="C2761" t="s">
        <v>8299</v>
      </c>
    </row>
    <row r="2762" spans="1:3" x14ac:dyDescent="0.35">
      <c r="A2762" t="s">
        <v>8300</v>
      </c>
      <c r="B2762" t="s">
        <v>8301</v>
      </c>
      <c r="C2762" t="s">
        <v>8302</v>
      </c>
    </row>
    <row r="2763" spans="1:3" x14ac:dyDescent="0.35">
      <c r="A2763" t="s">
        <v>8303</v>
      </c>
      <c r="B2763" t="s">
        <v>8304</v>
      </c>
      <c r="C2763" t="s">
        <v>8305</v>
      </c>
    </row>
    <row r="2764" spans="1:3" x14ac:dyDescent="0.35">
      <c r="A2764" t="s">
        <v>8306</v>
      </c>
      <c r="B2764" t="s">
        <v>8307</v>
      </c>
      <c r="C2764" t="s">
        <v>8308</v>
      </c>
    </row>
    <row r="2765" spans="1:3" x14ac:dyDescent="0.35">
      <c r="A2765" t="s">
        <v>8309</v>
      </c>
      <c r="B2765" t="s">
        <v>8310</v>
      </c>
      <c r="C2765" t="s">
        <v>8311</v>
      </c>
    </row>
    <row r="2766" spans="1:3" x14ac:dyDescent="0.35">
      <c r="A2766" t="s">
        <v>8312</v>
      </c>
      <c r="B2766" t="s">
        <v>8313</v>
      </c>
      <c r="C2766" t="s">
        <v>8314</v>
      </c>
    </row>
    <row r="2767" spans="1:3" x14ac:dyDescent="0.35">
      <c r="A2767" t="s">
        <v>8315</v>
      </c>
      <c r="B2767" t="s">
        <v>8316</v>
      </c>
      <c r="C2767" t="s">
        <v>8317</v>
      </c>
    </row>
    <row r="2768" spans="1:3" x14ac:dyDescent="0.35">
      <c r="A2768" t="s">
        <v>8318</v>
      </c>
      <c r="B2768" t="s">
        <v>8319</v>
      </c>
      <c r="C2768" t="s">
        <v>8320</v>
      </c>
    </row>
    <row r="2769" spans="1:3" x14ac:dyDescent="0.35">
      <c r="A2769" t="s">
        <v>8321</v>
      </c>
      <c r="B2769" t="s">
        <v>8322</v>
      </c>
      <c r="C2769" t="s">
        <v>8323</v>
      </c>
    </row>
    <row r="2770" spans="1:3" x14ac:dyDescent="0.35">
      <c r="A2770" t="s">
        <v>8324</v>
      </c>
      <c r="B2770" t="s">
        <v>8325</v>
      </c>
      <c r="C2770" t="s">
        <v>8326</v>
      </c>
    </row>
    <row r="2771" spans="1:3" x14ac:dyDescent="0.35">
      <c r="A2771" t="s">
        <v>8327</v>
      </c>
      <c r="B2771" t="s">
        <v>8328</v>
      </c>
      <c r="C2771" t="s">
        <v>8329</v>
      </c>
    </row>
    <row r="2772" spans="1:3" x14ac:dyDescent="0.35">
      <c r="A2772" t="s">
        <v>8330</v>
      </c>
      <c r="B2772" t="s">
        <v>8331</v>
      </c>
      <c r="C2772" t="s">
        <v>8332</v>
      </c>
    </row>
    <row r="2773" spans="1:3" x14ac:dyDescent="0.35">
      <c r="A2773" t="s">
        <v>8333</v>
      </c>
      <c r="B2773" t="s">
        <v>8334</v>
      </c>
      <c r="C2773" t="s">
        <v>8335</v>
      </c>
    </row>
    <row r="2774" spans="1:3" x14ac:dyDescent="0.35">
      <c r="A2774" t="s">
        <v>8336</v>
      </c>
      <c r="B2774" t="s">
        <v>8337</v>
      </c>
      <c r="C2774" t="s">
        <v>8338</v>
      </c>
    </row>
    <row r="2775" spans="1:3" x14ac:dyDescent="0.35">
      <c r="A2775" t="s">
        <v>8339</v>
      </c>
      <c r="B2775" t="s">
        <v>8340</v>
      </c>
      <c r="C2775" t="s">
        <v>8341</v>
      </c>
    </row>
    <row r="2776" spans="1:3" x14ac:dyDescent="0.35">
      <c r="A2776" t="s">
        <v>8342</v>
      </c>
      <c r="B2776" t="s">
        <v>8343</v>
      </c>
      <c r="C2776" t="s">
        <v>8344</v>
      </c>
    </row>
    <row r="2777" spans="1:3" x14ac:dyDescent="0.35">
      <c r="A2777" t="s">
        <v>8345</v>
      </c>
      <c r="B2777" t="s">
        <v>8346</v>
      </c>
      <c r="C2777" t="s">
        <v>8347</v>
      </c>
    </row>
    <row r="2778" spans="1:3" x14ac:dyDescent="0.35">
      <c r="A2778" t="s">
        <v>8348</v>
      </c>
      <c r="B2778" t="s">
        <v>8349</v>
      </c>
      <c r="C2778" t="s">
        <v>8350</v>
      </c>
    </row>
    <row r="2779" spans="1:3" x14ac:dyDescent="0.35">
      <c r="A2779" t="s">
        <v>8351</v>
      </c>
      <c r="B2779" t="s">
        <v>8352</v>
      </c>
      <c r="C2779" t="s">
        <v>8353</v>
      </c>
    </row>
    <row r="2780" spans="1:3" x14ac:dyDescent="0.35">
      <c r="A2780" t="s">
        <v>8354</v>
      </c>
      <c r="B2780" t="s">
        <v>8355</v>
      </c>
      <c r="C2780" t="s">
        <v>8356</v>
      </c>
    </row>
    <row r="2781" spans="1:3" x14ac:dyDescent="0.35">
      <c r="A2781" t="s">
        <v>8357</v>
      </c>
      <c r="B2781" t="s">
        <v>8358</v>
      </c>
      <c r="C2781" t="s">
        <v>8359</v>
      </c>
    </row>
    <row r="2782" spans="1:3" x14ac:dyDescent="0.35">
      <c r="A2782" t="s">
        <v>8360</v>
      </c>
      <c r="B2782" t="s">
        <v>8361</v>
      </c>
      <c r="C2782" t="s">
        <v>8362</v>
      </c>
    </row>
    <row r="2783" spans="1:3" x14ac:dyDescent="0.35">
      <c r="A2783" t="s">
        <v>8363</v>
      </c>
      <c r="B2783" t="s">
        <v>8364</v>
      </c>
      <c r="C2783" t="s">
        <v>8365</v>
      </c>
    </row>
    <row r="2784" spans="1:3" x14ac:dyDescent="0.35">
      <c r="A2784" t="s">
        <v>8366</v>
      </c>
      <c r="B2784" t="s">
        <v>8367</v>
      </c>
      <c r="C2784" t="s">
        <v>8368</v>
      </c>
    </row>
    <row r="2785" spans="1:3" x14ac:dyDescent="0.35">
      <c r="A2785" t="s">
        <v>8369</v>
      </c>
      <c r="B2785" t="s">
        <v>8370</v>
      </c>
      <c r="C2785" t="s">
        <v>8371</v>
      </c>
    </row>
    <row r="2786" spans="1:3" x14ac:dyDescent="0.35">
      <c r="A2786" t="s">
        <v>8372</v>
      </c>
      <c r="B2786" t="s">
        <v>8373</v>
      </c>
      <c r="C2786" t="s">
        <v>8374</v>
      </c>
    </row>
    <row r="2787" spans="1:3" x14ac:dyDescent="0.35">
      <c r="A2787" t="s">
        <v>8375</v>
      </c>
      <c r="B2787" t="s">
        <v>8376</v>
      </c>
      <c r="C2787" t="s">
        <v>8377</v>
      </c>
    </row>
    <row r="2788" spans="1:3" x14ac:dyDescent="0.35">
      <c r="A2788" t="s">
        <v>8378</v>
      </c>
      <c r="B2788" t="s">
        <v>8379</v>
      </c>
      <c r="C2788" t="s">
        <v>8380</v>
      </c>
    </row>
    <row r="2789" spans="1:3" x14ac:dyDescent="0.35">
      <c r="A2789" t="s">
        <v>8381</v>
      </c>
      <c r="B2789" t="s">
        <v>8382</v>
      </c>
      <c r="C2789" t="s">
        <v>8383</v>
      </c>
    </row>
    <row r="2790" spans="1:3" x14ac:dyDescent="0.35">
      <c r="A2790" t="s">
        <v>8384</v>
      </c>
      <c r="B2790" t="s">
        <v>8385</v>
      </c>
      <c r="C2790" t="s">
        <v>8386</v>
      </c>
    </row>
    <row r="2791" spans="1:3" x14ac:dyDescent="0.35">
      <c r="A2791" t="s">
        <v>8387</v>
      </c>
      <c r="B2791" t="s">
        <v>8388</v>
      </c>
      <c r="C2791" t="s">
        <v>8389</v>
      </c>
    </row>
    <row r="2792" spans="1:3" x14ac:dyDescent="0.35">
      <c r="A2792" t="s">
        <v>8390</v>
      </c>
      <c r="B2792" t="s">
        <v>8391</v>
      </c>
      <c r="C2792" t="s">
        <v>8392</v>
      </c>
    </row>
    <row r="2793" spans="1:3" x14ac:dyDescent="0.35">
      <c r="A2793" t="s">
        <v>8393</v>
      </c>
      <c r="B2793" t="s">
        <v>8394</v>
      </c>
      <c r="C2793" t="s">
        <v>8395</v>
      </c>
    </row>
    <row r="2794" spans="1:3" x14ac:dyDescent="0.35">
      <c r="A2794" t="s">
        <v>8396</v>
      </c>
      <c r="B2794" t="s">
        <v>8397</v>
      </c>
      <c r="C2794" t="s">
        <v>8398</v>
      </c>
    </row>
    <row r="2795" spans="1:3" x14ac:dyDescent="0.35">
      <c r="A2795" t="s">
        <v>8399</v>
      </c>
      <c r="B2795" t="s">
        <v>8400</v>
      </c>
      <c r="C2795" t="s">
        <v>8401</v>
      </c>
    </row>
    <row r="2796" spans="1:3" x14ac:dyDescent="0.35">
      <c r="A2796" t="s">
        <v>8402</v>
      </c>
      <c r="B2796" t="s">
        <v>8403</v>
      </c>
      <c r="C2796" t="s">
        <v>8404</v>
      </c>
    </row>
    <row r="2797" spans="1:3" x14ac:dyDescent="0.35">
      <c r="A2797" t="s">
        <v>8405</v>
      </c>
      <c r="B2797" t="s">
        <v>8406</v>
      </c>
      <c r="C2797" t="s">
        <v>8407</v>
      </c>
    </row>
    <row r="2798" spans="1:3" x14ac:dyDescent="0.35">
      <c r="A2798" t="s">
        <v>8408</v>
      </c>
      <c r="B2798" t="s">
        <v>8409</v>
      </c>
      <c r="C2798" t="s">
        <v>8410</v>
      </c>
    </row>
    <row r="2799" spans="1:3" x14ac:dyDescent="0.35">
      <c r="A2799" t="s">
        <v>8411</v>
      </c>
      <c r="B2799" t="s">
        <v>8412</v>
      </c>
      <c r="C2799" t="s">
        <v>8413</v>
      </c>
    </row>
    <row r="2800" spans="1:3" x14ac:dyDescent="0.35">
      <c r="A2800" t="s">
        <v>8414</v>
      </c>
      <c r="B2800" t="s">
        <v>8415</v>
      </c>
      <c r="C2800" t="s">
        <v>8416</v>
      </c>
    </row>
    <row r="2801" spans="1:3" x14ac:dyDescent="0.35">
      <c r="A2801" t="s">
        <v>8417</v>
      </c>
      <c r="B2801" t="s">
        <v>8418</v>
      </c>
      <c r="C2801" t="s">
        <v>8419</v>
      </c>
    </row>
    <row r="2802" spans="1:3" x14ac:dyDescent="0.35">
      <c r="A2802" t="s">
        <v>8417</v>
      </c>
      <c r="B2802" t="s">
        <v>8420</v>
      </c>
      <c r="C2802" t="s">
        <v>8421</v>
      </c>
    </row>
    <row r="2803" spans="1:3" x14ac:dyDescent="0.35">
      <c r="A2803" t="s">
        <v>8422</v>
      </c>
      <c r="B2803" t="s">
        <v>8423</v>
      </c>
      <c r="C2803" t="s">
        <v>8424</v>
      </c>
    </row>
    <row r="2804" spans="1:3" x14ac:dyDescent="0.35">
      <c r="A2804" t="s">
        <v>8425</v>
      </c>
      <c r="B2804" t="s">
        <v>8426</v>
      </c>
      <c r="C2804" t="s">
        <v>8427</v>
      </c>
    </row>
    <row r="2805" spans="1:3" x14ac:dyDescent="0.35">
      <c r="A2805" t="s">
        <v>8428</v>
      </c>
      <c r="B2805" t="s">
        <v>8429</v>
      </c>
      <c r="C2805" t="s">
        <v>8430</v>
      </c>
    </row>
    <row r="2806" spans="1:3" x14ac:dyDescent="0.35">
      <c r="A2806" t="s">
        <v>8431</v>
      </c>
      <c r="B2806" t="s">
        <v>8432</v>
      </c>
      <c r="C2806" t="s">
        <v>8433</v>
      </c>
    </row>
    <row r="2807" spans="1:3" x14ac:dyDescent="0.35">
      <c r="A2807" t="s">
        <v>8434</v>
      </c>
      <c r="B2807" t="s">
        <v>8435</v>
      </c>
      <c r="C2807" t="s">
        <v>8436</v>
      </c>
    </row>
    <row r="2808" spans="1:3" x14ac:dyDescent="0.35">
      <c r="A2808" t="s">
        <v>8437</v>
      </c>
      <c r="B2808" t="s">
        <v>8438</v>
      </c>
      <c r="C2808" t="s">
        <v>8439</v>
      </c>
    </row>
    <row r="2809" spans="1:3" x14ac:dyDescent="0.35">
      <c r="A2809" t="s">
        <v>8440</v>
      </c>
      <c r="B2809" t="s">
        <v>8441</v>
      </c>
      <c r="C2809" t="s">
        <v>8335</v>
      </c>
    </row>
    <row r="2810" spans="1:3" x14ac:dyDescent="0.35">
      <c r="A2810" t="s">
        <v>8442</v>
      </c>
      <c r="B2810" t="s">
        <v>8443</v>
      </c>
      <c r="C2810" t="s">
        <v>8444</v>
      </c>
    </row>
    <row r="2811" spans="1:3" x14ac:dyDescent="0.35">
      <c r="A2811" t="s">
        <v>8445</v>
      </c>
      <c r="B2811" t="s">
        <v>8446</v>
      </c>
      <c r="C2811" t="s">
        <v>8447</v>
      </c>
    </row>
    <row r="2812" spans="1:3" x14ac:dyDescent="0.35">
      <c r="A2812" t="s">
        <v>8448</v>
      </c>
      <c r="B2812" t="s">
        <v>8449</v>
      </c>
      <c r="C2812" t="s">
        <v>8450</v>
      </c>
    </row>
    <row r="2813" spans="1:3" x14ac:dyDescent="0.35">
      <c r="A2813" t="s">
        <v>8451</v>
      </c>
      <c r="B2813" t="s">
        <v>8452</v>
      </c>
      <c r="C2813" t="s">
        <v>8453</v>
      </c>
    </row>
    <row r="2814" spans="1:3" x14ac:dyDescent="0.35">
      <c r="A2814" t="s">
        <v>8454</v>
      </c>
      <c r="B2814" t="s">
        <v>8455</v>
      </c>
      <c r="C2814" t="s">
        <v>8456</v>
      </c>
    </row>
    <row r="2815" spans="1:3" x14ac:dyDescent="0.35">
      <c r="A2815" t="s">
        <v>8457</v>
      </c>
      <c r="B2815" t="s">
        <v>8458</v>
      </c>
      <c r="C2815" t="s">
        <v>8459</v>
      </c>
    </row>
    <row r="2816" spans="1:3" x14ac:dyDescent="0.35">
      <c r="A2816" t="s">
        <v>8460</v>
      </c>
      <c r="B2816" t="s">
        <v>8461</v>
      </c>
      <c r="C2816" t="s">
        <v>8462</v>
      </c>
    </row>
    <row r="2817" spans="1:3" x14ac:dyDescent="0.35">
      <c r="A2817" t="s">
        <v>8463</v>
      </c>
      <c r="B2817" t="s">
        <v>8464</v>
      </c>
      <c r="C2817" t="s">
        <v>8465</v>
      </c>
    </row>
    <row r="2818" spans="1:3" x14ac:dyDescent="0.35">
      <c r="A2818" t="s">
        <v>8466</v>
      </c>
      <c r="B2818" t="s">
        <v>8467</v>
      </c>
      <c r="C2818" t="s">
        <v>8468</v>
      </c>
    </row>
    <row r="2819" spans="1:3" x14ac:dyDescent="0.35">
      <c r="A2819" t="s">
        <v>8469</v>
      </c>
      <c r="B2819" t="s">
        <v>8470</v>
      </c>
      <c r="C2819" t="s">
        <v>8471</v>
      </c>
    </row>
    <row r="2820" spans="1:3" x14ac:dyDescent="0.35">
      <c r="A2820" t="s">
        <v>8472</v>
      </c>
      <c r="B2820" t="s">
        <v>8473</v>
      </c>
      <c r="C2820" t="s">
        <v>8474</v>
      </c>
    </row>
    <row r="2821" spans="1:3" x14ac:dyDescent="0.35">
      <c r="A2821" t="s">
        <v>8475</v>
      </c>
      <c r="B2821" t="s">
        <v>8476</v>
      </c>
      <c r="C2821" t="s">
        <v>8477</v>
      </c>
    </row>
    <row r="2822" spans="1:3" x14ac:dyDescent="0.35">
      <c r="A2822" t="s">
        <v>8478</v>
      </c>
      <c r="B2822" t="s">
        <v>8479</v>
      </c>
      <c r="C2822" t="s">
        <v>8480</v>
      </c>
    </row>
    <row r="2823" spans="1:3" x14ac:dyDescent="0.35">
      <c r="A2823" t="s">
        <v>8481</v>
      </c>
      <c r="B2823" t="s">
        <v>8482</v>
      </c>
      <c r="C2823" t="s">
        <v>8483</v>
      </c>
    </row>
    <row r="2824" spans="1:3" x14ac:dyDescent="0.35">
      <c r="A2824" t="s">
        <v>8484</v>
      </c>
      <c r="B2824" t="s">
        <v>8485</v>
      </c>
      <c r="C2824" t="s">
        <v>8486</v>
      </c>
    </row>
    <row r="2825" spans="1:3" x14ac:dyDescent="0.35">
      <c r="A2825" t="s">
        <v>8487</v>
      </c>
      <c r="B2825" t="s">
        <v>8488</v>
      </c>
      <c r="C2825" t="s">
        <v>8489</v>
      </c>
    </row>
    <row r="2826" spans="1:3" x14ac:dyDescent="0.35">
      <c r="A2826" t="s">
        <v>8487</v>
      </c>
      <c r="B2826" t="s">
        <v>8490</v>
      </c>
      <c r="C2826" t="s">
        <v>8491</v>
      </c>
    </row>
    <row r="2827" spans="1:3" x14ac:dyDescent="0.35">
      <c r="A2827" t="s">
        <v>8492</v>
      </c>
      <c r="B2827" t="s">
        <v>8493</v>
      </c>
      <c r="C2827" t="s">
        <v>8494</v>
      </c>
    </row>
    <row r="2828" spans="1:3" x14ac:dyDescent="0.35">
      <c r="A2828" t="s">
        <v>8495</v>
      </c>
      <c r="B2828" t="s">
        <v>8496</v>
      </c>
      <c r="C2828" t="s">
        <v>8497</v>
      </c>
    </row>
    <row r="2829" spans="1:3" x14ac:dyDescent="0.35">
      <c r="A2829" t="s">
        <v>8498</v>
      </c>
      <c r="B2829" t="s">
        <v>8499</v>
      </c>
      <c r="C2829" t="s">
        <v>8500</v>
      </c>
    </row>
    <row r="2830" spans="1:3" x14ac:dyDescent="0.35">
      <c r="A2830" t="s">
        <v>8501</v>
      </c>
      <c r="B2830" t="s">
        <v>8502</v>
      </c>
      <c r="C2830" t="s">
        <v>8503</v>
      </c>
    </row>
    <row r="2831" spans="1:3" x14ac:dyDescent="0.35">
      <c r="A2831" t="s">
        <v>8504</v>
      </c>
      <c r="B2831" t="s">
        <v>8505</v>
      </c>
      <c r="C2831" t="s">
        <v>8506</v>
      </c>
    </row>
    <row r="2832" spans="1:3" x14ac:dyDescent="0.35">
      <c r="A2832" t="s">
        <v>8507</v>
      </c>
      <c r="B2832" t="s">
        <v>8508</v>
      </c>
      <c r="C2832" t="s">
        <v>8509</v>
      </c>
    </row>
    <row r="2833" spans="1:3" x14ac:dyDescent="0.35">
      <c r="A2833" t="s">
        <v>8510</v>
      </c>
      <c r="B2833" t="s">
        <v>8511</v>
      </c>
      <c r="C2833" t="s">
        <v>8512</v>
      </c>
    </row>
    <row r="2834" spans="1:3" x14ac:dyDescent="0.35">
      <c r="A2834" t="s">
        <v>8513</v>
      </c>
      <c r="B2834" t="s">
        <v>8514</v>
      </c>
      <c r="C2834" t="s">
        <v>8515</v>
      </c>
    </row>
    <row r="2835" spans="1:3" x14ac:dyDescent="0.35">
      <c r="A2835" t="s">
        <v>8516</v>
      </c>
      <c r="B2835" t="s">
        <v>8517</v>
      </c>
      <c r="C2835" t="s">
        <v>8518</v>
      </c>
    </row>
    <row r="2836" spans="1:3" x14ac:dyDescent="0.35">
      <c r="A2836" t="s">
        <v>8519</v>
      </c>
      <c r="B2836" t="s">
        <v>8520</v>
      </c>
      <c r="C2836" t="s">
        <v>8521</v>
      </c>
    </row>
    <row r="2837" spans="1:3" x14ac:dyDescent="0.35">
      <c r="A2837" t="s">
        <v>8522</v>
      </c>
      <c r="B2837" t="s">
        <v>8523</v>
      </c>
      <c r="C2837" t="s">
        <v>8524</v>
      </c>
    </row>
    <row r="2838" spans="1:3" x14ac:dyDescent="0.35">
      <c r="A2838" t="s">
        <v>8525</v>
      </c>
      <c r="B2838" t="s">
        <v>8526</v>
      </c>
      <c r="C2838" t="s">
        <v>8527</v>
      </c>
    </row>
    <row r="2839" spans="1:3" x14ac:dyDescent="0.35">
      <c r="A2839" t="s">
        <v>8528</v>
      </c>
      <c r="B2839" t="s">
        <v>8529</v>
      </c>
      <c r="C2839" t="s">
        <v>8530</v>
      </c>
    </row>
    <row r="2840" spans="1:3" x14ac:dyDescent="0.35">
      <c r="A2840" t="s">
        <v>8531</v>
      </c>
      <c r="B2840" t="s">
        <v>8532</v>
      </c>
      <c r="C2840" t="s">
        <v>8533</v>
      </c>
    </row>
    <row r="2841" spans="1:3" x14ac:dyDescent="0.35">
      <c r="A2841" t="s">
        <v>8534</v>
      </c>
      <c r="B2841" t="s">
        <v>8535</v>
      </c>
      <c r="C2841" t="s">
        <v>8536</v>
      </c>
    </row>
    <row r="2842" spans="1:3" x14ac:dyDescent="0.35">
      <c r="A2842" t="s">
        <v>8537</v>
      </c>
      <c r="B2842" t="s">
        <v>8538</v>
      </c>
      <c r="C2842" t="s">
        <v>8539</v>
      </c>
    </row>
    <row r="2843" spans="1:3" x14ac:dyDescent="0.35">
      <c r="A2843" t="s">
        <v>8540</v>
      </c>
      <c r="B2843" t="s">
        <v>8541</v>
      </c>
      <c r="C2843" t="s">
        <v>8542</v>
      </c>
    </row>
    <row r="2844" spans="1:3" x14ac:dyDescent="0.35">
      <c r="A2844" t="s">
        <v>8543</v>
      </c>
      <c r="B2844" t="s">
        <v>8544</v>
      </c>
      <c r="C2844" t="s">
        <v>8545</v>
      </c>
    </row>
    <row r="2845" spans="1:3" x14ac:dyDescent="0.35">
      <c r="A2845" t="s">
        <v>8546</v>
      </c>
      <c r="B2845" t="s">
        <v>8547</v>
      </c>
      <c r="C2845" t="s">
        <v>8548</v>
      </c>
    </row>
    <row r="2846" spans="1:3" x14ac:dyDescent="0.35">
      <c r="A2846" t="s">
        <v>8549</v>
      </c>
      <c r="B2846" t="s">
        <v>8550</v>
      </c>
      <c r="C2846" t="s">
        <v>8551</v>
      </c>
    </row>
    <row r="2847" spans="1:3" x14ac:dyDescent="0.35">
      <c r="A2847" t="s">
        <v>8552</v>
      </c>
      <c r="B2847" t="s">
        <v>8553</v>
      </c>
      <c r="C2847" t="s">
        <v>8554</v>
      </c>
    </row>
    <row r="2848" spans="1:3" x14ac:dyDescent="0.35">
      <c r="A2848" t="s">
        <v>8555</v>
      </c>
      <c r="B2848" t="s">
        <v>8556</v>
      </c>
      <c r="C2848" t="s">
        <v>8557</v>
      </c>
    </row>
    <row r="2849" spans="1:3" x14ac:dyDescent="0.35">
      <c r="A2849" t="s">
        <v>8558</v>
      </c>
      <c r="B2849" t="s">
        <v>8559</v>
      </c>
      <c r="C2849" t="s">
        <v>8560</v>
      </c>
    </row>
    <row r="2850" spans="1:3" x14ac:dyDescent="0.35">
      <c r="A2850" t="s">
        <v>8561</v>
      </c>
      <c r="B2850" t="s">
        <v>8562</v>
      </c>
      <c r="C2850" t="s">
        <v>8563</v>
      </c>
    </row>
    <row r="2851" spans="1:3" x14ac:dyDescent="0.35">
      <c r="A2851" t="s">
        <v>8564</v>
      </c>
      <c r="B2851" t="s">
        <v>8565</v>
      </c>
      <c r="C2851" t="s">
        <v>8566</v>
      </c>
    </row>
    <row r="2852" spans="1:3" x14ac:dyDescent="0.35">
      <c r="A2852" t="s">
        <v>8567</v>
      </c>
      <c r="B2852" t="s">
        <v>8568</v>
      </c>
      <c r="C2852" t="s">
        <v>8569</v>
      </c>
    </row>
    <row r="2853" spans="1:3" x14ac:dyDescent="0.35">
      <c r="A2853" t="s">
        <v>8570</v>
      </c>
      <c r="B2853" t="s">
        <v>8571</v>
      </c>
      <c r="C2853" t="s">
        <v>8572</v>
      </c>
    </row>
    <row r="2854" spans="1:3" x14ac:dyDescent="0.35">
      <c r="A2854" t="s">
        <v>8573</v>
      </c>
      <c r="B2854" t="s">
        <v>8574</v>
      </c>
      <c r="C2854" t="s">
        <v>8575</v>
      </c>
    </row>
    <row r="2855" spans="1:3" x14ac:dyDescent="0.35">
      <c r="A2855" t="s">
        <v>8576</v>
      </c>
      <c r="B2855" t="s">
        <v>8577</v>
      </c>
      <c r="C2855" t="s">
        <v>8578</v>
      </c>
    </row>
    <row r="2856" spans="1:3" x14ac:dyDescent="0.35">
      <c r="A2856" t="s">
        <v>8579</v>
      </c>
      <c r="B2856" t="s">
        <v>8580</v>
      </c>
      <c r="C2856" t="s">
        <v>8581</v>
      </c>
    </row>
    <row r="2857" spans="1:3" x14ac:dyDescent="0.35">
      <c r="A2857" t="s">
        <v>8582</v>
      </c>
      <c r="B2857" t="s">
        <v>8583</v>
      </c>
      <c r="C2857" t="s">
        <v>8584</v>
      </c>
    </row>
    <row r="2858" spans="1:3" x14ac:dyDescent="0.35">
      <c r="A2858" t="s">
        <v>8585</v>
      </c>
      <c r="B2858" t="s">
        <v>8586</v>
      </c>
      <c r="C2858" t="s">
        <v>8587</v>
      </c>
    </row>
    <row r="2859" spans="1:3" x14ac:dyDescent="0.35">
      <c r="A2859" t="s">
        <v>8585</v>
      </c>
      <c r="B2859" t="s">
        <v>8588</v>
      </c>
      <c r="C2859" t="s">
        <v>8589</v>
      </c>
    </row>
    <row r="2860" spans="1:3" x14ac:dyDescent="0.35">
      <c r="A2860" t="s">
        <v>8590</v>
      </c>
      <c r="B2860" t="s">
        <v>8591</v>
      </c>
      <c r="C2860" t="s">
        <v>8592</v>
      </c>
    </row>
    <row r="2861" spans="1:3" x14ac:dyDescent="0.35">
      <c r="A2861" t="s">
        <v>8593</v>
      </c>
      <c r="B2861" t="s">
        <v>8594</v>
      </c>
      <c r="C2861" t="s">
        <v>8595</v>
      </c>
    </row>
    <row r="2862" spans="1:3" x14ac:dyDescent="0.35">
      <c r="A2862" t="s">
        <v>8596</v>
      </c>
      <c r="B2862" t="s">
        <v>8597</v>
      </c>
      <c r="C2862" t="s">
        <v>8598</v>
      </c>
    </row>
    <row r="2863" spans="1:3" x14ac:dyDescent="0.35">
      <c r="A2863" t="s">
        <v>8599</v>
      </c>
      <c r="B2863" t="s">
        <v>8600</v>
      </c>
      <c r="C2863" t="s">
        <v>8601</v>
      </c>
    </row>
    <row r="2864" spans="1:3" x14ac:dyDescent="0.35">
      <c r="A2864" t="s">
        <v>8602</v>
      </c>
      <c r="B2864" t="s">
        <v>8603</v>
      </c>
      <c r="C2864" t="s">
        <v>8604</v>
      </c>
    </row>
    <row r="2865" spans="1:3" x14ac:dyDescent="0.35">
      <c r="A2865" t="s">
        <v>8605</v>
      </c>
      <c r="B2865" t="s">
        <v>8606</v>
      </c>
      <c r="C2865" t="s">
        <v>8607</v>
      </c>
    </row>
    <row r="2866" spans="1:3" x14ac:dyDescent="0.35">
      <c r="A2866" t="s">
        <v>8608</v>
      </c>
      <c r="B2866" t="s">
        <v>8609</v>
      </c>
      <c r="C2866" t="s">
        <v>8610</v>
      </c>
    </row>
    <row r="2867" spans="1:3" x14ac:dyDescent="0.35">
      <c r="A2867" t="s">
        <v>8611</v>
      </c>
      <c r="B2867" t="s">
        <v>8612</v>
      </c>
      <c r="C2867" t="s">
        <v>8613</v>
      </c>
    </row>
    <row r="2868" spans="1:3" x14ac:dyDescent="0.35">
      <c r="A2868" t="s">
        <v>8614</v>
      </c>
      <c r="B2868" t="s">
        <v>8615</v>
      </c>
      <c r="C2868" t="s">
        <v>8616</v>
      </c>
    </row>
    <row r="2869" spans="1:3" x14ac:dyDescent="0.35">
      <c r="A2869" t="s">
        <v>8617</v>
      </c>
      <c r="B2869" t="s">
        <v>8618</v>
      </c>
      <c r="C2869" t="s">
        <v>8619</v>
      </c>
    </row>
    <row r="2870" spans="1:3" x14ac:dyDescent="0.35">
      <c r="A2870" t="s">
        <v>8620</v>
      </c>
      <c r="B2870" t="s">
        <v>8621</v>
      </c>
      <c r="C2870" t="s">
        <v>8622</v>
      </c>
    </row>
    <row r="2871" spans="1:3" x14ac:dyDescent="0.35">
      <c r="A2871" t="s">
        <v>8623</v>
      </c>
      <c r="B2871" t="s">
        <v>8624</v>
      </c>
      <c r="C2871" t="s">
        <v>8625</v>
      </c>
    </row>
    <row r="2872" spans="1:3" x14ac:dyDescent="0.35">
      <c r="A2872" t="s">
        <v>8626</v>
      </c>
      <c r="B2872" t="s">
        <v>8627</v>
      </c>
      <c r="C2872" t="s">
        <v>8628</v>
      </c>
    </row>
    <row r="2873" spans="1:3" x14ac:dyDescent="0.35">
      <c r="A2873" t="s">
        <v>8629</v>
      </c>
      <c r="B2873" t="s">
        <v>8630</v>
      </c>
      <c r="C2873" t="s">
        <v>8631</v>
      </c>
    </row>
    <row r="2874" spans="1:3" x14ac:dyDescent="0.35">
      <c r="A2874" t="s">
        <v>8632</v>
      </c>
      <c r="B2874" t="s">
        <v>8633</v>
      </c>
      <c r="C2874" t="s">
        <v>8634</v>
      </c>
    </row>
    <row r="2875" spans="1:3" x14ac:dyDescent="0.35">
      <c r="A2875" t="s">
        <v>8635</v>
      </c>
      <c r="B2875" t="s">
        <v>8636</v>
      </c>
      <c r="C2875" t="s">
        <v>8637</v>
      </c>
    </row>
    <row r="2876" spans="1:3" x14ac:dyDescent="0.35">
      <c r="A2876" t="s">
        <v>8638</v>
      </c>
      <c r="B2876" t="s">
        <v>8639</v>
      </c>
      <c r="C2876" t="s">
        <v>8640</v>
      </c>
    </row>
    <row r="2877" spans="1:3" x14ac:dyDescent="0.35">
      <c r="A2877" t="s">
        <v>8641</v>
      </c>
      <c r="B2877" t="s">
        <v>8642</v>
      </c>
      <c r="C2877" t="s">
        <v>8643</v>
      </c>
    </row>
    <row r="2878" spans="1:3" x14ac:dyDescent="0.35">
      <c r="A2878" t="s">
        <v>8644</v>
      </c>
      <c r="B2878" t="s">
        <v>8645</v>
      </c>
      <c r="C2878" t="s">
        <v>8646</v>
      </c>
    </row>
    <row r="2879" spans="1:3" x14ac:dyDescent="0.35">
      <c r="A2879" t="s">
        <v>8647</v>
      </c>
      <c r="B2879" t="s">
        <v>8648</v>
      </c>
      <c r="C2879" t="s">
        <v>8649</v>
      </c>
    </row>
    <row r="2880" spans="1:3" x14ac:dyDescent="0.35">
      <c r="A2880" t="s">
        <v>8650</v>
      </c>
      <c r="B2880" t="s">
        <v>8651</v>
      </c>
      <c r="C2880" t="s">
        <v>8652</v>
      </c>
    </row>
    <row r="2881" spans="1:3" x14ac:dyDescent="0.35">
      <c r="A2881" t="s">
        <v>8653</v>
      </c>
      <c r="B2881" t="s">
        <v>8654</v>
      </c>
      <c r="C2881" t="s">
        <v>8655</v>
      </c>
    </row>
    <row r="2882" spans="1:3" x14ac:dyDescent="0.35">
      <c r="A2882" t="s">
        <v>8656</v>
      </c>
      <c r="B2882" t="s">
        <v>8657</v>
      </c>
      <c r="C2882" t="s">
        <v>8658</v>
      </c>
    </row>
    <row r="2883" spans="1:3" x14ac:dyDescent="0.35">
      <c r="A2883" t="s">
        <v>8659</v>
      </c>
      <c r="B2883" t="s">
        <v>8660</v>
      </c>
      <c r="C2883" t="s">
        <v>8661</v>
      </c>
    </row>
    <row r="2884" spans="1:3" x14ac:dyDescent="0.35">
      <c r="A2884" t="s">
        <v>8662</v>
      </c>
      <c r="B2884" t="s">
        <v>8663</v>
      </c>
      <c r="C2884" t="s">
        <v>8664</v>
      </c>
    </row>
    <row r="2885" spans="1:3" x14ac:dyDescent="0.35">
      <c r="A2885" t="s">
        <v>8665</v>
      </c>
      <c r="B2885" t="s">
        <v>8666</v>
      </c>
      <c r="C2885" t="s">
        <v>8667</v>
      </c>
    </row>
    <row r="2886" spans="1:3" x14ac:dyDescent="0.35">
      <c r="A2886" t="s">
        <v>8668</v>
      </c>
      <c r="B2886" t="s">
        <v>8669</v>
      </c>
      <c r="C2886" t="s">
        <v>8670</v>
      </c>
    </row>
    <row r="2887" spans="1:3" x14ac:dyDescent="0.35">
      <c r="A2887" t="s">
        <v>8671</v>
      </c>
      <c r="B2887" t="s">
        <v>8672</v>
      </c>
      <c r="C2887" t="s">
        <v>8673</v>
      </c>
    </row>
    <row r="2888" spans="1:3" x14ac:dyDescent="0.35">
      <c r="A2888" t="s">
        <v>8674</v>
      </c>
      <c r="B2888" t="s">
        <v>8675</v>
      </c>
      <c r="C2888" t="s">
        <v>8676</v>
      </c>
    </row>
    <row r="2889" spans="1:3" x14ac:dyDescent="0.35">
      <c r="A2889" t="s">
        <v>8677</v>
      </c>
      <c r="B2889" t="s">
        <v>8678</v>
      </c>
      <c r="C2889" t="s">
        <v>8679</v>
      </c>
    </row>
    <row r="2890" spans="1:3" x14ac:dyDescent="0.35">
      <c r="A2890" t="s">
        <v>8680</v>
      </c>
      <c r="B2890" t="s">
        <v>8681</v>
      </c>
      <c r="C2890" t="s">
        <v>8682</v>
      </c>
    </row>
    <row r="2891" spans="1:3" x14ac:dyDescent="0.35">
      <c r="A2891" t="s">
        <v>8683</v>
      </c>
      <c r="B2891" t="s">
        <v>8684</v>
      </c>
      <c r="C2891" t="s">
        <v>8685</v>
      </c>
    </row>
    <row r="2892" spans="1:3" x14ac:dyDescent="0.35">
      <c r="A2892" t="s">
        <v>8686</v>
      </c>
      <c r="B2892" t="s">
        <v>8687</v>
      </c>
      <c r="C2892" t="s">
        <v>8688</v>
      </c>
    </row>
    <row r="2893" spans="1:3" x14ac:dyDescent="0.35">
      <c r="A2893" t="s">
        <v>8689</v>
      </c>
      <c r="B2893" t="s">
        <v>8690</v>
      </c>
      <c r="C2893" t="s">
        <v>8691</v>
      </c>
    </row>
    <row r="2894" spans="1:3" x14ac:dyDescent="0.35">
      <c r="A2894" t="s">
        <v>8692</v>
      </c>
      <c r="B2894" t="s">
        <v>8693</v>
      </c>
      <c r="C2894" t="s">
        <v>8694</v>
      </c>
    </row>
    <row r="2895" spans="1:3" x14ac:dyDescent="0.35">
      <c r="A2895" t="s">
        <v>8695</v>
      </c>
      <c r="B2895" t="s">
        <v>8696</v>
      </c>
      <c r="C2895" t="s">
        <v>8697</v>
      </c>
    </row>
    <row r="2896" spans="1:3" x14ac:dyDescent="0.35">
      <c r="A2896" t="s">
        <v>8698</v>
      </c>
      <c r="B2896" t="s">
        <v>8699</v>
      </c>
      <c r="C2896" t="s">
        <v>8700</v>
      </c>
    </row>
    <row r="2897" spans="1:3" x14ac:dyDescent="0.35">
      <c r="A2897" t="s">
        <v>8701</v>
      </c>
      <c r="B2897" t="s">
        <v>8702</v>
      </c>
      <c r="C2897" t="s">
        <v>8703</v>
      </c>
    </row>
    <row r="2898" spans="1:3" x14ac:dyDescent="0.35">
      <c r="A2898" t="s">
        <v>8704</v>
      </c>
      <c r="B2898" t="s">
        <v>8705</v>
      </c>
      <c r="C2898" t="s">
        <v>8706</v>
      </c>
    </row>
    <row r="2899" spans="1:3" x14ac:dyDescent="0.35">
      <c r="A2899" t="s">
        <v>8707</v>
      </c>
      <c r="B2899" t="s">
        <v>8708</v>
      </c>
      <c r="C2899" t="s">
        <v>8709</v>
      </c>
    </row>
    <row r="2900" spans="1:3" x14ac:dyDescent="0.35">
      <c r="A2900" t="s">
        <v>8710</v>
      </c>
      <c r="B2900" t="s">
        <v>8711</v>
      </c>
      <c r="C2900" t="s">
        <v>8712</v>
      </c>
    </row>
    <row r="2901" spans="1:3" x14ac:dyDescent="0.35">
      <c r="A2901" t="s">
        <v>8713</v>
      </c>
      <c r="B2901" t="s">
        <v>8714</v>
      </c>
      <c r="C2901" t="s">
        <v>8715</v>
      </c>
    </row>
    <row r="2902" spans="1:3" x14ac:dyDescent="0.35">
      <c r="A2902" t="s">
        <v>8716</v>
      </c>
      <c r="B2902" t="s">
        <v>8717</v>
      </c>
      <c r="C2902" t="s">
        <v>8718</v>
      </c>
    </row>
    <row r="2903" spans="1:3" x14ac:dyDescent="0.35">
      <c r="A2903" t="s">
        <v>8719</v>
      </c>
      <c r="B2903" t="s">
        <v>8720</v>
      </c>
      <c r="C2903" t="s">
        <v>8721</v>
      </c>
    </row>
    <row r="2904" spans="1:3" x14ac:dyDescent="0.35">
      <c r="A2904" t="s">
        <v>8722</v>
      </c>
      <c r="B2904" t="s">
        <v>8723</v>
      </c>
      <c r="C2904" t="s">
        <v>8724</v>
      </c>
    </row>
    <row r="2905" spans="1:3" x14ac:dyDescent="0.35">
      <c r="A2905" t="s">
        <v>8725</v>
      </c>
      <c r="B2905" t="s">
        <v>8726</v>
      </c>
      <c r="C2905" t="s">
        <v>8727</v>
      </c>
    </row>
    <row r="2906" spans="1:3" x14ac:dyDescent="0.35">
      <c r="A2906" t="s">
        <v>8728</v>
      </c>
      <c r="B2906" t="s">
        <v>8729</v>
      </c>
      <c r="C2906" t="s">
        <v>8730</v>
      </c>
    </row>
    <row r="2907" spans="1:3" x14ac:dyDescent="0.35">
      <c r="A2907" t="s">
        <v>8731</v>
      </c>
      <c r="B2907" t="s">
        <v>8732</v>
      </c>
      <c r="C2907" t="s">
        <v>8733</v>
      </c>
    </row>
    <row r="2908" spans="1:3" x14ac:dyDescent="0.35">
      <c r="A2908" t="s">
        <v>8734</v>
      </c>
      <c r="B2908" t="s">
        <v>8735</v>
      </c>
      <c r="C2908" t="s">
        <v>8736</v>
      </c>
    </row>
    <row r="2909" spans="1:3" x14ac:dyDescent="0.35">
      <c r="A2909" t="s">
        <v>8737</v>
      </c>
      <c r="B2909" t="s">
        <v>8738</v>
      </c>
      <c r="C2909" t="s">
        <v>8739</v>
      </c>
    </row>
    <row r="2910" spans="1:3" x14ac:dyDescent="0.35">
      <c r="A2910" t="s">
        <v>8740</v>
      </c>
      <c r="B2910" t="s">
        <v>8741</v>
      </c>
      <c r="C2910" t="s">
        <v>8742</v>
      </c>
    </row>
    <row r="2911" spans="1:3" x14ac:dyDescent="0.35">
      <c r="A2911" t="s">
        <v>8743</v>
      </c>
      <c r="B2911" t="s">
        <v>8744</v>
      </c>
      <c r="C2911" t="s">
        <v>8745</v>
      </c>
    </row>
    <row r="2912" spans="1:3" x14ac:dyDescent="0.35">
      <c r="A2912" t="s">
        <v>8746</v>
      </c>
      <c r="B2912" t="s">
        <v>8747</v>
      </c>
      <c r="C2912" t="s">
        <v>8748</v>
      </c>
    </row>
    <row r="2913" spans="1:3" x14ac:dyDescent="0.35">
      <c r="A2913" t="s">
        <v>8746</v>
      </c>
      <c r="B2913" t="s">
        <v>8749</v>
      </c>
      <c r="C2913" t="s">
        <v>8750</v>
      </c>
    </row>
    <row r="2914" spans="1:3" x14ac:dyDescent="0.35">
      <c r="A2914" t="s">
        <v>8751</v>
      </c>
      <c r="B2914" t="s">
        <v>8752</v>
      </c>
      <c r="C2914" t="s">
        <v>8753</v>
      </c>
    </row>
    <row r="2915" spans="1:3" x14ac:dyDescent="0.35">
      <c r="A2915" t="s">
        <v>8754</v>
      </c>
      <c r="B2915" t="s">
        <v>8755</v>
      </c>
      <c r="C2915" t="s">
        <v>8756</v>
      </c>
    </row>
    <row r="2916" spans="1:3" x14ac:dyDescent="0.35">
      <c r="A2916" t="s">
        <v>8757</v>
      </c>
      <c r="B2916" t="s">
        <v>8758</v>
      </c>
      <c r="C2916" t="s">
        <v>8759</v>
      </c>
    </row>
    <row r="2917" spans="1:3" x14ac:dyDescent="0.35">
      <c r="A2917" t="s">
        <v>8760</v>
      </c>
      <c r="B2917" t="s">
        <v>8761</v>
      </c>
      <c r="C2917" t="s">
        <v>8762</v>
      </c>
    </row>
    <row r="2918" spans="1:3" x14ac:dyDescent="0.35">
      <c r="A2918" t="s">
        <v>8763</v>
      </c>
      <c r="B2918" t="s">
        <v>8764</v>
      </c>
      <c r="C2918" t="s">
        <v>8765</v>
      </c>
    </row>
    <row r="2919" spans="1:3" x14ac:dyDescent="0.35">
      <c r="A2919" t="s">
        <v>8766</v>
      </c>
      <c r="B2919" t="s">
        <v>8767</v>
      </c>
      <c r="C2919" t="s">
        <v>8768</v>
      </c>
    </row>
    <row r="2920" spans="1:3" x14ac:dyDescent="0.35">
      <c r="A2920" t="s">
        <v>23130</v>
      </c>
      <c r="B2920" t="s">
        <v>8785</v>
      </c>
      <c r="C2920" t="s">
        <v>23131</v>
      </c>
    </row>
    <row r="2921" spans="1:3" x14ac:dyDescent="0.35">
      <c r="A2921" t="s">
        <v>8769</v>
      </c>
      <c r="B2921" t="s">
        <v>8770</v>
      </c>
      <c r="C2921" t="s">
        <v>8771</v>
      </c>
    </row>
    <row r="2922" spans="1:3" x14ac:dyDescent="0.35">
      <c r="A2922" t="s">
        <v>8772</v>
      </c>
      <c r="B2922" t="s">
        <v>8773</v>
      </c>
      <c r="C2922" t="s">
        <v>8774</v>
      </c>
    </row>
    <row r="2923" spans="1:3" x14ac:dyDescent="0.35">
      <c r="A2923" t="s">
        <v>8775</v>
      </c>
      <c r="B2923" t="s">
        <v>8776</v>
      </c>
      <c r="C2923" t="s">
        <v>8777</v>
      </c>
    </row>
    <row r="2924" spans="1:3" x14ac:dyDescent="0.35">
      <c r="A2924" t="s">
        <v>8778</v>
      </c>
      <c r="B2924" t="s">
        <v>8779</v>
      </c>
      <c r="C2924" t="s">
        <v>8780</v>
      </c>
    </row>
    <row r="2925" spans="1:3" x14ac:dyDescent="0.35">
      <c r="A2925" t="s">
        <v>8781</v>
      </c>
      <c r="B2925" t="s">
        <v>8782</v>
      </c>
      <c r="C2925" t="s">
        <v>8783</v>
      </c>
    </row>
    <row r="2926" spans="1:3" x14ac:dyDescent="0.35">
      <c r="A2926" t="s">
        <v>8784</v>
      </c>
      <c r="B2926" t="s">
        <v>23132</v>
      </c>
      <c r="C2926" t="s">
        <v>23133</v>
      </c>
    </row>
    <row r="2927" spans="1:3" x14ac:dyDescent="0.35">
      <c r="A2927" t="s">
        <v>8786</v>
      </c>
      <c r="B2927" t="s">
        <v>8787</v>
      </c>
      <c r="C2927" t="s">
        <v>8788</v>
      </c>
    </row>
    <row r="2928" spans="1:3" x14ac:dyDescent="0.35">
      <c r="A2928" t="s">
        <v>8789</v>
      </c>
      <c r="B2928" t="s">
        <v>8790</v>
      </c>
      <c r="C2928" t="s">
        <v>8791</v>
      </c>
    </row>
    <row r="2929" spans="1:3" x14ac:dyDescent="0.35">
      <c r="A2929" t="s">
        <v>8792</v>
      </c>
      <c r="B2929" t="s">
        <v>8793</v>
      </c>
      <c r="C2929" t="s">
        <v>8794</v>
      </c>
    </row>
    <row r="2930" spans="1:3" x14ac:dyDescent="0.35">
      <c r="A2930" t="s">
        <v>8795</v>
      </c>
      <c r="B2930" t="s">
        <v>8796</v>
      </c>
      <c r="C2930" t="s">
        <v>8797</v>
      </c>
    </row>
    <row r="2931" spans="1:3" x14ac:dyDescent="0.35">
      <c r="A2931" t="s">
        <v>8798</v>
      </c>
      <c r="B2931" t="s">
        <v>8799</v>
      </c>
      <c r="C2931" t="s">
        <v>8800</v>
      </c>
    </row>
    <row r="2932" spans="1:3" x14ac:dyDescent="0.35">
      <c r="A2932" t="s">
        <v>8798</v>
      </c>
      <c r="B2932" t="s">
        <v>8801</v>
      </c>
      <c r="C2932" t="s">
        <v>8802</v>
      </c>
    </row>
    <row r="2933" spans="1:3" x14ac:dyDescent="0.35">
      <c r="A2933" t="s">
        <v>8803</v>
      </c>
      <c r="B2933" t="s">
        <v>8804</v>
      </c>
      <c r="C2933" t="s">
        <v>8805</v>
      </c>
    </row>
    <row r="2934" spans="1:3" x14ac:dyDescent="0.35">
      <c r="A2934" t="s">
        <v>8806</v>
      </c>
      <c r="B2934" t="s">
        <v>8807</v>
      </c>
      <c r="C2934" t="s">
        <v>8808</v>
      </c>
    </row>
    <row r="2935" spans="1:3" x14ac:dyDescent="0.35">
      <c r="A2935" t="s">
        <v>8809</v>
      </c>
      <c r="B2935" t="s">
        <v>8810</v>
      </c>
      <c r="C2935" t="s">
        <v>8811</v>
      </c>
    </row>
    <row r="2936" spans="1:3" x14ac:dyDescent="0.35">
      <c r="A2936" t="s">
        <v>8812</v>
      </c>
      <c r="B2936" t="s">
        <v>8813</v>
      </c>
      <c r="C2936" t="s">
        <v>8814</v>
      </c>
    </row>
    <row r="2937" spans="1:3" x14ac:dyDescent="0.35">
      <c r="A2937" t="s">
        <v>8815</v>
      </c>
      <c r="B2937" t="s">
        <v>8816</v>
      </c>
      <c r="C2937" t="s">
        <v>8817</v>
      </c>
    </row>
    <row r="2938" spans="1:3" x14ac:dyDescent="0.35">
      <c r="A2938" t="s">
        <v>8818</v>
      </c>
      <c r="B2938" t="s">
        <v>8819</v>
      </c>
      <c r="C2938" t="s">
        <v>8820</v>
      </c>
    </row>
    <row r="2939" spans="1:3" x14ac:dyDescent="0.35">
      <c r="A2939" t="s">
        <v>8821</v>
      </c>
      <c r="B2939" t="s">
        <v>8822</v>
      </c>
      <c r="C2939" t="s">
        <v>8823</v>
      </c>
    </row>
    <row r="2940" spans="1:3" x14ac:dyDescent="0.35">
      <c r="A2940" t="s">
        <v>8824</v>
      </c>
      <c r="B2940" t="s">
        <v>8825</v>
      </c>
      <c r="C2940" t="s">
        <v>8826</v>
      </c>
    </row>
    <row r="2941" spans="1:3" x14ac:dyDescent="0.35">
      <c r="A2941" t="s">
        <v>8827</v>
      </c>
      <c r="B2941" t="s">
        <v>8828</v>
      </c>
      <c r="C2941" t="s">
        <v>8829</v>
      </c>
    </row>
    <row r="2942" spans="1:3" x14ac:dyDescent="0.35">
      <c r="A2942" t="s">
        <v>8830</v>
      </c>
      <c r="B2942" t="s">
        <v>8831</v>
      </c>
      <c r="C2942" t="s">
        <v>8832</v>
      </c>
    </row>
    <row r="2943" spans="1:3" x14ac:dyDescent="0.35">
      <c r="A2943" t="s">
        <v>8833</v>
      </c>
      <c r="B2943" t="s">
        <v>8834</v>
      </c>
      <c r="C2943" t="s">
        <v>8835</v>
      </c>
    </row>
    <row r="2944" spans="1:3" x14ac:dyDescent="0.35">
      <c r="A2944" t="s">
        <v>8836</v>
      </c>
      <c r="B2944" t="s">
        <v>8837</v>
      </c>
      <c r="C2944" t="s">
        <v>8838</v>
      </c>
    </row>
    <row r="2945" spans="1:3" x14ac:dyDescent="0.35">
      <c r="A2945" t="s">
        <v>8839</v>
      </c>
      <c r="B2945" t="s">
        <v>8840</v>
      </c>
      <c r="C2945" t="s">
        <v>8841</v>
      </c>
    </row>
    <row r="2946" spans="1:3" x14ac:dyDescent="0.35">
      <c r="A2946" t="s">
        <v>8842</v>
      </c>
      <c r="B2946" t="s">
        <v>8843</v>
      </c>
      <c r="C2946" t="s">
        <v>8844</v>
      </c>
    </row>
    <row r="2947" spans="1:3" x14ac:dyDescent="0.35">
      <c r="A2947" t="s">
        <v>8845</v>
      </c>
      <c r="B2947" t="s">
        <v>8846</v>
      </c>
      <c r="C2947" t="s">
        <v>8847</v>
      </c>
    </row>
    <row r="2948" spans="1:3" x14ac:dyDescent="0.35">
      <c r="A2948" t="s">
        <v>8848</v>
      </c>
      <c r="B2948" t="s">
        <v>8849</v>
      </c>
      <c r="C2948" t="s">
        <v>8850</v>
      </c>
    </row>
    <row r="2949" spans="1:3" x14ac:dyDescent="0.35">
      <c r="A2949" t="s">
        <v>8851</v>
      </c>
      <c r="B2949" t="s">
        <v>8852</v>
      </c>
      <c r="C2949" t="s">
        <v>8853</v>
      </c>
    </row>
    <row r="2950" spans="1:3" x14ac:dyDescent="0.35">
      <c r="A2950" t="s">
        <v>8854</v>
      </c>
      <c r="B2950" t="s">
        <v>8855</v>
      </c>
      <c r="C2950" t="s">
        <v>8856</v>
      </c>
    </row>
    <row r="2951" spans="1:3" x14ac:dyDescent="0.35">
      <c r="A2951" t="s">
        <v>8857</v>
      </c>
      <c r="B2951" t="s">
        <v>8858</v>
      </c>
      <c r="C2951" t="s">
        <v>8859</v>
      </c>
    </row>
    <row r="2952" spans="1:3" x14ac:dyDescent="0.35">
      <c r="A2952" t="s">
        <v>8860</v>
      </c>
      <c r="B2952" t="s">
        <v>8861</v>
      </c>
      <c r="C2952" t="s">
        <v>8862</v>
      </c>
    </row>
    <row r="2953" spans="1:3" x14ac:dyDescent="0.35">
      <c r="A2953" t="s">
        <v>8863</v>
      </c>
      <c r="B2953" t="s">
        <v>8864</v>
      </c>
      <c r="C2953" t="s">
        <v>8865</v>
      </c>
    </row>
    <row r="2954" spans="1:3" x14ac:dyDescent="0.35">
      <c r="A2954" t="s">
        <v>8866</v>
      </c>
      <c r="B2954" t="s">
        <v>8867</v>
      </c>
      <c r="C2954" t="s">
        <v>8868</v>
      </c>
    </row>
    <row r="2955" spans="1:3" x14ac:dyDescent="0.35">
      <c r="A2955" t="s">
        <v>8869</v>
      </c>
      <c r="B2955" t="s">
        <v>8870</v>
      </c>
      <c r="C2955" t="s">
        <v>8871</v>
      </c>
    </row>
    <row r="2956" spans="1:3" x14ac:dyDescent="0.35">
      <c r="A2956" t="s">
        <v>8872</v>
      </c>
      <c r="B2956" t="s">
        <v>8873</v>
      </c>
      <c r="C2956" t="s">
        <v>8874</v>
      </c>
    </row>
    <row r="2957" spans="1:3" x14ac:dyDescent="0.35">
      <c r="A2957" t="s">
        <v>8875</v>
      </c>
      <c r="B2957" t="s">
        <v>8876</v>
      </c>
      <c r="C2957" t="s">
        <v>8877</v>
      </c>
    </row>
    <row r="2958" spans="1:3" x14ac:dyDescent="0.35">
      <c r="A2958" t="s">
        <v>8878</v>
      </c>
      <c r="B2958" t="s">
        <v>8879</v>
      </c>
      <c r="C2958" t="s">
        <v>8880</v>
      </c>
    </row>
    <row r="2959" spans="1:3" x14ac:dyDescent="0.35">
      <c r="A2959" t="s">
        <v>8881</v>
      </c>
      <c r="B2959" t="s">
        <v>8882</v>
      </c>
      <c r="C2959" t="s">
        <v>8883</v>
      </c>
    </row>
    <row r="2960" spans="1:3" x14ac:dyDescent="0.35">
      <c r="A2960" t="s">
        <v>8884</v>
      </c>
      <c r="B2960" t="s">
        <v>8885</v>
      </c>
      <c r="C2960" t="s">
        <v>8886</v>
      </c>
    </row>
    <row r="2961" spans="1:3" x14ac:dyDescent="0.35">
      <c r="A2961" t="s">
        <v>8887</v>
      </c>
      <c r="B2961" t="s">
        <v>8888</v>
      </c>
      <c r="C2961" t="s">
        <v>8889</v>
      </c>
    </row>
    <row r="2962" spans="1:3" x14ac:dyDescent="0.35">
      <c r="A2962" t="s">
        <v>8890</v>
      </c>
      <c r="B2962" t="s">
        <v>8891</v>
      </c>
      <c r="C2962" t="s">
        <v>8892</v>
      </c>
    </row>
    <row r="2963" spans="1:3" x14ac:dyDescent="0.35">
      <c r="A2963" t="s">
        <v>8893</v>
      </c>
      <c r="B2963" t="s">
        <v>8894</v>
      </c>
      <c r="C2963" t="s">
        <v>8895</v>
      </c>
    </row>
    <row r="2964" spans="1:3" x14ac:dyDescent="0.35">
      <c r="A2964" t="s">
        <v>8896</v>
      </c>
      <c r="B2964" t="s">
        <v>8897</v>
      </c>
      <c r="C2964" t="s">
        <v>8898</v>
      </c>
    </row>
    <row r="2965" spans="1:3" x14ac:dyDescent="0.35">
      <c r="A2965" t="s">
        <v>8899</v>
      </c>
      <c r="B2965" t="s">
        <v>8900</v>
      </c>
      <c r="C2965" t="s">
        <v>8901</v>
      </c>
    </row>
    <row r="2966" spans="1:3" x14ac:dyDescent="0.35">
      <c r="A2966" t="s">
        <v>8902</v>
      </c>
      <c r="B2966" t="s">
        <v>8903</v>
      </c>
      <c r="C2966" t="s">
        <v>8904</v>
      </c>
    </row>
    <row r="2967" spans="1:3" x14ac:dyDescent="0.35">
      <c r="A2967" t="s">
        <v>8905</v>
      </c>
      <c r="B2967" t="s">
        <v>8906</v>
      </c>
      <c r="C2967" t="s">
        <v>8907</v>
      </c>
    </row>
    <row r="2968" spans="1:3" x14ac:dyDescent="0.35">
      <c r="A2968" t="s">
        <v>8908</v>
      </c>
      <c r="B2968" t="s">
        <v>8909</v>
      </c>
      <c r="C2968" t="s">
        <v>8910</v>
      </c>
    </row>
    <row r="2969" spans="1:3" x14ac:dyDescent="0.35">
      <c r="A2969" t="s">
        <v>8911</v>
      </c>
      <c r="B2969" t="s">
        <v>8912</v>
      </c>
      <c r="C2969" t="s">
        <v>8913</v>
      </c>
    </row>
    <row r="2970" spans="1:3" x14ac:dyDescent="0.35">
      <c r="A2970" t="s">
        <v>8914</v>
      </c>
      <c r="B2970" t="s">
        <v>8915</v>
      </c>
      <c r="C2970" t="s">
        <v>8916</v>
      </c>
    </row>
    <row r="2971" spans="1:3" x14ac:dyDescent="0.35">
      <c r="A2971" t="s">
        <v>8917</v>
      </c>
      <c r="B2971" t="s">
        <v>8918</v>
      </c>
      <c r="C2971" t="s">
        <v>8919</v>
      </c>
    </row>
    <row r="2972" spans="1:3" x14ac:dyDescent="0.35">
      <c r="A2972" t="s">
        <v>8920</v>
      </c>
      <c r="B2972" t="s">
        <v>8921</v>
      </c>
      <c r="C2972" t="s">
        <v>8922</v>
      </c>
    </row>
    <row r="2973" spans="1:3" x14ac:dyDescent="0.35">
      <c r="A2973" t="s">
        <v>8923</v>
      </c>
      <c r="B2973" t="s">
        <v>8924</v>
      </c>
      <c r="C2973" t="s">
        <v>8925</v>
      </c>
    </row>
    <row r="2974" spans="1:3" x14ac:dyDescent="0.35">
      <c r="A2974" t="s">
        <v>8926</v>
      </c>
      <c r="B2974" t="s">
        <v>8927</v>
      </c>
      <c r="C2974" t="s">
        <v>8928</v>
      </c>
    </row>
    <row r="2975" spans="1:3" x14ac:dyDescent="0.35">
      <c r="A2975" t="s">
        <v>8929</v>
      </c>
      <c r="B2975" t="s">
        <v>8930</v>
      </c>
      <c r="C2975" t="s">
        <v>8931</v>
      </c>
    </row>
    <row r="2976" spans="1:3" x14ac:dyDescent="0.35">
      <c r="A2976" t="s">
        <v>8932</v>
      </c>
      <c r="B2976" t="s">
        <v>8933</v>
      </c>
      <c r="C2976" t="s">
        <v>8934</v>
      </c>
    </row>
    <row r="2977" spans="1:3" x14ac:dyDescent="0.35">
      <c r="A2977" t="s">
        <v>8935</v>
      </c>
      <c r="B2977" t="s">
        <v>8936</v>
      </c>
      <c r="C2977" t="s">
        <v>8937</v>
      </c>
    </row>
    <row r="2978" spans="1:3" x14ac:dyDescent="0.35">
      <c r="A2978" t="s">
        <v>8938</v>
      </c>
      <c r="B2978" t="s">
        <v>8939</v>
      </c>
      <c r="C2978" t="s">
        <v>8940</v>
      </c>
    </row>
    <row r="2979" spans="1:3" x14ac:dyDescent="0.35">
      <c r="A2979" t="s">
        <v>8941</v>
      </c>
      <c r="B2979" t="s">
        <v>8942</v>
      </c>
      <c r="C2979" t="s">
        <v>8943</v>
      </c>
    </row>
    <row r="2980" spans="1:3" x14ac:dyDescent="0.35">
      <c r="A2980" t="s">
        <v>8944</v>
      </c>
      <c r="B2980" t="s">
        <v>8945</v>
      </c>
      <c r="C2980" t="s">
        <v>8946</v>
      </c>
    </row>
    <row r="2981" spans="1:3" x14ac:dyDescent="0.35">
      <c r="A2981" t="s">
        <v>8944</v>
      </c>
      <c r="B2981" t="s">
        <v>8947</v>
      </c>
      <c r="C2981" t="s">
        <v>8948</v>
      </c>
    </row>
    <row r="2982" spans="1:3" x14ac:dyDescent="0.35">
      <c r="A2982" t="s">
        <v>8949</v>
      </c>
      <c r="B2982" t="s">
        <v>8950</v>
      </c>
      <c r="C2982" t="s">
        <v>8951</v>
      </c>
    </row>
    <row r="2983" spans="1:3" x14ac:dyDescent="0.35">
      <c r="A2983" t="s">
        <v>8952</v>
      </c>
      <c r="B2983" t="s">
        <v>8953</v>
      </c>
      <c r="C2983" t="s">
        <v>8954</v>
      </c>
    </row>
    <row r="2984" spans="1:3" x14ac:dyDescent="0.35">
      <c r="A2984" t="s">
        <v>8955</v>
      </c>
      <c r="B2984" t="s">
        <v>8956</v>
      </c>
      <c r="C2984" t="s">
        <v>8957</v>
      </c>
    </row>
    <row r="2985" spans="1:3" x14ac:dyDescent="0.35">
      <c r="A2985" t="s">
        <v>8958</v>
      </c>
      <c r="B2985" t="s">
        <v>8959</v>
      </c>
      <c r="C2985" t="s">
        <v>8960</v>
      </c>
    </row>
    <row r="2986" spans="1:3" x14ac:dyDescent="0.35">
      <c r="A2986" t="s">
        <v>8961</v>
      </c>
      <c r="B2986" t="s">
        <v>8962</v>
      </c>
      <c r="C2986" t="s">
        <v>8963</v>
      </c>
    </row>
    <row r="2987" spans="1:3" x14ac:dyDescent="0.35">
      <c r="A2987" t="s">
        <v>8964</v>
      </c>
      <c r="B2987" t="s">
        <v>8965</v>
      </c>
      <c r="C2987" t="s">
        <v>8966</v>
      </c>
    </row>
    <row r="2988" spans="1:3" x14ac:dyDescent="0.35">
      <c r="A2988" t="s">
        <v>8967</v>
      </c>
      <c r="B2988" t="s">
        <v>8968</v>
      </c>
      <c r="C2988" t="s">
        <v>8969</v>
      </c>
    </row>
    <row r="2989" spans="1:3" x14ac:dyDescent="0.35">
      <c r="A2989" t="s">
        <v>8970</v>
      </c>
      <c r="B2989" t="s">
        <v>8971</v>
      </c>
      <c r="C2989" t="s">
        <v>8972</v>
      </c>
    </row>
    <row r="2990" spans="1:3" x14ac:dyDescent="0.35">
      <c r="A2990" t="s">
        <v>8973</v>
      </c>
      <c r="B2990" t="s">
        <v>8974</v>
      </c>
      <c r="C2990" t="s">
        <v>8975</v>
      </c>
    </row>
    <row r="2991" spans="1:3" x14ac:dyDescent="0.35">
      <c r="A2991" t="s">
        <v>8976</v>
      </c>
      <c r="B2991" t="s">
        <v>8977</v>
      </c>
      <c r="C2991" t="s">
        <v>8978</v>
      </c>
    </row>
    <row r="2992" spans="1:3" x14ac:dyDescent="0.35">
      <c r="A2992" t="s">
        <v>8979</v>
      </c>
      <c r="B2992" t="s">
        <v>8980</v>
      </c>
      <c r="C2992" t="s">
        <v>8981</v>
      </c>
    </row>
    <row r="2993" spans="1:3" x14ac:dyDescent="0.35">
      <c r="A2993" t="s">
        <v>8982</v>
      </c>
      <c r="B2993" t="s">
        <v>8983</v>
      </c>
      <c r="C2993" t="s">
        <v>8984</v>
      </c>
    </row>
    <row r="2994" spans="1:3" x14ac:dyDescent="0.35">
      <c r="A2994" t="s">
        <v>8985</v>
      </c>
      <c r="B2994" t="s">
        <v>8986</v>
      </c>
      <c r="C2994" t="s">
        <v>8987</v>
      </c>
    </row>
    <row r="2995" spans="1:3" x14ac:dyDescent="0.35">
      <c r="A2995" t="s">
        <v>8988</v>
      </c>
      <c r="B2995" t="s">
        <v>8989</v>
      </c>
      <c r="C2995" t="s">
        <v>8990</v>
      </c>
    </row>
    <row r="2996" spans="1:3" x14ac:dyDescent="0.35">
      <c r="A2996" t="s">
        <v>8991</v>
      </c>
      <c r="B2996" t="s">
        <v>8992</v>
      </c>
      <c r="C2996" t="s">
        <v>8993</v>
      </c>
    </row>
    <row r="2997" spans="1:3" x14ac:dyDescent="0.35">
      <c r="A2997" t="s">
        <v>8994</v>
      </c>
      <c r="B2997" t="s">
        <v>8995</v>
      </c>
      <c r="C2997" t="s">
        <v>8996</v>
      </c>
    </row>
    <row r="2998" spans="1:3" x14ac:dyDescent="0.35">
      <c r="A2998" t="s">
        <v>8997</v>
      </c>
      <c r="B2998" t="s">
        <v>8998</v>
      </c>
      <c r="C2998" t="s">
        <v>8999</v>
      </c>
    </row>
    <row r="2999" spans="1:3" x14ac:dyDescent="0.35">
      <c r="A2999" t="s">
        <v>9000</v>
      </c>
      <c r="B2999" t="s">
        <v>9001</v>
      </c>
      <c r="C2999" t="s">
        <v>9002</v>
      </c>
    </row>
    <row r="3000" spans="1:3" x14ac:dyDescent="0.35">
      <c r="A3000" t="s">
        <v>9003</v>
      </c>
      <c r="B3000" t="s">
        <v>9004</v>
      </c>
      <c r="C3000" t="s">
        <v>9005</v>
      </c>
    </row>
    <row r="3001" spans="1:3" x14ac:dyDescent="0.35">
      <c r="A3001" t="s">
        <v>9006</v>
      </c>
      <c r="B3001" t="s">
        <v>9007</v>
      </c>
      <c r="C3001" t="s">
        <v>9008</v>
      </c>
    </row>
    <row r="3002" spans="1:3" x14ac:dyDescent="0.35">
      <c r="A3002" t="s">
        <v>9009</v>
      </c>
      <c r="B3002" t="s">
        <v>9010</v>
      </c>
      <c r="C3002" t="s">
        <v>9011</v>
      </c>
    </row>
    <row r="3003" spans="1:3" x14ac:dyDescent="0.35">
      <c r="A3003" t="s">
        <v>9012</v>
      </c>
      <c r="B3003" t="s">
        <v>9013</v>
      </c>
      <c r="C3003" t="s">
        <v>9014</v>
      </c>
    </row>
    <row r="3004" spans="1:3" x14ac:dyDescent="0.35">
      <c r="A3004" t="s">
        <v>9015</v>
      </c>
      <c r="B3004" t="s">
        <v>9016</v>
      </c>
      <c r="C3004" t="s">
        <v>9017</v>
      </c>
    </row>
    <row r="3005" spans="1:3" x14ac:dyDescent="0.35">
      <c r="A3005" t="s">
        <v>9018</v>
      </c>
      <c r="B3005" t="s">
        <v>9019</v>
      </c>
      <c r="C3005" t="s">
        <v>9020</v>
      </c>
    </row>
    <row r="3006" spans="1:3" x14ac:dyDescent="0.35">
      <c r="A3006" t="s">
        <v>9021</v>
      </c>
      <c r="B3006" t="s">
        <v>9022</v>
      </c>
      <c r="C3006" t="s">
        <v>9023</v>
      </c>
    </row>
    <row r="3007" spans="1:3" x14ac:dyDescent="0.35">
      <c r="A3007" t="s">
        <v>9024</v>
      </c>
      <c r="B3007" t="s">
        <v>9025</v>
      </c>
      <c r="C3007" t="s">
        <v>9026</v>
      </c>
    </row>
    <row r="3008" spans="1:3" x14ac:dyDescent="0.35">
      <c r="A3008" t="s">
        <v>9027</v>
      </c>
      <c r="B3008" t="s">
        <v>9028</v>
      </c>
      <c r="C3008" t="s">
        <v>9029</v>
      </c>
    </row>
    <row r="3009" spans="1:3" x14ac:dyDescent="0.35">
      <c r="A3009" t="s">
        <v>9030</v>
      </c>
      <c r="B3009" t="s">
        <v>9031</v>
      </c>
      <c r="C3009" t="s">
        <v>9032</v>
      </c>
    </row>
    <row r="3010" spans="1:3" x14ac:dyDescent="0.35">
      <c r="A3010" t="s">
        <v>9033</v>
      </c>
      <c r="B3010" t="s">
        <v>9034</v>
      </c>
      <c r="C3010" t="s">
        <v>9035</v>
      </c>
    </row>
    <row r="3011" spans="1:3" x14ac:dyDescent="0.35">
      <c r="A3011" t="s">
        <v>9036</v>
      </c>
      <c r="B3011" t="s">
        <v>9037</v>
      </c>
      <c r="C3011" t="s">
        <v>9038</v>
      </c>
    </row>
    <row r="3012" spans="1:3" x14ac:dyDescent="0.35">
      <c r="A3012" t="s">
        <v>9039</v>
      </c>
      <c r="B3012" t="s">
        <v>9040</v>
      </c>
      <c r="C3012" t="s">
        <v>9041</v>
      </c>
    </row>
    <row r="3013" spans="1:3" x14ac:dyDescent="0.35">
      <c r="A3013" t="s">
        <v>9042</v>
      </c>
      <c r="B3013" t="s">
        <v>9043</v>
      </c>
      <c r="C3013" t="s">
        <v>9044</v>
      </c>
    </row>
    <row r="3014" spans="1:3" x14ac:dyDescent="0.35">
      <c r="A3014" t="s">
        <v>9045</v>
      </c>
      <c r="B3014" t="s">
        <v>9046</v>
      </c>
      <c r="C3014" t="s">
        <v>9047</v>
      </c>
    </row>
    <row r="3015" spans="1:3" x14ac:dyDescent="0.35">
      <c r="A3015" t="s">
        <v>9048</v>
      </c>
      <c r="B3015" t="s">
        <v>9049</v>
      </c>
      <c r="C3015" t="s">
        <v>9050</v>
      </c>
    </row>
    <row r="3016" spans="1:3" x14ac:dyDescent="0.35">
      <c r="A3016" t="s">
        <v>9051</v>
      </c>
      <c r="B3016" t="s">
        <v>9052</v>
      </c>
      <c r="C3016" t="s">
        <v>9053</v>
      </c>
    </row>
    <row r="3017" spans="1:3" x14ac:dyDescent="0.35">
      <c r="A3017" t="s">
        <v>9054</v>
      </c>
      <c r="B3017" t="s">
        <v>9055</v>
      </c>
      <c r="C3017" t="s">
        <v>9056</v>
      </c>
    </row>
    <row r="3018" spans="1:3" x14ac:dyDescent="0.35">
      <c r="A3018" t="s">
        <v>9057</v>
      </c>
      <c r="B3018" t="s">
        <v>9058</v>
      </c>
      <c r="C3018" t="s">
        <v>9059</v>
      </c>
    </row>
    <row r="3019" spans="1:3" x14ac:dyDescent="0.35">
      <c r="A3019" t="s">
        <v>9060</v>
      </c>
      <c r="B3019" t="s">
        <v>9061</v>
      </c>
      <c r="C3019" t="s">
        <v>9062</v>
      </c>
    </row>
    <row r="3020" spans="1:3" x14ac:dyDescent="0.35">
      <c r="A3020" t="s">
        <v>9060</v>
      </c>
      <c r="B3020" t="s">
        <v>9063</v>
      </c>
      <c r="C3020" t="s">
        <v>9064</v>
      </c>
    </row>
    <row r="3021" spans="1:3" x14ac:dyDescent="0.35">
      <c r="A3021" t="s">
        <v>9065</v>
      </c>
      <c r="B3021" t="s">
        <v>9066</v>
      </c>
      <c r="C3021" t="s">
        <v>9067</v>
      </c>
    </row>
    <row r="3022" spans="1:3" x14ac:dyDescent="0.35">
      <c r="A3022" t="s">
        <v>9068</v>
      </c>
      <c r="B3022" t="s">
        <v>9069</v>
      </c>
      <c r="C3022" t="s">
        <v>9070</v>
      </c>
    </row>
    <row r="3023" spans="1:3" x14ac:dyDescent="0.35">
      <c r="A3023" t="s">
        <v>9071</v>
      </c>
      <c r="B3023" t="s">
        <v>9072</v>
      </c>
      <c r="C3023" t="s">
        <v>9073</v>
      </c>
    </row>
    <row r="3024" spans="1:3" x14ac:dyDescent="0.35">
      <c r="A3024" t="s">
        <v>9074</v>
      </c>
      <c r="B3024" t="s">
        <v>9075</v>
      </c>
      <c r="C3024" t="s">
        <v>9076</v>
      </c>
    </row>
    <row r="3025" spans="1:3" x14ac:dyDescent="0.35">
      <c r="A3025" t="s">
        <v>9077</v>
      </c>
      <c r="B3025" t="s">
        <v>9078</v>
      </c>
      <c r="C3025" t="s">
        <v>9079</v>
      </c>
    </row>
    <row r="3026" spans="1:3" x14ac:dyDescent="0.35">
      <c r="A3026" t="s">
        <v>9080</v>
      </c>
      <c r="B3026" t="s">
        <v>9081</v>
      </c>
      <c r="C3026" t="s">
        <v>9082</v>
      </c>
    </row>
    <row r="3027" spans="1:3" x14ac:dyDescent="0.35">
      <c r="A3027" t="s">
        <v>9083</v>
      </c>
      <c r="B3027" t="s">
        <v>9084</v>
      </c>
      <c r="C3027" t="s">
        <v>9085</v>
      </c>
    </row>
    <row r="3028" spans="1:3" x14ac:dyDescent="0.35">
      <c r="A3028" t="s">
        <v>9086</v>
      </c>
      <c r="B3028" t="s">
        <v>3483</v>
      </c>
      <c r="C3028" t="s">
        <v>9087</v>
      </c>
    </row>
    <row r="3029" spans="1:3" x14ac:dyDescent="0.35">
      <c r="A3029" t="s">
        <v>9088</v>
      </c>
      <c r="B3029" t="s">
        <v>9089</v>
      </c>
      <c r="C3029" t="s">
        <v>9090</v>
      </c>
    </row>
    <row r="3030" spans="1:3" x14ac:dyDescent="0.35">
      <c r="A3030" t="s">
        <v>9091</v>
      </c>
      <c r="B3030" t="s">
        <v>9092</v>
      </c>
      <c r="C3030" t="s">
        <v>9093</v>
      </c>
    </row>
    <row r="3031" spans="1:3" x14ac:dyDescent="0.35">
      <c r="A3031" t="s">
        <v>9094</v>
      </c>
      <c r="B3031" t="s">
        <v>9095</v>
      </c>
      <c r="C3031" t="s">
        <v>9096</v>
      </c>
    </row>
    <row r="3032" spans="1:3" x14ac:dyDescent="0.35">
      <c r="A3032" t="s">
        <v>9097</v>
      </c>
      <c r="B3032" t="s">
        <v>9098</v>
      </c>
      <c r="C3032" t="s">
        <v>9099</v>
      </c>
    </row>
    <row r="3033" spans="1:3" x14ac:dyDescent="0.35">
      <c r="A3033" t="s">
        <v>9100</v>
      </c>
      <c r="B3033" t="s">
        <v>9101</v>
      </c>
      <c r="C3033" t="s">
        <v>9102</v>
      </c>
    </row>
    <row r="3034" spans="1:3" x14ac:dyDescent="0.35">
      <c r="A3034" t="s">
        <v>9103</v>
      </c>
      <c r="B3034" t="s">
        <v>9104</v>
      </c>
      <c r="C3034" t="s">
        <v>9105</v>
      </c>
    </row>
    <row r="3035" spans="1:3" x14ac:dyDescent="0.35">
      <c r="A3035" t="s">
        <v>9106</v>
      </c>
      <c r="B3035" t="s">
        <v>9107</v>
      </c>
      <c r="C3035" t="s">
        <v>9108</v>
      </c>
    </row>
    <row r="3036" spans="1:3" x14ac:dyDescent="0.35">
      <c r="A3036" t="s">
        <v>9109</v>
      </c>
      <c r="B3036" t="s">
        <v>9110</v>
      </c>
      <c r="C3036" t="s">
        <v>9111</v>
      </c>
    </row>
    <row r="3037" spans="1:3" x14ac:dyDescent="0.35">
      <c r="A3037" t="s">
        <v>9112</v>
      </c>
      <c r="B3037" t="s">
        <v>9113</v>
      </c>
      <c r="C3037" t="s">
        <v>9114</v>
      </c>
    </row>
    <row r="3038" spans="1:3" x14ac:dyDescent="0.35">
      <c r="A3038" t="s">
        <v>9115</v>
      </c>
      <c r="B3038" t="s">
        <v>9116</v>
      </c>
      <c r="C3038" t="s">
        <v>9117</v>
      </c>
    </row>
    <row r="3039" spans="1:3" x14ac:dyDescent="0.35">
      <c r="A3039" t="s">
        <v>9118</v>
      </c>
      <c r="B3039" t="s">
        <v>9119</v>
      </c>
      <c r="C3039" t="s">
        <v>9120</v>
      </c>
    </row>
    <row r="3040" spans="1:3" x14ac:dyDescent="0.35">
      <c r="A3040" t="s">
        <v>9121</v>
      </c>
      <c r="B3040" t="s">
        <v>9122</v>
      </c>
      <c r="C3040" t="s">
        <v>9123</v>
      </c>
    </row>
    <row r="3041" spans="1:3" x14ac:dyDescent="0.35">
      <c r="A3041" t="s">
        <v>9124</v>
      </c>
      <c r="B3041" t="s">
        <v>9125</v>
      </c>
      <c r="C3041" t="s">
        <v>9126</v>
      </c>
    </row>
    <row r="3042" spans="1:3" x14ac:dyDescent="0.35">
      <c r="A3042" t="s">
        <v>9127</v>
      </c>
      <c r="B3042" t="s">
        <v>9128</v>
      </c>
      <c r="C3042" t="s">
        <v>9129</v>
      </c>
    </row>
    <row r="3043" spans="1:3" x14ac:dyDescent="0.35">
      <c r="A3043" t="s">
        <v>9130</v>
      </c>
      <c r="B3043" t="s">
        <v>9131</v>
      </c>
      <c r="C3043" t="s">
        <v>9132</v>
      </c>
    </row>
    <row r="3044" spans="1:3" x14ac:dyDescent="0.35">
      <c r="A3044" t="s">
        <v>9133</v>
      </c>
      <c r="B3044" t="s">
        <v>9134</v>
      </c>
      <c r="C3044" t="s">
        <v>9135</v>
      </c>
    </row>
    <row r="3045" spans="1:3" x14ac:dyDescent="0.35">
      <c r="A3045" t="s">
        <v>9136</v>
      </c>
      <c r="B3045" t="s">
        <v>9137</v>
      </c>
      <c r="C3045" t="s">
        <v>9138</v>
      </c>
    </row>
    <row r="3046" spans="1:3" x14ac:dyDescent="0.35">
      <c r="A3046" t="s">
        <v>9139</v>
      </c>
      <c r="B3046" t="s">
        <v>9140</v>
      </c>
      <c r="C3046" t="s">
        <v>9141</v>
      </c>
    </row>
    <row r="3047" spans="1:3" x14ac:dyDescent="0.35">
      <c r="A3047" t="s">
        <v>9142</v>
      </c>
      <c r="B3047" t="s">
        <v>9143</v>
      </c>
      <c r="C3047" t="s">
        <v>9144</v>
      </c>
    </row>
    <row r="3048" spans="1:3" x14ac:dyDescent="0.35">
      <c r="A3048" t="s">
        <v>9145</v>
      </c>
      <c r="B3048" t="s">
        <v>9146</v>
      </c>
      <c r="C3048" t="s">
        <v>9147</v>
      </c>
    </row>
    <row r="3049" spans="1:3" x14ac:dyDescent="0.35">
      <c r="A3049" t="s">
        <v>9148</v>
      </c>
      <c r="B3049" t="s">
        <v>9149</v>
      </c>
      <c r="C3049" t="s">
        <v>9150</v>
      </c>
    </row>
    <row r="3050" spans="1:3" x14ac:dyDescent="0.35">
      <c r="A3050" t="s">
        <v>9151</v>
      </c>
      <c r="B3050" t="s">
        <v>9152</v>
      </c>
      <c r="C3050" t="s">
        <v>9153</v>
      </c>
    </row>
    <row r="3051" spans="1:3" x14ac:dyDescent="0.35">
      <c r="A3051" t="s">
        <v>9151</v>
      </c>
      <c r="B3051" t="s">
        <v>9154</v>
      </c>
      <c r="C3051" t="s">
        <v>9153</v>
      </c>
    </row>
    <row r="3052" spans="1:3" x14ac:dyDescent="0.35">
      <c r="A3052" t="s">
        <v>9155</v>
      </c>
      <c r="B3052" t="s">
        <v>9156</v>
      </c>
      <c r="C3052" t="s">
        <v>9157</v>
      </c>
    </row>
    <row r="3053" spans="1:3" x14ac:dyDescent="0.35">
      <c r="A3053" t="s">
        <v>9158</v>
      </c>
      <c r="B3053" t="s">
        <v>9159</v>
      </c>
      <c r="C3053" t="s">
        <v>9160</v>
      </c>
    </row>
    <row r="3054" spans="1:3" x14ac:dyDescent="0.35">
      <c r="A3054" t="s">
        <v>9161</v>
      </c>
      <c r="B3054" t="s">
        <v>9162</v>
      </c>
      <c r="C3054" t="s">
        <v>9163</v>
      </c>
    </row>
    <row r="3055" spans="1:3" x14ac:dyDescent="0.35">
      <c r="A3055" t="s">
        <v>9164</v>
      </c>
      <c r="B3055" t="s">
        <v>9165</v>
      </c>
      <c r="C3055" t="s">
        <v>9166</v>
      </c>
    </row>
    <row r="3056" spans="1:3" x14ac:dyDescent="0.35">
      <c r="A3056" t="s">
        <v>9167</v>
      </c>
      <c r="B3056" t="s">
        <v>9168</v>
      </c>
      <c r="C3056" t="s">
        <v>9169</v>
      </c>
    </row>
    <row r="3057" spans="1:3" x14ac:dyDescent="0.35">
      <c r="A3057" t="s">
        <v>9170</v>
      </c>
      <c r="B3057" t="s">
        <v>9171</v>
      </c>
      <c r="C3057" t="s">
        <v>9172</v>
      </c>
    </row>
    <row r="3058" spans="1:3" x14ac:dyDescent="0.35">
      <c r="A3058" t="s">
        <v>9173</v>
      </c>
      <c r="B3058" t="s">
        <v>9174</v>
      </c>
      <c r="C3058" t="s">
        <v>9175</v>
      </c>
    </row>
    <row r="3059" spans="1:3" x14ac:dyDescent="0.35">
      <c r="A3059" t="s">
        <v>9176</v>
      </c>
      <c r="B3059" t="s">
        <v>9177</v>
      </c>
      <c r="C3059" t="s">
        <v>9178</v>
      </c>
    </row>
    <row r="3060" spans="1:3" x14ac:dyDescent="0.35">
      <c r="A3060" t="s">
        <v>9179</v>
      </c>
      <c r="B3060" t="s">
        <v>9180</v>
      </c>
      <c r="C3060" t="s">
        <v>9181</v>
      </c>
    </row>
    <row r="3061" spans="1:3" x14ac:dyDescent="0.35">
      <c r="A3061" t="s">
        <v>9182</v>
      </c>
      <c r="B3061" t="s">
        <v>9183</v>
      </c>
      <c r="C3061" t="s">
        <v>9184</v>
      </c>
    </row>
    <row r="3062" spans="1:3" x14ac:dyDescent="0.35">
      <c r="A3062" t="s">
        <v>9185</v>
      </c>
      <c r="B3062" t="s">
        <v>9186</v>
      </c>
      <c r="C3062" t="s">
        <v>9187</v>
      </c>
    </row>
    <row r="3063" spans="1:3" x14ac:dyDescent="0.35">
      <c r="A3063" t="s">
        <v>9188</v>
      </c>
      <c r="B3063" t="s">
        <v>9189</v>
      </c>
      <c r="C3063" t="s">
        <v>9190</v>
      </c>
    </row>
    <row r="3064" spans="1:3" x14ac:dyDescent="0.35">
      <c r="A3064" t="s">
        <v>9191</v>
      </c>
      <c r="B3064" t="s">
        <v>9192</v>
      </c>
      <c r="C3064" t="s">
        <v>9193</v>
      </c>
    </row>
    <row r="3065" spans="1:3" x14ac:dyDescent="0.35">
      <c r="A3065" t="s">
        <v>9194</v>
      </c>
      <c r="B3065" t="s">
        <v>9195</v>
      </c>
      <c r="C3065" t="s">
        <v>9196</v>
      </c>
    </row>
    <row r="3066" spans="1:3" x14ac:dyDescent="0.35">
      <c r="A3066" t="s">
        <v>9197</v>
      </c>
      <c r="B3066" t="s">
        <v>9198</v>
      </c>
      <c r="C3066" t="s">
        <v>9199</v>
      </c>
    </row>
    <row r="3067" spans="1:3" x14ac:dyDescent="0.35">
      <c r="A3067" t="s">
        <v>9200</v>
      </c>
      <c r="B3067" t="s">
        <v>9201</v>
      </c>
      <c r="C3067" t="s">
        <v>9202</v>
      </c>
    </row>
    <row r="3068" spans="1:3" x14ac:dyDescent="0.35">
      <c r="A3068" t="s">
        <v>77</v>
      </c>
      <c r="B3068" t="s">
        <v>9203</v>
      </c>
      <c r="C3068" t="s">
        <v>9204</v>
      </c>
    </row>
    <row r="3069" spans="1:3" x14ac:dyDescent="0.35">
      <c r="A3069" t="s">
        <v>9205</v>
      </c>
      <c r="B3069" t="s">
        <v>9206</v>
      </c>
      <c r="C3069" t="s">
        <v>9207</v>
      </c>
    </row>
    <row r="3070" spans="1:3" x14ac:dyDescent="0.35">
      <c r="A3070" t="s">
        <v>9208</v>
      </c>
      <c r="B3070" t="s">
        <v>9209</v>
      </c>
      <c r="C3070" t="s">
        <v>9210</v>
      </c>
    </row>
    <row r="3071" spans="1:3" x14ac:dyDescent="0.35">
      <c r="A3071" t="s">
        <v>9211</v>
      </c>
      <c r="B3071" t="s">
        <v>9212</v>
      </c>
      <c r="C3071" t="s">
        <v>9213</v>
      </c>
    </row>
    <row r="3072" spans="1:3" x14ac:dyDescent="0.35">
      <c r="A3072" t="s">
        <v>9214</v>
      </c>
      <c r="B3072" t="s">
        <v>9215</v>
      </c>
      <c r="C3072" t="s">
        <v>9216</v>
      </c>
    </row>
    <row r="3073" spans="1:3" x14ac:dyDescent="0.35">
      <c r="A3073" t="s">
        <v>9217</v>
      </c>
      <c r="B3073" t="s">
        <v>9218</v>
      </c>
      <c r="C3073" t="s">
        <v>9219</v>
      </c>
    </row>
    <row r="3074" spans="1:3" x14ac:dyDescent="0.35">
      <c r="A3074" t="s">
        <v>9220</v>
      </c>
      <c r="B3074" t="s">
        <v>9221</v>
      </c>
      <c r="C3074" t="s">
        <v>9222</v>
      </c>
    </row>
    <row r="3075" spans="1:3" x14ac:dyDescent="0.35">
      <c r="A3075" t="s">
        <v>9223</v>
      </c>
      <c r="B3075" t="s">
        <v>9224</v>
      </c>
      <c r="C3075" t="s">
        <v>9225</v>
      </c>
    </row>
    <row r="3076" spans="1:3" x14ac:dyDescent="0.35">
      <c r="A3076" t="s">
        <v>9223</v>
      </c>
      <c r="B3076" t="s">
        <v>9226</v>
      </c>
      <c r="C3076" t="s">
        <v>9227</v>
      </c>
    </row>
    <row r="3077" spans="1:3" x14ac:dyDescent="0.35">
      <c r="A3077" t="s">
        <v>9228</v>
      </c>
      <c r="B3077" t="s">
        <v>9229</v>
      </c>
      <c r="C3077" t="s">
        <v>9230</v>
      </c>
    </row>
    <row r="3078" spans="1:3" x14ac:dyDescent="0.35">
      <c r="A3078" t="s">
        <v>9231</v>
      </c>
      <c r="B3078" t="s">
        <v>9232</v>
      </c>
      <c r="C3078" t="s">
        <v>9233</v>
      </c>
    </row>
    <row r="3079" spans="1:3" x14ac:dyDescent="0.35">
      <c r="A3079" t="s">
        <v>9234</v>
      </c>
      <c r="B3079" t="s">
        <v>9235</v>
      </c>
      <c r="C3079" t="s">
        <v>9236</v>
      </c>
    </row>
    <row r="3080" spans="1:3" x14ac:dyDescent="0.35">
      <c r="A3080" t="s">
        <v>9237</v>
      </c>
      <c r="B3080" t="s">
        <v>9238</v>
      </c>
      <c r="C3080" t="s">
        <v>9239</v>
      </c>
    </row>
    <row r="3081" spans="1:3" x14ac:dyDescent="0.35">
      <c r="A3081" t="s">
        <v>9240</v>
      </c>
      <c r="B3081" t="s">
        <v>9241</v>
      </c>
      <c r="C3081" t="s">
        <v>9242</v>
      </c>
    </row>
    <row r="3082" spans="1:3" x14ac:dyDescent="0.35">
      <c r="A3082" t="s">
        <v>9243</v>
      </c>
      <c r="B3082" t="s">
        <v>9244</v>
      </c>
      <c r="C3082" t="s">
        <v>9245</v>
      </c>
    </row>
    <row r="3083" spans="1:3" x14ac:dyDescent="0.35">
      <c r="A3083" t="s">
        <v>9246</v>
      </c>
      <c r="B3083" t="s">
        <v>9247</v>
      </c>
      <c r="C3083" t="s">
        <v>9248</v>
      </c>
    </row>
    <row r="3084" spans="1:3" x14ac:dyDescent="0.35">
      <c r="A3084" t="s">
        <v>9249</v>
      </c>
      <c r="B3084" t="s">
        <v>9250</v>
      </c>
      <c r="C3084" t="s">
        <v>9251</v>
      </c>
    </row>
    <row r="3085" spans="1:3" x14ac:dyDescent="0.35">
      <c r="A3085" t="s">
        <v>9252</v>
      </c>
      <c r="B3085" t="s">
        <v>9253</v>
      </c>
      <c r="C3085" t="s">
        <v>9254</v>
      </c>
    </row>
    <row r="3086" spans="1:3" x14ac:dyDescent="0.35">
      <c r="A3086" t="s">
        <v>9255</v>
      </c>
      <c r="B3086" t="s">
        <v>9256</v>
      </c>
      <c r="C3086" t="s">
        <v>9257</v>
      </c>
    </row>
    <row r="3087" spans="1:3" x14ac:dyDescent="0.35">
      <c r="A3087" t="s">
        <v>9258</v>
      </c>
      <c r="B3087" t="s">
        <v>9259</v>
      </c>
      <c r="C3087" t="s">
        <v>9260</v>
      </c>
    </row>
    <row r="3088" spans="1:3" x14ac:dyDescent="0.35">
      <c r="A3088" t="s">
        <v>9261</v>
      </c>
      <c r="B3088" t="s">
        <v>9262</v>
      </c>
      <c r="C3088" t="s">
        <v>9263</v>
      </c>
    </row>
    <row r="3089" spans="1:3" x14ac:dyDescent="0.35">
      <c r="A3089" t="s">
        <v>9264</v>
      </c>
      <c r="B3089" t="s">
        <v>9265</v>
      </c>
      <c r="C3089" t="s">
        <v>9266</v>
      </c>
    </row>
    <row r="3090" spans="1:3" x14ac:dyDescent="0.35">
      <c r="A3090" t="s">
        <v>9267</v>
      </c>
      <c r="B3090" t="s">
        <v>9268</v>
      </c>
      <c r="C3090" t="s">
        <v>9269</v>
      </c>
    </row>
    <row r="3091" spans="1:3" x14ac:dyDescent="0.35">
      <c r="A3091" t="s">
        <v>9270</v>
      </c>
      <c r="B3091" t="s">
        <v>9271</v>
      </c>
      <c r="C3091" t="s">
        <v>9272</v>
      </c>
    </row>
    <row r="3092" spans="1:3" x14ac:dyDescent="0.35">
      <c r="A3092" t="s">
        <v>9273</v>
      </c>
      <c r="B3092" t="s">
        <v>9274</v>
      </c>
      <c r="C3092" t="s">
        <v>9275</v>
      </c>
    </row>
    <row r="3093" spans="1:3" x14ac:dyDescent="0.35">
      <c r="A3093" t="s">
        <v>9276</v>
      </c>
      <c r="B3093" t="s">
        <v>9277</v>
      </c>
      <c r="C3093" t="s">
        <v>9278</v>
      </c>
    </row>
    <row r="3094" spans="1:3" x14ac:dyDescent="0.35">
      <c r="A3094" t="s">
        <v>9279</v>
      </c>
      <c r="B3094" t="s">
        <v>9280</v>
      </c>
      <c r="C3094" t="s">
        <v>9281</v>
      </c>
    </row>
    <row r="3095" spans="1:3" x14ac:dyDescent="0.35">
      <c r="A3095" t="s">
        <v>9282</v>
      </c>
      <c r="B3095" t="s">
        <v>9283</v>
      </c>
      <c r="C3095" t="s">
        <v>9284</v>
      </c>
    </row>
    <row r="3096" spans="1:3" x14ac:dyDescent="0.35">
      <c r="A3096" t="s">
        <v>9285</v>
      </c>
      <c r="B3096" t="s">
        <v>9286</v>
      </c>
      <c r="C3096" t="s">
        <v>9287</v>
      </c>
    </row>
    <row r="3097" spans="1:3" x14ac:dyDescent="0.35">
      <c r="A3097" t="s">
        <v>9288</v>
      </c>
      <c r="B3097" t="s">
        <v>9289</v>
      </c>
      <c r="C3097" t="s">
        <v>9290</v>
      </c>
    </row>
    <row r="3098" spans="1:3" x14ac:dyDescent="0.35">
      <c r="A3098" t="s">
        <v>9291</v>
      </c>
      <c r="B3098" t="s">
        <v>9292</v>
      </c>
      <c r="C3098" t="s">
        <v>9293</v>
      </c>
    </row>
    <row r="3099" spans="1:3" x14ac:dyDescent="0.35">
      <c r="A3099" t="s">
        <v>9294</v>
      </c>
      <c r="B3099" t="s">
        <v>9295</v>
      </c>
      <c r="C3099" t="s">
        <v>9296</v>
      </c>
    </row>
    <row r="3100" spans="1:3" x14ac:dyDescent="0.35">
      <c r="A3100" t="s">
        <v>9297</v>
      </c>
      <c r="B3100" t="s">
        <v>9298</v>
      </c>
      <c r="C3100" t="s">
        <v>9299</v>
      </c>
    </row>
    <row r="3101" spans="1:3" x14ac:dyDescent="0.35">
      <c r="A3101" t="s">
        <v>9300</v>
      </c>
      <c r="B3101" t="s">
        <v>9301</v>
      </c>
      <c r="C3101" t="s">
        <v>9302</v>
      </c>
    </row>
    <row r="3102" spans="1:3" x14ac:dyDescent="0.35">
      <c r="A3102" t="s">
        <v>9303</v>
      </c>
      <c r="B3102" t="s">
        <v>9304</v>
      </c>
      <c r="C3102" t="s">
        <v>9305</v>
      </c>
    </row>
    <row r="3103" spans="1:3" x14ac:dyDescent="0.35">
      <c r="A3103" t="s">
        <v>9306</v>
      </c>
      <c r="B3103" t="s">
        <v>9307</v>
      </c>
      <c r="C3103" t="s">
        <v>9308</v>
      </c>
    </row>
    <row r="3104" spans="1:3" x14ac:dyDescent="0.35">
      <c r="A3104" t="s">
        <v>9309</v>
      </c>
      <c r="B3104" t="s">
        <v>9310</v>
      </c>
      <c r="C3104" t="s">
        <v>9311</v>
      </c>
    </row>
    <row r="3105" spans="1:3" x14ac:dyDescent="0.35">
      <c r="A3105" t="s">
        <v>9312</v>
      </c>
      <c r="B3105" t="s">
        <v>9313</v>
      </c>
      <c r="C3105" t="s">
        <v>9314</v>
      </c>
    </row>
    <row r="3106" spans="1:3" x14ac:dyDescent="0.35">
      <c r="A3106" t="s">
        <v>9315</v>
      </c>
      <c r="B3106" t="s">
        <v>9316</v>
      </c>
      <c r="C3106" t="s">
        <v>9317</v>
      </c>
    </row>
    <row r="3107" spans="1:3" x14ac:dyDescent="0.35">
      <c r="A3107" t="s">
        <v>9318</v>
      </c>
      <c r="B3107" t="s">
        <v>9319</v>
      </c>
      <c r="C3107" t="s">
        <v>9320</v>
      </c>
    </row>
    <row r="3108" spans="1:3" x14ac:dyDescent="0.35">
      <c r="A3108" t="s">
        <v>9321</v>
      </c>
      <c r="B3108" t="s">
        <v>9322</v>
      </c>
      <c r="C3108" t="s">
        <v>9323</v>
      </c>
    </row>
    <row r="3109" spans="1:3" x14ac:dyDescent="0.35">
      <c r="A3109" t="s">
        <v>9324</v>
      </c>
      <c r="B3109" t="s">
        <v>9325</v>
      </c>
      <c r="C3109" t="s">
        <v>9326</v>
      </c>
    </row>
    <row r="3110" spans="1:3" x14ac:dyDescent="0.35">
      <c r="A3110" t="s">
        <v>9327</v>
      </c>
      <c r="B3110" t="s">
        <v>9328</v>
      </c>
      <c r="C3110" t="s">
        <v>9329</v>
      </c>
    </row>
    <row r="3111" spans="1:3" x14ac:dyDescent="0.35">
      <c r="A3111" t="s">
        <v>9330</v>
      </c>
      <c r="B3111" t="s">
        <v>9331</v>
      </c>
      <c r="C3111" t="s">
        <v>9332</v>
      </c>
    </row>
    <row r="3112" spans="1:3" x14ac:dyDescent="0.35">
      <c r="A3112" t="s">
        <v>9333</v>
      </c>
      <c r="B3112" t="s">
        <v>9334</v>
      </c>
      <c r="C3112" t="s">
        <v>9335</v>
      </c>
    </row>
    <row r="3113" spans="1:3" x14ac:dyDescent="0.35">
      <c r="A3113" t="s">
        <v>9336</v>
      </c>
      <c r="B3113" t="s">
        <v>9337</v>
      </c>
      <c r="C3113" t="s">
        <v>9338</v>
      </c>
    </row>
    <row r="3114" spans="1:3" x14ac:dyDescent="0.35">
      <c r="A3114" t="s">
        <v>9339</v>
      </c>
      <c r="B3114" t="s">
        <v>9340</v>
      </c>
      <c r="C3114" t="s">
        <v>9341</v>
      </c>
    </row>
    <row r="3115" spans="1:3" x14ac:dyDescent="0.35">
      <c r="A3115" t="s">
        <v>9342</v>
      </c>
      <c r="B3115" t="s">
        <v>9343</v>
      </c>
      <c r="C3115" t="s">
        <v>9344</v>
      </c>
    </row>
    <row r="3116" spans="1:3" x14ac:dyDescent="0.35">
      <c r="A3116" t="s">
        <v>9345</v>
      </c>
      <c r="B3116" t="s">
        <v>9346</v>
      </c>
      <c r="C3116" t="s">
        <v>9347</v>
      </c>
    </row>
    <row r="3117" spans="1:3" x14ac:dyDescent="0.35">
      <c r="A3117" t="s">
        <v>9345</v>
      </c>
      <c r="B3117" t="s">
        <v>9348</v>
      </c>
      <c r="C3117" t="s">
        <v>9349</v>
      </c>
    </row>
    <row r="3118" spans="1:3" x14ac:dyDescent="0.35">
      <c r="A3118" t="s">
        <v>9350</v>
      </c>
      <c r="B3118" t="s">
        <v>9351</v>
      </c>
      <c r="C3118" t="s">
        <v>9352</v>
      </c>
    </row>
    <row r="3119" spans="1:3" x14ac:dyDescent="0.35">
      <c r="A3119" t="s">
        <v>9353</v>
      </c>
      <c r="B3119" t="s">
        <v>9354</v>
      </c>
      <c r="C3119" t="s">
        <v>9355</v>
      </c>
    </row>
    <row r="3120" spans="1:3" x14ac:dyDescent="0.35">
      <c r="A3120" t="s">
        <v>9356</v>
      </c>
      <c r="B3120" t="s">
        <v>9357</v>
      </c>
      <c r="C3120" t="s">
        <v>9358</v>
      </c>
    </row>
    <row r="3121" spans="1:3" x14ac:dyDescent="0.35">
      <c r="A3121" t="s">
        <v>9359</v>
      </c>
      <c r="B3121" t="s">
        <v>9360</v>
      </c>
      <c r="C3121" t="s">
        <v>9361</v>
      </c>
    </row>
    <row r="3122" spans="1:3" x14ac:dyDescent="0.35">
      <c r="A3122" t="s">
        <v>9362</v>
      </c>
      <c r="B3122" t="s">
        <v>9363</v>
      </c>
      <c r="C3122" t="s">
        <v>9364</v>
      </c>
    </row>
    <row r="3123" spans="1:3" x14ac:dyDescent="0.35">
      <c r="A3123" t="s">
        <v>9365</v>
      </c>
      <c r="B3123" t="s">
        <v>9366</v>
      </c>
      <c r="C3123" t="s">
        <v>9367</v>
      </c>
    </row>
    <row r="3124" spans="1:3" x14ac:dyDescent="0.35">
      <c r="A3124" t="s">
        <v>9368</v>
      </c>
      <c r="B3124" t="s">
        <v>9369</v>
      </c>
      <c r="C3124" t="s">
        <v>9370</v>
      </c>
    </row>
    <row r="3125" spans="1:3" x14ac:dyDescent="0.35">
      <c r="A3125" t="s">
        <v>9371</v>
      </c>
      <c r="B3125" t="s">
        <v>9372</v>
      </c>
      <c r="C3125" t="s">
        <v>9373</v>
      </c>
    </row>
    <row r="3126" spans="1:3" x14ac:dyDescent="0.35">
      <c r="A3126" t="s">
        <v>9374</v>
      </c>
      <c r="B3126" t="s">
        <v>9375</v>
      </c>
      <c r="C3126" t="s">
        <v>9376</v>
      </c>
    </row>
    <row r="3127" spans="1:3" x14ac:dyDescent="0.35">
      <c r="A3127" t="s">
        <v>9377</v>
      </c>
      <c r="B3127" t="s">
        <v>9378</v>
      </c>
      <c r="C3127" t="s">
        <v>9379</v>
      </c>
    </row>
    <row r="3128" spans="1:3" x14ac:dyDescent="0.35">
      <c r="A3128" t="s">
        <v>9380</v>
      </c>
      <c r="B3128" t="s">
        <v>9381</v>
      </c>
      <c r="C3128" t="s">
        <v>9382</v>
      </c>
    </row>
    <row r="3129" spans="1:3" x14ac:dyDescent="0.35">
      <c r="A3129" t="s">
        <v>9383</v>
      </c>
      <c r="B3129" t="s">
        <v>9384</v>
      </c>
      <c r="C3129" t="s">
        <v>9385</v>
      </c>
    </row>
    <row r="3130" spans="1:3" x14ac:dyDescent="0.35">
      <c r="A3130" t="s">
        <v>9386</v>
      </c>
      <c r="B3130" t="s">
        <v>9387</v>
      </c>
      <c r="C3130" t="s">
        <v>9388</v>
      </c>
    </row>
    <row r="3131" spans="1:3" x14ac:dyDescent="0.35">
      <c r="A3131" t="s">
        <v>9389</v>
      </c>
      <c r="B3131" t="s">
        <v>9390</v>
      </c>
      <c r="C3131" t="s">
        <v>9391</v>
      </c>
    </row>
    <row r="3132" spans="1:3" x14ac:dyDescent="0.35">
      <c r="A3132" t="s">
        <v>9392</v>
      </c>
      <c r="B3132" t="s">
        <v>9393</v>
      </c>
      <c r="C3132" t="s">
        <v>9394</v>
      </c>
    </row>
    <row r="3133" spans="1:3" x14ac:dyDescent="0.35">
      <c r="A3133" t="s">
        <v>9395</v>
      </c>
      <c r="B3133" t="s">
        <v>9396</v>
      </c>
      <c r="C3133" t="s">
        <v>9397</v>
      </c>
    </row>
    <row r="3134" spans="1:3" x14ac:dyDescent="0.35">
      <c r="A3134" t="s">
        <v>9398</v>
      </c>
      <c r="B3134" t="s">
        <v>9348</v>
      </c>
      <c r="C3134" t="s">
        <v>9399</v>
      </c>
    </row>
    <row r="3135" spans="1:3" x14ac:dyDescent="0.35">
      <c r="A3135" t="s">
        <v>9400</v>
      </c>
      <c r="B3135" t="s">
        <v>9401</v>
      </c>
      <c r="C3135" t="s">
        <v>9402</v>
      </c>
    </row>
    <row r="3136" spans="1:3" x14ac:dyDescent="0.35">
      <c r="A3136" t="s">
        <v>9403</v>
      </c>
      <c r="B3136" t="s">
        <v>9404</v>
      </c>
      <c r="C3136" t="s">
        <v>9405</v>
      </c>
    </row>
    <row r="3137" spans="1:3" x14ac:dyDescent="0.35">
      <c r="A3137" t="s">
        <v>9406</v>
      </c>
      <c r="B3137" t="s">
        <v>9407</v>
      </c>
      <c r="C3137" t="s">
        <v>9408</v>
      </c>
    </row>
    <row r="3138" spans="1:3" x14ac:dyDescent="0.35">
      <c r="A3138" t="s">
        <v>9409</v>
      </c>
      <c r="B3138" t="s">
        <v>9410</v>
      </c>
      <c r="C3138" t="s">
        <v>9411</v>
      </c>
    </row>
    <row r="3139" spans="1:3" x14ac:dyDescent="0.35">
      <c r="A3139" t="s">
        <v>9412</v>
      </c>
      <c r="B3139" t="s">
        <v>9413</v>
      </c>
      <c r="C3139" t="s">
        <v>9414</v>
      </c>
    </row>
    <row r="3140" spans="1:3" x14ac:dyDescent="0.35">
      <c r="A3140" t="s">
        <v>9415</v>
      </c>
      <c r="B3140" t="s">
        <v>9416</v>
      </c>
      <c r="C3140" t="s">
        <v>9417</v>
      </c>
    </row>
    <row r="3141" spans="1:3" x14ac:dyDescent="0.35">
      <c r="A3141" t="s">
        <v>9418</v>
      </c>
      <c r="B3141" t="s">
        <v>9419</v>
      </c>
      <c r="C3141" t="s">
        <v>9420</v>
      </c>
    </row>
    <row r="3142" spans="1:3" x14ac:dyDescent="0.35">
      <c r="A3142" t="s">
        <v>9421</v>
      </c>
      <c r="B3142" t="s">
        <v>9422</v>
      </c>
      <c r="C3142" t="s">
        <v>9423</v>
      </c>
    </row>
    <row r="3143" spans="1:3" x14ac:dyDescent="0.35">
      <c r="A3143" t="s">
        <v>9424</v>
      </c>
      <c r="B3143" t="s">
        <v>9425</v>
      </c>
      <c r="C3143" t="s">
        <v>9426</v>
      </c>
    </row>
    <row r="3144" spans="1:3" x14ac:dyDescent="0.35">
      <c r="A3144" t="s">
        <v>9427</v>
      </c>
      <c r="B3144" t="s">
        <v>9428</v>
      </c>
      <c r="C3144" t="s">
        <v>9429</v>
      </c>
    </row>
    <row r="3145" spans="1:3" x14ac:dyDescent="0.35">
      <c r="A3145" t="s">
        <v>9430</v>
      </c>
      <c r="B3145" t="s">
        <v>9431</v>
      </c>
      <c r="C3145" t="s">
        <v>9432</v>
      </c>
    </row>
    <row r="3146" spans="1:3" x14ac:dyDescent="0.35">
      <c r="A3146" t="s">
        <v>9433</v>
      </c>
      <c r="B3146" t="s">
        <v>9434</v>
      </c>
      <c r="C3146" t="s">
        <v>9435</v>
      </c>
    </row>
    <row r="3147" spans="1:3" x14ac:dyDescent="0.35">
      <c r="A3147" t="s">
        <v>9436</v>
      </c>
      <c r="B3147" t="s">
        <v>9437</v>
      </c>
      <c r="C3147" t="s">
        <v>9438</v>
      </c>
    </row>
    <row r="3148" spans="1:3" x14ac:dyDescent="0.35">
      <c r="A3148" t="s">
        <v>9439</v>
      </c>
      <c r="B3148" t="s">
        <v>9440</v>
      </c>
      <c r="C3148" t="s">
        <v>9441</v>
      </c>
    </row>
    <row r="3149" spans="1:3" x14ac:dyDescent="0.35">
      <c r="A3149" t="s">
        <v>9442</v>
      </c>
      <c r="B3149" t="s">
        <v>9443</v>
      </c>
      <c r="C3149" t="s">
        <v>9444</v>
      </c>
    </row>
    <row r="3150" spans="1:3" x14ac:dyDescent="0.35">
      <c r="A3150" t="s">
        <v>9445</v>
      </c>
      <c r="B3150" t="s">
        <v>9446</v>
      </c>
      <c r="C3150" t="s">
        <v>9447</v>
      </c>
    </row>
    <row r="3151" spans="1:3" x14ac:dyDescent="0.35">
      <c r="A3151" t="s">
        <v>9448</v>
      </c>
      <c r="B3151" t="s">
        <v>9449</v>
      </c>
      <c r="C3151" t="s">
        <v>9450</v>
      </c>
    </row>
    <row r="3152" spans="1:3" x14ac:dyDescent="0.35">
      <c r="A3152" t="s">
        <v>9451</v>
      </c>
      <c r="B3152" t="s">
        <v>9452</v>
      </c>
      <c r="C3152" t="s">
        <v>9453</v>
      </c>
    </row>
    <row r="3153" spans="1:3" x14ac:dyDescent="0.35">
      <c r="A3153" t="s">
        <v>9454</v>
      </c>
      <c r="B3153" t="s">
        <v>9455</v>
      </c>
      <c r="C3153" t="s">
        <v>9456</v>
      </c>
    </row>
    <row r="3154" spans="1:3" x14ac:dyDescent="0.35">
      <c r="A3154" t="s">
        <v>9457</v>
      </c>
      <c r="B3154" t="s">
        <v>9458</v>
      </c>
      <c r="C3154" t="s">
        <v>9459</v>
      </c>
    </row>
    <row r="3155" spans="1:3" x14ac:dyDescent="0.35">
      <c r="A3155" t="s">
        <v>9460</v>
      </c>
      <c r="B3155" t="s">
        <v>9461</v>
      </c>
      <c r="C3155" t="s">
        <v>9462</v>
      </c>
    </row>
    <row r="3156" spans="1:3" x14ac:dyDescent="0.35">
      <c r="A3156" t="s">
        <v>9463</v>
      </c>
      <c r="B3156" t="s">
        <v>9464</v>
      </c>
      <c r="C3156" t="s">
        <v>9465</v>
      </c>
    </row>
    <row r="3157" spans="1:3" x14ac:dyDescent="0.35">
      <c r="A3157" t="s">
        <v>9466</v>
      </c>
      <c r="B3157" t="s">
        <v>9467</v>
      </c>
      <c r="C3157" t="s">
        <v>9468</v>
      </c>
    </row>
    <row r="3158" spans="1:3" x14ac:dyDescent="0.35">
      <c r="A3158" t="s">
        <v>9469</v>
      </c>
      <c r="B3158" t="s">
        <v>9470</v>
      </c>
      <c r="C3158" t="s">
        <v>9471</v>
      </c>
    </row>
    <row r="3159" spans="1:3" x14ac:dyDescent="0.35">
      <c r="A3159" t="s">
        <v>9472</v>
      </c>
      <c r="B3159" t="s">
        <v>9473</v>
      </c>
      <c r="C3159" t="s">
        <v>9474</v>
      </c>
    </row>
    <row r="3160" spans="1:3" x14ac:dyDescent="0.35">
      <c r="A3160" t="s">
        <v>9475</v>
      </c>
      <c r="B3160" t="s">
        <v>9476</v>
      </c>
      <c r="C3160" t="s">
        <v>9477</v>
      </c>
    </row>
    <row r="3161" spans="1:3" x14ac:dyDescent="0.35">
      <c r="A3161" t="s">
        <v>9478</v>
      </c>
      <c r="B3161" t="s">
        <v>9479</v>
      </c>
      <c r="C3161" t="s">
        <v>9480</v>
      </c>
    </row>
    <row r="3162" spans="1:3" x14ac:dyDescent="0.35">
      <c r="A3162" t="s">
        <v>9481</v>
      </c>
      <c r="B3162" t="s">
        <v>9482</v>
      </c>
      <c r="C3162" t="s">
        <v>9483</v>
      </c>
    </row>
    <row r="3163" spans="1:3" x14ac:dyDescent="0.35">
      <c r="A3163" t="s">
        <v>9484</v>
      </c>
      <c r="B3163" t="s">
        <v>9485</v>
      </c>
      <c r="C3163" t="s">
        <v>9486</v>
      </c>
    </row>
    <row r="3164" spans="1:3" x14ac:dyDescent="0.35">
      <c r="A3164" t="s">
        <v>9487</v>
      </c>
      <c r="B3164" t="s">
        <v>9488</v>
      </c>
      <c r="C3164" t="s">
        <v>9489</v>
      </c>
    </row>
    <row r="3165" spans="1:3" x14ac:dyDescent="0.35">
      <c r="A3165" t="s">
        <v>9490</v>
      </c>
      <c r="B3165" t="s">
        <v>9491</v>
      </c>
      <c r="C3165" t="s">
        <v>9492</v>
      </c>
    </row>
    <row r="3166" spans="1:3" x14ac:dyDescent="0.35">
      <c r="A3166" t="s">
        <v>9493</v>
      </c>
      <c r="B3166" t="s">
        <v>9494</v>
      </c>
      <c r="C3166" t="s">
        <v>9495</v>
      </c>
    </row>
    <row r="3167" spans="1:3" x14ac:dyDescent="0.35">
      <c r="A3167" t="s">
        <v>9496</v>
      </c>
      <c r="B3167" t="s">
        <v>9497</v>
      </c>
      <c r="C3167" t="s">
        <v>9498</v>
      </c>
    </row>
    <row r="3168" spans="1:3" x14ac:dyDescent="0.35">
      <c r="A3168" t="s">
        <v>9499</v>
      </c>
      <c r="B3168" t="s">
        <v>9500</v>
      </c>
      <c r="C3168" t="s">
        <v>9501</v>
      </c>
    </row>
    <row r="3169" spans="1:3" x14ac:dyDescent="0.35">
      <c r="A3169" t="s">
        <v>9502</v>
      </c>
      <c r="B3169" t="s">
        <v>9503</v>
      </c>
      <c r="C3169" t="s">
        <v>9504</v>
      </c>
    </row>
    <row r="3170" spans="1:3" x14ac:dyDescent="0.35">
      <c r="A3170" t="s">
        <v>9505</v>
      </c>
      <c r="B3170" t="s">
        <v>9506</v>
      </c>
      <c r="C3170" t="s">
        <v>9507</v>
      </c>
    </row>
    <row r="3171" spans="1:3" x14ac:dyDescent="0.35">
      <c r="A3171" t="s">
        <v>9508</v>
      </c>
      <c r="B3171" t="s">
        <v>9509</v>
      </c>
      <c r="C3171" t="s">
        <v>9510</v>
      </c>
    </row>
    <row r="3172" spans="1:3" x14ac:dyDescent="0.35">
      <c r="A3172" t="s">
        <v>9511</v>
      </c>
      <c r="B3172" t="s">
        <v>9512</v>
      </c>
      <c r="C3172" t="s">
        <v>9513</v>
      </c>
    </row>
    <row r="3173" spans="1:3" x14ac:dyDescent="0.35">
      <c r="A3173" t="s">
        <v>9514</v>
      </c>
      <c r="B3173" t="s">
        <v>9515</v>
      </c>
      <c r="C3173" t="s">
        <v>9516</v>
      </c>
    </row>
    <row r="3174" spans="1:3" x14ac:dyDescent="0.35">
      <c r="A3174" t="s">
        <v>9517</v>
      </c>
      <c r="B3174" t="s">
        <v>9518</v>
      </c>
      <c r="C3174" t="s">
        <v>9519</v>
      </c>
    </row>
    <row r="3175" spans="1:3" x14ac:dyDescent="0.35">
      <c r="A3175" t="s">
        <v>9520</v>
      </c>
      <c r="B3175" t="s">
        <v>9521</v>
      </c>
      <c r="C3175" t="s">
        <v>9522</v>
      </c>
    </row>
    <row r="3176" spans="1:3" x14ac:dyDescent="0.35">
      <c r="A3176" t="s">
        <v>9523</v>
      </c>
      <c r="B3176" t="s">
        <v>9524</v>
      </c>
      <c r="C3176" t="s">
        <v>9525</v>
      </c>
    </row>
    <row r="3177" spans="1:3" x14ac:dyDescent="0.35">
      <c r="A3177" t="s">
        <v>9523</v>
      </c>
      <c r="B3177" t="s">
        <v>9526</v>
      </c>
      <c r="C3177" t="s">
        <v>9525</v>
      </c>
    </row>
    <row r="3178" spans="1:3" x14ac:dyDescent="0.35">
      <c r="A3178" t="s">
        <v>9527</v>
      </c>
      <c r="B3178" t="s">
        <v>9528</v>
      </c>
      <c r="C3178" t="s">
        <v>9529</v>
      </c>
    </row>
    <row r="3179" spans="1:3" x14ac:dyDescent="0.35">
      <c r="A3179" t="s">
        <v>9530</v>
      </c>
      <c r="B3179" t="s">
        <v>9531</v>
      </c>
      <c r="C3179" t="s">
        <v>9532</v>
      </c>
    </row>
    <row r="3180" spans="1:3" x14ac:dyDescent="0.35">
      <c r="A3180" t="s">
        <v>9533</v>
      </c>
      <c r="B3180" t="s">
        <v>9534</v>
      </c>
      <c r="C3180" t="s">
        <v>9535</v>
      </c>
    </row>
    <row r="3181" spans="1:3" x14ac:dyDescent="0.35">
      <c r="A3181" t="s">
        <v>9533</v>
      </c>
      <c r="B3181" t="s">
        <v>9536</v>
      </c>
      <c r="C3181" t="s">
        <v>9535</v>
      </c>
    </row>
    <row r="3182" spans="1:3" x14ac:dyDescent="0.35">
      <c r="A3182" t="s">
        <v>9537</v>
      </c>
      <c r="B3182" t="s">
        <v>9538</v>
      </c>
      <c r="C3182" t="s">
        <v>9539</v>
      </c>
    </row>
    <row r="3183" spans="1:3" x14ac:dyDescent="0.35">
      <c r="A3183" t="s">
        <v>9540</v>
      </c>
      <c r="B3183" t="s">
        <v>9541</v>
      </c>
      <c r="C3183" t="s">
        <v>9542</v>
      </c>
    </row>
    <row r="3184" spans="1:3" x14ac:dyDescent="0.35">
      <c r="A3184" t="s">
        <v>9543</v>
      </c>
      <c r="B3184" t="s">
        <v>9544</v>
      </c>
      <c r="C3184" t="s">
        <v>9545</v>
      </c>
    </row>
    <row r="3185" spans="1:3" x14ac:dyDescent="0.35">
      <c r="A3185" t="s">
        <v>9546</v>
      </c>
      <c r="B3185" t="s">
        <v>9547</v>
      </c>
      <c r="C3185" t="s">
        <v>9548</v>
      </c>
    </row>
    <row r="3186" spans="1:3" x14ac:dyDescent="0.35">
      <c r="A3186" t="s">
        <v>9549</v>
      </c>
      <c r="B3186" t="s">
        <v>9550</v>
      </c>
      <c r="C3186" t="s">
        <v>9551</v>
      </c>
    </row>
    <row r="3187" spans="1:3" x14ac:dyDescent="0.35">
      <c r="A3187" t="s">
        <v>9552</v>
      </c>
      <c r="B3187" t="s">
        <v>9553</v>
      </c>
      <c r="C3187" t="s">
        <v>9554</v>
      </c>
    </row>
    <row r="3188" spans="1:3" x14ac:dyDescent="0.35">
      <c r="A3188" t="s">
        <v>9555</v>
      </c>
      <c r="B3188" t="s">
        <v>9556</v>
      </c>
      <c r="C3188" t="s">
        <v>9557</v>
      </c>
    </row>
    <row r="3189" spans="1:3" x14ac:dyDescent="0.35">
      <c r="A3189" t="s">
        <v>9558</v>
      </c>
      <c r="B3189" t="s">
        <v>9559</v>
      </c>
      <c r="C3189" t="s">
        <v>9560</v>
      </c>
    </row>
    <row r="3190" spans="1:3" x14ac:dyDescent="0.35">
      <c r="A3190" t="s">
        <v>9561</v>
      </c>
      <c r="B3190" t="s">
        <v>9562</v>
      </c>
      <c r="C3190" t="s">
        <v>9563</v>
      </c>
    </row>
    <row r="3191" spans="1:3" x14ac:dyDescent="0.35">
      <c r="A3191" t="s">
        <v>9564</v>
      </c>
      <c r="B3191" t="s">
        <v>9565</v>
      </c>
      <c r="C3191" t="s">
        <v>9566</v>
      </c>
    </row>
    <row r="3192" spans="1:3" x14ac:dyDescent="0.35">
      <c r="A3192" t="s">
        <v>9567</v>
      </c>
      <c r="B3192" t="s">
        <v>9568</v>
      </c>
      <c r="C3192" t="s">
        <v>9569</v>
      </c>
    </row>
    <row r="3193" spans="1:3" x14ac:dyDescent="0.35">
      <c r="A3193" t="s">
        <v>9570</v>
      </c>
      <c r="B3193" t="s">
        <v>9571</v>
      </c>
      <c r="C3193" t="s">
        <v>9572</v>
      </c>
    </row>
    <row r="3194" spans="1:3" x14ac:dyDescent="0.35">
      <c r="A3194" t="s">
        <v>9573</v>
      </c>
      <c r="B3194" t="s">
        <v>9574</v>
      </c>
      <c r="C3194" t="s">
        <v>9575</v>
      </c>
    </row>
    <row r="3195" spans="1:3" x14ac:dyDescent="0.35">
      <c r="A3195" t="s">
        <v>9576</v>
      </c>
      <c r="B3195" t="s">
        <v>9577</v>
      </c>
      <c r="C3195" t="s">
        <v>9578</v>
      </c>
    </row>
    <row r="3196" spans="1:3" x14ac:dyDescent="0.35">
      <c r="A3196" t="s">
        <v>9579</v>
      </c>
      <c r="B3196" t="s">
        <v>9580</v>
      </c>
      <c r="C3196" t="s">
        <v>9581</v>
      </c>
    </row>
    <row r="3197" spans="1:3" x14ac:dyDescent="0.35">
      <c r="A3197" t="s">
        <v>9582</v>
      </c>
      <c r="B3197" t="s">
        <v>9583</v>
      </c>
      <c r="C3197" t="s">
        <v>9584</v>
      </c>
    </row>
    <row r="3198" spans="1:3" x14ac:dyDescent="0.35">
      <c r="A3198" t="s">
        <v>9585</v>
      </c>
      <c r="B3198" t="s">
        <v>9586</v>
      </c>
      <c r="C3198" t="s">
        <v>9587</v>
      </c>
    </row>
    <row r="3199" spans="1:3" x14ac:dyDescent="0.35">
      <c r="A3199" t="s">
        <v>9588</v>
      </c>
      <c r="B3199" t="s">
        <v>9589</v>
      </c>
      <c r="C3199" t="s">
        <v>9590</v>
      </c>
    </row>
    <row r="3200" spans="1:3" x14ac:dyDescent="0.35">
      <c r="A3200" t="s">
        <v>9591</v>
      </c>
      <c r="B3200" t="s">
        <v>9591</v>
      </c>
      <c r="C3200" t="s">
        <v>9592</v>
      </c>
    </row>
    <row r="3201" spans="1:3" x14ac:dyDescent="0.35">
      <c r="A3201" t="s">
        <v>9593</v>
      </c>
      <c r="B3201" t="s">
        <v>9594</v>
      </c>
      <c r="C3201" t="s">
        <v>9595</v>
      </c>
    </row>
    <row r="3202" spans="1:3" x14ac:dyDescent="0.35">
      <c r="A3202" t="s">
        <v>9596</v>
      </c>
      <c r="B3202" t="s">
        <v>9597</v>
      </c>
      <c r="C3202" t="s">
        <v>9598</v>
      </c>
    </row>
    <row r="3203" spans="1:3" x14ac:dyDescent="0.35">
      <c r="A3203" t="s">
        <v>9599</v>
      </c>
      <c r="B3203" t="s">
        <v>9600</v>
      </c>
      <c r="C3203" t="s">
        <v>9601</v>
      </c>
    </row>
    <row r="3204" spans="1:3" x14ac:dyDescent="0.35">
      <c r="A3204" t="s">
        <v>9602</v>
      </c>
      <c r="B3204" t="s">
        <v>9603</v>
      </c>
      <c r="C3204" t="s">
        <v>9604</v>
      </c>
    </row>
    <row r="3205" spans="1:3" x14ac:dyDescent="0.35">
      <c r="A3205" t="s">
        <v>9605</v>
      </c>
      <c r="B3205" t="s">
        <v>9606</v>
      </c>
      <c r="C3205" t="s">
        <v>9607</v>
      </c>
    </row>
    <row r="3206" spans="1:3" x14ac:dyDescent="0.35">
      <c r="A3206" t="s">
        <v>9608</v>
      </c>
      <c r="B3206" t="s">
        <v>9609</v>
      </c>
      <c r="C3206" t="s">
        <v>9610</v>
      </c>
    </row>
    <row r="3207" spans="1:3" x14ac:dyDescent="0.35">
      <c r="A3207" t="s">
        <v>9611</v>
      </c>
      <c r="B3207" t="s">
        <v>9612</v>
      </c>
      <c r="C3207" t="s">
        <v>9613</v>
      </c>
    </row>
    <row r="3208" spans="1:3" x14ac:dyDescent="0.35">
      <c r="A3208" t="s">
        <v>9614</v>
      </c>
      <c r="B3208" t="s">
        <v>9615</v>
      </c>
      <c r="C3208" t="s">
        <v>9616</v>
      </c>
    </row>
    <row r="3209" spans="1:3" x14ac:dyDescent="0.35">
      <c r="A3209" t="s">
        <v>9617</v>
      </c>
      <c r="B3209" t="s">
        <v>9618</v>
      </c>
      <c r="C3209" t="s">
        <v>9619</v>
      </c>
    </row>
    <row r="3210" spans="1:3" x14ac:dyDescent="0.35">
      <c r="A3210" t="s">
        <v>9620</v>
      </c>
      <c r="B3210" t="s">
        <v>9621</v>
      </c>
      <c r="C3210" t="s">
        <v>9622</v>
      </c>
    </row>
    <row r="3211" spans="1:3" x14ac:dyDescent="0.35">
      <c r="A3211" t="s">
        <v>9623</v>
      </c>
      <c r="B3211" t="s">
        <v>9624</v>
      </c>
      <c r="C3211" t="s">
        <v>9625</v>
      </c>
    </row>
    <row r="3212" spans="1:3" x14ac:dyDescent="0.35">
      <c r="A3212" t="s">
        <v>9626</v>
      </c>
      <c r="B3212" t="s">
        <v>9627</v>
      </c>
      <c r="C3212" t="s">
        <v>9628</v>
      </c>
    </row>
    <row r="3213" spans="1:3" x14ac:dyDescent="0.35">
      <c r="A3213" t="s">
        <v>9629</v>
      </c>
      <c r="B3213" t="s">
        <v>9630</v>
      </c>
      <c r="C3213" t="s">
        <v>9631</v>
      </c>
    </row>
    <row r="3214" spans="1:3" x14ac:dyDescent="0.35">
      <c r="A3214" t="s">
        <v>9632</v>
      </c>
      <c r="B3214" t="s">
        <v>9633</v>
      </c>
      <c r="C3214" t="s">
        <v>9634</v>
      </c>
    </row>
    <row r="3215" spans="1:3" x14ac:dyDescent="0.35">
      <c r="A3215" t="s">
        <v>9635</v>
      </c>
      <c r="B3215" t="s">
        <v>9636</v>
      </c>
      <c r="C3215" t="s">
        <v>9637</v>
      </c>
    </row>
    <row r="3216" spans="1:3" x14ac:dyDescent="0.35">
      <c r="A3216" t="s">
        <v>9638</v>
      </c>
      <c r="B3216" t="s">
        <v>9639</v>
      </c>
      <c r="C3216" t="s">
        <v>9640</v>
      </c>
    </row>
    <row r="3217" spans="1:3" x14ac:dyDescent="0.35">
      <c r="A3217" t="s">
        <v>9641</v>
      </c>
      <c r="B3217" t="s">
        <v>9642</v>
      </c>
      <c r="C3217" t="s">
        <v>9643</v>
      </c>
    </row>
    <row r="3218" spans="1:3" x14ac:dyDescent="0.35">
      <c r="A3218" t="s">
        <v>9644</v>
      </c>
      <c r="B3218" t="s">
        <v>9645</v>
      </c>
      <c r="C3218" t="s">
        <v>9646</v>
      </c>
    </row>
    <row r="3219" spans="1:3" x14ac:dyDescent="0.35">
      <c r="A3219" t="s">
        <v>9647</v>
      </c>
      <c r="B3219" t="s">
        <v>9648</v>
      </c>
      <c r="C3219" t="s">
        <v>9649</v>
      </c>
    </row>
    <row r="3220" spans="1:3" x14ac:dyDescent="0.35">
      <c r="A3220" t="s">
        <v>9650</v>
      </c>
      <c r="B3220" t="s">
        <v>9651</v>
      </c>
      <c r="C3220" t="s">
        <v>9652</v>
      </c>
    </row>
    <row r="3221" spans="1:3" x14ac:dyDescent="0.35">
      <c r="A3221" t="s">
        <v>9653</v>
      </c>
      <c r="B3221" t="s">
        <v>9654</v>
      </c>
      <c r="C3221" t="s">
        <v>9655</v>
      </c>
    </row>
    <row r="3222" spans="1:3" x14ac:dyDescent="0.35">
      <c r="A3222" t="s">
        <v>9656</v>
      </c>
      <c r="B3222" t="s">
        <v>9657</v>
      </c>
      <c r="C3222" t="s">
        <v>9658</v>
      </c>
    </row>
    <row r="3223" spans="1:3" x14ac:dyDescent="0.35">
      <c r="A3223" t="s">
        <v>9659</v>
      </c>
      <c r="B3223" t="s">
        <v>9660</v>
      </c>
      <c r="C3223" t="s">
        <v>9661</v>
      </c>
    </row>
    <row r="3224" spans="1:3" x14ac:dyDescent="0.35">
      <c r="A3224" t="s">
        <v>9662</v>
      </c>
      <c r="B3224" t="s">
        <v>9663</v>
      </c>
      <c r="C3224" t="s">
        <v>9664</v>
      </c>
    </row>
    <row r="3225" spans="1:3" x14ac:dyDescent="0.35">
      <c r="A3225" t="s">
        <v>9665</v>
      </c>
      <c r="B3225" t="s">
        <v>9666</v>
      </c>
      <c r="C3225" t="s">
        <v>9667</v>
      </c>
    </row>
    <row r="3226" spans="1:3" x14ac:dyDescent="0.35">
      <c r="A3226" t="s">
        <v>9668</v>
      </c>
      <c r="B3226" t="s">
        <v>9669</v>
      </c>
      <c r="C3226" t="s">
        <v>9670</v>
      </c>
    </row>
    <row r="3227" spans="1:3" x14ac:dyDescent="0.35">
      <c r="A3227" t="s">
        <v>9671</v>
      </c>
      <c r="B3227" t="s">
        <v>9672</v>
      </c>
      <c r="C3227" t="s">
        <v>9673</v>
      </c>
    </row>
    <row r="3228" spans="1:3" x14ac:dyDescent="0.35">
      <c r="A3228" t="s">
        <v>9674</v>
      </c>
      <c r="B3228" t="s">
        <v>9675</v>
      </c>
      <c r="C3228" t="s">
        <v>9676</v>
      </c>
    </row>
    <row r="3229" spans="1:3" x14ac:dyDescent="0.35">
      <c r="A3229" t="s">
        <v>9677</v>
      </c>
      <c r="B3229" t="s">
        <v>9678</v>
      </c>
      <c r="C3229" t="s">
        <v>9679</v>
      </c>
    </row>
    <row r="3230" spans="1:3" x14ac:dyDescent="0.35">
      <c r="A3230" t="s">
        <v>9680</v>
      </c>
      <c r="B3230" t="s">
        <v>9681</v>
      </c>
      <c r="C3230" t="s">
        <v>9682</v>
      </c>
    </row>
    <row r="3231" spans="1:3" x14ac:dyDescent="0.35">
      <c r="A3231" t="s">
        <v>9683</v>
      </c>
      <c r="B3231" t="s">
        <v>9684</v>
      </c>
      <c r="C3231" t="s">
        <v>9685</v>
      </c>
    </row>
    <row r="3232" spans="1:3" x14ac:dyDescent="0.35">
      <c r="A3232" t="s">
        <v>9686</v>
      </c>
      <c r="B3232" t="s">
        <v>9687</v>
      </c>
      <c r="C3232" t="s">
        <v>9688</v>
      </c>
    </row>
    <row r="3233" spans="1:3" x14ac:dyDescent="0.35">
      <c r="A3233" t="s">
        <v>9689</v>
      </c>
      <c r="B3233" t="s">
        <v>9690</v>
      </c>
      <c r="C3233" t="s">
        <v>9691</v>
      </c>
    </row>
    <row r="3234" spans="1:3" x14ac:dyDescent="0.35">
      <c r="A3234" t="s">
        <v>9692</v>
      </c>
      <c r="B3234" t="s">
        <v>9693</v>
      </c>
      <c r="C3234" t="s">
        <v>9694</v>
      </c>
    </row>
    <row r="3235" spans="1:3" x14ac:dyDescent="0.35">
      <c r="A3235" t="s">
        <v>9695</v>
      </c>
      <c r="B3235" t="s">
        <v>9696</v>
      </c>
      <c r="C3235" t="s">
        <v>9697</v>
      </c>
    </row>
    <row r="3236" spans="1:3" x14ac:dyDescent="0.35">
      <c r="A3236" t="s">
        <v>9698</v>
      </c>
      <c r="B3236" t="s">
        <v>9699</v>
      </c>
      <c r="C3236" t="s">
        <v>9700</v>
      </c>
    </row>
    <row r="3237" spans="1:3" x14ac:dyDescent="0.35">
      <c r="A3237" t="s">
        <v>9701</v>
      </c>
      <c r="B3237" t="s">
        <v>9702</v>
      </c>
      <c r="C3237" t="s">
        <v>9703</v>
      </c>
    </row>
    <row r="3238" spans="1:3" x14ac:dyDescent="0.35">
      <c r="A3238" t="s">
        <v>9704</v>
      </c>
      <c r="B3238" t="s">
        <v>9705</v>
      </c>
      <c r="C3238" t="s">
        <v>9706</v>
      </c>
    </row>
    <row r="3239" spans="1:3" x14ac:dyDescent="0.35">
      <c r="A3239" t="s">
        <v>9707</v>
      </c>
      <c r="B3239" t="s">
        <v>9708</v>
      </c>
      <c r="C3239" t="s">
        <v>9709</v>
      </c>
    </row>
    <row r="3240" spans="1:3" x14ac:dyDescent="0.35">
      <c r="A3240" t="s">
        <v>9710</v>
      </c>
      <c r="B3240" t="s">
        <v>9711</v>
      </c>
      <c r="C3240" t="s">
        <v>9712</v>
      </c>
    </row>
    <row r="3241" spans="1:3" x14ac:dyDescent="0.35">
      <c r="A3241" t="s">
        <v>9713</v>
      </c>
      <c r="B3241" t="s">
        <v>9714</v>
      </c>
      <c r="C3241" t="s">
        <v>9715</v>
      </c>
    </row>
    <row r="3242" spans="1:3" x14ac:dyDescent="0.35">
      <c r="A3242" t="s">
        <v>9716</v>
      </c>
      <c r="B3242" t="s">
        <v>9717</v>
      </c>
      <c r="C3242" t="s">
        <v>9718</v>
      </c>
    </row>
    <row r="3243" spans="1:3" x14ac:dyDescent="0.35">
      <c r="A3243" t="s">
        <v>9719</v>
      </c>
      <c r="B3243" t="s">
        <v>9720</v>
      </c>
      <c r="C3243" t="s">
        <v>9721</v>
      </c>
    </row>
    <row r="3244" spans="1:3" x14ac:dyDescent="0.35">
      <c r="A3244" t="s">
        <v>9722</v>
      </c>
      <c r="B3244" t="s">
        <v>9723</v>
      </c>
      <c r="C3244" t="s">
        <v>9724</v>
      </c>
    </row>
    <row r="3245" spans="1:3" x14ac:dyDescent="0.35">
      <c r="A3245" t="s">
        <v>9725</v>
      </c>
      <c r="B3245" t="s">
        <v>9726</v>
      </c>
      <c r="C3245" t="s">
        <v>9727</v>
      </c>
    </row>
    <row r="3246" spans="1:3" x14ac:dyDescent="0.35">
      <c r="A3246" t="s">
        <v>9728</v>
      </c>
      <c r="B3246" t="s">
        <v>9729</v>
      </c>
      <c r="C3246" t="s">
        <v>9730</v>
      </c>
    </row>
    <row r="3247" spans="1:3" x14ac:dyDescent="0.35">
      <c r="A3247" t="s">
        <v>9731</v>
      </c>
      <c r="B3247" t="s">
        <v>9732</v>
      </c>
      <c r="C3247" t="s">
        <v>9733</v>
      </c>
    </row>
    <row r="3248" spans="1:3" x14ac:dyDescent="0.35">
      <c r="A3248" t="s">
        <v>9734</v>
      </c>
      <c r="B3248" t="s">
        <v>9735</v>
      </c>
      <c r="C3248" t="s">
        <v>9736</v>
      </c>
    </row>
    <row r="3249" spans="1:3" x14ac:dyDescent="0.35">
      <c r="A3249" t="s">
        <v>9737</v>
      </c>
      <c r="B3249" t="s">
        <v>9738</v>
      </c>
      <c r="C3249" t="s">
        <v>9739</v>
      </c>
    </row>
    <row r="3250" spans="1:3" x14ac:dyDescent="0.35">
      <c r="A3250" t="s">
        <v>9740</v>
      </c>
      <c r="B3250" t="s">
        <v>9741</v>
      </c>
      <c r="C3250" t="s">
        <v>9742</v>
      </c>
    </row>
    <row r="3251" spans="1:3" x14ac:dyDescent="0.35">
      <c r="A3251" t="s">
        <v>9743</v>
      </c>
      <c r="B3251" t="s">
        <v>9744</v>
      </c>
      <c r="C3251" t="s">
        <v>9745</v>
      </c>
    </row>
    <row r="3252" spans="1:3" x14ac:dyDescent="0.35">
      <c r="A3252" t="s">
        <v>9746</v>
      </c>
      <c r="B3252" t="s">
        <v>9747</v>
      </c>
      <c r="C3252" t="s">
        <v>9748</v>
      </c>
    </row>
    <row r="3253" spans="1:3" x14ac:dyDescent="0.35">
      <c r="A3253" t="s">
        <v>9749</v>
      </c>
      <c r="B3253" t="s">
        <v>9750</v>
      </c>
      <c r="C3253" t="s">
        <v>9751</v>
      </c>
    </row>
    <row r="3254" spans="1:3" x14ac:dyDescent="0.35">
      <c r="A3254" t="s">
        <v>9752</v>
      </c>
      <c r="B3254" t="s">
        <v>9753</v>
      </c>
      <c r="C3254" t="s">
        <v>9754</v>
      </c>
    </row>
    <row r="3255" spans="1:3" x14ac:dyDescent="0.35">
      <c r="A3255" t="s">
        <v>9755</v>
      </c>
      <c r="B3255" t="s">
        <v>9756</v>
      </c>
      <c r="C3255" t="s">
        <v>9757</v>
      </c>
    </row>
    <row r="3256" spans="1:3" x14ac:dyDescent="0.35">
      <c r="A3256" t="s">
        <v>9758</v>
      </c>
      <c r="B3256" t="s">
        <v>9759</v>
      </c>
      <c r="C3256" t="s">
        <v>9760</v>
      </c>
    </row>
    <row r="3257" spans="1:3" x14ac:dyDescent="0.35">
      <c r="A3257" t="s">
        <v>9761</v>
      </c>
      <c r="B3257" t="s">
        <v>9762</v>
      </c>
      <c r="C3257" t="s">
        <v>9763</v>
      </c>
    </row>
    <row r="3258" spans="1:3" x14ac:dyDescent="0.35">
      <c r="A3258" t="s">
        <v>9764</v>
      </c>
      <c r="B3258" t="s">
        <v>9765</v>
      </c>
      <c r="C3258" t="s">
        <v>9766</v>
      </c>
    </row>
    <row r="3259" spans="1:3" x14ac:dyDescent="0.35">
      <c r="A3259" t="s">
        <v>9767</v>
      </c>
      <c r="B3259" t="s">
        <v>9768</v>
      </c>
      <c r="C3259" t="s">
        <v>9769</v>
      </c>
    </row>
    <row r="3260" spans="1:3" x14ac:dyDescent="0.35">
      <c r="A3260" t="s">
        <v>9770</v>
      </c>
      <c r="B3260" t="s">
        <v>9771</v>
      </c>
      <c r="C3260" t="s">
        <v>9772</v>
      </c>
    </row>
    <row r="3261" spans="1:3" x14ac:dyDescent="0.35">
      <c r="A3261" t="s">
        <v>9773</v>
      </c>
      <c r="B3261" t="s">
        <v>9774</v>
      </c>
      <c r="C3261" t="s">
        <v>9775</v>
      </c>
    </row>
    <row r="3262" spans="1:3" x14ac:dyDescent="0.35">
      <c r="A3262" t="s">
        <v>9776</v>
      </c>
      <c r="B3262" t="s">
        <v>9777</v>
      </c>
      <c r="C3262" t="s">
        <v>9778</v>
      </c>
    </row>
    <row r="3263" spans="1:3" x14ac:dyDescent="0.35">
      <c r="A3263" t="s">
        <v>9779</v>
      </c>
      <c r="B3263" t="s">
        <v>9780</v>
      </c>
      <c r="C3263" t="s">
        <v>9781</v>
      </c>
    </row>
    <row r="3264" spans="1:3" x14ac:dyDescent="0.35">
      <c r="A3264" t="s">
        <v>9782</v>
      </c>
      <c r="B3264" t="s">
        <v>9783</v>
      </c>
      <c r="C3264" t="s">
        <v>9784</v>
      </c>
    </row>
    <row r="3265" spans="1:3" x14ac:dyDescent="0.35">
      <c r="A3265" t="s">
        <v>9782</v>
      </c>
      <c r="B3265" t="s">
        <v>9785</v>
      </c>
      <c r="C3265" t="s">
        <v>9786</v>
      </c>
    </row>
    <row r="3266" spans="1:3" x14ac:dyDescent="0.35">
      <c r="A3266" t="s">
        <v>9787</v>
      </c>
      <c r="B3266" t="s">
        <v>9788</v>
      </c>
      <c r="C3266" t="s">
        <v>9789</v>
      </c>
    </row>
    <row r="3267" spans="1:3" x14ac:dyDescent="0.35">
      <c r="A3267" t="s">
        <v>9790</v>
      </c>
      <c r="B3267" t="s">
        <v>9791</v>
      </c>
      <c r="C3267" t="s">
        <v>9792</v>
      </c>
    </row>
    <row r="3268" spans="1:3" x14ac:dyDescent="0.35">
      <c r="A3268" t="s">
        <v>9793</v>
      </c>
      <c r="B3268" t="s">
        <v>9794</v>
      </c>
      <c r="C3268" t="s">
        <v>9795</v>
      </c>
    </row>
    <row r="3269" spans="1:3" x14ac:dyDescent="0.35">
      <c r="A3269" t="s">
        <v>9796</v>
      </c>
      <c r="B3269" t="s">
        <v>9797</v>
      </c>
      <c r="C3269" t="s">
        <v>9798</v>
      </c>
    </row>
    <row r="3270" spans="1:3" x14ac:dyDescent="0.35">
      <c r="A3270" t="s">
        <v>9799</v>
      </c>
      <c r="B3270" t="s">
        <v>9800</v>
      </c>
      <c r="C3270" t="s">
        <v>9801</v>
      </c>
    </row>
    <row r="3271" spans="1:3" x14ac:dyDescent="0.35">
      <c r="A3271" t="s">
        <v>9802</v>
      </c>
      <c r="B3271" t="s">
        <v>9803</v>
      </c>
      <c r="C3271" t="s">
        <v>9804</v>
      </c>
    </row>
    <row r="3272" spans="1:3" x14ac:dyDescent="0.35">
      <c r="A3272" t="s">
        <v>9802</v>
      </c>
      <c r="B3272" t="s">
        <v>9805</v>
      </c>
      <c r="C3272" t="s">
        <v>9806</v>
      </c>
    </row>
    <row r="3273" spans="1:3" x14ac:dyDescent="0.35">
      <c r="A3273" t="s">
        <v>9807</v>
      </c>
      <c r="B3273" t="s">
        <v>9808</v>
      </c>
      <c r="C3273" t="s">
        <v>9809</v>
      </c>
    </row>
    <row r="3274" spans="1:3" x14ac:dyDescent="0.35">
      <c r="A3274" t="s">
        <v>9810</v>
      </c>
      <c r="B3274" t="s">
        <v>9811</v>
      </c>
      <c r="C3274" t="s">
        <v>9812</v>
      </c>
    </row>
    <row r="3275" spans="1:3" x14ac:dyDescent="0.35">
      <c r="A3275" t="s">
        <v>9813</v>
      </c>
      <c r="B3275" t="s">
        <v>9814</v>
      </c>
      <c r="C3275" t="s">
        <v>9815</v>
      </c>
    </row>
    <row r="3276" spans="1:3" x14ac:dyDescent="0.35">
      <c r="A3276" t="s">
        <v>9816</v>
      </c>
      <c r="B3276" t="s">
        <v>9817</v>
      </c>
      <c r="C3276" t="s">
        <v>9818</v>
      </c>
    </row>
    <row r="3277" spans="1:3" x14ac:dyDescent="0.35">
      <c r="A3277" t="s">
        <v>9819</v>
      </c>
      <c r="B3277" t="s">
        <v>9820</v>
      </c>
      <c r="C3277" t="s">
        <v>9821</v>
      </c>
    </row>
    <row r="3278" spans="1:3" x14ac:dyDescent="0.35">
      <c r="A3278" t="s">
        <v>9822</v>
      </c>
      <c r="B3278" t="s">
        <v>9823</v>
      </c>
      <c r="C3278" t="s">
        <v>9824</v>
      </c>
    </row>
    <row r="3279" spans="1:3" x14ac:dyDescent="0.35">
      <c r="A3279" t="s">
        <v>9825</v>
      </c>
      <c r="B3279" t="s">
        <v>9826</v>
      </c>
      <c r="C3279" t="s">
        <v>9827</v>
      </c>
    </row>
    <row r="3280" spans="1:3" x14ac:dyDescent="0.35">
      <c r="A3280" t="s">
        <v>9828</v>
      </c>
      <c r="B3280" t="s">
        <v>9829</v>
      </c>
      <c r="C3280" t="s">
        <v>9830</v>
      </c>
    </row>
    <row r="3281" spans="1:3" x14ac:dyDescent="0.35">
      <c r="A3281" t="s">
        <v>9831</v>
      </c>
      <c r="B3281" t="s">
        <v>9832</v>
      </c>
      <c r="C3281" t="s">
        <v>9833</v>
      </c>
    </row>
    <row r="3282" spans="1:3" x14ac:dyDescent="0.35">
      <c r="A3282" t="s">
        <v>9834</v>
      </c>
      <c r="B3282" t="s">
        <v>9835</v>
      </c>
      <c r="C3282" t="s">
        <v>9836</v>
      </c>
    </row>
    <row r="3283" spans="1:3" x14ac:dyDescent="0.35">
      <c r="A3283" t="s">
        <v>9837</v>
      </c>
      <c r="B3283" t="s">
        <v>9838</v>
      </c>
      <c r="C3283" t="s">
        <v>9839</v>
      </c>
    </row>
    <row r="3284" spans="1:3" x14ac:dyDescent="0.35">
      <c r="A3284" t="s">
        <v>9840</v>
      </c>
      <c r="B3284" t="s">
        <v>9841</v>
      </c>
      <c r="C3284" t="s">
        <v>9842</v>
      </c>
    </row>
    <row r="3285" spans="1:3" x14ac:dyDescent="0.35">
      <c r="A3285" t="s">
        <v>9843</v>
      </c>
      <c r="B3285" t="s">
        <v>9844</v>
      </c>
      <c r="C3285" t="s">
        <v>9845</v>
      </c>
    </row>
    <row r="3286" spans="1:3" x14ac:dyDescent="0.35">
      <c r="A3286" t="s">
        <v>9846</v>
      </c>
      <c r="B3286" t="s">
        <v>9847</v>
      </c>
      <c r="C3286" t="s">
        <v>9848</v>
      </c>
    </row>
    <row r="3287" spans="1:3" x14ac:dyDescent="0.35">
      <c r="A3287" t="s">
        <v>9849</v>
      </c>
      <c r="B3287" t="s">
        <v>9850</v>
      </c>
      <c r="C3287" t="s">
        <v>9851</v>
      </c>
    </row>
    <row r="3288" spans="1:3" x14ac:dyDescent="0.35">
      <c r="A3288" t="s">
        <v>9852</v>
      </c>
      <c r="B3288" t="s">
        <v>9853</v>
      </c>
      <c r="C3288" t="s">
        <v>9854</v>
      </c>
    </row>
    <row r="3289" spans="1:3" x14ac:dyDescent="0.35">
      <c r="A3289" t="s">
        <v>9855</v>
      </c>
      <c r="B3289" t="s">
        <v>9856</v>
      </c>
      <c r="C3289" t="s">
        <v>9857</v>
      </c>
    </row>
    <row r="3290" spans="1:3" x14ac:dyDescent="0.35">
      <c r="A3290" t="s">
        <v>9858</v>
      </c>
      <c r="B3290" t="s">
        <v>9859</v>
      </c>
      <c r="C3290" t="s">
        <v>9860</v>
      </c>
    </row>
    <row r="3291" spans="1:3" x14ac:dyDescent="0.35">
      <c r="A3291" t="s">
        <v>9861</v>
      </c>
      <c r="B3291" t="s">
        <v>9862</v>
      </c>
      <c r="C3291" t="s">
        <v>9863</v>
      </c>
    </row>
    <row r="3292" spans="1:3" x14ac:dyDescent="0.35">
      <c r="A3292" t="s">
        <v>9864</v>
      </c>
      <c r="B3292" t="s">
        <v>9865</v>
      </c>
      <c r="C3292" t="s">
        <v>9866</v>
      </c>
    </row>
    <row r="3293" spans="1:3" x14ac:dyDescent="0.35">
      <c r="A3293" t="s">
        <v>9867</v>
      </c>
      <c r="B3293" t="s">
        <v>9868</v>
      </c>
      <c r="C3293" t="s">
        <v>9869</v>
      </c>
    </row>
    <row r="3294" spans="1:3" x14ac:dyDescent="0.35">
      <c r="A3294" t="s">
        <v>9870</v>
      </c>
      <c r="B3294" t="s">
        <v>9871</v>
      </c>
      <c r="C3294" t="s">
        <v>9872</v>
      </c>
    </row>
    <row r="3295" spans="1:3" x14ac:dyDescent="0.35">
      <c r="A3295" t="s">
        <v>9873</v>
      </c>
      <c r="B3295" t="s">
        <v>9874</v>
      </c>
      <c r="C3295" t="s">
        <v>9875</v>
      </c>
    </row>
    <row r="3296" spans="1:3" x14ac:dyDescent="0.35">
      <c r="A3296" t="s">
        <v>9876</v>
      </c>
      <c r="B3296" t="s">
        <v>730</v>
      </c>
      <c r="C3296" t="s">
        <v>731</v>
      </c>
    </row>
    <row r="3297" spans="1:3" x14ac:dyDescent="0.35">
      <c r="A3297" t="s">
        <v>9877</v>
      </c>
      <c r="B3297" t="s">
        <v>9878</v>
      </c>
      <c r="C3297" t="s">
        <v>9879</v>
      </c>
    </row>
    <row r="3298" spans="1:3" x14ac:dyDescent="0.35">
      <c r="A3298" t="s">
        <v>9880</v>
      </c>
      <c r="B3298" t="s">
        <v>9881</v>
      </c>
      <c r="C3298" t="s">
        <v>9882</v>
      </c>
    </row>
    <row r="3299" spans="1:3" x14ac:dyDescent="0.35">
      <c r="A3299" t="s">
        <v>9883</v>
      </c>
      <c r="B3299" t="s">
        <v>9884</v>
      </c>
      <c r="C3299" t="s">
        <v>9885</v>
      </c>
    </row>
    <row r="3300" spans="1:3" x14ac:dyDescent="0.35">
      <c r="A3300" t="s">
        <v>9886</v>
      </c>
      <c r="B3300" t="s">
        <v>9887</v>
      </c>
      <c r="C3300" t="s">
        <v>9888</v>
      </c>
    </row>
    <row r="3301" spans="1:3" x14ac:dyDescent="0.35">
      <c r="A3301" t="s">
        <v>9889</v>
      </c>
      <c r="B3301" t="s">
        <v>9890</v>
      </c>
      <c r="C3301" t="s">
        <v>9891</v>
      </c>
    </row>
    <row r="3302" spans="1:3" x14ac:dyDescent="0.35">
      <c r="A3302" t="s">
        <v>9892</v>
      </c>
      <c r="B3302" t="s">
        <v>9893</v>
      </c>
      <c r="C3302" t="s">
        <v>9894</v>
      </c>
    </row>
    <row r="3303" spans="1:3" x14ac:dyDescent="0.35">
      <c r="A3303" t="s">
        <v>9895</v>
      </c>
      <c r="B3303" t="s">
        <v>9896</v>
      </c>
      <c r="C3303" t="s">
        <v>9897</v>
      </c>
    </row>
    <row r="3304" spans="1:3" x14ac:dyDescent="0.35">
      <c r="A3304" t="s">
        <v>9898</v>
      </c>
      <c r="B3304" t="s">
        <v>9899</v>
      </c>
      <c r="C3304" t="s">
        <v>9900</v>
      </c>
    </row>
    <row r="3305" spans="1:3" x14ac:dyDescent="0.35">
      <c r="A3305" t="s">
        <v>9901</v>
      </c>
      <c r="B3305" t="s">
        <v>9902</v>
      </c>
      <c r="C3305" t="s">
        <v>9903</v>
      </c>
    </row>
    <row r="3306" spans="1:3" x14ac:dyDescent="0.35">
      <c r="A3306" t="s">
        <v>9904</v>
      </c>
      <c r="B3306" t="s">
        <v>9905</v>
      </c>
      <c r="C3306" t="s">
        <v>9906</v>
      </c>
    </row>
    <row r="3307" spans="1:3" x14ac:dyDescent="0.35">
      <c r="A3307" t="s">
        <v>9907</v>
      </c>
      <c r="B3307" t="s">
        <v>9908</v>
      </c>
      <c r="C3307" t="s">
        <v>9909</v>
      </c>
    </row>
    <row r="3308" spans="1:3" x14ac:dyDescent="0.35">
      <c r="A3308" t="s">
        <v>9910</v>
      </c>
      <c r="B3308" t="s">
        <v>9911</v>
      </c>
      <c r="C3308" t="s">
        <v>9912</v>
      </c>
    </row>
    <row r="3309" spans="1:3" x14ac:dyDescent="0.35">
      <c r="A3309" t="s">
        <v>9913</v>
      </c>
      <c r="B3309" t="s">
        <v>9914</v>
      </c>
      <c r="C3309" t="s">
        <v>9915</v>
      </c>
    </row>
    <row r="3310" spans="1:3" x14ac:dyDescent="0.35">
      <c r="A3310" t="s">
        <v>9916</v>
      </c>
      <c r="B3310" t="s">
        <v>9917</v>
      </c>
      <c r="C3310" t="s">
        <v>9918</v>
      </c>
    </row>
    <row r="3311" spans="1:3" x14ac:dyDescent="0.35">
      <c r="A3311" t="s">
        <v>9919</v>
      </c>
      <c r="B3311" t="s">
        <v>9920</v>
      </c>
      <c r="C3311" t="s">
        <v>9921</v>
      </c>
    </row>
    <row r="3312" spans="1:3" x14ac:dyDescent="0.35">
      <c r="A3312" t="s">
        <v>9922</v>
      </c>
      <c r="B3312" t="s">
        <v>9923</v>
      </c>
      <c r="C3312" t="s">
        <v>9924</v>
      </c>
    </row>
    <row r="3313" spans="1:3" x14ac:dyDescent="0.35">
      <c r="A3313" t="s">
        <v>9925</v>
      </c>
      <c r="B3313" t="s">
        <v>9926</v>
      </c>
      <c r="C3313" t="s">
        <v>9927</v>
      </c>
    </row>
    <row r="3314" spans="1:3" x14ac:dyDescent="0.35">
      <c r="A3314" t="s">
        <v>9928</v>
      </c>
      <c r="B3314" t="s">
        <v>9929</v>
      </c>
      <c r="C3314" t="s">
        <v>9930</v>
      </c>
    </row>
    <row r="3315" spans="1:3" x14ac:dyDescent="0.35">
      <c r="A3315" t="s">
        <v>9931</v>
      </c>
      <c r="B3315" t="s">
        <v>9932</v>
      </c>
      <c r="C3315" t="s">
        <v>9933</v>
      </c>
    </row>
    <row r="3316" spans="1:3" x14ac:dyDescent="0.35">
      <c r="A3316" t="s">
        <v>9934</v>
      </c>
      <c r="B3316" t="s">
        <v>9935</v>
      </c>
      <c r="C3316" t="s">
        <v>9936</v>
      </c>
    </row>
    <row r="3317" spans="1:3" x14ac:dyDescent="0.35">
      <c r="A3317" t="s">
        <v>9937</v>
      </c>
      <c r="B3317" t="s">
        <v>9938</v>
      </c>
      <c r="C3317" t="s">
        <v>9939</v>
      </c>
    </row>
    <row r="3318" spans="1:3" x14ac:dyDescent="0.35">
      <c r="A3318" t="s">
        <v>9940</v>
      </c>
      <c r="B3318" t="s">
        <v>9941</v>
      </c>
      <c r="C3318" t="s">
        <v>9942</v>
      </c>
    </row>
    <row r="3319" spans="1:3" x14ac:dyDescent="0.35">
      <c r="A3319" t="s">
        <v>9943</v>
      </c>
      <c r="B3319" t="s">
        <v>9944</v>
      </c>
      <c r="C3319" t="s">
        <v>9945</v>
      </c>
    </row>
    <row r="3320" spans="1:3" x14ac:dyDescent="0.35">
      <c r="A3320" t="s">
        <v>9946</v>
      </c>
      <c r="B3320" t="s">
        <v>9947</v>
      </c>
      <c r="C3320" t="s">
        <v>9948</v>
      </c>
    </row>
    <row r="3321" spans="1:3" x14ac:dyDescent="0.35">
      <c r="A3321" t="s">
        <v>9949</v>
      </c>
      <c r="B3321" t="s">
        <v>9950</v>
      </c>
      <c r="C3321" t="s">
        <v>9951</v>
      </c>
    </row>
    <row r="3322" spans="1:3" x14ac:dyDescent="0.35">
      <c r="A3322" t="s">
        <v>9952</v>
      </c>
      <c r="B3322" t="s">
        <v>9953</v>
      </c>
      <c r="C3322" t="s">
        <v>9954</v>
      </c>
    </row>
    <row r="3323" spans="1:3" x14ac:dyDescent="0.35">
      <c r="A3323" t="s">
        <v>9955</v>
      </c>
      <c r="B3323" t="s">
        <v>9956</v>
      </c>
      <c r="C3323" t="s">
        <v>9957</v>
      </c>
    </row>
    <row r="3324" spans="1:3" x14ac:dyDescent="0.35">
      <c r="A3324" t="s">
        <v>9958</v>
      </c>
      <c r="B3324" t="s">
        <v>9959</v>
      </c>
      <c r="C3324" t="s">
        <v>9960</v>
      </c>
    </row>
    <row r="3325" spans="1:3" x14ac:dyDescent="0.35">
      <c r="A3325" t="s">
        <v>9961</v>
      </c>
      <c r="B3325" t="s">
        <v>9962</v>
      </c>
      <c r="C3325" t="s">
        <v>9963</v>
      </c>
    </row>
    <row r="3326" spans="1:3" x14ac:dyDescent="0.35">
      <c r="A3326" t="s">
        <v>9964</v>
      </c>
      <c r="B3326" t="s">
        <v>9965</v>
      </c>
      <c r="C3326" t="s">
        <v>9966</v>
      </c>
    </row>
    <row r="3327" spans="1:3" x14ac:dyDescent="0.35">
      <c r="A3327" t="s">
        <v>9967</v>
      </c>
      <c r="B3327" t="s">
        <v>9968</v>
      </c>
      <c r="C3327" t="s">
        <v>9969</v>
      </c>
    </row>
    <row r="3328" spans="1:3" x14ac:dyDescent="0.35">
      <c r="A3328" t="s">
        <v>9970</v>
      </c>
      <c r="B3328" t="s">
        <v>9971</v>
      </c>
      <c r="C3328" t="s">
        <v>9972</v>
      </c>
    </row>
    <row r="3329" spans="1:3" x14ac:dyDescent="0.35">
      <c r="A3329" t="s">
        <v>9973</v>
      </c>
      <c r="B3329" t="s">
        <v>9974</v>
      </c>
      <c r="C3329" t="s">
        <v>9975</v>
      </c>
    </row>
    <row r="3330" spans="1:3" x14ac:dyDescent="0.35">
      <c r="A3330" t="s">
        <v>9976</v>
      </c>
      <c r="B3330" t="s">
        <v>9977</v>
      </c>
      <c r="C3330" t="s">
        <v>9978</v>
      </c>
    </row>
    <row r="3331" spans="1:3" x14ac:dyDescent="0.35">
      <c r="A3331" t="s">
        <v>9979</v>
      </c>
      <c r="B3331" t="s">
        <v>9980</v>
      </c>
      <c r="C3331" t="s">
        <v>9981</v>
      </c>
    </row>
    <row r="3332" spans="1:3" x14ac:dyDescent="0.35">
      <c r="A3332" t="s">
        <v>9982</v>
      </c>
      <c r="B3332" t="s">
        <v>9983</v>
      </c>
      <c r="C3332" t="s">
        <v>9984</v>
      </c>
    </row>
    <row r="3333" spans="1:3" x14ac:dyDescent="0.35">
      <c r="A3333" t="s">
        <v>9985</v>
      </c>
      <c r="B3333" t="s">
        <v>9986</v>
      </c>
      <c r="C3333" t="s">
        <v>9987</v>
      </c>
    </row>
    <row r="3334" spans="1:3" x14ac:dyDescent="0.35">
      <c r="A3334" t="s">
        <v>9988</v>
      </c>
      <c r="B3334" t="s">
        <v>9989</v>
      </c>
      <c r="C3334" t="s">
        <v>9990</v>
      </c>
    </row>
    <row r="3335" spans="1:3" x14ac:dyDescent="0.35">
      <c r="A3335" t="s">
        <v>9991</v>
      </c>
      <c r="B3335" t="s">
        <v>9992</v>
      </c>
      <c r="C3335" t="s">
        <v>9993</v>
      </c>
    </row>
    <row r="3336" spans="1:3" x14ac:dyDescent="0.35">
      <c r="A3336" t="s">
        <v>9994</v>
      </c>
      <c r="B3336" t="s">
        <v>9995</v>
      </c>
      <c r="C3336" t="s">
        <v>9996</v>
      </c>
    </row>
    <row r="3337" spans="1:3" x14ac:dyDescent="0.35">
      <c r="A3337" t="s">
        <v>9997</v>
      </c>
      <c r="B3337" t="s">
        <v>9998</v>
      </c>
      <c r="C3337" t="s">
        <v>9999</v>
      </c>
    </row>
    <row r="3338" spans="1:3" x14ac:dyDescent="0.35">
      <c r="A3338" t="s">
        <v>10000</v>
      </c>
      <c r="B3338" t="s">
        <v>10001</v>
      </c>
      <c r="C3338" t="s">
        <v>10002</v>
      </c>
    </row>
    <row r="3339" spans="1:3" x14ac:dyDescent="0.35">
      <c r="A3339" t="s">
        <v>10003</v>
      </c>
      <c r="B3339" t="s">
        <v>10004</v>
      </c>
      <c r="C3339" t="s">
        <v>10005</v>
      </c>
    </row>
    <row r="3340" spans="1:3" x14ac:dyDescent="0.35">
      <c r="A3340" t="s">
        <v>10006</v>
      </c>
      <c r="B3340" t="s">
        <v>10007</v>
      </c>
      <c r="C3340" t="s">
        <v>10008</v>
      </c>
    </row>
    <row r="3341" spans="1:3" x14ac:dyDescent="0.35">
      <c r="A3341" t="s">
        <v>10009</v>
      </c>
      <c r="B3341" t="s">
        <v>10010</v>
      </c>
      <c r="C3341" t="s">
        <v>10011</v>
      </c>
    </row>
    <row r="3342" spans="1:3" x14ac:dyDescent="0.35">
      <c r="A3342" t="s">
        <v>10012</v>
      </c>
      <c r="B3342" t="s">
        <v>10013</v>
      </c>
      <c r="C3342" t="s">
        <v>10014</v>
      </c>
    </row>
    <row r="3343" spans="1:3" x14ac:dyDescent="0.35">
      <c r="A3343" t="s">
        <v>10015</v>
      </c>
      <c r="B3343" t="s">
        <v>10016</v>
      </c>
      <c r="C3343" t="s">
        <v>10017</v>
      </c>
    </row>
    <row r="3344" spans="1:3" x14ac:dyDescent="0.35">
      <c r="A3344" t="s">
        <v>10018</v>
      </c>
      <c r="B3344" t="s">
        <v>10019</v>
      </c>
      <c r="C3344" t="s">
        <v>10020</v>
      </c>
    </row>
    <row r="3345" spans="1:3" x14ac:dyDescent="0.35">
      <c r="A3345" t="s">
        <v>10021</v>
      </c>
      <c r="B3345" t="s">
        <v>10022</v>
      </c>
      <c r="C3345" t="s">
        <v>10023</v>
      </c>
    </row>
    <row r="3346" spans="1:3" x14ac:dyDescent="0.35">
      <c r="A3346" t="s">
        <v>10024</v>
      </c>
      <c r="B3346" t="s">
        <v>10025</v>
      </c>
      <c r="C3346" t="s">
        <v>10026</v>
      </c>
    </row>
    <row r="3347" spans="1:3" x14ac:dyDescent="0.35">
      <c r="A3347" t="s">
        <v>10027</v>
      </c>
      <c r="B3347" t="s">
        <v>10028</v>
      </c>
      <c r="C3347" t="s">
        <v>10029</v>
      </c>
    </row>
    <row r="3348" spans="1:3" x14ac:dyDescent="0.35">
      <c r="A3348" t="s">
        <v>10030</v>
      </c>
      <c r="B3348" t="s">
        <v>10031</v>
      </c>
      <c r="C3348" t="s">
        <v>10032</v>
      </c>
    </row>
    <row r="3349" spans="1:3" x14ac:dyDescent="0.35">
      <c r="A3349" t="s">
        <v>10033</v>
      </c>
      <c r="B3349" t="s">
        <v>10034</v>
      </c>
      <c r="C3349" t="s">
        <v>10035</v>
      </c>
    </row>
    <row r="3350" spans="1:3" x14ac:dyDescent="0.35">
      <c r="A3350" t="s">
        <v>10036</v>
      </c>
      <c r="B3350" t="s">
        <v>10037</v>
      </c>
      <c r="C3350" t="s">
        <v>10038</v>
      </c>
    </row>
    <row r="3351" spans="1:3" x14ac:dyDescent="0.35">
      <c r="A3351" t="s">
        <v>10039</v>
      </c>
      <c r="B3351" t="s">
        <v>10040</v>
      </c>
      <c r="C3351" t="s">
        <v>10041</v>
      </c>
    </row>
    <row r="3352" spans="1:3" x14ac:dyDescent="0.35">
      <c r="A3352" t="s">
        <v>10042</v>
      </c>
      <c r="B3352" t="s">
        <v>10043</v>
      </c>
      <c r="C3352" t="s">
        <v>10044</v>
      </c>
    </row>
    <row r="3353" spans="1:3" x14ac:dyDescent="0.35">
      <c r="A3353" t="s">
        <v>10045</v>
      </c>
      <c r="B3353" t="s">
        <v>10046</v>
      </c>
      <c r="C3353" t="s">
        <v>10047</v>
      </c>
    </row>
    <row r="3354" spans="1:3" x14ac:dyDescent="0.35">
      <c r="A3354" t="s">
        <v>10048</v>
      </c>
      <c r="B3354" t="s">
        <v>10049</v>
      </c>
      <c r="C3354" t="s">
        <v>10050</v>
      </c>
    </row>
    <row r="3355" spans="1:3" x14ac:dyDescent="0.35">
      <c r="A3355" t="s">
        <v>10051</v>
      </c>
      <c r="B3355" t="s">
        <v>10052</v>
      </c>
      <c r="C3355" t="s">
        <v>10053</v>
      </c>
    </row>
    <row r="3356" spans="1:3" x14ac:dyDescent="0.35">
      <c r="A3356" t="s">
        <v>10054</v>
      </c>
      <c r="B3356" t="s">
        <v>10055</v>
      </c>
      <c r="C3356" t="s">
        <v>10056</v>
      </c>
    </row>
    <row r="3357" spans="1:3" x14ac:dyDescent="0.35">
      <c r="A3357" t="s">
        <v>10057</v>
      </c>
      <c r="B3357" t="s">
        <v>10058</v>
      </c>
      <c r="C3357" t="s">
        <v>10059</v>
      </c>
    </row>
    <row r="3358" spans="1:3" x14ac:dyDescent="0.35">
      <c r="A3358" t="s">
        <v>10060</v>
      </c>
      <c r="B3358" t="s">
        <v>10061</v>
      </c>
      <c r="C3358" t="s">
        <v>10062</v>
      </c>
    </row>
    <row r="3359" spans="1:3" x14ac:dyDescent="0.35">
      <c r="A3359" t="s">
        <v>10063</v>
      </c>
      <c r="B3359" t="s">
        <v>10064</v>
      </c>
      <c r="C3359" t="s">
        <v>10065</v>
      </c>
    </row>
    <row r="3360" spans="1:3" x14ac:dyDescent="0.35">
      <c r="A3360" t="s">
        <v>10066</v>
      </c>
      <c r="B3360" t="s">
        <v>10067</v>
      </c>
      <c r="C3360" t="s">
        <v>10068</v>
      </c>
    </row>
    <row r="3361" spans="1:3" x14ac:dyDescent="0.35">
      <c r="A3361" t="s">
        <v>10069</v>
      </c>
      <c r="B3361" t="s">
        <v>10070</v>
      </c>
      <c r="C3361" t="s">
        <v>10071</v>
      </c>
    </row>
    <row r="3362" spans="1:3" x14ac:dyDescent="0.35">
      <c r="A3362" t="s">
        <v>10072</v>
      </c>
      <c r="B3362" t="s">
        <v>10073</v>
      </c>
      <c r="C3362" t="s">
        <v>10074</v>
      </c>
    </row>
    <row r="3363" spans="1:3" x14ac:dyDescent="0.35">
      <c r="A3363" t="s">
        <v>10075</v>
      </c>
      <c r="B3363" t="s">
        <v>10076</v>
      </c>
      <c r="C3363" t="s">
        <v>10077</v>
      </c>
    </row>
    <row r="3364" spans="1:3" x14ac:dyDescent="0.35">
      <c r="A3364" t="s">
        <v>10078</v>
      </c>
      <c r="B3364" t="s">
        <v>10079</v>
      </c>
      <c r="C3364" t="s">
        <v>10080</v>
      </c>
    </row>
    <row r="3365" spans="1:3" x14ac:dyDescent="0.35">
      <c r="A3365" t="s">
        <v>10081</v>
      </c>
      <c r="B3365" t="s">
        <v>10082</v>
      </c>
      <c r="C3365" t="s">
        <v>10083</v>
      </c>
    </row>
    <row r="3366" spans="1:3" x14ac:dyDescent="0.35">
      <c r="A3366" t="s">
        <v>10084</v>
      </c>
      <c r="B3366" t="s">
        <v>10085</v>
      </c>
      <c r="C3366" t="s">
        <v>10086</v>
      </c>
    </row>
    <row r="3367" spans="1:3" x14ac:dyDescent="0.35">
      <c r="A3367" t="s">
        <v>10087</v>
      </c>
      <c r="B3367" t="s">
        <v>10088</v>
      </c>
      <c r="C3367" t="s">
        <v>10089</v>
      </c>
    </row>
    <row r="3368" spans="1:3" x14ac:dyDescent="0.35">
      <c r="A3368" t="s">
        <v>10090</v>
      </c>
      <c r="B3368" t="s">
        <v>10091</v>
      </c>
      <c r="C3368" t="s">
        <v>10092</v>
      </c>
    </row>
    <row r="3369" spans="1:3" x14ac:dyDescent="0.35">
      <c r="A3369" t="s">
        <v>10093</v>
      </c>
      <c r="B3369" t="s">
        <v>10094</v>
      </c>
      <c r="C3369" t="s">
        <v>10095</v>
      </c>
    </row>
    <row r="3370" spans="1:3" x14ac:dyDescent="0.35">
      <c r="A3370" t="s">
        <v>10096</v>
      </c>
      <c r="B3370" t="s">
        <v>10097</v>
      </c>
      <c r="C3370" t="s">
        <v>10098</v>
      </c>
    </row>
    <row r="3371" spans="1:3" x14ac:dyDescent="0.35">
      <c r="A3371" t="s">
        <v>10099</v>
      </c>
      <c r="B3371" t="s">
        <v>10100</v>
      </c>
      <c r="C3371" t="s">
        <v>10101</v>
      </c>
    </row>
    <row r="3372" spans="1:3" x14ac:dyDescent="0.35">
      <c r="A3372" t="s">
        <v>10102</v>
      </c>
      <c r="B3372" t="s">
        <v>10103</v>
      </c>
      <c r="C3372" t="s">
        <v>10104</v>
      </c>
    </row>
    <row r="3373" spans="1:3" x14ac:dyDescent="0.35">
      <c r="A3373" t="s">
        <v>10105</v>
      </c>
      <c r="B3373" t="s">
        <v>10106</v>
      </c>
      <c r="C3373" t="s">
        <v>10107</v>
      </c>
    </row>
    <row r="3374" spans="1:3" x14ac:dyDescent="0.35">
      <c r="A3374" t="s">
        <v>10108</v>
      </c>
      <c r="B3374" t="s">
        <v>10109</v>
      </c>
      <c r="C3374" t="s">
        <v>10110</v>
      </c>
    </row>
    <row r="3375" spans="1:3" x14ac:dyDescent="0.35">
      <c r="A3375" t="s">
        <v>10111</v>
      </c>
      <c r="B3375" t="s">
        <v>10112</v>
      </c>
      <c r="C3375" t="s">
        <v>10113</v>
      </c>
    </row>
    <row r="3376" spans="1:3" x14ac:dyDescent="0.35">
      <c r="A3376" t="s">
        <v>10114</v>
      </c>
      <c r="B3376" t="s">
        <v>10115</v>
      </c>
      <c r="C3376" t="s">
        <v>10116</v>
      </c>
    </row>
    <row r="3377" spans="1:3" x14ac:dyDescent="0.35">
      <c r="A3377" t="s">
        <v>10117</v>
      </c>
      <c r="B3377" t="s">
        <v>10118</v>
      </c>
      <c r="C3377" t="s">
        <v>10119</v>
      </c>
    </row>
    <row r="3378" spans="1:3" x14ac:dyDescent="0.35">
      <c r="A3378" t="s">
        <v>10120</v>
      </c>
      <c r="B3378" t="s">
        <v>10121</v>
      </c>
      <c r="C3378" t="s">
        <v>10122</v>
      </c>
    </row>
    <row r="3379" spans="1:3" x14ac:dyDescent="0.35">
      <c r="A3379" t="s">
        <v>10123</v>
      </c>
      <c r="B3379" t="s">
        <v>10124</v>
      </c>
      <c r="C3379" t="s">
        <v>10125</v>
      </c>
    </row>
    <row r="3380" spans="1:3" x14ac:dyDescent="0.35">
      <c r="A3380" t="s">
        <v>10126</v>
      </c>
      <c r="B3380" t="s">
        <v>10127</v>
      </c>
      <c r="C3380" t="s">
        <v>8753</v>
      </c>
    </row>
    <row r="3381" spans="1:3" x14ac:dyDescent="0.35">
      <c r="A3381" t="s">
        <v>10128</v>
      </c>
      <c r="B3381" t="s">
        <v>10129</v>
      </c>
      <c r="C3381" t="s">
        <v>10130</v>
      </c>
    </row>
    <row r="3382" spans="1:3" x14ac:dyDescent="0.35">
      <c r="A3382" t="s">
        <v>10131</v>
      </c>
      <c r="B3382" t="s">
        <v>10132</v>
      </c>
      <c r="C3382" t="s">
        <v>10133</v>
      </c>
    </row>
    <row r="3383" spans="1:3" x14ac:dyDescent="0.35">
      <c r="A3383" t="s">
        <v>10134</v>
      </c>
      <c r="B3383" t="s">
        <v>10135</v>
      </c>
      <c r="C3383" t="s">
        <v>10136</v>
      </c>
    </row>
    <row r="3384" spans="1:3" x14ac:dyDescent="0.35">
      <c r="A3384" t="s">
        <v>10137</v>
      </c>
      <c r="B3384" t="s">
        <v>10138</v>
      </c>
      <c r="C3384" t="s">
        <v>10139</v>
      </c>
    </row>
    <row r="3385" spans="1:3" x14ac:dyDescent="0.35">
      <c r="A3385" t="s">
        <v>10140</v>
      </c>
      <c r="B3385" t="s">
        <v>10141</v>
      </c>
      <c r="C3385" t="s">
        <v>10142</v>
      </c>
    </row>
    <row r="3386" spans="1:3" x14ac:dyDescent="0.35">
      <c r="A3386" t="s">
        <v>10143</v>
      </c>
      <c r="B3386" t="s">
        <v>10144</v>
      </c>
      <c r="C3386" t="s">
        <v>10145</v>
      </c>
    </row>
    <row r="3387" spans="1:3" x14ac:dyDescent="0.35">
      <c r="A3387" t="s">
        <v>10146</v>
      </c>
      <c r="B3387" t="s">
        <v>10147</v>
      </c>
      <c r="C3387" t="s">
        <v>10148</v>
      </c>
    </row>
    <row r="3388" spans="1:3" x14ac:dyDescent="0.35">
      <c r="A3388" t="s">
        <v>10149</v>
      </c>
      <c r="B3388" t="s">
        <v>10150</v>
      </c>
      <c r="C3388" t="s">
        <v>10151</v>
      </c>
    </row>
    <row r="3389" spans="1:3" x14ac:dyDescent="0.35">
      <c r="A3389" t="s">
        <v>10152</v>
      </c>
      <c r="B3389" t="s">
        <v>10153</v>
      </c>
      <c r="C3389" t="s">
        <v>10154</v>
      </c>
    </row>
    <row r="3390" spans="1:3" x14ac:dyDescent="0.35">
      <c r="A3390" t="s">
        <v>10155</v>
      </c>
      <c r="B3390" t="s">
        <v>10156</v>
      </c>
      <c r="C3390" t="s">
        <v>10157</v>
      </c>
    </row>
    <row r="3391" spans="1:3" x14ac:dyDescent="0.35">
      <c r="A3391" t="s">
        <v>10158</v>
      </c>
      <c r="B3391" t="s">
        <v>10159</v>
      </c>
      <c r="C3391" t="s">
        <v>10160</v>
      </c>
    </row>
    <row r="3392" spans="1:3" x14ac:dyDescent="0.35">
      <c r="A3392" t="s">
        <v>10161</v>
      </c>
      <c r="B3392" t="s">
        <v>10162</v>
      </c>
      <c r="C3392" t="s">
        <v>10163</v>
      </c>
    </row>
    <row r="3393" spans="1:3" x14ac:dyDescent="0.35">
      <c r="A3393" t="s">
        <v>10164</v>
      </c>
      <c r="B3393" t="s">
        <v>10165</v>
      </c>
      <c r="C3393" t="s">
        <v>10166</v>
      </c>
    </row>
    <row r="3394" spans="1:3" x14ac:dyDescent="0.35">
      <c r="A3394" t="s">
        <v>10167</v>
      </c>
      <c r="B3394" t="s">
        <v>10168</v>
      </c>
      <c r="C3394" t="s">
        <v>10169</v>
      </c>
    </row>
    <row r="3395" spans="1:3" x14ac:dyDescent="0.35">
      <c r="A3395" t="s">
        <v>10170</v>
      </c>
      <c r="B3395" t="s">
        <v>10171</v>
      </c>
      <c r="C3395" t="s">
        <v>10172</v>
      </c>
    </row>
    <row r="3396" spans="1:3" x14ac:dyDescent="0.35">
      <c r="A3396" t="s">
        <v>10173</v>
      </c>
      <c r="B3396" t="s">
        <v>10174</v>
      </c>
      <c r="C3396" t="s">
        <v>10175</v>
      </c>
    </row>
    <row r="3397" spans="1:3" x14ac:dyDescent="0.35">
      <c r="A3397" t="s">
        <v>10176</v>
      </c>
      <c r="B3397" t="s">
        <v>10177</v>
      </c>
      <c r="C3397" t="s">
        <v>10178</v>
      </c>
    </row>
    <row r="3398" spans="1:3" x14ac:dyDescent="0.35">
      <c r="A3398" t="s">
        <v>10179</v>
      </c>
      <c r="B3398" t="s">
        <v>10180</v>
      </c>
      <c r="C3398" t="s">
        <v>10181</v>
      </c>
    </row>
    <row r="3399" spans="1:3" x14ac:dyDescent="0.35">
      <c r="A3399" t="s">
        <v>10182</v>
      </c>
      <c r="B3399" t="s">
        <v>10183</v>
      </c>
      <c r="C3399" t="s">
        <v>10184</v>
      </c>
    </row>
    <row r="3400" spans="1:3" x14ac:dyDescent="0.35">
      <c r="A3400" t="s">
        <v>10185</v>
      </c>
      <c r="B3400" t="s">
        <v>10186</v>
      </c>
      <c r="C3400" t="s">
        <v>10187</v>
      </c>
    </row>
    <row r="3401" spans="1:3" x14ac:dyDescent="0.35">
      <c r="A3401" t="s">
        <v>10188</v>
      </c>
      <c r="B3401" t="s">
        <v>10189</v>
      </c>
      <c r="C3401" t="s">
        <v>10190</v>
      </c>
    </row>
    <row r="3402" spans="1:3" x14ac:dyDescent="0.35">
      <c r="A3402" t="s">
        <v>10191</v>
      </c>
      <c r="B3402" t="s">
        <v>10192</v>
      </c>
      <c r="C3402" t="s">
        <v>10193</v>
      </c>
    </row>
    <row r="3403" spans="1:3" x14ac:dyDescent="0.35">
      <c r="A3403" t="s">
        <v>10194</v>
      </c>
      <c r="B3403" t="s">
        <v>10195</v>
      </c>
      <c r="C3403" t="s">
        <v>10196</v>
      </c>
    </row>
    <row r="3404" spans="1:3" x14ac:dyDescent="0.35">
      <c r="A3404" t="s">
        <v>10197</v>
      </c>
      <c r="B3404" t="s">
        <v>10198</v>
      </c>
      <c r="C3404" t="s">
        <v>10199</v>
      </c>
    </row>
    <row r="3405" spans="1:3" x14ac:dyDescent="0.35">
      <c r="A3405" t="s">
        <v>10200</v>
      </c>
      <c r="B3405" t="s">
        <v>10201</v>
      </c>
      <c r="C3405" t="s">
        <v>10202</v>
      </c>
    </row>
    <row r="3406" spans="1:3" x14ac:dyDescent="0.35">
      <c r="A3406" t="s">
        <v>10203</v>
      </c>
      <c r="B3406" t="s">
        <v>10204</v>
      </c>
      <c r="C3406" t="s">
        <v>10205</v>
      </c>
    </row>
    <row r="3407" spans="1:3" x14ac:dyDescent="0.35">
      <c r="A3407" t="s">
        <v>10206</v>
      </c>
      <c r="B3407" t="s">
        <v>10207</v>
      </c>
      <c r="C3407" t="s">
        <v>10208</v>
      </c>
    </row>
    <row r="3408" spans="1:3" x14ac:dyDescent="0.35">
      <c r="A3408" t="s">
        <v>10209</v>
      </c>
      <c r="B3408" t="s">
        <v>10210</v>
      </c>
      <c r="C3408" t="s">
        <v>10211</v>
      </c>
    </row>
    <row r="3409" spans="1:3" x14ac:dyDescent="0.35">
      <c r="A3409" t="s">
        <v>10212</v>
      </c>
      <c r="B3409" t="s">
        <v>10213</v>
      </c>
      <c r="C3409" t="s">
        <v>10214</v>
      </c>
    </row>
    <row r="3410" spans="1:3" x14ac:dyDescent="0.35">
      <c r="A3410" t="s">
        <v>10215</v>
      </c>
      <c r="B3410" t="s">
        <v>10216</v>
      </c>
      <c r="C3410" t="s">
        <v>10217</v>
      </c>
    </row>
    <row r="3411" spans="1:3" x14ac:dyDescent="0.35">
      <c r="A3411" t="s">
        <v>10218</v>
      </c>
      <c r="B3411" t="s">
        <v>10219</v>
      </c>
      <c r="C3411" t="s">
        <v>10220</v>
      </c>
    </row>
    <row r="3412" spans="1:3" x14ac:dyDescent="0.35">
      <c r="A3412" t="s">
        <v>10221</v>
      </c>
      <c r="B3412" t="s">
        <v>10222</v>
      </c>
      <c r="C3412" t="s">
        <v>10223</v>
      </c>
    </row>
    <row r="3413" spans="1:3" x14ac:dyDescent="0.35">
      <c r="A3413" t="s">
        <v>10224</v>
      </c>
      <c r="B3413" t="s">
        <v>10225</v>
      </c>
      <c r="C3413" t="s">
        <v>10226</v>
      </c>
    </row>
    <row r="3414" spans="1:3" x14ac:dyDescent="0.35">
      <c r="A3414" t="s">
        <v>10227</v>
      </c>
      <c r="B3414" t="s">
        <v>10228</v>
      </c>
      <c r="C3414" t="s">
        <v>10229</v>
      </c>
    </row>
    <row r="3415" spans="1:3" x14ac:dyDescent="0.35">
      <c r="A3415" t="s">
        <v>10230</v>
      </c>
      <c r="B3415" t="s">
        <v>10231</v>
      </c>
      <c r="C3415" t="s">
        <v>10232</v>
      </c>
    </row>
    <row r="3416" spans="1:3" x14ac:dyDescent="0.35">
      <c r="A3416" t="s">
        <v>10233</v>
      </c>
      <c r="B3416" t="s">
        <v>10234</v>
      </c>
      <c r="C3416" t="s">
        <v>10235</v>
      </c>
    </row>
    <row r="3417" spans="1:3" x14ac:dyDescent="0.35">
      <c r="A3417" t="s">
        <v>10236</v>
      </c>
      <c r="B3417" t="s">
        <v>10237</v>
      </c>
      <c r="C3417" t="s">
        <v>10238</v>
      </c>
    </row>
    <row r="3418" spans="1:3" x14ac:dyDescent="0.35">
      <c r="A3418" t="s">
        <v>10239</v>
      </c>
      <c r="B3418" t="s">
        <v>10240</v>
      </c>
      <c r="C3418" t="s">
        <v>10241</v>
      </c>
    </row>
    <row r="3419" spans="1:3" x14ac:dyDescent="0.35">
      <c r="A3419" t="s">
        <v>10242</v>
      </c>
      <c r="B3419" t="s">
        <v>10243</v>
      </c>
      <c r="C3419" t="s">
        <v>10244</v>
      </c>
    </row>
    <row r="3420" spans="1:3" x14ac:dyDescent="0.35">
      <c r="A3420" t="s">
        <v>10245</v>
      </c>
      <c r="B3420" t="s">
        <v>10246</v>
      </c>
      <c r="C3420" t="s">
        <v>10247</v>
      </c>
    </row>
    <row r="3421" spans="1:3" x14ac:dyDescent="0.35">
      <c r="A3421" t="s">
        <v>10248</v>
      </c>
      <c r="B3421" t="s">
        <v>10249</v>
      </c>
      <c r="C3421" t="s">
        <v>10250</v>
      </c>
    </row>
    <row r="3422" spans="1:3" x14ac:dyDescent="0.35">
      <c r="A3422" t="s">
        <v>10251</v>
      </c>
      <c r="B3422" t="s">
        <v>10252</v>
      </c>
      <c r="C3422" t="s">
        <v>10253</v>
      </c>
    </row>
    <row r="3423" spans="1:3" x14ac:dyDescent="0.35">
      <c r="A3423" t="s">
        <v>10254</v>
      </c>
      <c r="B3423" t="s">
        <v>10255</v>
      </c>
      <c r="C3423" t="s">
        <v>10256</v>
      </c>
    </row>
    <row r="3424" spans="1:3" x14ac:dyDescent="0.35">
      <c r="A3424" t="s">
        <v>10257</v>
      </c>
      <c r="B3424" t="s">
        <v>10258</v>
      </c>
      <c r="C3424" t="s">
        <v>10259</v>
      </c>
    </row>
    <row r="3425" spans="1:3" x14ac:dyDescent="0.35">
      <c r="A3425" t="s">
        <v>10260</v>
      </c>
      <c r="B3425" t="s">
        <v>10261</v>
      </c>
      <c r="C3425" t="s">
        <v>10262</v>
      </c>
    </row>
    <row r="3426" spans="1:3" x14ac:dyDescent="0.35">
      <c r="A3426" t="s">
        <v>10263</v>
      </c>
      <c r="B3426" t="s">
        <v>10264</v>
      </c>
      <c r="C3426" t="s">
        <v>10265</v>
      </c>
    </row>
    <row r="3427" spans="1:3" x14ac:dyDescent="0.35">
      <c r="A3427" t="s">
        <v>10266</v>
      </c>
      <c r="B3427" t="s">
        <v>10267</v>
      </c>
      <c r="C3427" t="s">
        <v>10268</v>
      </c>
    </row>
    <row r="3428" spans="1:3" x14ac:dyDescent="0.35">
      <c r="A3428" t="s">
        <v>10269</v>
      </c>
      <c r="B3428" t="s">
        <v>10270</v>
      </c>
      <c r="C3428" t="s">
        <v>10271</v>
      </c>
    </row>
    <row r="3429" spans="1:3" x14ac:dyDescent="0.35">
      <c r="A3429" t="s">
        <v>10272</v>
      </c>
      <c r="B3429" t="s">
        <v>10273</v>
      </c>
      <c r="C3429" t="s">
        <v>10274</v>
      </c>
    </row>
    <row r="3430" spans="1:3" x14ac:dyDescent="0.35">
      <c r="A3430" t="s">
        <v>10275</v>
      </c>
      <c r="B3430" t="s">
        <v>10276</v>
      </c>
      <c r="C3430" t="s">
        <v>10277</v>
      </c>
    </row>
    <row r="3431" spans="1:3" x14ac:dyDescent="0.35">
      <c r="A3431" t="s">
        <v>10278</v>
      </c>
      <c r="B3431" t="s">
        <v>10279</v>
      </c>
      <c r="C3431" t="s">
        <v>10280</v>
      </c>
    </row>
    <row r="3432" spans="1:3" x14ac:dyDescent="0.35">
      <c r="A3432" t="s">
        <v>10281</v>
      </c>
      <c r="B3432" t="s">
        <v>10282</v>
      </c>
      <c r="C3432" t="s">
        <v>10283</v>
      </c>
    </row>
    <row r="3433" spans="1:3" x14ac:dyDescent="0.35">
      <c r="A3433" t="s">
        <v>10284</v>
      </c>
      <c r="B3433" t="s">
        <v>10285</v>
      </c>
      <c r="C3433" t="s">
        <v>10286</v>
      </c>
    </row>
    <row r="3434" spans="1:3" x14ac:dyDescent="0.35">
      <c r="A3434" t="s">
        <v>10287</v>
      </c>
      <c r="B3434" t="s">
        <v>10288</v>
      </c>
      <c r="C3434" t="s">
        <v>10289</v>
      </c>
    </row>
    <row r="3435" spans="1:3" x14ac:dyDescent="0.35">
      <c r="A3435" t="s">
        <v>10290</v>
      </c>
      <c r="B3435" t="s">
        <v>10291</v>
      </c>
      <c r="C3435" t="s">
        <v>10292</v>
      </c>
    </row>
    <row r="3436" spans="1:3" x14ac:dyDescent="0.35">
      <c r="A3436" t="s">
        <v>10293</v>
      </c>
      <c r="B3436" t="s">
        <v>10294</v>
      </c>
      <c r="C3436" t="s">
        <v>10295</v>
      </c>
    </row>
    <row r="3437" spans="1:3" x14ac:dyDescent="0.35">
      <c r="A3437" t="s">
        <v>10296</v>
      </c>
      <c r="B3437" t="s">
        <v>10297</v>
      </c>
      <c r="C3437" t="s">
        <v>10298</v>
      </c>
    </row>
    <row r="3438" spans="1:3" x14ac:dyDescent="0.35">
      <c r="A3438" t="s">
        <v>10299</v>
      </c>
      <c r="B3438" t="s">
        <v>10300</v>
      </c>
      <c r="C3438" t="s">
        <v>10301</v>
      </c>
    </row>
    <row r="3439" spans="1:3" x14ac:dyDescent="0.35">
      <c r="A3439" t="s">
        <v>10302</v>
      </c>
      <c r="B3439" t="s">
        <v>10303</v>
      </c>
      <c r="C3439" t="s">
        <v>10304</v>
      </c>
    </row>
    <row r="3440" spans="1:3" x14ac:dyDescent="0.35">
      <c r="A3440" t="s">
        <v>10305</v>
      </c>
      <c r="B3440" t="s">
        <v>10306</v>
      </c>
      <c r="C3440" t="s">
        <v>10307</v>
      </c>
    </row>
    <row r="3441" spans="1:3" x14ac:dyDescent="0.35">
      <c r="A3441" t="s">
        <v>10308</v>
      </c>
      <c r="B3441" t="s">
        <v>10309</v>
      </c>
      <c r="C3441" t="s">
        <v>10310</v>
      </c>
    </row>
    <row r="3442" spans="1:3" x14ac:dyDescent="0.35">
      <c r="A3442" t="s">
        <v>10311</v>
      </c>
      <c r="B3442" t="s">
        <v>10312</v>
      </c>
      <c r="C3442" t="s">
        <v>10313</v>
      </c>
    </row>
    <row r="3443" spans="1:3" x14ac:dyDescent="0.35">
      <c r="A3443" t="s">
        <v>10314</v>
      </c>
      <c r="B3443" t="s">
        <v>10315</v>
      </c>
      <c r="C3443" t="s">
        <v>10316</v>
      </c>
    </row>
    <row r="3444" spans="1:3" x14ac:dyDescent="0.35">
      <c r="A3444" t="s">
        <v>10317</v>
      </c>
      <c r="B3444" t="s">
        <v>10318</v>
      </c>
      <c r="C3444" t="s">
        <v>10319</v>
      </c>
    </row>
    <row r="3445" spans="1:3" x14ac:dyDescent="0.35">
      <c r="A3445" t="s">
        <v>10320</v>
      </c>
      <c r="B3445" t="s">
        <v>10321</v>
      </c>
      <c r="C3445" t="s">
        <v>10322</v>
      </c>
    </row>
    <row r="3446" spans="1:3" x14ac:dyDescent="0.35">
      <c r="A3446" t="s">
        <v>10323</v>
      </c>
      <c r="B3446" t="s">
        <v>10324</v>
      </c>
      <c r="C3446" t="s">
        <v>10325</v>
      </c>
    </row>
    <row r="3447" spans="1:3" x14ac:dyDescent="0.35">
      <c r="A3447" t="s">
        <v>10326</v>
      </c>
      <c r="B3447" t="s">
        <v>10327</v>
      </c>
      <c r="C3447" t="s">
        <v>10328</v>
      </c>
    </row>
    <row r="3448" spans="1:3" x14ac:dyDescent="0.35">
      <c r="A3448" t="s">
        <v>10329</v>
      </c>
      <c r="B3448" t="s">
        <v>10330</v>
      </c>
      <c r="C3448" t="s">
        <v>10331</v>
      </c>
    </row>
    <row r="3449" spans="1:3" x14ac:dyDescent="0.35">
      <c r="A3449" t="s">
        <v>10332</v>
      </c>
      <c r="B3449" t="s">
        <v>10333</v>
      </c>
      <c r="C3449" t="s">
        <v>10334</v>
      </c>
    </row>
    <row r="3450" spans="1:3" x14ac:dyDescent="0.35">
      <c r="A3450" t="s">
        <v>10335</v>
      </c>
      <c r="B3450" t="s">
        <v>10336</v>
      </c>
      <c r="C3450" t="s">
        <v>10337</v>
      </c>
    </row>
    <row r="3451" spans="1:3" x14ac:dyDescent="0.35">
      <c r="A3451" t="s">
        <v>10338</v>
      </c>
      <c r="B3451" t="s">
        <v>10339</v>
      </c>
      <c r="C3451" t="s">
        <v>10340</v>
      </c>
    </row>
    <row r="3452" spans="1:3" x14ac:dyDescent="0.35">
      <c r="A3452" t="s">
        <v>10341</v>
      </c>
      <c r="B3452" t="s">
        <v>10342</v>
      </c>
      <c r="C3452" t="s">
        <v>10343</v>
      </c>
    </row>
    <row r="3453" spans="1:3" x14ac:dyDescent="0.35">
      <c r="A3453" t="s">
        <v>10344</v>
      </c>
      <c r="B3453" t="s">
        <v>10345</v>
      </c>
      <c r="C3453" t="s">
        <v>10346</v>
      </c>
    </row>
    <row r="3454" spans="1:3" x14ac:dyDescent="0.35">
      <c r="A3454" t="s">
        <v>10347</v>
      </c>
      <c r="B3454" t="s">
        <v>10348</v>
      </c>
      <c r="C3454" t="s">
        <v>10349</v>
      </c>
    </row>
    <row r="3455" spans="1:3" x14ac:dyDescent="0.35">
      <c r="A3455" t="s">
        <v>10350</v>
      </c>
      <c r="B3455" t="s">
        <v>10351</v>
      </c>
      <c r="C3455" t="s">
        <v>10352</v>
      </c>
    </row>
    <row r="3456" spans="1:3" x14ac:dyDescent="0.35">
      <c r="A3456" t="s">
        <v>10353</v>
      </c>
      <c r="B3456" t="s">
        <v>10354</v>
      </c>
      <c r="C3456" t="s">
        <v>10355</v>
      </c>
    </row>
    <row r="3457" spans="1:3" x14ac:dyDescent="0.35">
      <c r="A3457" t="s">
        <v>10356</v>
      </c>
      <c r="B3457" t="s">
        <v>10357</v>
      </c>
      <c r="C3457" t="s">
        <v>10358</v>
      </c>
    </row>
    <row r="3458" spans="1:3" x14ac:dyDescent="0.35">
      <c r="A3458" t="s">
        <v>10359</v>
      </c>
      <c r="B3458" t="s">
        <v>10360</v>
      </c>
      <c r="C3458" t="s">
        <v>10361</v>
      </c>
    </row>
    <row r="3459" spans="1:3" x14ac:dyDescent="0.35">
      <c r="A3459" t="s">
        <v>10362</v>
      </c>
      <c r="B3459" t="s">
        <v>10363</v>
      </c>
      <c r="C3459" t="s">
        <v>10364</v>
      </c>
    </row>
    <row r="3460" spans="1:3" x14ac:dyDescent="0.35">
      <c r="A3460" t="s">
        <v>10365</v>
      </c>
      <c r="B3460" t="s">
        <v>10366</v>
      </c>
      <c r="C3460" t="s">
        <v>10367</v>
      </c>
    </row>
    <row r="3461" spans="1:3" x14ac:dyDescent="0.35">
      <c r="A3461" t="s">
        <v>10368</v>
      </c>
      <c r="B3461" t="s">
        <v>10369</v>
      </c>
      <c r="C3461" t="s">
        <v>10370</v>
      </c>
    </row>
    <row r="3462" spans="1:3" x14ac:dyDescent="0.35">
      <c r="A3462" t="s">
        <v>10371</v>
      </c>
      <c r="B3462" t="s">
        <v>10372</v>
      </c>
      <c r="C3462" t="s">
        <v>10373</v>
      </c>
    </row>
    <row r="3463" spans="1:3" x14ac:dyDescent="0.35">
      <c r="A3463" t="s">
        <v>10374</v>
      </c>
      <c r="B3463" t="s">
        <v>10375</v>
      </c>
      <c r="C3463" t="s">
        <v>10376</v>
      </c>
    </row>
    <row r="3464" spans="1:3" x14ac:dyDescent="0.35">
      <c r="A3464" t="s">
        <v>10377</v>
      </c>
      <c r="B3464" t="s">
        <v>10378</v>
      </c>
      <c r="C3464" t="s">
        <v>10379</v>
      </c>
    </row>
    <row r="3465" spans="1:3" x14ac:dyDescent="0.35">
      <c r="A3465" t="s">
        <v>10380</v>
      </c>
      <c r="B3465" t="s">
        <v>10381</v>
      </c>
      <c r="C3465" t="s">
        <v>10382</v>
      </c>
    </row>
    <row r="3466" spans="1:3" x14ac:dyDescent="0.35">
      <c r="A3466" t="s">
        <v>10383</v>
      </c>
      <c r="B3466" t="s">
        <v>10384</v>
      </c>
      <c r="C3466" t="s">
        <v>10385</v>
      </c>
    </row>
    <row r="3467" spans="1:3" x14ac:dyDescent="0.35">
      <c r="A3467" t="s">
        <v>10386</v>
      </c>
      <c r="B3467" t="s">
        <v>10387</v>
      </c>
      <c r="C3467" t="s">
        <v>10388</v>
      </c>
    </row>
    <row r="3468" spans="1:3" x14ac:dyDescent="0.35">
      <c r="A3468" t="s">
        <v>10389</v>
      </c>
      <c r="B3468" t="s">
        <v>10390</v>
      </c>
      <c r="C3468" t="s">
        <v>10391</v>
      </c>
    </row>
    <row r="3469" spans="1:3" x14ac:dyDescent="0.35">
      <c r="A3469" t="s">
        <v>10392</v>
      </c>
      <c r="B3469" t="s">
        <v>10393</v>
      </c>
      <c r="C3469" t="s">
        <v>10394</v>
      </c>
    </row>
    <row r="3470" spans="1:3" x14ac:dyDescent="0.35">
      <c r="A3470" t="s">
        <v>10395</v>
      </c>
      <c r="B3470" t="s">
        <v>10396</v>
      </c>
      <c r="C3470" t="s">
        <v>10397</v>
      </c>
    </row>
    <row r="3471" spans="1:3" x14ac:dyDescent="0.35">
      <c r="A3471" t="s">
        <v>10398</v>
      </c>
      <c r="B3471" t="s">
        <v>10399</v>
      </c>
      <c r="C3471" t="s">
        <v>10400</v>
      </c>
    </row>
    <row r="3472" spans="1:3" x14ac:dyDescent="0.35">
      <c r="A3472" t="s">
        <v>10401</v>
      </c>
      <c r="B3472" t="s">
        <v>10402</v>
      </c>
      <c r="C3472" t="s">
        <v>10403</v>
      </c>
    </row>
    <row r="3473" spans="1:3" x14ac:dyDescent="0.35">
      <c r="A3473" t="s">
        <v>10404</v>
      </c>
      <c r="B3473" t="s">
        <v>10405</v>
      </c>
      <c r="C3473" t="s">
        <v>10406</v>
      </c>
    </row>
    <row r="3474" spans="1:3" x14ac:dyDescent="0.35">
      <c r="A3474" t="s">
        <v>10407</v>
      </c>
      <c r="B3474" t="s">
        <v>10408</v>
      </c>
      <c r="C3474" t="s">
        <v>23114</v>
      </c>
    </row>
    <row r="3475" spans="1:3" x14ac:dyDescent="0.35">
      <c r="A3475" t="s">
        <v>10409</v>
      </c>
      <c r="B3475" t="s">
        <v>10410</v>
      </c>
      <c r="C3475" t="s">
        <v>10411</v>
      </c>
    </row>
    <row r="3476" spans="1:3" x14ac:dyDescent="0.35">
      <c r="A3476" t="s">
        <v>10412</v>
      </c>
      <c r="B3476" t="s">
        <v>10413</v>
      </c>
      <c r="C3476" t="s">
        <v>10414</v>
      </c>
    </row>
    <row r="3477" spans="1:3" x14ac:dyDescent="0.35">
      <c r="A3477" t="s">
        <v>10415</v>
      </c>
      <c r="B3477" t="s">
        <v>10416</v>
      </c>
      <c r="C3477" t="s">
        <v>10417</v>
      </c>
    </row>
    <row r="3478" spans="1:3" x14ac:dyDescent="0.35">
      <c r="A3478" t="s">
        <v>10418</v>
      </c>
      <c r="B3478" t="s">
        <v>10419</v>
      </c>
      <c r="C3478" t="s">
        <v>10420</v>
      </c>
    </row>
    <row r="3479" spans="1:3" x14ac:dyDescent="0.35">
      <c r="A3479" t="s">
        <v>10421</v>
      </c>
      <c r="B3479" t="s">
        <v>10422</v>
      </c>
      <c r="C3479" t="s">
        <v>10423</v>
      </c>
    </row>
    <row r="3480" spans="1:3" x14ac:dyDescent="0.35">
      <c r="A3480" t="s">
        <v>10424</v>
      </c>
      <c r="B3480" t="s">
        <v>10425</v>
      </c>
      <c r="C3480" t="s">
        <v>10426</v>
      </c>
    </row>
    <row r="3481" spans="1:3" x14ac:dyDescent="0.35">
      <c r="A3481" t="s">
        <v>10427</v>
      </c>
      <c r="B3481" t="s">
        <v>10428</v>
      </c>
      <c r="C3481" t="s">
        <v>10429</v>
      </c>
    </row>
    <row r="3482" spans="1:3" x14ac:dyDescent="0.35">
      <c r="A3482" t="s">
        <v>10430</v>
      </c>
      <c r="B3482" t="s">
        <v>10431</v>
      </c>
      <c r="C3482" t="s">
        <v>10432</v>
      </c>
    </row>
    <row r="3483" spans="1:3" x14ac:dyDescent="0.35">
      <c r="A3483" t="s">
        <v>10433</v>
      </c>
      <c r="B3483" t="s">
        <v>10434</v>
      </c>
      <c r="C3483" t="s">
        <v>10435</v>
      </c>
    </row>
    <row r="3484" spans="1:3" x14ac:dyDescent="0.35">
      <c r="A3484" t="s">
        <v>10436</v>
      </c>
      <c r="B3484" t="s">
        <v>10437</v>
      </c>
      <c r="C3484" t="s">
        <v>10438</v>
      </c>
    </row>
    <row r="3485" spans="1:3" x14ac:dyDescent="0.35">
      <c r="A3485" t="s">
        <v>10439</v>
      </c>
      <c r="B3485" t="s">
        <v>10440</v>
      </c>
      <c r="C3485" t="s">
        <v>10441</v>
      </c>
    </row>
    <row r="3486" spans="1:3" x14ac:dyDescent="0.35">
      <c r="A3486" t="s">
        <v>10442</v>
      </c>
      <c r="B3486" t="s">
        <v>10443</v>
      </c>
      <c r="C3486" t="s">
        <v>10444</v>
      </c>
    </row>
    <row r="3487" spans="1:3" x14ac:dyDescent="0.35">
      <c r="A3487" t="s">
        <v>10445</v>
      </c>
      <c r="B3487" t="s">
        <v>10446</v>
      </c>
      <c r="C3487" t="s">
        <v>10447</v>
      </c>
    </row>
    <row r="3488" spans="1:3" x14ac:dyDescent="0.35">
      <c r="A3488" t="s">
        <v>10448</v>
      </c>
      <c r="B3488" t="s">
        <v>10449</v>
      </c>
      <c r="C3488" t="s">
        <v>10450</v>
      </c>
    </row>
    <row r="3489" spans="1:3" x14ac:dyDescent="0.35">
      <c r="A3489" t="s">
        <v>10451</v>
      </c>
      <c r="B3489" t="s">
        <v>10452</v>
      </c>
      <c r="C3489" t="s">
        <v>10453</v>
      </c>
    </row>
    <row r="3490" spans="1:3" x14ac:dyDescent="0.35">
      <c r="A3490" t="s">
        <v>10454</v>
      </c>
      <c r="B3490" t="s">
        <v>10455</v>
      </c>
      <c r="C3490" t="s">
        <v>10456</v>
      </c>
    </row>
    <row r="3491" spans="1:3" x14ac:dyDescent="0.35">
      <c r="A3491" t="s">
        <v>10454</v>
      </c>
      <c r="B3491" t="s">
        <v>10457</v>
      </c>
      <c r="C3491" t="s">
        <v>10458</v>
      </c>
    </row>
    <row r="3492" spans="1:3" x14ac:dyDescent="0.35">
      <c r="A3492" t="s">
        <v>10459</v>
      </c>
      <c r="B3492" t="s">
        <v>10460</v>
      </c>
      <c r="C3492" t="s">
        <v>10461</v>
      </c>
    </row>
    <row r="3493" spans="1:3" x14ac:dyDescent="0.35">
      <c r="A3493" t="s">
        <v>10462</v>
      </c>
      <c r="B3493" t="s">
        <v>10463</v>
      </c>
      <c r="C3493" t="s">
        <v>10464</v>
      </c>
    </row>
    <row r="3494" spans="1:3" x14ac:dyDescent="0.35">
      <c r="A3494" t="s">
        <v>10462</v>
      </c>
      <c r="B3494" t="s">
        <v>10465</v>
      </c>
      <c r="C3494" t="s">
        <v>10466</v>
      </c>
    </row>
    <row r="3495" spans="1:3" x14ac:dyDescent="0.35">
      <c r="A3495" t="s">
        <v>10467</v>
      </c>
      <c r="B3495" t="s">
        <v>10468</v>
      </c>
      <c r="C3495" t="s">
        <v>10469</v>
      </c>
    </row>
    <row r="3496" spans="1:3" x14ac:dyDescent="0.35">
      <c r="A3496" t="s">
        <v>10470</v>
      </c>
      <c r="B3496" t="s">
        <v>10471</v>
      </c>
      <c r="C3496" t="s">
        <v>10472</v>
      </c>
    </row>
    <row r="3497" spans="1:3" x14ac:dyDescent="0.35">
      <c r="A3497" t="s">
        <v>10473</v>
      </c>
      <c r="B3497" t="s">
        <v>10474</v>
      </c>
      <c r="C3497" t="s">
        <v>10475</v>
      </c>
    </row>
    <row r="3498" spans="1:3" x14ac:dyDescent="0.35">
      <c r="A3498" t="s">
        <v>10476</v>
      </c>
      <c r="B3498" t="s">
        <v>10477</v>
      </c>
      <c r="C3498" t="s">
        <v>10478</v>
      </c>
    </row>
    <row r="3499" spans="1:3" x14ac:dyDescent="0.35">
      <c r="A3499" t="s">
        <v>10479</v>
      </c>
      <c r="B3499" t="s">
        <v>10480</v>
      </c>
      <c r="C3499" t="s">
        <v>10481</v>
      </c>
    </row>
    <row r="3500" spans="1:3" x14ac:dyDescent="0.35">
      <c r="A3500" t="s">
        <v>10482</v>
      </c>
      <c r="B3500" t="s">
        <v>10483</v>
      </c>
      <c r="C3500" t="s">
        <v>10484</v>
      </c>
    </row>
    <row r="3501" spans="1:3" x14ac:dyDescent="0.35">
      <c r="A3501" t="s">
        <v>10482</v>
      </c>
      <c r="B3501" t="s">
        <v>10485</v>
      </c>
      <c r="C3501" t="s">
        <v>10486</v>
      </c>
    </row>
    <row r="3502" spans="1:3" x14ac:dyDescent="0.35">
      <c r="A3502" t="s">
        <v>10487</v>
      </c>
      <c r="B3502" t="s">
        <v>10488</v>
      </c>
      <c r="C3502" t="s">
        <v>10489</v>
      </c>
    </row>
    <row r="3503" spans="1:3" x14ac:dyDescent="0.35">
      <c r="A3503" t="s">
        <v>10490</v>
      </c>
      <c r="B3503" t="s">
        <v>10491</v>
      </c>
      <c r="C3503" t="s">
        <v>10492</v>
      </c>
    </row>
    <row r="3504" spans="1:3" x14ac:dyDescent="0.35">
      <c r="A3504" t="s">
        <v>10493</v>
      </c>
      <c r="B3504" t="s">
        <v>10494</v>
      </c>
      <c r="C3504" t="s">
        <v>10495</v>
      </c>
    </row>
    <row r="3505" spans="1:3" x14ac:dyDescent="0.35">
      <c r="A3505" t="s">
        <v>10496</v>
      </c>
      <c r="B3505" t="s">
        <v>10497</v>
      </c>
      <c r="C3505" t="s">
        <v>10498</v>
      </c>
    </row>
    <row r="3506" spans="1:3" x14ac:dyDescent="0.35">
      <c r="A3506" t="s">
        <v>10499</v>
      </c>
      <c r="B3506" t="s">
        <v>10500</v>
      </c>
      <c r="C3506" t="s">
        <v>10501</v>
      </c>
    </row>
    <row r="3507" spans="1:3" x14ac:dyDescent="0.35">
      <c r="A3507" t="s">
        <v>10502</v>
      </c>
      <c r="B3507" t="s">
        <v>10503</v>
      </c>
      <c r="C3507" t="s">
        <v>10504</v>
      </c>
    </row>
    <row r="3508" spans="1:3" x14ac:dyDescent="0.35">
      <c r="A3508" t="s">
        <v>10502</v>
      </c>
      <c r="B3508" t="s">
        <v>10505</v>
      </c>
      <c r="C3508" t="s">
        <v>10506</v>
      </c>
    </row>
    <row r="3509" spans="1:3" x14ac:dyDescent="0.35">
      <c r="A3509" t="s">
        <v>10507</v>
      </c>
      <c r="B3509" t="s">
        <v>10508</v>
      </c>
      <c r="C3509" t="s">
        <v>10509</v>
      </c>
    </row>
    <row r="3510" spans="1:3" x14ac:dyDescent="0.35">
      <c r="A3510" t="s">
        <v>10510</v>
      </c>
      <c r="B3510" t="s">
        <v>10511</v>
      </c>
      <c r="C3510" t="s">
        <v>10512</v>
      </c>
    </row>
    <row r="3511" spans="1:3" x14ac:dyDescent="0.35">
      <c r="A3511" t="s">
        <v>10513</v>
      </c>
      <c r="B3511" t="s">
        <v>10514</v>
      </c>
      <c r="C3511" t="s">
        <v>10515</v>
      </c>
    </row>
    <row r="3512" spans="1:3" x14ac:dyDescent="0.35">
      <c r="A3512" t="s">
        <v>10516</v>
      </c>
      <c r="B3512" t="s">
        <v>10517</v>
      </c>
      <c r="C3512" t="s">
        <v>10518</v>
      </c>
    </row>
    <row r="3513" spans="1:3" x14ac:dyDescent="0.35">
      <c r="A3513" t="s">
        <v>10519</v>
      </c>
      <c r="B3513" t="s">
        <v>10520</v>
      </c>
      <c r="C3513" t="s">
        <v>10521</v>
      </c>
    </row>
    <row r="3514" spans="1:3" x14ac:dyDescent="0.35">
      <c r="A3514" t="s">
        <v>10522</v>
      </c>
      <c r="B3514" t="s">
        <v>10523</v>
      </c>
      <c r="C3514" t="s">
        <v>10524</v>
      </c>
    </row>
    <row r="3515" spans="1:3" x14ac:dyDescent="0.35">
      <c r="A3515" t="s">
        <v>10525</v>
      </c>
      <c r="B3515" t="s">
        <v>10526</v>
      </c>
      <c r="C3515" t="s">
        <v>10527</v>
      </c>
    </row>
    <row r="3516" spans="1:3" x14ac:dyDescent="0.35">
      <c r="A3516" t="s">
        <v>10528</v>
      </c>
      <c r="B3516" t="s">
        <v>10529</v>
      </c>
      <c r="C3516" t="s">
        <v>10530</v>
      </c>
    </row>
    <row r="3517" spans="1:3" x14ac:dyDescent="0.35">
      <c r="A3517" t="s">
        <v>10531</v>
      </c>
      <c r="B3517" t="s">
        <v>10532</v>
      </c>
      <c r="C3517" t="s">
        <v>10533</v>
      </c>
    </row>
    <row r="3518" spans="1:3" x14ac:dyDescent="0.35">
      <c r="A3518" t="s">
        <v>10534</v>
      </c>
      <c r="B3518" t="s">
        <v>10535</v>
      </c>
      <c r="C3518" t="s">
        <v>10536</v>
      </c>
    </row>
    <row r="3519" spans="1:3" x14ac:dyDescent="0.35">
      <c r="A3519" t="s">
        <v>10537</v>
      </c>
      <c r="B3519" t="s">
        <v>10538</v>
      </c>
      <c r="C3519" t="s">
        <v>10539</v>
      </c>
    </row>
    <row r="3520" spans="1:3" x14ac:dyDescent="0.35">
      <c r="A3520" t="s">
        <v>10540</v>
      </c>
      <c r="B3520" t="s">
        <v>10541</v>
      </c>
      <c r="C3520" t="s">
        <v>10542</v>
      </c>
    </row>
    <row r="3521" spans="1:3" x14ac:dyDescent="0.35">
      <c r="A3521" t="s">
        <v>10543</v>
      </c>
      <c r="B3521" t="s">
        <v>10544</v>
      </c>
      <c r="C3521" t="s">
        <v>10545</v>
      </c>
    </row>
    <row r="3522" spans="1:3" x14ac:dyDescent="0.35">
      <c r="A3522" t="s">
        <v>10546</v>
      </c>
      <c r="B3522" t="s">
        <v>10547</v>
      </c>
      <c r="C3522" t="s">
        <v>10548</v>
      </c>
    </row>
    <row r="3523" spans="1:3" x14ac:dyDescent="0.35">
      <c r="A3523" t="s">
        <v>10549</v>
      </c>
      <c r="B3523" t="s">
        <v>10550</v>
      </c>
      <c r="C3523" t="s">
        <v>10551</v>
      </c>
    </row>
    <row r="3524" spans="1:3" x14ac:dyDescent="0.35">
      <c r="A3524" t="s">
        <v>10552</v>
      </c>
      <c r="B3524" t="s">
        <v>10553</v>
      </c>
      <c r="C3524" t="s">
        <v>10554</v>
      </c>
    </row>
    <row r="3525" spans="1:3" x14ac:dyDescent="0.35">
      <c r="A3525" t="s">
        <v>10555</v>
      </c>
      <c r="B3525" t="s">
        <v>10556</v>
      </c>
      <c r="C3525" t="s">
        <v>10557</v>
      </c>
    </row>
    <row r="3526" spans="1:3" x14ac:dyDescent="0.35">
      <c r="A3526" t="s">
        <v>10558</v>
      </c>
      <c r="B3526" t="s">
        <v>10559</v>
      </c>
      <c r="C3526" t="s">
        <v>10560</v>
      </c>
    </row>
    <row r="3527" spans="1:3" x14ac:dyDescent="0.35">
      <c r="A3527" t="s">
        <v>10561</v>
      </c>
      <c r="B3527" t="s">
        <v>10562</v>
      </c>
      <c r="C3527" t="s">
        <v>10563</v>
      </c>
    </row>
    <row r="3528" spans="1:3" x14ac:dyDescent="0.35">
      <c r="A3528" t="s">
        <v>10564</v>
      </c>
      <c r="B3528" t="s">
        <v>10565</v>
      </c>
      <c r="C3528" t="s">
        <v>10566</v>
      </c>
    </row>
    <row r="3529" spans="1:3" x14ac:dyDescent="0.35">
      <c r="A3529" t="s">
        <v>10567</v>
      </c>
      <c r="B3529" t="s">
        <v>10568</v>
      </c>
      <c r="C3529" t="s">
        <v>10569</v>
      </c>
    </row>
    <row r="3530" spans="1:3" x14ac:dyDescent="0.35">
      <c r="A3530" t="s">
        <v>10570</v>
      </c>
      <c r="B3530" t="s">
        <v>10571</v>
      </c>
      <c r="C3530" t="s">
        <v>10572</v>
      </c>
    </row>
    <row r="3531" spans="1:3" x14ac:dyDescent="0.35">
      <c r="A3531" t="s">
        <v>10573</v>
      </c>
      <c r="B3531" t="s">
        <v>10574</v>
      </c>
      <c r="C3531" t="s">
        <v>10575</v>
      </c>
    </row>
    <row r="3532" spans="1:3" x14ac:dyDescent="0.35">
      <c r="A3532" t="s">
        <v>10576</v>
      </c>
      <c r="B3532" t="s">
        <v>10577</v>
      </c>
      <c r="C3532" t="s">
        <v>10578</v>
      </c>
    </row>
    <row r="3533" spans="1:3" x14ac:dyDescent="0.35">
      <c r="A3533" t="s">
        <v>10579</v>
      </c>
      <c r="B3533" t="s">
        <v>10580</v>
      </c>
      <c r="C3533" t="s">
        <v>10581</v>
      </c>
    </row>
    <row r="3534" spans="1:3" x14ac:dyDescent="0.35">
      <c r="A3534" t="s">
        <v>10582</v>
      </c>
      <c r="B3534" t="s">
        <v>10583</v>
      </c>
      <c r="C3534" t="s">
        <v>10584</v>
      </c>
    </row>
    <row r="3535" spans="1:3" x14ac:dyDescent="0.35">
      <c r="A3535" t="s">
        <v>10585</v>
      </c>
      <c r="B3535" t="s">
        <v>10586</v>
      </c>
      <c r="C3535" t="s">
        <v>10587</v>
      </c>
    </row>
    <row r="3536" spans="1:3" x14ac:dyDescent="0.35">
      <c r="A3536" t="s">
        <v>10588</v>
      </c>
      <c r="B3536" t="s">
        <v>10589</v>
      </c>
      <c r="C3536" t="s">
        <v>10590</v>
      </c>
    </row>
    <row r="3537" spans="1:3" x14ac:dyDescent="0.35">
      <c r="A3537" t="s">
        <v>10591</v>
      </c>
      <c r="B3537" t="s">
        <v>10592</v>
      </c>
      <c r="C3537" t="s">
        <v>10593</v>
      </c>
    </row>
    <row r="3538" spans="1:3" x14ac:dyDescent="0.35">
      <c r="A3538" t="s">
        <v>10594</v>
      </c>
      <c r="B3538" t="s">
        <v>10595</v>
      </c>
      <c r="C3538" t="s">
        <v>10596</v>
      </c>
    </row>
    <row r="3539" spans="1:3" x14ac:dyDescent="0.35">
      <c r="A3539" t="s">
        <v>10597</v>
      </c>
      <c r="B3539" t="s">
        <v>10598</v>
      </c>
      <c r="C3539" t="s">
        <v>10599</v>
      </c>
    </row>
    <row r="3540" spans="1:3" x14ac:dyDescent="0.35">
      <c r="A3540" t="s">
        <v>10600</v>
      </c>
      <c r="B3540" t="s">
        <v>10601</v>
      </c>
      <c r="C3540" t="s">
        <v>10602</v>
      </c>
    </row>
    <row r="3541" spans="1:3" x14ac:dyDescent="0.35">
      <c r="A3541" t="s">
        <v>10603</v>
      </c>
      <c r="B3541" t="s">
        <v>10604</v>
      </c>
      <c r="C3541" t="s">
        <v>10605</v>
      </c>
    </row>
    <row r="3542" spans="1:3" x14ac:dyDescent="0.35">
      <c r="A3542" t="s">
        <v>10606</v>
      </c>
      <c r="B3542" t="s">
        <v>10607</v>
      </c>
      <c r="C3542" t="s">
        <v>10608</v>
      </c>
    </row>
    <row r="3543" spans="1:3" x14ac:dyDescent="0.35">
      <c r="A3543" t="s">
        <v>10609</v>
      </c>
      <c r="B3543" t="s">
        <v>10610</v>
      </c>
      <c r="C3543" t="s">
        <v>10611</v>
      </c>
    </row>
    <row r="3544" spans="1:3" x14ac:dyDescent="0.35">
      <c r="A3544" t="s">
        <v>10612</v>
      </c>
      <c r="B3544" t="s">
        <v>10613</v>
      </c>
      <c r="C3544" t="s">
        <v>10614</v>
      </c>
    </row>
    <row r="3545" spans="1:3" x14ac:dyDescent="0.35">
      <c r="A3545" t="s">
        <v>10615</v>
      </c>
      <c r="B3545" t="s">
        <v>10616</v>
      </c>
      <c r="C3545" t="s">
        <v>10617</v>
      </c>
    </row>
    <row r="3546" spans="1:3" x14ac:dyDescent="0.35">
      <c r="A3546" t="s">
        <v>10618</v>
      </c>
      <c r="B3546" t="s">
        <v>10619</v>
      </c>
      <c r="C3546" t="s">
        <v>10620</v>
      </c>
    </row>
    <row r="3547" spans="1:3" x14ac:dyDescent="0.35">
      <c r="A3547" t="s">
        <v>10621</v>
      </c>
      <c r="B3547" t="s">
        <v>10622</v>
      </c>
      <c r="C3547" t="s">
        <v>10623</v>
      </c>
    </row>
    <row r="3548" spans="1:3" x14ac:dyDescent="0.35">
      <c r="A3548" t="s">
        <v>10624</v>
      </c>
      <c r="B3548" t="s">
        <v>10625</v>
      </c>
      <c r="C3548" t="s">
        <v>10626</v>
      </c>
    </row>
    <row r="3549" spans="1:3" x14ac:dyDescent="0.35">
      <c r="A3549" t="s">
        <v>10627</v>
      </c>
      <c r="B3549" t="s">
        <v>10628</v>
      </c>
      <c r="C3549" t="s">
        <v>10629</v>
      </c>
    </row>
    <row r="3550" spans="1:3" x14ac:dyDescent="0.35">
      <c r="A3550" t="s">
        <v>10630</v>
      </c>
      <c r="B3550" t="s">
        <v>10631</v>
      </c>
      <c r="C3550" t="s">
        <v>10632</v>
      </c>
    </row>
    <row r="3551" spans="1:3" x14ac:dyDescent="0.35">
      <c r="A3551" t="s">
        <v>10633</v>
      </c>
      <c r="B3551" t="s">
        <v>10634</v>
      </c>
      <c r="C3551" t="s">
        <v>10635</v>
      </c>
    </row>
    <row r="3552" spans="1:3" x14ac:dyDescent="0.35">
      <c r="A3552" t="s">
        <v>10636</v>
      </c>
      <c r="B3552" t="s">
        <v>10637</v>
      </c>
      <c r="C3552" t="s">
        <v>10638</v>
      </c>
    </row>
    <row r="3553" spans="1:3" x14ac:dyDescent="0.35">
      <c r="A3553" t="s">
        <v>10639</v>
      </c>
      <c r="B3553" t="s">
        <v>10640</v>
      </c>
      <c r="C3553" t="s">
        <v>10641</v>
      </c>
    </row>
    <row r="3554" spans="1:3" x14ac:dyDescent="0.35">
      <c r="A3554" t="s">
        <v>10642</v>
      </c>
      <c r="B3554" t="s">
        <v>10643</v>
      </c>
      <c r="C3554" t="s">
        <v>10644</v>
      </c>
    </row>
    <row r="3555" spans="1:3" x14ac:dyDescent="0.35">
      <c r="A3555" t="s">
        <v>10645</v>
      </c>
      <c r="B3555" t="s">
        <v>10646</v>
      </c>
      <c r="C3555" t="s">
        <v>10647</v>
      </c>
    </row>
    <row r="3556" spans="1:3" x14ac:dyDescent="0.35">
      <c r="A3556" t="s">
        <v>10648</v>
      </c>
      <c r="B3556" t="s">
        <v>10649</v>
      </c>
      <c r="C3556" t="s">
        <v>10650</v>
      </c>
    </row>
    <row r="3557" spans="1:3" x14ac:dyDescent="0.35">
      <c r="A3557" t="s">
        <v>10651</v>
      </c>
      <c r="B3557" t="s">
        <v>10652</v>
      </c>
      <c r="C3557" t="s">
        <v>10653</v>
      </c>
    </row>
    <row r="3558" spans="1:3" x14ac:dyDescent="0.35">
      <c r="A3558" t="s">
        <v>10654</v>
      </c>
      <c r="B3558" t="s">
        <v>10655</v>
      </c>
      <c r="C3558" t="s">
        <v>10656</v>
      </c>
    </row>
    <row r="3559" spans="1:3" x14ac:dyDescent="0.35">
      <c r="A3559" t="s">
        <v>10657</v>
      </c>
      <c r="B3559" t="s">
        <v>10658</v>
      </c>
      <c r="C3559" t="s">
        <v>10659</v>
      </c>
    </row>
    <row r="3560" spans="1:3" x14ac:dyDescent="0.35">
      <c r="A3560" t="s">
        <v>10660</v>
      </c>
      <c r="B3560" t="s">
        <v>10661</v>
      </c>
      <c r="C3560" t="s">
        <v>10662</v>
      </c>
    </row>
    <row r="3561" spans="1:3" x14ac:dyDescent="0.35">
      <c r="A3561" t="s">
        <v>10663</v>
      </c>
      <c r="B3561" t="s">
        <v>10664</v>
      </c>
      <c r="C3561" t="s">
        <v>10665</v>
      </c>
    </row>
    <row r="3562" spans="1:3" x14ac:dyDescent="0.35">
      <c r="A3562" t="s">
        <v>10666</v>
      </c>
      <c r="B3562" t="s">
        <v>10667</v>
      </c>
      <c r="C3562" t="s">
        <v>10668</v>
      </c>
    </row>
    <row r="3563" spans="1:3" x14ac:dyDescent="0.35">
      <c r="A3563" t="s">
        <v>10669</v>
      </c>
      <c r="B3563" t="s">
        <v>10670</v>
      </c>
      <c r="C3563" t="s">
        <v>10671</v>
      </c>
    </row>
    <row r="3564" spans="1:3" x14ac:dyDescent="0.35">
      <c r="A3564" t="s">
        <v>10672</v>
      </c>
      <c r="B3564" t="s">
        <v>10673</v>
      </c>
      <c r="C3564" t="s">
        <v>10674</v>
      </c>
    </row>
    <row r="3565" spans="1:3" x14ac:dyDescent="0.35">
      <c r="A3565" t="s">
        <v>10675</v>
      </c>
      <c r="B3565" t="s">
        <v>10676</v>
      </c>
      <c r="C3565" t="s">
        <v>10677</v>
      </c>
    </row>
    <row r="3566" spans="1:3" x14ac:dyDescent="0.35">
      <c r="A3566" t="s">
        <v>10678</v>
      </c>
      <c r="B3566" t="s">
        <v>10679</v>
      </c>
      <c r="C3566" t="s">
        <v>10680</v>
      </c>
    </row>
    <row r="3567" spans="1:3" x14ac:dyDescent="0.35">
      <c r="A3567" t="s">
        <v>10681</v>
      </c>
      <c r="B3567" t="s">
        <v>10682</v>
      </c>
      <c r="C3567" t="s">
        <v>10683</v>
      </c>
    </row>
    <row r="3568" spans="1:3" x14ac:dyDescent="0.35">
      <c r="A3568" t="s">
        <v>10684</v>
      </c>
      <c r="B3568" t="s">
        <v>10685</v>
      </c>
      <c r="C3568" t="s">
        <v>10686</v>
      </c>
    </row>
    <row r="3569" spans="1:3" x14ac:dyDescent="0.35">
      <c r="A3569" t="s">
        <v>10687</v>
      </c>
      <c r="B3569" t="s">
        <v>10688</v>
      </c>
      <c r="C3569" t="s">
        <v>10689</v>
      </c>
    </row>
    <row r="3570" spans="1:3" x14ac:dyDescent="0.35">
      <c r="A3570" t="s">
        <v>10690</v>
      </c>
      <c r="B3570" t="s">
        <v>10691</v>
      </c>
      <c r="C3570" t="s">
        <v>10692</v>
      </c>
    </row>
    <row r="3571" spans="1:3" x14ac:dyDescent="0.35">
      <c r="A3571" t="s">
        <v>10693</v>
      </c>
      <c r="B3571" t="s">
        <v>10694</v>
      </c>
      <c r="C3571" t="s">
        <v>10695</v>
      </c>
    </row>
    <row r="3572" spans="1:3" x14ac:dyDescent="0.35">
      <c r="A3572" t="s">
        <v>10696</v>
      </c>
      <c r="B3572" t="s">
        <v>10697</v>
      </c>
      <c r="C3572" t="s">
        <v>10698</v>
      </c>
    </row>
    <row r="3573" spans="1:3" x14ac:dyDescent="0.35">
      <c r="A3573" t="s">
        <v>10699</v>
      </c>
      <c r="B3573" t="s">
        <v>10700</v>
      </c>
      <c r="C3573" t="s">
        <v>10701</v>
      </c>
    </row>
    <row r="3574" spans="1:3" x14ac:dyDescent="0.35">
      <c r="A3574" t="s">
        <v>10702</v>
      </c>
      <c r="B3574" t="s">
        <v>10703</v>
      </c>
      <c r="C3574" t="s">
        <v>10704</v>
      </c>
    </row>
    <row r="3575" spans="1:3" x14ac:dyDescent="0.35">
      <c r="A3575" t="s">
        <v>10705</v>
      </c>
      <c r="B3575" t="s">
        <v>10706</v>
      </c>
      <c r="C3575" t="s">
        <v>10707</v>
      </c>
    </row>
    <row r="3576" spans="1:3" x14ac:dyDescent="0.35">
      <c r="A3576" t="s">
        <v>10708</v>
      </c>
      <c r="B3576" t="s">
        <v>10709</v>
      </c>
      <c r="C3576" t="s">
        <v>10710</v>
      </c>
    </row>
    <row r="3577" spans="1:3" x14ac:dyDescent="0.35">
      <c r="A3577" t="s">
        <v>10711</v>
      </c>
      <c r="B3577" t="s">
        <v>10712</v>
      </c>
      <c r="C3577" t="s">
        <v>10713</v>
      </c>
    </row>
    <row r="3578" spans="1:3" x14ac:dyDescent="0.35">
      <c r="A3578" t="s">
        <v>10714</v>
      </c>
      <c r="B3578" t="s">
        <v>10715</v>
      </c>
      <c r="C3578" t="s">
        <v>10716</v>
      </c>
    </row>
    <row r="3579" spans="1:3" x14ac:dyDescent="0.35">
      <c r="A3579" t="s">
        <v>10717</v>
      </c>
      <c r="B3579" t="s">
        <v>10718</v>
      </c>
      <c r="C3579" t="s">
        <v>10719</v>
      </c>
    </row>
    <row r="3580" spans="1:3" x14ac:dyDescent="0.35">
      <c r="A3580" t="s">
        <v>10720</v>
      </c>
      <c r="B3580" t="s">
        <v>10721</v>
      </c>
      <c r="C3580" t="s">
        <v>10722</v>
      </c>
    </row>
    <row r="3581" spans="1:3" x14ac:dyDescent="0.35">
      <c r="A3581" t="s">
        <v>10723</v>
      </c>
      <c r="B3581" t="s">
        <v>10724</v>
      </c>
      <c r="C3581" t="s">
        <v>10725</v>
      </c>
    </row>
    <row r="3582" spans="1:3" x14ac:dyDescent="0.35">
      <c r="A3582" t="s">
        <v>10726</v>
      </c>
      <c r="B3582" t="s">
        <v>10727</v>
      </c>
      <c r="C3582" t="s">
        <v>10728</v>
      </c>
    </row>
    <row r="3583" spans="1:3" x14ac:dyDescent="0.35">
      <c r="A3583" t="s">
        <v>10729</v>
      </c>
      <c r="B3583" t="s">
        <v>10730</v>
      </c>
      <c r="C3583" t="s">
        <v>10731</v>
      </c>
    </row>
    <row r="3584" spans="1:3" x14ac:dyDescent="0.35">
      <c r="A3584" t="s">
        <v>10732</v>
      </c>
      <c r="B3584" t="s">
        <v>10733</v>
      </c>
      <c r="C3584" t="s">
        <v>10734</v>
      </c>
    </row>
    <row r="3585" spans="1:3" x14ac:dyDescent="0.35">
      <c r="A3585" t="s">
        <v>10735</v>
      </c>
      <c r="B3585" t="s">
        <v>10736</v>
      </c>
      <c r="C3585" t="s">
        <v>10737</v>
      </c>
    </row>
    <row r="3586" spans="1:3" x14ac:dyDescent="0.35">
      <c r="A3586" t="s">
        <v>10738</v>
      </c>
      <c r="B3586" t="s">
        <v>10739</v>
      </c>
      <c r="C3586" t="s">
        <v>10740</v>
      </c>
    </row>
    <row r="3587" spans="1:3" x14ac:dyDescent="0.35">
      <c r="A3587" t="s">
        <v>10741</v>
      </c>
      <c r="B3587" t="s">
        <v>10742</v>
      </c>
      <c r="C3587" t="s">
        <v>10743</v>
      </c>
    </row>
    <row r="3588" spans="1:3" x14ac:dyDescent="0.35">
      <c r="A3588" t="s">
        <v>10744</v>
      </c>
      <c r="B3588" t="s">
        <v>10745</v>
      </c>
      <c r="C3588" t="s">
        <v>10746</v>
      </c>
    </row>
    <row r="3589" spans="1:3" x14ac:dyDescent="0.35">
      <c r="A3589" t="s">
        <v>10747</v>
      </c>
      <c r="B3589" t="s">
        <v>10748</v>
      </c>
      <c r="C3589" t="s">
        <v>10749</v>
      </c>
    </row>
    <row r="3590" spans="1:3" x14ac:dyDescent="0.35">
      <c r="A3590" t="s">
        <v>10750</v>
      </c>
      <c r="B3590" t="s">
        <v>10751</v>
      </c>
      <c r="C3590" t="s">
        <v>10752</v>
      </c>
    </row>
    <row r="3591" spans="1:3" x14ac:dyDescent="0.35">
      <c r="A3591" t="s">
        <v>10753</v>
      </c>
      <c r="B3591" t="s">
        <v>10754</v>
      </c>
      <c r="C3591" t="s">
        <v>10755</v>
      </c>
    </row>
    <row r="3592" spans="1:3" x14ac:dyDescent="0.35">
      <c r="A3592" t="s">
        <v>10756</v>
      </c>
      <c r="B3592" t="s">
        <v>10757</v>
      </c>
      <c r="C3592" t="s">
        <v>10758</v>
      </c>
    </row>
    <row r="3593" spans="1:3" x14ac:dyDescent="0.35">
      <c r="A3593" t="s">
        <v>10759</v>
      </c>
      <c r="B3593" t="s">
        <v>10760</v>
      </c>
      <c r="C3593" t="s">
        <v>10761</v>
      </c>
    </row>
    <row r="3594" spans="1:3" x14ac:dyDescent="0.35">
      <c r="A3594" t="s">
        <v>10762</v>
      </c>
      <c r="B3594" t="s">
        <v>10763</v>
      </c>
      <c r="C3594" t="s">
        <v>10764</v>
      </c>
    </row>
    <row r="3595" spans="1:3" x14ac:dyDescent="0.35">
      <c r="A3595" t="s">
        <v>10765</v>
      </c>
      <c r="B3595" t="s">
        <v>10766</v>
      </c>
      <c r="C3595" t="s">
        <v>10767</v>
      </c>
    </row>
    <row r="3596" spans="1:3" x14ac:dyDescent="0.35">
      <c r="A3596" t="s">
        <v>99</v>
      </c>
      <c r="B3596" t="s">
        <v>10768</v>
      </c>
      <c r="C3596" t="s">
        <v>10769</v>
      </c>
    </row>
    <row r="3597" spans="1:3" x14ac:dyDescent="0.35">
      <c r="A3597" t="s">
        <v>10770</v>
      </c>
      <c r="B3597" t="s">
        <v>10771</v>
      </c>
      <c r="C3597" t="s">
        <v>10772</v>
      </c>
    </row>
    <row r="3598" spans="1:3" x14ac:dyDescent="0.35">
      <c r="A3598" t="s">
        <v>10773</v>
      </c>
      <c r="B3598" t="s">
        <v>10774</v>
      </c>
      <c r="C3598" t="s">
        <v>10775</v>
      </c>
    </row>
    <row r="3599" spans="1:3" x14ac:dyDescent="0.35">
      <c r="A3599" t="s">
        <v>10776</v>
      </c>
      <c r="B3599" t="s">
        <v>10777</v>
      </c>
      <c r="C3599" t="s">
        <v>10778</v>
      </c>
    </row>
    <row r="3600" spans="1:3" x14ac:dyDescent="0.35">
      <c r="A3600" t="s">
        <v>10779</v>
      </c>
      <c r="B3600" t="s">
        <v>10780</v>
      </c>
      <c r="C3600" t="s">
        <v>10781</v>
      </c>
    </row>
    <row r="3601" spans="1:3" x14ac:dyDescent="0.35">
      <c r="A3601" t="s">
        <v>10782</v>
      </c>
      <c r="B3601" t="s">
        <v>10783</v>
      </c>
      <c r="C3601" t="s">
        <v>10784</v>
      </c>
    </row>
    <row r="3602" spans="1:3" x14ac:dyDescent="0.35">
      <c r="A3602" t="s">
        <v>10785</v>
      </c>
      <c r="B3602" t="s">
        <v>10786</v>
      </c>
      <c r="C3602" t="s">
        <v>10787</v>
      </c>
    </row>
    <row r="3603" spans="1:3" x14ac:dyDescent="0.35">
      <c r="A3603" t="s">
        <v>10788</v>
      </c>
      <c r="B3603" t="s">
        <v>10789</v>
      </c>
      <c r="C3603" t="s">
        <v>10790</v>
      </c>
    </row>
    <row r="3604" spans="1:3" x14ac:dyDescent="0.35">
      <c r="A3604" t="s">
        <v>10788</v>
      </c>
      <c r="B3604" t="s">
        <v>10791</v>
      </c>
      <c r="C3604" t="s">
        <v>10792</v>
      </c>
    </row>
    <row r="3605" spans="1:3" x14ac:dyDescent="0.35">
      <c r="A3605" t="s">
        <v>10793</v>
      </c>
      <c r="B3605" t="s">
        <v>10794</v>
      </c>
      <c r="C3605" t="s">
        <v>10795</v>
      </c>
    </row>
    <row r="3606" spans="1:3" x14ac:dyDescent="0.35">
      <c r="A3606" t="s">
        <v>10796</v>
      </c>
      <c r="B3606" t="s">
        <v>10797</v>
      </c>
      <c r="C3606" t="s">
        <v>10798</v>
      </c>
    </row>
    <row r="3607" spans="1:3" x14ac:dyDescent="0.35">
      <c r="A3607" t="s">
        <v>10799</v>
      </c>
      <c r="B3607" t="s">
        <v>10800</v>
      </c>
      <c r="C3607" t="s">
        <v>10801</v>
      </c>
    </row>
    <row r="3608" spans="1:3" x14ac:dyDescent="0.35">
      <c r="A3608" t="s">
        <v>10802</v>
      </c>
      <c r="B3608" t="s">
        <v>10803</v>
      </c>
      <c r="C3608" t="s">
        <v>10804</v>
      </c>
    </row>
    <row r="3609" spans="1:3" x14ac:dyDescent="0.35">
      <c r="A3609" t="s">
        <v>10805</v>
      </c>
      <c r="B3609" t="s">
        <v>10806</v>
      </c>
      <c r="C3609" t="s">
        <v>10807</v>
      </c>
    </row>
    <row r="3610" spans="1:3" x14ac:dyDescent="0.35">
      <c r="A3610" t="s">
        <v>10808</v>
      </c>
      <c r="B3610" t="s">
        <v>10809</v>
      </c>
      <c r="C3610" t="s">
        <v>10810</v>
      </c>
    </row>
    <row r="3611" spans="1:3" x14ac:dyDescent="0.35">
      <c r="A3611" t="s">
        <v>10811</v>
      </c>
      <c r="B3611" t="s">
        <v>10812</v>
      </c>
      <c r="C3611" t="s">
        <v>10813</v>
      </c>
    </row>
    <row r="3612" spans="1:3" x14ac:dyDescent="0.35">
      <c r="A3612" t="s">
        <v>10814</v>
      </c>
      <c r="B3612" t="s">
        <v>10815</v>
      </c>
      <c r="C3612" t="s">
        <v>10816</v>
      </c>
    </row>
    <row r="3613" spans="1:3" x14ac:dyDescent="0.35">
      <c r="A3613" t="s">
        <v>10817</v>
      </c>
      <c r="B3613" t="s">
        <v>10818</v>
      </c>
      <c r="C3613" t="s">
        <v>10819</v>
      </c>
    </row>
    <row r="3614" spans="1:3" x14ac:dyDescent="0.35">
      <c r="A3614" t="s">
        <v>10820</v>
      </c>
      <c r="B3614" t="s">
        <v>10821</v>
      </c>
      <c r="C3614" t="s">
        <v>10822</v>
      </c>
    </row>
    <row r="3615" spans="1:3" x14ac:dyDescent="0.35">
      <c r="A3615" t="s">
        <v>10823</v>
      </c>
      <c r="B3615" t="s">
        <v>10824</v>
      </c>
      <c r="C3615" t="s">
        <v>10825</v>
      </c>
    </row>
    <row r="3616" spans="1:3" x14ac:dyDescent="0.35">
      <c r="A3616" t="s">
        <v>10826</v>
      </c>
      <c r="B3616" t="s">
        <v>10827</v>
      </c>
      <c r="C3616" t="s">
        <v>10828</v>
      </c>
    </row>
    <row r="3617" spans="1:3" x14ac:dyDescent="0.35">
      <c r="A3617" t="s">
        <v>10829</v>
      </c>
      <c r="B3617" t="s">
        <v>10830</v>
      </c>
      <c r="C3617" t="s">
        <v>10831</v>
      </c>
    </row>
    <row r="3618" spans="1:3" x14ac:dyDescent="0.35">
      <c r="A3618" t="s">
        <v>10832</v>
      </c>
      <c r="B3618" t="s">
        <v>10833</v>
      </c>
      <c r="C3618" t="s">
        <v>10834</v>
      </c>
    </row>
    <row r="3619" spans="1:3" x14ac:dyDescent="0.35">
      <c r="A3619" t="s">
        <v>10835</v>
      </c>
      <c r="B3619" t="s">
        <v>10836</v>
      </c>
      <c r="C3619" t="s">
        <v>10837</v>
      </c>
    </row>
    <row r="3620" spans="1:3" x14ac:dyDescent="0.35">
      <c r="A3620" t="s">
        <v>10838</v>
      </c>
      <c r="B3620" t="s">
        <v>10839</v>
      </c>
      <c r="C3620" t="s">
        <v>10840</v>
      </c>
    </row>
    <row r="3621" spans="1:3" x14ac:dyDescent="0.35">
      <c r="A3621" t="s">
        <v>10841</v>
      </c>
      <c r="B3621" t="s">
        <v>10842</v>
      </c>
      <c r="C3621" t="s">
        <v>10843</v>
      </c>
    </row>
    <row r="3622" spans="1:3" x14ac:dyDescent="0.35">
      <c r="A3622" t="s">
        <v>10844</v>
      </c>
      <c r="B3622" t="s">
        <v>10845</v>
      </c>
      <c r="C3622" t="s">
        <v>10846</v>
      </c>
    </row>
    <row r="3623" spans="1:3" x14ac:dyDescent="0.35">
      <c r="A3623" t="s">
        <v>10847</v>
      </c>
      <c r="B3623" t="s">
        <v>10848</v>
      </c>
      <c r="C3623" t="s">
        <v>10849</v>
      </c>
    </row>
    <row r="3624" spans="1:3" x14ac:dyDescent="0.35">
      <c r="A3624" t="s">
        <v>10850</v>
      </c>
      <c r="B3624" t="s">
        <v>10851</v>
      </c>
      <c r="C3624" t="s">
        <v>10852</v>
      </c>
    </row>
    <row r="3625" spans="1:3" x14ac:dyDescent="0.35">
      <c r="A3625" t="s">
        <v>10853</v>
      </c>
      <c r="B3625" t="s">
        <v>10854</v>
      </c>
      <c r="C3625" t="s">
        <v>10855</v>
      </c>
    </row>
    <row r="3626" spans="1:3" x14ac:dyDescent="0.35">
      <c r="A3626" t="s">
        <v>10856</v>
      </c>
      <c r="B3626" t="s">
        <v>10857</v>
      </c>
      <c r="C3626" t="s">
        <v>10858</v>
      </c>
    </row>
    <row r="3627" spans="1:3" x14ac:dyDescent="0.35">
      <c r="A3627" t="s">
        <v>10859</v>
      </c>
      <c r="B3627" t="s">
        <v>10860</v>
      </c>
      <c r="C3627" t="s">
        <v>10861</v>
      </c>
    </row>
    <row r="3628" spans="1:3" x14ac:dyDescent="0.35">
      <c r="A3628" t="s">
        <v>10862</v>
      </c>
      <c r="B3628" t="s">
        <v>10863</v>
      </c>
      <c r="C3628" t="s">
        <v>10864</v>
      </c>
    </row>
    <row r="3629" spans="1:3" x14ac:dyDescent="0.35">
      <c r="A3629" t="s">
        <v>10865</v>
      </c>
      <c r="B3629" t="s">
        <v>10866</v>
      </c>
      <c r="C3629" t="s">
        <v>10867</v>
      </c>
    </row>
    <row r="3630" spans="1:3" x14ac:dyDescent="0.35">
      <c r="A3630" t="s">
        <v>10868</v>
      </c>
      <c r="B3630" t="s">
        <v>10869</v>
      </c>
      <c r="C3630" t="s">
        <v>10870</v>
      </c>
    </row>
    <row r="3631" spans="1:3" x14ac:dyDescent="0.35">
      <c r="A3631" t="s">
        <v>10871</v>
      </c>
      <c r="B3631" t="s">
        <v>10872</v>
      </c>
      <c r="C3631" t="s">
        <v>10873</v>
      </c>
    </row>
    <row r="3632" spans="1:3" x14ac:dyDescent="0.35">
      <c r="A3632" t="s">
        <v>10874</v>
      </c>
      <c r="B3632" t="s">
        <v>10875</v>
      </c>
      <c r="C3632" t="s">
        <v>10876</v>
      </c>
    </row>
    <row r="3633" spans="1:3" x14ac:dyDescent="0.35">
      <c r="A3633" t="s">
        <v>10877</v>
      </c>
      <c r="B3633" t="s">
        <v>10878</v>
      </c>
      <c r="C3633" t="s">
        <v>10879</v>
      </c>
    </row>
    <row r="3634" spans="1:3" x14ac:dyDescent="0.35">
      <c r="A3634" t="s">
        <v>10880</v>
      </c>
      <c r="B3634" t="s">
        <v>10881</v>
      </c>
      <c r="C3634" t="s">
        <v>10882</v>
      </c>
    </row>
    <row r="3635" spans="1:3" x14ac:dyDescent="0.35">
      <c r="A3635" t="s">
        <v>10883</v>
      </c>
      <c r="B3635" t="s">
        <v>10884</v>
      </c>
      <c r="C3635" t="s">
        <v>10885</v>
      </c>
    </row>
    <row r="3636" spans="1:3" x14ac:dyDescent="0.35">
      <c r="A3636" t="s">
        <v>10883</v>
      </c>
      <c r="B3636" t="s">
        <v>10886</v>
      </c>
      <c r="C3636" t="s">
        <v>10887</v>
      </c>
    </row>
    <row r="3637" spans="1:3" x14ac:dyDescent="0.35">
      <c r="A3637" t="s">
        <v>10888</v>
      </c>
      <c r="B3637" t="s">
        <v>10889</v>
      </c>
      <c r="C3637" t="s">
        <v>10890</v>
      </c>
    </row>
    <row r="3638" spans="1:3" x14ac:dyDescent="0.35">
      <c r="A3638" t="s">
        <v>10891</v>
      </c>
      <c r="B3638" t="s">
        <v>10892</v>
      </c>
      <c r="C3638" t="s">
        <v>10893</v>
      </c>
    </row>
    <row r="3639" spans="1:3" x14ac:dyDescent="0.35">
      <c r="A3639" t="s">
        <v>10894</v>
      </c>
      <c r="B3639" t="s">
        <v>10895</v>
      </c>
      <c r="C3639" t="s">
        <v>10896</v>
      </c>
    </row>
    <row r="3640" spans="1:3" x14ac:dyDescent="0.35">
      <c r="A3640" t="s">
        <v>10897</v>
      </c>
      <c r="B3640" t="s">
        <v>10898</v>
      </c>
      <c r="C3640" t="s">
        <v>10899</v>
      </c>
    </row>
    <row r="3641" spans="1:3" x14ac:dyDescent="0.35">
      <c r="A3641" t="s">
        <v>10900</v>
      </c>
      <c r="B3641" t="s">
        <v>10901</v>
      </c>
      <c r="C3641" t="s">
        <v>10902</v>
      </c>
    </row>
    <row r="3642" spans="1:3" x14ac:dyDescent="0.35">
      <c r="A3642" t="s">
        <v>10903</v>
      </c>
      <c r="B3642" t="s">
        <v>10904</v>
      </c>
      <c r="C3642" t="s">
        <v>10905</v>
      </c>
    </row>
    <row r="3643" spans="1:3" x14ac:dyDescent="0.35">
      <c r="A3643" t="s">
        <v>10906</v>
      </c>
      <c r="B3643" t="s">
        <v>10907</v>
      </c>
      <c r="C3643" t="s">
        <v>10908</v>
      </c>
    </row>
    <row r="3644" spans="1:3" x14ac:dyDescent="0.35">
      <c r="A3644" t="s">
        <v>10909</v>
      </c>
      <c r="B3644" t="s">
        <v>10910</v>
      </c>
      <c r="C3644" t="s">
        <v>10911</v>
      </c>
    </row>
    <row r="3645" spans="1:3" x14ac:dyDescent="0.35">
      <c r="A3645" t="s">
        <v>10912</v>
      </c>
      <c r="B3645" t="s">
        <v>10913</v>
      </c>
      <c r="C3645" t="s">
        <v>10914</v>
      </c>
    </row>
    <row r="3646" spans="1:3" x14ac:dyDescent="0.35">
      <c r="A3646" t="s">
        <v>10915</v>
      </c>
      <c r="B3646" t="s">
        <v>10916</v>
      </c>
      <c r="C3646" t="s">
        <v>10917</v>
      </c>
    </row>
    <row r="3647" spans="1:3" x14ac:dyDescent="0.35">
      <c r="A3647" t="s">
        <v>10918</v>
      </c>
      <c r="B3647" t="s">
        <v>10919</v>
      </c>
      <c r="C3647" t="s">
        <v>10920</v>
      </c>
    </row>
    <row r="3648" spans="1:3" x14ac:dyDescent="0.35">
      <c r="A3648" t="s">
        <v>10921</v>
      </c>
      <c r="B3648" t="s">
        <v>10922</v>
      </c>
      <c r="C3648" t="s">
        <v>10923</v>
      </c>
    </row>
    <row r="3649" spans="1:3" x14ac:dyDescent="0.35">
      <c r="A3649" t="s">
        <v>10924</v>
      </c>
      <c r="B3649" t="s">
        <v>10925</v>
      </c>
      <c r="C3649" t="s">
        <v>10926</v>
      </c>
    </row>
    <row r="3650" spans="1:3" x14ac:dyDescent="0.35">
      <c r="A3650" t="s">
        <v>10927</v>
      </c>
      <c r="B3650" t="s">
        <v>10928</v>
      </c>
      <c r="C3650" t="s">
        <v>10929</v>
      </c>
    </row>
    <row r="3651" spans="1:3" x14ac:dyDescent="0.35">
      <c r="A3651" t="s">
        <v>10930</v>
      </c>
      <c r="B3651" t="s">
        <v>10931</v>
      </c>
      <c r="C3651" t="s">
        <v>10932</v>
      </c>
    </row>
    <row r="3652" spans="1:3" x14ac:dyDescent="0.35">
      <c r="A3652" t="s">
        <v>10933</v>
      </c>
      <c r="B3652" t="s">
        <v>10934</v>
      </c>
      <c r="C3652" t="s">
        <v>10935</v>
      </c>
    </row>
    <row r="3653" spans="1:3" x14ac:dyDescent="0.35">
      <c r="A3653" t="s">
        <v>10936</v>
      </c>
      <c r="B3653" t="s">
        <v>10937</v>
      </c>
      <c r="C3653" t="s">
        <v>10938</v>
      </c>
    </row>
    <row r="3654" spans="1:3" x14ac:dyDescent="0.35">
      <c r="A3654" t="s">
        <v>10939</v>
      </c>
      <c r="B3654" t="s">
        <v>10940</v>
      </c>
      <c r="C3654" t="s">
        <v>10941</v>
      </c>
    </row>
    <row r="3655" spans="1:3" x14ac:dyDescent="0.35">
      <c r="A3655" t="s">
        <v>10942</v>
      </c>
      <c r="B3655" t="s">
        <v>10943</v>
      </c>
      <c r="C3655" t="s">
        <v>10944</v>
      </c>
    </row>
    <row r="3656" spans="1:3" x14ac:dyDescent="0.35">
      <c r="A3656" t="s">
        <v>10945</v>
      </c>
      <c r="B3656" t="s">
        <v>10946</v>
      </c>
      <c r="C3656" t="s">
        <v>10947</v>
      </c>
    </row>
    <row r="3657" spans="1:3" x14ac:dyDescent="0.35">
      <c r="A3657" t="s">
        <v>10948</v>
      </c>
      <c r="B3657" t="s">
        <v>10949</v>
      </c>
      <c r="C3657" t="s">
        <v>10950</v>
      </c>
    </row>
    <row r="3658" spans="1:3" x14ac:dyDescent="0.35">
      <c r="A3658" t="s">
        <v>10951</v>
      </c>
      <c r="B3658" t="s">
        <v>10952</v>
      </c>
      <c r="C3658" t="s">
        <v>10953</v>
      </c>
    </row>
    <row r="3659" spans="1:3" x14ac:dyDescent="0.35">
      <c r="A3659" t="s">
        <v>10954</v>
      </c>
      <c r="B3659" t="s">
        <v>10955</v>
      </c>
      <c r="C3659" t="s">
        <v>10956</v>
      </c>
    </row>
    <row r="3660" spans="1:3" x14ac:dyDescent="0.35">
      <c r="A3660" t="s">
        <v>10957</v>
      </c>
      <c r="B3660" t="s">
        <v>10958</v>
      </c>
      <c r="C3660" t="s">
        <v>10959</v>
      </c>
    </row>
    <row r="3661" spans="1:3" x14ac:dyDescent="0.35">
      <c r="A3661" t="s">
        <v>10960</v>
      </c>
      <c r="B3661" t="s">
        <v>10961</v>
      </c>
      <c r="C3661" t="s">
        <v>10962</v>
      </c>
    </row>
    <row r="3662" spans="1:3" x14ac:dyDescent="0.35">
      <c r="A3662" t="s">
        <v>10963</v>
      </c>
      <c r="B3662" t="s">
        <v>10964</v>
      </c>
      <c r="C3662" t="s">
        <v>10965</v>
      </c>
    </row>
    <row r="3663" spans="1:3" x14ac:dyDescent="0.35">
      <c r="A3663" t="s">
        <v>10966</v>
      </c>
      <c r="B3663" t="s">
        <v>10967</v>
      </c>
      <c r="C3663" t="s">
        <v>10941</v>
      </c>
    </row>
    <row r="3664" spans="1:3" x14ac:dyDescent="0.35">
      <c r="A3664" t="s">
        <v>10968</v>
      </c>
      <c r="B3664" t="s">
        <v>10969</v>
      </c>
      <c r="C3664" t="s">
        <v>10970</v>
      </c>
    </row>
    <row r="3665" spans="1:3" x14ac:dyDescent="0.35">
      <c r="A3665" t="s">
        <v>10971</v>
      </c>
      <c r="B3665" t="s">
        <v>10972</v>
      </c>
      <c r="C3665" t="s">
        <v>10973</v>
      </c>
    </row>
    <row r="3666" spans="1:3" x14ac:dyDescent="0.35">
      <c r="A3666" t="s">
        <v>10974</v>
      </c>
      <c r="B3666" t="s">
        <v>10975</v>
      </c>
      <c r="C3666" t="s">
        <v>10976</v>
      </c>
    </row>
    <row r="3667" spans="1:3" x14ac:dyDescent="0.35">
      <c r="A3667" t="s">
        <v>10977</v>
      </c>
      <c r="B3667" t="s">
        <v>10978</v>
      </c>
      <c r="C3667" t="s">
        <v>10979</v>
      </c>
    </row>
    <row r="3668" spans="1:3" x14ac:dyDescent="0.35">
      <c r="A3668" t="s">
        <v>10980</v>
      </c>
      <c r="B3668" t="s">
        <v>10981</v>
      </c>
      <c r="C3668" t="s">
        <v>10982</v>
      </c>
    </row>
    <row r="3669" spans="1:3" x14ac:dyDescent="0.35">
      <c r="A3669" t="s">
        <v>10983</v>
      </c>
      <c r="B3669" t="s">
        <v>10984</v>
      </c>
      <c r="C3669" t="s">
        <v>456</v>
      </c>
    </row>
    <row r="3670" spans="1:3" x14ac:dyDescent="0.35">
      <c r="A3670" t="s">
        <v>10985</v>
      </c>
      <c r="B3670" t="s">
        <v>10986</v>
      </c>
      <c r="C3670" t="s">
        <v>10987</v>
      </c>
    </row>
    <row r="3671" spans="1:3" x14ac:dyDescent="0.35">
      <c r="A3671" t="s">
        <v>10988</v>
      </c>
      <c r="B3671" t="s">
        <v>10989</v>
      </c>
      <c r="C3671" t="s">
        <v>10990</v>
      </c>
    </row>
    <row r="3672" spans="1:3" x14ac:dyDescent="0.35">
      <c r="A3672" t="s">
        <v>10991</v>
      </c>
      <c r="B3672" t="s">
        <v>10992</v>
      </c>
      <c r="C3672" t="s">
        <v>10993</v>
      </c>
    </row>
    <row r="3673" spans="1:3" x14ac:dyDescent="0.35">
      <c r="A3673" t="s">
        <v>10994</v>
      </c>
      <c r="B3673" t="s">
        <v>10995</v>
      </c>
      <c r="C3673" t="s">
        <v>10996</v>
      </c>
    </row>
    <row r="3674" spans="1:3" x14ac:dyDescent="0.35">
      <c r="A3674" t="s">
        <v>10997</v>
      </c>
      <c r="B3674" t="s">
        <v>10998</v>
      </c>
      <c r="C3674" t="s">
        <v>10999</v>
      </c>
    </row>
    <row r="3675" spans="1:3" x14ac:dyDescent="0.35">
      <c r="A3675" t="s">
        <v>11000</v>
      </c>
      <c r="B3675" t="s">
        <v>11001</v>
      </c>
      <c r="C3675" t="s">
        <v>11002</v>
      </c>
    </row>
    <row r="3676" spans="1:3" x14ac:dyDescent="0.35">
      <c r="A3676" t="s">
        <v>11003</v>
      </c>
      <c r="B3676" t="s">
        <v>11004</v>
      </c>
      <c r="C3676" t="s">
        <v>11005</v>
      </c>
    </row>
    <row r="3677" spans="1:3" x14ac:dyDescent="0.35">
      <c r="A3677" t="s">
        <v>11006</v>
      </c>
      <c r="B3677" t="s">
        <v>11007</v>
      </c>
      <c r="C3677" t="s">
        <v>11008</v>
      </c>
    </row>
    <row r="3678" spans="1:3" x14ac:dyDescent="0.35">
      <c r="A3678" t="s">
        <v>11009</v>
      </c>
      <c r="B3678" t="s">
        <v>11010</v>
      </c>
      <c r="C3678" t="s">
        <v>11011</v>
      </c>
    </row>
    <row r="3679" spans="1:3" x14ac:dyDescent="0.35">
      <c r="A3679" t="s">
        <v>11012</v>
      </c>
      <c r="B3679" t="s">
        <v>11013</v>
      </c>
      <c r="C3679" t="s">
        <v>11014</v>
      </c>
    </row>
    <row r="3680" spans="1:3" x14ac:dyDescent="0.35">
      <c r="A3680" t="s">
        <v>11015</v>
      </c>
      <c r="B3680" t="s">
        <v>11016</v>
      </c>
      <c r="C3680" t="s">
        <v>11017</v>
      </c>
    </row>
    <row r="3681" spans="1:3" x14ac:dyDescent="0.35">
      <c r="A3681" t="s">
        <v>11018</v>
      </c>
      <c r="B3681" t="s">
        <v>11019</v>
      </c>
      <c r="C3681" t="s">
        <v>11020</v>
      </c>
    </row>
    <row r="3682" spans="1:3" x14ac:dyDescent="0.35">
      <c r="A3682" t="s">
        <v>11021</v>
      </c>
      <c r="B3682" t="s">
        <v>11022</v>
      </c>
      <c r="C3682" t="s">
        <v>11023</v>
      </c>
    </row>
    <row r="3683" spans="1:3" x14ac:dyDescent="0.35">
      <c r="A3683" t="s">
        <v>11024</v>
      </c>
      <c r="B3683" t="s">
        <v>11025</v>
      </c>
      <c r="C3683" t="s">
        <v>11026</v>
      </c>
    </row>
    <row r="3684" spans="1:3" x14ac:dyDescent="0.35">
      <c r="A3684" t="s">
        <v>11027</v>
      </c>
      <c r="B3684" t="s">
        <v>11028</v>
      </c>
      <c r="C3684" t="s">
        <v>11029</v>
      </c>
    </row>
    <row r="3685" spans="1:3" x14ac:dyDescent="0.35">
      <c r="A3685" t="s">
        <v>11030</v>
      </c>
      <c r="B3685" t="s">
        <v>11031</v>
      </c>
      <c r="C3685" t="s">
        <v>11032</v>
      </c>
    </row>
    <row r="3686" spans="1:3" x14ac:dyDescent="0.35">
      <c r="A3686" t="s">
        <v>11033</v>
      </c>
      <c r="B3686" t="s">
        <v>11034</v>
      </c>
      <c r="C3686" t="s">
        <v>11035</v>
      </c>
    </row>
    <row r="3687" spans="1:3" x14ac:dyDescent="0.35">
      <c r="A3687" t="s">
        <v>11036</v>
      </c>
      <c r="B3687" t="s">
        <v>11037</v>
      </c>
      <c r="C3687" t="s">
        <v>11038</v>
      </c>
    </row>
    <row r="3688" spans="1:3" x14ac:dyDescent="0.35">
      <c r="A3688" t="s">
        <v>11039</v>
      </c>
      <c r="B3688" t="s">
        <v>11040</v>
      </c>
      <c r="C3688" t="s">
        <v>11041</v>
      </c>
    </row>
    <row r="3689" spans="1:3" x14ac:dyDescent="0.35">
      <c r="A3689" t="s">
        <v>11042</v>
      </c>
      <c r="B3689" t="s">
        <v>11043</v>
      </c>
      <c r="C3689" t="s">
        <v>11044</v>
      </c>
    </row>
    <row r="3690" spans="1:3" x14ac:dyDescent="0.35">
      <c r="A3690" t="s">
        <v>11045</v>
      </c>
      <c r="B3690" t="s">
        <v>11046</v>
      </c>
      <c r="C3690" t="s">
        <v>11047</v>
      </c>
    </row>
    <row r="3691" spans="1:3" x14ac:dyDescent="0.35">
      <c r="A3691" t="s">
        <v>11048</v>
      </c>
      <c r="B3691" t="s">
        <v>11049</v>
      </c>
      <c r="C3691" t="s">
        <v>11050</v>
      </c>
    </row>
    <row r="3692" spans="1:3" x14ac:dyDescent="0.35">
      <c r="A3692" t="s">
        <v>11051</v>
      </c>
      <c r="B3692" t="s">
        <v>11052</v>
      </c>
      <c r="C3692" t="s">
        <v>11053</v>
      </c>
    </row>
    <row r="3693" spans="1:3" x14ac:dyDescent="0.35">
      <c r="A3693" t="s">
        <v>11054</v>
      </c>
      <c r="B3693" t="s">
        <v>11055</v>
      </c>
      <c r="C3693" t="s">
        <v>11056</v>
      </c>
    </row>
    <row r="3694" spans="1:3" x14ac:dyDescent="0.35">
      <c r="A3694" t="s">
        <v>11057</v>
      </c>
      <c r="B3694" t="s">
        <v>11058</v>
      </c>
      <c r="C3694" t="s">
        <v>11059</v>
      </c>
    </row>
    <row r="3695" spans="1:3" x14ac:dyDescent="0.35">
      <c r="A3695" t="s">
        <v>11060</v>
      </c>
      <c r="B3695" t="s">
        <v>11061</v>
      </c>
      <c r="C3695" t="s">
        <v>11062</v>
      </c>
    </row>
    <row r="3696" spans="1:3" x14ac:dyDescent="0.35">
      <c r="A3696" t="s">
        <v>11063</v>
      </c>
      <c r="B3696" t="s">
        <v>11064</v>
      </c>
      <c r="C3696" t="s">
        <v>11065</v>
      </c>
    </row>
    <row r="3697" spans="1:3" x14ac:dyDescent="0.35">
      <c r="A3697" t="s">
        <v>11066</v>
      </c>
      <c r="B3697" t="s">
        <v>11067</v>
      </c>
      <c r="C3697" t="s">
        <v>11068</v>
      </c>
    </row>
    <row r="3698" spans="1:3" x14ac:dyDescent="0.35">
      <c r="A3698" t="s">
        <v>11069</v>
      </c>
      <c r="B3698" t="s">
        <v>11070</v>
      </c>
      <c r="C3698" t="s">
        <v>11071</v>
      </c>
    </row>
    <row r="3699" spans="1:3" x14ac:dyDescent="0.35">
      <c r="A3699" t="s">
        <v>11072</v>
      </c>
      <c r="B3699" t="s">
        <v>11073</v>
      </c>
      <c r="C3699" t="s">
        <v>11074</v>
      </c>
    </row>
    <row r="3700" spans="1:3" x14ac:dyDescent="0.35">
      <c r="A3700" t="s">
        <v>11075</v>
      </c>
      <c r="B3700" t="s">
        <v>11076</v>
      </c>
      <c r="C3700" t="s">
        <v>11077</v>
      </c>
    </row>
    <row r="3701" spans="1:3" x14ac:dyDescent="0.35">
      <c r="A3701" t="s">
        <v>11078</v>
      </c>
      <c r="B3701" t="s">
        <v>11079</v>
      </c>
      <c r="C3701" t="s">
        <v>9405</v>
      </c>
    </row>
    <row r="3702" spans="1:3" x14ac:dyDescent="0.35">
      <c r="A3702" t="s">
        <v>11080</v>
      </c>
      <c r="B3702" t="s">
        <v>11081</v>
      </c>
      <c r="C3702" t="s">
        <v>11082</v>
      </c>
    </row>
    <row r="3703" spans="1:3" x14ac:dyDescent="0.35">
      <c r="A3703" t="s">
        <v>11083</v>
      </c>
      <c r="B3703" t="s">
        <v>11084</v>
      </c>
      <c r="C3703" t="s">
        <v>11085</v>
      </c>
    </row>
    <row r="3704" spans="1:3" x14ac:dyDescent="0.35">
      <c r="A3704" t="s">
        <v>11086</v>
      </c>
      <c r="B3704" t="s">
        <v>11087</v>
      </c>
      <c r="C3704" t="s">
        <v>11088</v>
      </c>
    </row>
    <row r="3705" spans="1:3" x14ac:dyDescent="0.35">
      <c r="A3705" t="s">
        <v>11089</v>
      </c>
      <c r="B3705" t="s">
        <v>11090</v>
      </c>
      <c r="C3705" t="s">
        <v>11091</v>
      </c>
    </row>
    <row r="3706" spans="1:3" x14ac:dyDescent="0.35">
      <c r="A3706" t="s">
        <v>11092</v>
      </c>
      <c r="B3706" t="s">
        <v>11093</v>
      </c>
      <c r="C3706" t="s">
        <v>11094</v>
      </c>
    </row>
    <row r="3707" spans="1:3" x14ac:dyDescent="0.35">
      <c r="A3707" t="s">
        <v>11095</v>
      </c>
      <c r="B3707" t="s">
        <v>11096</v>
      </c>
      <c r="C3707" t="s">
        <v>11097</v>
      </c>
    </row>
    <row r="3708" spans="1:3" x14ac:dyDescent="0.35">
      <c r="A3708" t="s">
        <v>11098</v>
      </c>
      <c r="B3708" t="s">
        <v>11099</v>
      </c>
      <c r="C3708" t="s">
        <v>11100</v>
      </c>
    </row>
    <row r="3709" spans="1:3" x14ac:dyDescent="0.35">
      <c r="A3709" t="s">
        <v>11101</v>
      </c>
      <c r="B3709" t="s">
        <v>11102</v>
      </c>
      <c r="C3709" t="s">
        <v>11103</v>
      </c>
    </row>
    <row r="3710" spans="1:3" x14ac:dyDescent="0.35">
      <c r="A3710" t="s">
        <v>11104</v>
      </c>
      <c r="B3710" t="s">
        <v>11105</v>
      </c>
      <c r="C3710" t="s">
        <v>11106</v>
      </c>
    </row>
    <row r="3711" spans="1:3" x14ac:dyDescent="0.35">
      <c r="A3711" t="s">
        <v>11104</v>
      </c>
      <c r="B3711" t="s">
        <v>11107</v>
      </c>
      <c r="C3711" t="s">
        <v>11108</v>
      </c>
    </row>
    <row r="3712" spans="1:3" x14ac:dyDescent="0.35">
      <c r="A3712" t="s">
        <v>11109</v>
      </c>
      <c r="B3712" t="s">
        <v>11110</v>
      </c>
      <c r="C3712" t="s">
        <v>11111</v>
      </c>
    </row>
    <row r="3713" spans="1:3" x14ac:dyDescent="0.35">
      <c r="A3713" t="s">
        <v>11112</v>
      </c>
      <c r="B3713" t="s">
        <v>11113</v>
      </c>
      <c r="C3713" t="s">
        <v>11114</v>
      </c>
    </row>
    <row r="3714" spans="1:3" x14ac:dyDescent="0.35">
      <c r="A3714" t="s">
        <v>11115</v>
      </c>
      <c r="B3714" t="s">
        <v>11116</v>
      </c>
      <c r="C3714" t="s">
        <v>11117</v>
      </c>
    </row>
    <row r="3715" spans="1:3" x14ac:dyDescent="0.35">
      <c r="A3715" t="s">
        <v>11118</v>
      </c>
      <c r="B3715" t="s">
        <v>11119</v>
      </c>
      <c r="C3715" t="s">
        <v>11120</v>
      </c>
    </row>
    <row r="3716" spans="1:3" x14ac:dyDescent="0.35">
      <c r="A3716" t="s">
        <v>11121</v>
      </c>
      <c r="B3716" t="s">
        <v>11122</v>
      </c>
      <c r="C3716" t="s">
        <v>11123</v>
      </c>
    </row>
    <row r="3717" spans="1:3" x14ac:dyDescent="0.35">
      <c r="A3717" t="s">
        <v>11124</v>
      </c>
      <c r="B3717" t="s">
        <v>11125</v>
      </c>
      <c r="C3717" t="s">
        <v>11126</v>
      </c>
    </row>
    <row r="3718" spans="1:3" x14ac:dyDescent="0.35">
      <c r="A3718" t="s">
        <v>11127</v>
      </c>
      <c r="B3718" t="s">
        <v>11128</v>
      </c>
      <c r="C3718" t="s">
        <v>11129</v>
      </c>
    </row>
    <row r="3719" spans="1:3" x14ac:dyDescent="0.35">
      <c r="A3719" t="s">
        <v>11130</v>
      </c>
      <c r="B3719" t="s">
        <v>11131</v>
      </c>
      <c r="C3719" t="s">
        <v>11132</v>
      </c>
    </row>
    <row r="3720" spans="1:3" x14ac:dyDescent="0.35">
      <c r="A3720" t="s">
        <v>11133</v>
      </c>
      <c r="B3720" t="s">
        <v>11134</v>
      </c>
      <c r="C3720" t="s">
        <v>11135</v>
      </c>
    </row>
    <row r="3721" spans="1:3" x14ac:dyDescent="0.35">
      <c r="A3721" t="s">
        <v>11136</v>
      </c>
      <c r="B3721" t="s">
        <v>11137</v>
      </c>
      <c r="C3721" t="s">
        <v>11138</v>
      </c>
    </row>
    <row r="3722" spans="1:3" x14ac:dyDescent="0.35">
      <c r="A3722" t="s">
        <v>11139</v>
      </c>
      <c r="B3722" t="s">
        <v>11140</v>
      </c>
      <c r="C3722" t="s">
        <v>11141</v>
      </c>
    </row>
    <row r="3723" spans="1:3" x14ac:dyDescent="0.35">
      <c r="A3723" t="s">
        <v>11142</v>
      </c>
      <c r="B3723" t="s">
        <v>11143</v>
      </c>
      <c r="C3723" t="s">
        <v>11144</v>
      </c>
    </row>
    <row r="3724" spans="1:3" x14ac:dyDescent="0.35">
      <c r="A3724" t="s">
        <v>11145</v>
      </c>
      <c r="B3724" t="s">
        <v>11146</v>
      </c>
      <c r="C3724" t="s">
        <v>11147</v>
      </c>
    </row>
    <row r="3725" spans="1:3" x14ac:dyDescent="0.35">
      <c r="A3725" t="s">
        <v>11148</v>
      </c>
      <c r="B3725" t="s">
        <v>11149</v>
      </c>
      <c r="C3725" t="s">
        <v>11150</v>
      </c>
    </row>
    <row r="3726" spans="1:3" x14ac:dyDescent="0.35">
      <c r="A3726" t="s">
        <v>11151</v>
      </c>
      <c r="B3726" t="s">
        <v>11152</v>
      </c>
      <c r="C3726" t="s">
        <v>11153</v>
      </c>
    </row>
    <row r="3727" spans="1:3" x14ac:dyDescent="0.35">
      <c r="A3727" t="s">
        <v>11154</v>
      </c>
      <c r="B3727" t="s">
        <v>11155</v>
      </c>
      <c r="C3727" t="s">
        <v>11156</v>
      </c>
    </row>
    <row r="3728" spans="1:3" x14ac:dyDescent="0.35">
      <c r="A3728" t="s">
        <v>11157</v>
      </c>
      <c r="B3728" t="s">
        <v>11158</v>
      </c>
      <c r="C3728" t="s">
        <v>11159</v>
      </c>
    </row>
    <row r="3729" spans="1:3" x14ac:dyDescent="0.35">
      <c r="A3729" t="s">
        <v>11160</v>
      </c>
      <c r="B3729" t="s">
        <v>11161</v>
      </c>
      <c r="C3729" t="s">
        <v>11162</v>
      </c>
    </row>
    <row r="3730" spans="1:3" x14ac:dyDescent="0.35">
      <c r="A3730" t="s">
        <v>11163</v>
      </c>
      <c r="B3730" t="s">
        <v>11164</v>
      </c>
      <c r="C3730" t="s">
        <v>11165</v>
      </c>
    </row>
    <row r="3731" spans="1:3" x14ac:dyDescent="0.35">
      <c r="A3731" t="s">
        <v>11166</v>
      </c>
      <c r="B3731" t="s">
        <v>11167</v>
      </c>
      <c r="C3731" t="s">
        <v>11168</v>
      </c>
    </row>
    <row r="3732" spans="1:3" x14ac:dyDescent="0.35">
      <c r="A3732" t="s">
        <v>11169</v>
      </c>
      <c r="B3732" t="s">
        <v>11170</v>
      </c>
      <c r="C3732" t="s">
        <v>11171</v>
      </c>
    </row>
    <row r="3733" spans="1:3" x14ac:dyDescent="0.35">
      <c r="A3733" t="s">
        <v>11172</v>
      </c>
      <c r="B3733" t="s">
        <v>11173</v>
      </c>
      <c r="C3733" t="s">
        <v>11174</v>
      </c>
    </row>
    <row r="3734" spans="1:3" x14ac:dyDescent="0.35">
      <c r="A3734" t="s">
        <v>11175</v>
      </c>
      <c r="B3734" t="s">
        <v>11176</v>
      </c>
      <c r="C3734" t="s">
        <v>11177</v>
      </c>
    </row>
    <row r="3735" spans="1:3" x14ac:dyDescent="0.35">
      <c r="A3735" t="s">
        <v>11178</v>
      </c>
      <c r="B3735" t="s">
        <v>11179</v>
      </c>
      <c r="C3735" t="s">
        <v>11180</v>
      </c>
    </row>
    <row r="3736" spans="1:3" x14ac:dyDescent="0.35">
      <c r="A3736" t="s">
        <v>11181</v>
      </c>
      <c r="B3736" t="s">
        <v>11182</v>
      </c>
      <c r="C3736" t="s">
        <v>11183</v>
      </c>
    </row>
    <row r="3737" spans="1:3" x14ac:dyDescent="0.35">
      <c r="A3737" t="s">
        <v>11184</v>
      </c>
      <c r="B3737" t="s">
        <v>11185</v>
      </c>
      <c r="C3737" t="s">
        <v>11186</v>
      </c>
    </row>
    <row r="3738" spans="1:3" x14ac:dyDescent="0.35">
      <c r="A3738" t="s">
        <v>11187</v>
      </c>
      <c r="B3738" t="s">
        <v>11188</v>
      </c>
      <c r="C3738" t="s">
        <v>11189</v>
      </c>
    </row>
    <row r="3739" spans="1:3" x14ac:dyDescent="0.35">
      <c r="A3739" t="s">
        <v>11190</v>
      </c>
      <c r="B3739" t="s">
        <v>11191</v>
      </c>
      <c r="C3739" t="s">
        <v>11192</v>
      </c>
    </row>
    <row r="3740" spans="1:3" x14ac:dyDescent="0.35">
      <c r="A3740" t="s">
        <v>11193</v>
      </c>
      <c r="B3740" t="s">
        <v>11194</v>
      </c>
      <c r="C3740" t="s">
        <v>11195</v>
      </c>
    </row>
    <row r="3741" spans="1:3" x14ac:dyDescent="0.35">
      <c r="A3741" t="s">
        <v>11196</v>
      </c>
      <c r="B3741" t="s">
        <v>11197</v>
      </c>
      <c r="C3741" t="s">
        <v>11198</v>
      </c>
    </row>
    <row r="3742" spans="1:3" x14ac:dyDescent="0.35">
      <c r="A3742" t="s">
        <v>11199</v>
      </c>
      <c r="B3742" t="s">
        <v>11200</v>
      </c>
      <c r="C3742" t="s">
        <v>11201</v>
      </c>
    </row>
    <row r="3743" spans="1:3" x14ac:dyDescent="0.35">
      <c r="A3743" t="s">
        <v>11202</v>
      </c>
      <c r="B3743" t="s">
        <v>11203</v>
      </c>
      <c r="C3743" t="s">
        <v>11204</v>
      </c>
    </row>
    <row r="3744" spans="1:3" x14ac:dyDescent="0.35">
      <c r="A3744" t="s">
        <v>11205</v>
      </c>
      <c r="B3744" t="s">
        <v>11206</v>
      </c>
      <c r="C3744" t="s">
        <v>11207</v>
      </c>
    </row>
    <row r="3745" spans="1:3" x14ac:dyDescent="0.35">
      <c r="A3745" t="s">
        <v>11208</v>
      </c>
      <c r="B3745" t="s">
        <v>11209</v>
      </c>
      <c r="C3745" t="s">
        <v>11210</v>
      </c>
    </row>
    <row r="3746" spans="1:3" x14ac:dyDescent="0.35">
      <c r="A3746" t="s">
        <v>11211</v>
      </c>
      <c r="B3746" t="s">
        <v>11212</v>
      </c>
      <c r="C3746" t="s">
        <v>11213</v>
      </c>
    </row>
    <row r="3747" spans="1:3" x14ac:dyDescent="0.35">
      <c r="A3747" t="s">
        <v>11214</v>
      </c>
      <c r="B3747" t="s">
        <v>11215</v>
      </c>
      <c r="C3747" t="s">
        <v>11216</v>
      </c>
    </row>
    <row r="3748" spans="1:3" x14ac:dyDescent="0.35">
      <c r="A3748" t="s">
        <v>11217</v>
      </c>
      <c r="B3748" t="s">
        <v>11218</v>
      </c>
      <c r="C3748" t="s">
        <v>11219</v>
      </c>
    </row>
    <row r="3749" spans="1:3" x14ac:dyDescent="0.35">
      <c r="A3749" t="s">
        <v>11220</v>
      </c>
      <c r="B3749" t="s">
        <v>11221</v>
      </c>
      <c r="C3749" t="s">
        <v>11222</v>
      </c>
    </row>
    <row r="3750" spans="1:3" x14ac:dyDescent="0.35">
      <c r="A3750" t="s">
        <v>11223</v>
      </c>
      <c r="B3750" t="s">
        <v>11224</v>
      </c>
      <c r="C3750" t="s">
        <v>11225</v>
      </c>
    </row>
    <row r="3751" spans="1:3" x14ac:dyDescent="0.35">
      <c r="A3751" t="s">
        <v>11226</v>
      </c>
      <c r="B3751" t="s">
        <v>11227</v>
      </c>
      <c r="C3751" t="s">
        <v>11228</v>
      </c>
    </row>
    <row r="3752" spans="1:3" x14ac:dyDescent="0.35">
      <c r="A3752" t="s">
        <v>11229</v>
      </c>
      <c r="B3752" t="s">
        <v>11230</v>
      </c>
      <c r="C3752" t="s">
        <v>11231</v>
      </c>
    </row>
    <row r="3753" spans="1:3" x14ac:dyDescent="0.35">
      <c r="A3753" t="s">
        <v>11232</v>
      </c>
      <c r="B3753" t="s">
        <v>11233</v>
      </c>
      <c r="C3753" t="s">
        <v>11234</v>
      </c>
    </row>
    <row r="3754" spans="1:3" x14ac:dyDescent="0.35">
      <c r="A3754" t="s">
        <v>11235</v>
      </c>
      <c r="B3754" t="s">
        <v>11236</v>
      </c>
      <c r="C3754" t="s">
        <v>11237</v>
      </c>
    </row>
    <row r="3755" spans="1:3" x14ac:dyDescent="0.35">
      <c r="A3755" t="s">
        <v>11238</v>
      </c>
      <c r="B3755" t="s">
        <v>11239</v>
      </c>
      <c r="C3755" t="s">
        <v>11240</v>
      </c>
    </row>
    <row r="3756" spans="1:3" x14ac:dyDescent="0.35">
      <c r="A3756" t="s">
        <v>11241</v>
      </c>
      <c r="B3756" t="s">
        <v>11242</v>
      </c>
      <c r="C3756" t="s">
        <v>11243</v>
      </c>
    </row>
    <row r="3757" spans="1:3" x14ac:dyDescent="0.35">
      <c r="A3757" t="s">
        <v>11244</v>
      </c>
      <c r="B3757" t="s">
        <v>11245</v>
      </c>
      <c r="C3757" t="s">
        <v>11246</v>
      </c>
    </row>
    <row r="3758" spans="1:3" x14ac:dyDescent="0.35">
      <c r="A3758" t="s">
        <v>11247</v>
      </c>
      <c r="B3758" t="s">
        <v>11248</v>
      </c>
      <c r="C3758" t="s">
        <v>11249</v>
      </c>
    </row>
    <row r="3759" spans="1:3" x14ac:dyDescent="0.35">
      <c r="A3759" t="s">
        <v>11250</v>
      </c>
      <c r="B3759" t="s">
        <v>11251</v>
      </c>
      <c r="C3759" t="s">
        <v>11252</v>
      </c>
    </row>
    <row r="3760" spans="1:3" x14ac:dyDescent="0.35">
      <c r="A3760" t="s">
        <v>11253</v>
      </c>
      <c r="B3760" t="s">
        <v>11254</v>
      </c>
      <c r="C3760" t="s">
        <v>11255</v>
      </c>
    </row>
    <row r="3761" spans="1:3" x14ac:dyDescent="0.35">
      <c r="A3761" t="s">
        <v>11256</v>
      </c>
      <c r="B3761" t="s">
        <v>11257</v>
      </c>
      <c r="C3761" t="s">
        <v>11258</v>
      </c>
    </row>
    <row r="3762" spans="1:3" x14ac:dyDescent="0.35">
      <c r="A3762" t="s">
        <v>11259</v>
      </c>
      <c r="B3762" t="s">
        <v>11260</v>
      </c>
      <c r="C3762" t="s">
        <v>11261</v>
      </c>
    </row>
    <row r="3763" spans="1:3" x14ac:dyDescent="0.35">
      <c r="A3763" t="s">
        <v>11262</v>
      </c>
      <c r="B3763" t="s">
        <v>11263</v>
      </c>
      <c r="C3763" t="s">
        <v>11264</v>
      </c>
    </row>
    <row r="3764" spans="1:3" x14ac:dyDescent="0.35">
      <c r="A3764" t="s">
        <v>11265</v>
      </c>
      <c r="B3764" t="s">
        <v>11266</v>
      </c>
      <c r="C3764" t="s">
        <v>11267</v>
      </c>
    </row>
    <row r="3765" spans="1:3" x14ac:dyDescent="0.35">
      <c r="A3765" t="s">
        <v>11268</v>
      </c>
      <c r="B3765" t="s">
        <v>11269</v>
      </c>
      <c r="C3765" t="s">
        <v>11270</v>
      </c>
    </row>
    <row r="3766" spans="1:3" x14ac:dyDescent="0.35">
      <c r="A3766" t="s">
        <v>11271</v>
      </c>
      <c r="B3766" t="s">
        <v>11272</v>
      </c>
      <c r="C3766" t="s">
        <v>11273</v>
      </c>
    </row>
    <row r="3767" spans="1:3" x14ac:dyDescent="0.35">
      <c r="A3767" t="s">
        <v>11274</v>
      </c>
      <c r="B3767" t="s">
        <v>11275</v>
      </c>
      <c r="C3767" t="s">
        <v>11276</v>
      </c>
    </row>
    <row r="3768" spans="1:3" x14ac:dyDescent="0.35">
      <c r="A3768" t="s">
        <v>11277</v>
      </c>
      <c r="B3768" t="s">
        <v>11278</v>
      </c>
      <c r="C3768" t="s">
        <v>11279</v>
      </c>
    </row>
    <row r="3769" spans="1:3" x14ac:dyDescent="0.35">
      <c r="A3769" t="s">
        <v>11280</v>
      </c>
      <c r="B3769" t="s">
        <v>11281</v>
      </c>
      <c r="C3769" t="s">
        <v>11282</v>
      </c>
    </row>
    <row r="3770" spans="1:3" x14ac:dyDescent="0.35">
      <c r="A3770" t="s">
        <v>11283</v>
      </c>
      <c r="B3770" t="s">
        <v>11284</v>
      </c>
      <c r="C3770" t="s">
        <v>11285</v>
      </c>
    </row>
    <row r="3771" spans="1:3" x14ac:dyDescent="0.35">
      <c r="A3771" t="s">
        <v>11286</v>
      </c>
      <c r="B3771" t="s">
        <v>11287</v>
      </c>
      <c r="C3771" t="s">
        <v>11288</v>
      </c>
    </row>
    <row r="3772" spans="1:3" x14ac:dyDescent="0.35">
      <c r="A3772" t="s">
        <v>11289</v>
      </c>
      <c r="B3772" t="s">
        <v>11290</v>
      </c>
      <c r="C3772" t="s">
        <v>11291</v>
      </c>
    </row>
    <row r="3773" spans="1:3" x14ac:dyDescent="0.35">
      <c r="A3773" t="s">
        <v>11292</v>
      </c>
      <c r="B3773" t="s">
        <v>11293</v>
      </c>
      <c r="C3773" t="s">
        <v>11294</v>
      </c>
    </row>
    <row r="3774" spans="1:3" x14ac:dyDescent="0.35">
      <c r="A3774" t="s">
        <v>11295</v>
      </c>
      <c r="B3774" t="s">
        <v>11296</v>
      </c>
      <c r="C3774" t="s">
        <v>11297</v>
      </c>
    </row>
    <row r="3775" spans="1:3" x14ac:dyDescent="0.35">
      <c r="A3775" t="s">
        <v>11298</v>
      </c>
      <c r="B3775" t="s">
        <v>11299</v>
      </c>
      <c r="C3775" t="s">
        <v>11300</v>
      </c>
    </row>
    <row r="3776" spans="1:3" x14ac:dyDescent="0.35">
      <c r="A3776" t="s">
        <v>11301</v>
      </c>
      <c r="B3776" t="s">
        <v>11302</v>
      </c>
      <c r="C3776" t="s">
        <v>8673</v>
      </c>
    </row>
    <row r="3777" spans="1:3" x14ac:dyDescent="0.35">
      <c r="A3777" t="s">
        <v>11303</v>
      </c>
      <c r="B3777" t="s">
        <v>11304</v>
      </c>
      <c r="C3777" t="s">
        <v>11305</v>
      </c>
    </row>
    <row r="3778" spans="1:3" x14ac:dyDescent="0.35">
      <c r="A3778" t="s">
        <v>11306</v>
      </c>
      <c r="B3778" t="s">
        <v>11307</v>
      </c>
      <c r="C3778" t="s">
        <v>11308</v>
      </c>
    </row>
    <row r="3779" spans="1:3" x14ac:dyDescent="0.35">
      <c r="A3779" t="s">
        <v>11309</v>
      </c>
      <c r="B3779" t="s">
        <v>11310</v>
      </c>
      <c r="C3779" t="s">
        <v>11311</v>
      </c>
    </row>
    <row r="3780" spans="1:3" x14ac:dyDescent="0.35">
      <c r="A3780" t="s">
        <v>11312</v>
      </c>
      <c r="B3780" t="s">
        <v>11313</v>
      </c>
      <c r="C3780" t="s">
        <v>11314</v>
      </c>
    </row>
    <row r="3781" spans="1:3" x14ac:dyDescent="0.35">
      <c r="A3781" t="s">
        <v>11315</v>
      </c>
      <c r="B3781" t="s">
        <v>11316</v>
      </c>
      <c r="C3781" t="s">
        <v>11317</v>
      </c>
    </row>
    <row r="3782" spans="1:3" x14ac:dyDescent="0.35">
      <c r="A3782" t="s">
        <v>11318</v>
      </c>
      <c r="B3782" t="s">
        <v>11319</v>
      </c>
      <c r="C3782" t="s">
        <v>11320</v>
      </c>
    </row>
    <row r="3783" spans="1:3" x14ac:dyDescent="0.35">
      <c r="A3783" t="s">
        <v>11321</v>
      </c>
      <c r="B3783" t="s">
        <v>11322</v>
      </c>
      <c r="C3783" t="s">
        <v>11323</v>
      </c>
    </row>
    <row r="3784" spans="1:3" x14ac:dyDescent="0.35">
      <c r="A3784" t="s">
        <v>11324</v>
      </c>
      <c r="B3784" t="s">
        <v>11325</v>
      </c>
      <c r="C3784" t="s">
        <v>9141</v>
      </c>
    </row>
    <row r="3785" spans="1:3" x14ac:dyDescent="0.35">
      <c r="A3785" t="s">
        <v>11326</v>
      </c>
      <c r="B3785" t="s">
        <v>11327</v>
      </c>
      <c r="C3785" t="s">
        <v>11328</v>
      </c>
    </row>
    <row r="3786" spans="1:3" x14ac:dyDescent="0.35">
      <c r="A3786" t="s">
        <v>11329</v>
      </c>
      <c r="B3786" t="s">
        <v>11330</v>
      </c>
      <c r="C3786" t="s">
        <v>11331</v>
      </c>
    </row>
    <row r="3787" spans="1:3" x14ac:dyDescent="0.35">
      <c r="A3787" t="s">
        <v>11332</v>
      </c>
      <c r="B3787" t="s">
        <v>11333</v>
      </c>
      <c r="C3787" t="s">
        <v>11334</v>
      </c>
    </row>
    <row r="3788" spans="1:3" x14ac:dyDescent="0.35">
      <c r="A3788" t="s">
        <v>11335</v>
      </c>
      <c r="B3788" t="s">
        <v>11336</v>
      </c>
      <c r="C3788" t="s">
        <v>11337</v>
      </c>
    </row>
    <row r="3789" spans="1:3" x14ac:dyDescent="0.35">
      <c r="A3789" t="s">
        <v>11338</v>
      </c>
      <c r="B3789" t="s">
        <v>11339</v>
      </c>
      <c r="C3789" t="s">
        <v>11340</v>
      </c>
    </row>
    <row r="3790" spans="1:3" x14ac:dyDescent="0.35">
      <c r="A3790" t="s">
        <v>11341</v>
      </c>
      <c r="B3790" t="s">
        <v>11342</v>
      </c>
      <c r="C3790" t="s">
        <v>11343</v>
      </c>
    </row>
    <row r="3791" spans="1:3" x14ac:dyDescent="0.35">
      <c r="A3791" t="s">
        <v>11344</v>
      </c>
      <c r="B3791" t="s">
        <v>11345</v>
      </c>
      <c r="C3791" t="s">
        <v>11346</v>
      </c>
    </row>
    <row r="3792" spans="1:3" x14ac:dyDescent="0.35">
      <c r="A3792" t="s">
        <v>11347</v>
      </c>
      <c r="B3792" t="s">
        <v>11348</v>
      </c>
      <c r="C3792" t="s">
        <v>11349</v>
      </c>
    </row>
    <row r="3793" spans="1:3" x14ac:dyDescent="0.35">
      <c r="A3793" t="s">
        <v>11350</v>
      </c>
      <c r="B3793" t="s">
        <v>11351</v>
      </c>
      <c r="C3793" t="s">
        <v>11352</v>
      </c>
    </row>
    <row r="3794" spans="1:3" x14ac:dyDescent="0.35">
      <c r="A3794" t="s">
        <v>11353</v>
      </c>
      <c r="B3794" t="s">
        <v>11354</v>
      </c>
      <c r="C3794" t="s">
        <v>11355</v>
      </c>
    </row>
    <row r="3795" spans="1:3" x14ac:dyDescent="0.35">
      <c r="A3795" t="s">
        <v>11356</v>
      </c>
      <c r="B3795" t="s">
        <v>11357</v>
      </c>
      <c r="C3795" t="s">
        <v>11358</v>
      </c>
    </row>
    <row r="3796" spans="1:3" x14ac:dyDescent="0.35">
      <c r="A3796" t="s">
        <v>11359</v>
      </c>
      <c r="B3796" t="s">
        <v>11360</v>
      </c>
      <c r="C3796" t="s">
        <v>11361</v>
      </c>
    </row>
    <row r="3797" spans="1:3" x14ac:dyDescent="0.35">
      <c r="A3797" t="s">
        <v>11362</v>
      </c>
      <c r="B3797" t="s">
        <v>11363</v>
      </c>
      <c r="C3797" t="s">
        <v>11364</v>
      </c>
    </row>
    <row r="3798" spans="1:3" x14ac:dyDescent="0.35">
      <c r="A3798" t="s">
        <v>11365</v>
      </c>
      <c r="B3798" t="s">
        <v>11366</v>
      </c>
      <c r="C3798" t="s">
        <v>11367</v>
      </c>
    </row>
    <row r="3799" spans="1:3" x14ac:dyDescent="0.35">
      <c r="A3799" t="s">
        <v>11368</v>
      </c>
      <c r="B3799" t="s">
        <v>11369</v>
      </c>
      <c r="C3799" t="s">
        <v>11370</v>
      </c>
    </row>
    <row r="3800" spans="1:3" x14ac:dyDescent="0.35">
      <c r="A3800" t="s">
        <v>11371</v>
      </c>
      <c r="B3800" t="s">
        <v>11372</v>
      </c>
      <c r="C3800" t="s">
        <v>11373</v>
      </c>
    </row>
    <row r="3801" spans="1:3" x14ac:dyDescent="0.35">
      <c r="A3801" t="s">
        <v>11374</v>
      </c>
      <c r="B3801" t="s">
        <v>11375</v>
      </c>
      <c r="C3801" t="s">
        <v>11376</v>
      </c>
    </row>
    <row r="3802" spans="1:3" x14ac:dyDescent="0.35">
      <c r="A3802" t="s">
        <v>11377</v>
      </c>
      <c r="B3802" t="s">
        <v>11378</v>
      </c>
      <c r="C3802" t="s">
        <v>11379</v>
      </c>
    </row>
    <row r="3803" spans="1:3" x14ac:dyDescent="0.35">
      <c r="A3803" t="s">
        <v>11380</v>
      </c>
      <c r="B3803" t="s">
        <v>11381</v>
      </c>
      <c r="C3803" t="s">
        <v>11382</v>
      </c>
    </row>
    <row r="3804" spans="1:3" x14ac:dyDescent="0.35">
      <c r="A3804" t="s">
        <v>11383</v>
      </c>
      <c r="B3804" t="s">
        <v>11384</v>
      </c>
      <c r="C3804" t="s">
        <v>11370</v>
      </c>
    </row>
    <row r="3805" spans="1:3" x14ac:dyDescent="0.35">
      <c r="A3805" t="s">
        <v>11385</v>
      </c>
      <c r="B3805" t="s">
        <v>11386</v>
      </c>
      <c r="C3805" t="s">
        <v>11387</v>
      </c>
    </row>
    <row r="3806" spans="1:3" x14ac:dyDescent="0.35">
      <c r="A3806" t="s">
        <v>11388</v>
      </c>
      <c r="B3806" t="s">
        <v>11389</v>
      </c>
      <c r="C3806" t="s">
        <v>11390</v>
      </c>
    </row>
    <row r="3807" spans="1:3" x14ac:dyDescent="0.35">
      <c r="A3807" t="s">
        <v>11391</v>
      </c>
      <c r="B3807" t="s">
        <v>11392</v>
      </c>
      <c r="C3807" t="s">
        <v>11393</v>
      </c>
    </row>
    <row r="3808" spans="1:3" x14ac:dyDescent="0.35">
      <c r="A3808" t="s">
        <v>11394</v>
      </c>
      <c r="B3808" t="s">
        <v>11395</v>
      </c>
      <c r="C3808" t="s">
        <v>11396</v>
      </c>
    </row>
    <row r="3809" spans="1:3" x14ac:dyDescent="0.35">
      <c r="A3809" t="s">
        <v>11397</v>
      </c>
      <c r="B3809" t="s">
        <v>11398</v>
      </c>
      <c r="C3809" t="s">
        <v>11399</v>
      </c>
    </row>
    <row r="3810" spans="1:3" x14ac:dyDescent="0.35">
      <c r="A3810" t="s">
        <v>11400</v>
      </c>
      <c r="B3810" t="s">
        <v>11401</v>
      </c>
      <c r="C3810" t="s">
        <v>11402</v>
      </c>
    </row>
    <row r="3811" spans="1:3" x14ac:dyDescent="0.35">
      <c r="A3811" t="s">
        <v>11403</v>
      </c>
      <c r="B3811" t="s">
        <v>11404</v>
      </c>
      <c r="C3811" t="s">
        <v>11405</v>
      </c>
    </row>
    <row r="3812" spans="1:3" x14ac:dyDescent="0.35">
      <c r="A3812" t="s">
        <v>11406</v>
      </c>
      <c r="B3812" t="s">
        <v>11407</v>
      </c>
      <c r="C3812" t="s">
        <v>11408</v>
      </c>
    </row>
    <row r="3813" spans="1:3" x14ac:dyDescent="0.35">
      <c r="A3813" t="s">
        <v>11409</v>
      </c>
      <c r="B3813" t="s">
        <v>11410</v>
      </c>
      <c r="C3813" t="s">
        <v>11411</v>
      </c>
    </row>
    <row r="3814" spans="1:3" x14ac:dyDescent="0.35">
      <c r="A3814" t="s">
        <v>11412</v>
      </c>
      <c r="B3814" t="s">
        <v>11413</v>
      </c>
      <c r="C3814" t="s">
        <v>11414</v>
      </c>
    </row>
    <row r="3815" spans="1:3" x14ac:dyDescent="0.35">
      <c r="A3815" t="s">
        <v>11415</v>
      </c>
      <c r="B3815" t="s">
        <v>11416</v>
      </c>
      <c r="C3815" t="s">
        <v>11417</v>
      </c>
    </row>
    <row r="3816" spans="1:3" x14ac:dyDescent="0.35">
      <c r="A3816" t="s">
        <v>11418</v>
      </c>
      <c r="B3816" t="s">
        <v>11419</v>
      </c>
      <c r="C3816" t="s">
        <v>11420</v>
      </c>
    </row>
    <row r="3817" spans="1:3" x14ac:dyDescent="0.35">
      <c r="A3817" t="s">
        <v>11421</v>
      </c>
      <c r="B3817" t="s">
        <v>11422</v>
      </c>
      <c r="C3817" t="s">
        <v>11423</v>
      </c>
    </row>
    <row r="3818" spans="1:3" x14ac:dyDescent="0.35">
      <c r="A3818" t="s">
        <v>11424</v>
      </c>
      <c r="B3818" t="s">
        <v>11425</v>
      </c>
      <c r="C3818" t="s">
        <v>11426</v>
      </c>
    </row>
    <row r="3819" spans="1:3" x14ac:dyDescent="0.35">
      <c r="A3819" t="s">
        <v>11427</v>
      </c>
      <c r="B3819" t="s">
        <v>11428</v>
      </c>
      <c r="C3819" t="s">
        <v>11429</v>
      </c>
    </row>
    <row r="3820" spans="1:3" x14ac:dyDescent="0.35">
      <c r="A3820" t="s">
        <v>11430</v>
      </c>
      <c r="B3820" t="s">
        <v>11431</v>
      </c>
      <c r="C3820" t="s">
        <v>11432</v>
      </c>
    </row>
    <row r="3821" spans="1:3" x14ac:dyDescent="0.35">
      <c r="A3821" t="s">
        <v>11433</v>
      </c>
      <c r="B3821" t="s">
        <v>11434</v>
      </c>
      <c r="C3821" t="s">
        <v>11435</v>
      </c>
    </row>
    <row r="3822" spans="1:3" x14ac:dyDescent="0.35">
      <c r="A3822" t="s">
        <v>11436</v>
      </c>
      <c r="B3822" t="s">
        <v>11437</v>
      </c>
      <c r="C3822" t="s">
        <v>11438</v>
      </c>
    </row>
    <row r="3823" spans="1:3" x14ac:dyDescent="0.35">
      <c r="A3823" t="s">
        <v>11439</v>
      </c>
      <c r="B3823" t="s">
        <v>11440</v>
      </c>
      <c r="C3823" t="s">
        <v>11441</v>
      </c>
    </row>
    <row r="3824" spans="1:3" x14ac:dyDescent="0.35">
      <c r="A3824" t="s">
        <v>11442</v>
      </c>
      <c r="B3824" t="s">
        <v>11443</v>
      </c>
      <c r="C3824" t="s">
        <v>11444</v>
      </c>
    </row>
    <row r="3825" spans="1:3" x14ac:dyDescent="0.35">
      <c r="A3825" t="s">
        <v>11445</v>
      </c>
      <c r="B3825" t="s">
        <v>11446</v>
      </c>
      <c r="C3825" t="s">
        <v>11447</v>
      </c>
    </row>
    <row r="3826" spans="1:3" x14ac:dyDescent="0.35">
      <c r="A3826" t="s">
        <v>11448</v>
      </c>
      <c r="B3826" t="s">
        <v>11449</v>
      </c>
      <c r="C3826" t="s">
        <v>11450</v>
      </c>
    </row>
    <row r="3827" spans="1:3" x14ac:dyDescent="0.35">
      <c r="A3827" t="s">
        <v>11451</v>
      </c>
      <c r="B3827" t="s">
        <v>11452</v>
      </c>
      <c r="C3827" t="s">
        <v>11453</v>
      </c>
    </row>
    <row r="3828" spans="1:3" x14ac:dyDescent="0.35">
      <c r="A3828" t="s">
        <v>11454</v>
      </c>
      <c r="B3828" t="s">
        <v>11455</v>
      </c>
      <c r="C3828" t="s">
        <v>11456</v>
      </c>
    </row>
    <row r="3829" spans="1:3" x14ac:dyDescent="0.35">
      <c r="A3829" t="s">
        <v>11457</v>
      </c>
      <c r="B3829" t="s">
        <v>11458</v>
      </c>
      <c r="C3829" t="s">
        <v>11459</v>
      </c>
    </row>
    <row r="3830" spans="1:3" x14ac:dyDescent="0.35">
      <c r="A3830" t="s">
        <v>11460</v>
      </c>
      <c r="B3830" t="s">
        <v>11461</v>
      </c>
      <c r="C3830" t="s">
        <v>11462</v>
      </c>
    </row>
    <row r="3831" spans="1:3" x14ac:dyDescent="0.35">
      <c r="A3831" t="s">
        <v>11463</v>
      </c>
      <c r="B3831" t="s">
        <v>11464</v>
      </c>
      <c r="C3831" t="s">
        <v>11465</v>
      </c>
    </row>
    <row r="3832" spans="1:3" x14ac:dyDescent="0.35">
      <c r="A3832" t="s">
        <v>11466</v>
      </c>
      <c r="B3832" t="s">
        <v>11467</v>
      </c>
      <c r="C3832" t="s">
        <v>11468</v>
      </c>
    </row>
    <row r="3833" spans="1:3" x14ac:dyDescent="0.35">
      <c r="A3833" t="s">
        <v>11469</v>
      </c>
      <c r="B3833" t="s">
        <v>11470</v>
      </c>
      <c r="C3833" t="s">
        <v>11471</v>
      </c>
    </row>
    <row r="3834" spans="1:3" x14ac:dyDescent="0.35">
      <c r="A3834" t="s">
        <v>11472</v>
      </c>
      <c r="B3834" t="s">
        <v>11473</v>
      </c>
      <c r="C3834" t="s">
        <v>11474</v>
      </c>
    </row>
    <row r="3835" spans="1:3" x14ac:dyDescent="0.35">
      <c r="A3835" t="s">
        <v>11475</v>
      </c>
      <c r="B3835" t="s">
        <v>11476</v>
      </c>
      <c r="C3835" t="s">
        <v>11477</v>
      </c>
    </row>
    <row r="3836" spans="1:3" x14ac:dyDescent="0.35">
      <c r="A3836" t="s">
        <v>11478</v>
      </c>
      <c r="B3836" t="s">
        <v>11479</v>
      </c>
      <c r="C3836" t="s">
        <v>11480</v>
      </c>
    </row>
    <row r="3837" spans="1:3" x14ac:dyDescent="0.35">
      <c r="A3837" t="s">
        <v>11481</v>
      </c>
      <c r="B3837" t="s">
        <v>11482</v>
      </c>
      <c r="C3837" t="s">
        <v>11483</v>
      </c>
    </row>
    <row r="3838" spans="1:3" x14ac:dyDescent="0.35">
      <c r="A3838" t="s">
        <v>11481</v>
      </c>
      <c r="B3838" t="s">
        <v>11484</v>
      </c>
      <c r="C3838" t="s">
        <v>11485</v>
      </c>
    </row>
    <row r="3839" spans="1:3" x14ac:dyDescent="0.35">
      <c r="A3839" t="s">
        <v>11486</v>
      </c>
      <c r="B3839" t="s">
        <v>11487</v>
      </c>
      <c r="C3839" t="s">
        <v>11488</v>
      </c>
    </row>
    <row r="3840" spans="1:3" x14ac:dyDescent="0.35">
      <c r="A3840" t="s">
        <v>11489</v>
      </c>
      <c r="B3840" t="s">
        <v>11490</v>
      </c>
      <c r="C3840" t="s">
        <v>11491</v>
      </c>
    </row>
    <row r="3841" spans="1:3" x14ac:dyDescent="0.35">
      <c r="A3841" t="s">
        <v>11492</v>
      </c>
      <c r="B3841" t="s">
        <v>11482</v>
      </c>
      <c r="C3841" t="s">
        <v>11483</v>
      </c>
    </row>
    <row r="3842" spans="1:3" x14ac:dyDescent="0.35">
      <c r="A3842" t="s">
        <v>11493</v>
      </c>
      <c r="B3842" t="s">
        <v>11494</v>
      </c>
      <c r="C3842" t="s">
        <v>11495</v>
      </c>
    </row>
    <row r="3843" spans="1:3" x14ac:dyDescent="0.35">
      <c r="A3843" t="s">
        <v>11496</v>
      </c>
      <c r="B3843" t="s">
        <v>11497</v>
      </c>
      <c r="C3843" t="s">
        <v>11498</v>
      </c>
    </row>
    <row r="3844" spans="1:3" x14ac:dyDescent="0.35">
      <c r="A3844" t="s">
        <v>11499</v>
      </c>
      <c r="B3844" t="s">
        <v>11500</v>
      </c>
      <c r="C3844" t="s">
        <v>11501</v>
      </c>
    </row>
    <row r="3845" spans="1:3" x14ac:dyDescent="0.35">
      <c r="A3845" t="s">
        <v>11502</v>
      </c>
      <c r="B3845" t="s">
        <v>11503</v>
      </c>
      <c r="C3845" t="s">
        <v>11504</v>
      </c>
    </row>
    <row r="3846" spans="1:3" x14ac:dyDescent="0.35">
      <c r="A3846" t="s">
        <v>11505</v>
      </c>
      <c r="B3846" t="s">
        <v>11506</v>
      </c>
      <c r="C3846" t="s">
        <v>11507</v>
      </c>
    </row>
    <row r="3847" spans="1:3" x14ac:dyDescent="0.35">
      <c r="A3847" t="s">
        <v>11508</v>
      </c>
      <c r="B3847" t="s">
        <v>11509</v>
      </c>
      <c r="C3847" t="s">
        <v>11510</v>
      </c>
    </row>
    <row r="3848" spans="1:3" x14ac:dyDescent="0.35">
      <c r="A3848" t="s">
        <v>11511</v>
      </c>
      <c r="B3848" t="s">
        <v>11512</v>
      </c>
      <c r="C3848" t="s">
        <v>23134</v>
      </c>
    </row>
    <row r="3849" spans="1:3" x14ac:dyDescent="0.35">
      <c r="A3849" t="s">
        <v>11513</v>
      </c>
      <c r="B3849" t="s">
        <v>11514</v>
      </c>
      <c r="C3849" t="s">
        <v>11515</v>
      </c>
    </row>
    <row r="3850" spans="1:3" x14ac:dyDescent="0.35">
      <c r="A3850" t="s">
        <v>11516</v>
      </c>
      <c r="B3850" t="s">
        <v>11517</v>
      </c>
      <c r="C3850" t="s">
        <v>11518</v>
      </c>
    </row>
    <row r="3851" spans="1:3" x14ac:dyDescent="0.35">
      <c r="A3851" t="s">
        <v>100</v>
      </c>
      <c r="B3851" t="s">
        <v>11519</v>
      </c>
      <c r="C3851" t="s">
        <v>11520</v>
      </c>
    </row>
    <row r="3852" spans="1:3" x14ac:dyDescent="0.35">
      <c r="A3852" t="s">
        <v>11521</v>
      </c>
      <c r="B3852" t="s">
        <v>11522</v>
      </c>
      <c r="C3852" t="s">
        <v>11523</v>
      </c>
    </row>
    <row r="3853" spans="1:3" x14ac:dyDescent="0.35">
      <c r="A3853" t="s">
        <v>11524</v>
      </c>
      <c r="B3853" t="s">
        <v>11525</v>
      </c>
      <c r="C3853" t="s">
        <v>11526</v>
      </c>
    </row>
    <row r="3854" spans="1:3" x14ac:dyDescent="0.35">
      <c r="A3854" t="s">
        <v>11527</v>
      </c>
      <c r="B3854" t="s">
        <v>11528</v>
      </c>
      <c r="C3854" t="s">
        <v>11529</v>
      </c>
    </row>
    <row r="3855" spans="1:3" x14ac:dyDescent="0.35">
      <c r="A3855" t="s">
        <v>11530</v>
      </c>
      <c r="B3855" t="s">
        <v>11531</v>
      </c>
      <c r="C3855" t="s">
        <v>11532</v>
      </c>
    </row>
    <row r="3856" spans="1:3" x14ac:dyDescent="0.35">
      <c r="A3856" t="s">
        <v>101</v>
      </c>
      <c r="B3856" t="s">
        <v>11533</v>
      </c>
      <c r="C3856" t="s">
        <v>11534</v>
      </c>
    </row>
    <row r="3857" spans="1:3" x14ac:dyDescent="0.35">
      <c r="A3857" t="s">
        <v>101</v>
      </c>
      <c r="B3857" t="s">
        <v>11535</v>
      </c>
      <c r="C3857" t="s">
        <v>11536</v>
      </c>
    </row>
    <row r="3858" spans="1:3" x14ac:dyDescent="0.35">
      <c r="A3858" t="s">
        <v>11537</v>
      </c>
      <c r="B3858" t="s">
        <v>11538</v>
      </c>
      <c r="C3858" t="s">
        <v>11539</v>
      </c>
    </row>
    <row r="3859" spans="1:3" x14ac:dyDescent="0.35">
      <c r="A3859" t="s">
        <v>11540</v>
      </c>
      <c r="B3859" t="s">
        <v>11541</v>
      </c>
      <c r="C3859" t="s">
        <v>11542</v>
      </c>
    </row>
    <row r="3860" spans="1:3" x14ac:dyDescent="0.35">
      <c r="A3860" t="s">
        <v>11543</v>
      </c>
      <c r="B3860" t="s">
        <v>11544</v>
      </c>
      <c r="C3860" t="s">
        <v>11545</v>
      </c>
    </row>
    <row r="3861" spans="1:3" x14ac:dyDescent="0.35">
      <c r="A3861" t="s">
        <v>11543</v>
      </c>
      <c r="B3861" t="s">
        <v>11546</v>
      </c>
      <c r="C3861" t="s">
        <v>11547</v>
      </c>
    </row>
    <row r="3862" spans="1:3" x14ac:dyDescent="0.35">
      <c r="A3862" t="s">
        <v>11548</v>
      </c>
      <c r="B3862" t="s">
        <v>11549</v>
      </c>
      <c r="C3862" t="s">
        <v>11550</v>
      </c>
    </row>
    <row r="3863" spans="1:3" x14ac:dyDescent="0.35">
      <c r="A3863" t="s">
        <v>11551</v>
      </c>
      <c r="B3863" t="s">
        <v>11552</v>
      </c>
      <c r="C3863" t="s">
        <v>11553</v>
      </c>
    </row>
    <row r="3864" spans="1:3" x14ac:dyDescent="0.35">
      <c r="A3864" t="s">
        <v>11554</v>
      </c>
      <c r="B3864" t="s">
        <v>11555</v>
      </c>
      <c r="C3864" t="s">
        <v>11556</v>
      </c>
    </row>
    <row r="3865" spans="1:3" x14ac:dyDescent="0.35">
      <c r="A3865" t="s">
        <v>11557</v>
      </c>
      <c r="B3865" t="s">
        <v>11558</v>
      </c>
      <c r="C3865" t="s">
        <v>11559</v>
      </c>
    </row>
    <row r="3866" spans="1:3" x14ac:dyDescent="0.35">
      <c r="A3866" t="s">
        <v>11560</v>
      </c>
      <c r="B3866" t="s">
        <v>11561</v>
      </c>
      <c r="C3866" t="s">
        <v>11562</v>
      </c>
    </row>
    <row r="3867" spans="1:3" x14ac:dyDescent="0.35">
      <c r="A3867" t="s">
        <v>11563</v>
      </c>
      <c r="B3867" t="s">
        <v>11564</v>
      </c>
      <c r="C3867" t="s">
        <v>11565</v>
      </c>
    </row>
    <row r="3868" spans="1:3" x14ac:dyDescent="0.35">
      <c r="A3868" t="s">
        <v>33</v>
      </c>
      <c r="B3868" t="s">
        <v>11566</v>
      </c>
      <c r="C3868" t="s">
        <v>11567</v>
      </c>
    </row>
    <row r="3869" spans="1:3" x14ac:dyDescent="0.35">
      <c r="A3869" t="s">
        <v>33</v>
      </c>
      <c r="B3869" t="s">
        <v>11568</v>
      </c>
      <c r="C3869" t="s">
        <v>11569</v>
      </c>
    </row>
    <row r="3870" spans="1:3" x14ac:dyDescent="0.35">
      <c r="A3870" t="s">
        <v>11570</v>
      </c>
      <c r="B3870" t="s">
        <v>11571</v>
      </c>
      <c r="C3870" t="s">
        <v>11572</v>
      </c>
    </row>
    <row r="3871" spans="1:3" x14ac:dyDescent="0.35">
      <c r="A3871" t="s">
        <v>11573</v>
      </c>
      <c r="B3871" t="s">
        <v>11574</v>
      </c>
      <c r="C3871" t="s">
        <v>11575</v>
      </c>
    </row>
    <row r="3872" spans="1:3" x14ac:dyDescent="0.35">
      <c r="A3872" t="s">
        <v>11576</v>
      </c>
      <c r="B3872" t="s">
        <v>11577</v>
      </c>
      <c r="C3872" t="s">
        <v>11578</v>
      </c>
    </row>
    <row r="3873" spans="1:3" x14ac:dyDescent="0.35">
      <c r="A3873" t="s">
        <v>11579</v>
      </c>
      <c r="B3873" t="s">
        <v>11580</v>
      </c>
      <c r="C3873" t="s">
        <v>11581</v>
      </c>
    </row>
    <row r="3874" spans="1:3" x14ac:dyDescent="0.35">
      <c r="A3874" t="s">
        <v>11582</v>
      </c>
      <c r="B3874" t="s">
        <v>11583</v>
      </c>
      <c r="C3874" t="s">
        <v>11584</v>
      </c>
    </row>
    <row r="3875" spans="1:3" x14ac:dyDescent="0.35">
      <c r="A3875" t="s">
        <v>11585</v>
      </c>
      <c r="B3875" t="s">
        <v>11586</v>
      </c>
      <c r="C3875" t="s">
        <v>11587</v>
      </c>
    </row>
    <row r="3876" spans="1:3" x14ac:dyDescent="0.35">
      <c r="A3876" t="s">
        <v>11588</v>
      </c>
      <c r="B3876" t="s">
        <v>11589</v>
      </c>
      <c r="C3876" t="s">
        <v>11590</v>
      </c>
    </row>
    <row r="3877" spans="1:3" x14ac:dyDescent="0.35">
      <c r="A3877" t="s">
        <v>11591</v>
      </c>
      <c r="B3877" t="s">
        <v>11592</v>
      </c>
      <c r="C3877" t="s">
        <v>11593</v>
      </c>
    </row>
    <row r="3878" spans="1:3" x14ac:dyDescent="0.35">
      <c r="A3878" t="s">
        <v>11594</v>
      </c>
      <c r="B3878" t="s">
        <v>11595</v>
      </c>
      <c r="C3878" t="s">
        <v>11596</v>
      </c>
    </row>
    <row r="3879" spans="1:3" x14ac:dyDescent="0.35">
      <c r="A3879" t="s">
        <v>11597</v>
      </c>
      <c r="B3879" t="s">
        <v>11598</v>
      </c>
      <c r="C3879" t="s">
        <v>11599</v>
      </c>
    </row>
    <row r="3880" spans="1:3" x14ac:dyDescent="0.35">
      <c r="A3880" t="s">
        <v>11600</v>
      </c>
      <c r="B3880" t="s">
        <v>11601</v>
      </c>
      <c r="C3880" t="s">
        <v>11602</v>
      </c>
    </row>
    <row r="3881" spans="1:3" x14ac:dyDescent="0.35">
      <c r="A3881" t="s">
        <v>11603</v>
      </c>
      <c r="B3881" t="s">
        <v>11604</v>
      </c>
      <c r="C3881" t="s">
        <v>11605</v>
      </c>
    </row>
    <row r="3882" spans="1:3" x14ac:dyDescent="0.35">
      <c r="A3882" t="s">
        <v>11606</v>
      </c>
      <c r="B3882" t="s">
        <v>11607</v>
      </c>
      <c r="C3882" t="s">
        <v>11608</v>
      </c>
    </row>
    <row r="3883" spans="1:3" x14ac:dyDescent="0.35">
      <c r="A3883" t="s">
        <v>11609</v>
      </c>
      <c r="B3883" t="s">
        <v>11610</v>
      </c>
      <c r="C3883" t="s">
        <v>11611</v>
      </c>
    </row>
    <row r="3884" spans="1:3" x14ac:dyDescent="0.35">
      <c r="A3884" t="s">
        <v>11612</v>
      </c>
      <c r="B3884" t="s">
        <v>11613</v>
      </c>
      <c r="C3884" t="s">
        <v>11614</v>
      </c>
    </row>
    <row r="3885" spans="1:3" x14ac:dyDescent="0.35">
      <c r="A3885" t="s">
        <v>11615</v>
      </c>
      <c r="B3885" t="s">
        <v>11616</v>
      </c>
      <c r="C3885" t="s">
        <v>11617</v>
      </c>
    </row>
    <row r="3886" spans="1:3" x14ac:dyDescent="0.35">
      <c r="A3886" t="s">
        <v>11618</v>
      </c>
      <c r="B3886" t="s">
        <v>11619</v>
      </c>
      <c r="C3886" t="s">
        <v>11620</v>
      </c>
    </row>
    <row r="3887" spans="1:3" x14ac:dyDescent="0.35">
      <c r="A3887" t="s">
        <v>11621</v>
      </c>
      <c r="B3887" t="s">
        <v>11622</v>
      </c>
      <c r="C3887" t="s">
        <v>11623</v>
      </c>
    </row>
    <row r="3888" spans="1:3" x14ac:dyDescent="0.35">
      <c r="A3888" t="s">
        <v>11621</v>
      </c>
      <c r="B3888" t="s">
        <v>11624</v>
      </c>
      <c r="C3888" t="s">
        <v>11625</v>
      </c>
    </row>
    <row r="3889" spans="1:3" x14ac:dyDescent="0.35">
      <c r="A3889" t="s">
        <v>11626</v>
      </c>
      <c r="B3889" t="s">
        <v>11627</v>
      </c>
      <c r="C3889" t="s">
        <v>11628</v>
      </c>
    </row>
    <row r="3890" spans="1:3" x14ac:dyDescent="0.35">
      <c r="A3890" t="s">
        <v>11629</v>
      </c>
      <c r="B3890" t="s">
        <v>11630</v>
      </c>
      <c r="C3890" t="s">
        <v>11631</v>
      </c>
    </row>
    <row r="3891" spans="1:3" x14ac:dyDescent="0.35">
      <c r="A3891" t="s">
        <v>11632</v>
      </c>
      <c r="B3891" t="s">
        <v>11633</v>
      </c>
      <c r="C3891" t="s">
        <v>11634</v>
      </c>
    </row>
    <row r="3892" spans="1:3" x14ac:dyDescent="0.35">
      <c r="A3892" t="s">
        <v>11635</v>
      </c>
      <c r="B3892" t="s">
        <v>11636</v>
      </c>
      <c r="C3892" t="s">
        <v>11637</v>
      </c>
    </row>
    <row r="3893" spans="1:3" x14ac:dyDescent="0.35">
      <c r="A3893" t="s">
        <v>11638</v>
      </c>
      <c r="B3893" t="s">
        <v>11639</v>
      </c>
      <c r="C3893" t="s">
        <v>11640</v>
      </c>
    </row>
    <row r="3894" spans="1:3" x14ac:dyDescent="0.35">
      <c r="A3894" t="s">
        <v>11641</v>
      </c>
      <c r="B3894" t="s">
        <v>11642</v>
      </c>
      <c r="C3894" t="s">
        <v>11643</v>
      </c>
    </row>
    <row r="3895" spans="1:3" x14ac:dyDescent="0.35">
      <c r="A3895" t="s">
        <v>11644</v>
      </c>
      <c r="B3895" t="s">
        <v>11645</v>
      </c>
      <c r="C3895" t="s">
        <v>11646</v>
      </c>
    </row>
    <row r="3896" spans="1:3" x14ac:dyDescent="0.35">
      <c r="A3896" t="s">
        <v>11647</v>
      </c>
      <c r="B3896" t="s">
        <v>11648</v>
      </c>
      <c r="C3896" t="s">
        <v>11649</v>
      </c>
    </row>
    <row r="3897" spans="1:3" x14ac:dyDescent="0.35">
      <c r="A3897" t="s">
        <v>11650</v>
      </c>
      <c r="B3897" t="s">
        <v>11651</v>
      </c>
      <c r="C3897" t="s">
        <v>11652</v>
      </c>
    </row>
    <row r="3898" spans="1:3" x14ac:dyDescent="0.35">
      <c r="A3898" t="s">
        <v>11653</v>
      </c>
      <c r="B3898" t="s">
        <v>11654</v>
      </c>
      <c r="C3898" t="s">
        <v>11655</v>
      </c>
    </row>
    <row r="3899" spans="1:3" x14ac:dyDescent="0.35">
      <c r="A3899" t="s">
        <v>11656</v>
      </c>
      <c r="B3899" t="s">
        <v>11657</v>
      </c>
      <c r="C3899" t="s">
        <v>11658</v>
      </c>
    </row>
    <row r="3900" spans="1:3" x14ac:dyDescent="0.35">
      <c r="A3900" t="s">
        <v>11659</v>
      </c>
      <c r="B3900" t="s">
        <v>11660</v>
      </c>
      <c r="C3900" t="s">
        <v>11661</v>
      </c>
    </row>
    <row r="3901" spans="1:3" x14ac:dyDescent="0.35">
      <c r="A3901" t="s">
        <v>11662</v>
      </c>
      <c r="B3901" t="s">
        <v>11663</v>
      </c>
      <c r="C3901" t="s">
        <v>11664</v>
      </c>
    </row>
    <row r="3902" spans="1:3" x14ac:dyDescent="0.35">
      <c r="A3902" t="s">
        <v>11665</v>
      </c>
      <c r="B3902" t="s">
        <v>11666</v>
      </c>
      <c r="C3902" t="s">
        <v>11667</v>
      </c>
    </row>
    <row r="3903" spans="1:3" x14ac:dyDescent="0.35">
      <c r="A3903" t="s">
        <v>11668</v>
      </c>
      <c r="B3903" t="s">
        <v>11669</v>
      </c>
      <c r="C3903" t="s">
        <v>11670</v>
      </c>
    </row>
    <row r="3904" spans="1:3" x14ac:dyDescent="0.35">
      <c r="A3904" t="s">
        <v>11668</v>
      </c>
      <c r="B3904" t="s">
        <v>11671</v>
      </c>
      <c r="C3904" t="s">
        <v>11672</v>
      </c>
    </row>
    <row r="3905" spans="1:3" x14ac:dyDescent="0.35">
      <c r="A3905" t="s">
        <v>11673</v>
      </c>
      <c r="B3905" t="s">
        <v>11674</v>
      </c>
      <c r="C3905" t="s">
        <v>11675</v>
      </c>
    </row>
    <row r="3906" spans="1:3" x14ac:dyDescent="0.35">
      <c r="A3906" t="s">
        <v>11676</v>
      </c>
      <c r="B3906" t="s">
        <v>11677</v>
      </c>
      <c r="C3906" t="s">
        <v>11678</v>
      </c>
    </row>
    <row r="3907" spans="1:3" x14ac:dyDescent="0.35">
      <c r="A3907" t="s">
        <v>11679</v>
      </c>
      <c r="B3907" t="s">
        <v>11680</v>
      </c>
      <c r="C3907" t="s">
        <v>11681</v>
      </c>
    </row>
    <row r="3908" spans="1:3" x14ac:dyDescent="0.35">
      <c r="A3908" t="s">
        <v>11682</v>
      </c>
      <c r="B3908" t="s">
        <v>11683</v>
      </c>
      <c r="C3908" t="s">
        <v>11684</v>
      </c>
    </row>
    <row r="3909" spans="1:3" x14ac:dyDescent="0.35">
      <c r="A3909" t="s">
        <v>11685</v>
      </c>
      <c r="B3909" t="s">
        <v>11686</v>
      </c>
      <c r="C3909" t="s">
        <v>11687</v>
      </c>
    </row>
    <row r="3910" spans="1:3" x14ac:dyDescent="0.35">
      <c r="A3910" t="s">
        <v>11685</v>
      </c>
      <c r="B3910" t="s">
        <v>11688</v>
      </c>
      <c r="C3910" t="s">
        <v>11689</v>
      </c>
    </row>
    <row r="3911" spans="1:3" x14ac:dyDescent="0.35">
      <c r="A3911" t="s">
        <v>11690</v>
      </c>
      <c r="B3911" t="s">
        <v>11691</v>
      </c>
      <c r="C3911" t="s">
        <v>11692</v>
      </c>
    </row>
    <row r="3912" spans="1:3" x14ac:dyDescent="0.35">
      <c r="A3912" t="s">
        <v>11693</v>
      </c>
      <c r="B3912" t="s">
        <v>11694</v>
      </c>
      <c r="C3912" t="s">
        <v>11695</v>
      </c>
    </row>
    <row r="3913" spans="1:3" x14ac:dyDescent="0.35">
      <c r="A3913" t="s">
        <v>11696</v>
      </c>
      <c r="B3913" t="s">
        <v>11697</v>
      </c>
      <c r="C3913" t="s">
        <v>11698</v>
      </c>
    </row>
    <row r="3914" spans="1:3" x14ac:dyDescent="0.35">
      <c r="A3914" t="s">
        <v>11699</v>
      </c>
      <c r="B3914" t="s">
        <v>11700</v>
      </c>
      <c r="C3914" t="s">
        <v>11701</v>
      </c>
    </row>
    <row r="3915" spans="1:3" x14ac:dyDescent="0.35">
      <c r="A3915" t="s">
        <v>11702</v>
      </c>
      <c r="B3915" t="s">
        <v>11703</v>
      </c>
      <c r="C3915" t="s">
        <v>11704</v>
      </c>
    </row>
    <row r="3916" spans="1:3" x14ac:dyDescent="0.35">
      <c r="A3916" t="s">
        <v>11702</v>
      </c>
      <c r="B3916" t="s">
        <v>11705</v>
      </c>
      <c r="C3916" t="s">
        <v>11706</v>
      </c>
    </row>
    <row r="3917" spans="1:3" x14ac:dyDescent="0.35">
      <c r="A3917" t="s">
        <v>11707</v>
      </c>
      <c r="B3917" t="s">
        <v>11708</v>
      </c>
      <c r="C3917" t="s">
        <v>11709</v>
      </c>
    </row>
    <row r="3918" spans="1:3" x14ac:dyDescent="0.35">
      <c r="A3918" t="s">
        <v>11710</v>
      </c>
      <c r="B3918" t="s">
        <v>11711</v>
      </c>
      <c r="C3918" t="s">
        <v>11712</v>
      </c>
    </row>
    <row r="3919" spans="1:3" x14ac:dyDescent="0.35">
      <c r="A3919" t="s">
        <v>11713</v>
      </c>
      <c r="B3919" t="s">
        <v>11714</v>
      </c>
      <c r="C3919" t="s">
        <v>11715</v>
      </c>
    </row>
    <row r="3920" spans="1:3" x14ac:dyDescent="0.35">
      <c r="A3920" t="s">
        <v>11713</v>
      </c>
      <c r="B3920" t="s">
        <v>11716</v>
      </c>
      <c r="C3920" t="s">
        <v>11717</v>
      </c>
    </row>
    <row r="3921" spans="1:3" x14ac:dyDescent="0.35">
      <c r="A3921" t="s">
        <v>11718</v>
      </c>
      <c r="B3921" t="s">
        <v>11719</v>
      </c>
      <c r="C3921" t="s">
        <v>11720</v>
      </c>
    </row>
    <row r="3922" spans="1:3" x14ac:dyDescent="0.35">
      <c r="A3922" t="s">
        <v>11721</v>
      </c>
      <c r="B3922" t="s">
        <v>11722</v>
      </c>
      <c r="C3922" t="s">
        <v>11723</v>
      </c>
    </row>
    <row r="3923" spans="1:3" x14ac:dyDescent="0.35">
      <c r="A3923" t="s">
        <v>11724</v>
      </c>
      <c r="B3923" t="s">
        <v>11725</v>
      </c>
      <c r="C3923" t="s">
        <v>11726</v>
      </c>
    </row>
    <row r="3924" spans="1:3" x14ac:dyDescent="0.35">
      <c r="A3924" t="s">
        <v>11727</v>
      </c>
      <c r="B3924" t="s">
        <v>11728</v>
      </c>
      <c r="C3924" t="s">
        <v>11729</v>
      </c>
    </row>
    <row r="3925" spans="1:3" x14ac:dyDescent="0.35">
      <c r="A3925" t="s">
        <v>11730</v>
      </c>
      <c r="B3925" t="s">
        <v>11731</v>
      </c>
      <c r="C3925" t="s">
        <v>11732</v>
      </c>
    </row>
    <row r="3926" spans="1:3" x14ac:dyDescent="0.35">
      <c r="A3926" t="s">
        <v>11733</v>
      </c>
      <c r="B3926" t="s">
        <v>11734</v>
      </c>
      <c r="C3926" t="s">
        <v>11735</v>
      </c>
    </row>
    <row r="3927" spans="1:3" x14ac:dyDescent="0.35">
      <c r="A3927" t="s">
        <v>11736</v>
      </c>
      <c r="B3927" t="s">
        <v>11737</v>
      </c>
      <c r="C3927" t="s">
        <v>11738</v>
      </c>
    </row>
    <row r="3928" spans="1:3" x14ac:dyDescent="0.35">
      <c r="A3928" t="s">
        <v>11739</v>
      </c>
      <c r="B3928" t="s">
        <v>11740</v>
      </c>
      <c r="C3928" t="s">
        <v>11741</v>
      </c>
    </row>
    <row r="3929" spans="1:3" x14ac:dyDescent="0.35">
      <c r="A3929" t="s">
        <v>11742</v>
      </c>
      <c r="B3929" t="s">
        <v>11743</v>
      </c>
      <c r="C3929" t="s">
        <v>11744</v>
      </c>
    </row>
    <row r="3930" spans="1:3" x14ac:dyDescent="0.35">
      <c r="A3930" t="s">
        <v>11745</v>
      </c>
      <c r="B3930" t="s">
        <v>11746</v>
      </c>
      <c r="C3930" t="s">
        <v>11747</v>
      </c>
    </row>
    <row r="3931" spans="1:3" x14ac:dyDescent="0.35">
      <c r="A3931" t="s">
        <v>11748</v>
      </c>
      <c r="B3931" t="s">
        <v>11749</v>
      </c>
      <c r="C3931" t="s">
        <v>11750</v>
      </c>
    </row>
    <row r="3932" spans="1:3" x14ac:dyDescent="0.35">
      <c r="A3932" t="s">
        <v>11751</v>
      </c>
      <c r="B3932" t="s">
        <v>11752</v>
      </c>
      <c r="C3932" t="s">
        <v>11753</v>
      </c>
    </row>
    <row r="3933" spans="1:3" x14ac:dyDescent="0.35">
      <c r="A3933" t="s">
        <v>11754</v>
      </c>
      <c r="B3933" t="s">
        <v>11755</v>
      </c>
      <c r="C3933" t="s">
        <v>11756</v>
      </c>
    </row>
    <row r="3934" spans="1:3" x14ac:dyDescent="0.35">
      <c r="A3934" t="s">
        <v>11754</v>
      </c>
      <c r="B3934" t="s">
        <v>11757</v>
      </c>
      <c r="C3934" t="s">
        <v>11758</v>
      </c>
    </row>
    <row r="3935" spans="1:3" x14ac:dyDescent="0.35">
      <c r="A3935" t="s">
        <v>11759</v>
      </c>
      <c r="B3935" t="s">
        <v>11760</v>
      </c>
      <c r="C3935" t="s">
        <v>11761</v>
      </c>
    </row>
    <row r="3936" spans="1:3" x14ac:dyDescent="0.35">
      <c r="A3936" t="s">
        <v>11762</v>
      </c>
      <c r="B3936" t="s">
        <v>11763</v>
      </c>
      <c r="C3936" t="s">
        <v>11764</v>
      </c>
    </row>
    <row r="3937" spans="1:3" x14ac:dyDescent="0.35">
      <c r="A3937" t="s">
        <v>11765</v>
      </c>
      <c r="B3937" t="s">
        <v>11766</v>
      </c>
      <c r="C3937" t="s">
        <v>11767</v>
      </c>
    </row>
    <row r="3938" spans="1:3" x14ac:dyDescent="0.35">
      <c r="A3938" t="s">
        <v>11768</v>
      </c>
      <c r="B3938" t="s">
        <v>11769</v>
      </c>
      <c r="C3938" t="s">
        <v>11770</v>
      </c>
    </row>
    <row r="3939" spans="1:3" x14ac:dyDescent="0.35">
      <c r="A3939" t="s">
        <v>11771</v>
      </c>
      <c r="B3939" t="s">
        <v>11772</v>
      </c>
      <c r="C3939" t="s">
        <v>11773</v>
      </c>
    </row>
    <row r="3940" spans="1:3" x14ac:dyDescent="0.35">
      <c r="A3940" t="s">
        <v>11774</v>
      </c>
      <c r="B3940" t="s">
        <v>11775</v>
      </c>
      <c r="C3940" t="s">
        <v>11776</v>
      </c>
    </row>
    <row r="3941" spans="1:3" x14ac:dyDescent="0.35">
      <c r="A3941" t="s">
        <v>11777</v>
      </c>
      <c r="B3941" t="s">
        <v>11778</v>
      </c>
      <c r="C3941" t="s">
        <v>11779</v>
      </c>
    </row>
    <row r="3942" spans="1:3" x14ac:dyDescent="0.35">
      <c r="A3942" t="s">
        <v>11780</v>
      </c>
      <c r="B3942" t="s">
        <v>11781</v>
      </c>
      <c r="C3942" t="s">
        <v>11782</v>
      </c>
    </row>
    <row r="3943" spans="1:3" x14ac:dyDescent="0.35">
      <c r="A3943" t="s">
        <v>11783</v>
      </c>
      <c r="B3943" t="s">
        <v>11784</v>
      </c>
      <c r="C3943" t="s">
        <v>11785</v>
      </c>
    </row>
    <row r="3944" spans="1:3" x14ac:dyDescent="0.35">
      <c r="A3944" t="s">
        <v>11786</v>
      </c>
      <c r="B3944" t="s">
        <v>11787</v>
      </c>
      <c r="C3944" t="s">
        <v>11788</v>
      </c>
    </row>
    <row r="3945" spans="1:3" x14ac:dyDescent="0.35">
      <c r="A3945" t="s">
        <v>11789</v>
      </c>
      <c r="B3945" t="s">
        <v>11790</v>
      </c>
      <c r="C3945" t="s">
        <v>11791</v>
      </c>
    </row>
    <row r="3946" spans="1:3" x14ac:dyDescent="0.35">
      <c r="A3946" t="s">
        <v>11792</v>
      </c>
      <c r="B3946" t="s">
        <v>11793</v>
      </c>
      <c r="C3946" t="s">
        <v>11794</v>
      </c>
    </row>
    <row r="3947" spans="1:3" x14ac:dyDescent="0.35">
      <c r="A3947" t="s">
        <v>11795</v>
      </c>
      <c r="B3947" t="s">
        <v>11796</v>
      </c>
      <c r="C3947" t="s">
        <v>11797</v>
      </c>
    </row>
    <row r="3948" spans="1:3" x14ac:dyDescent="0.35">
      <c r="A3948" t="s">
        <v>11798</v>
      </c>
      <c r="B3948" t="s">
        <v>11799</v>
      </c>
      <c r="C3948" t="s">
        <v>11800</v>
      </c>
    </row>
    <row r="3949" spans="1:3" x14ac:dyDescent="0.35">
      <c r="A3949" t="s">
        <v>11801</v>
      </c>
      <c r="B3949" t="s">
        <v>11802</v>
      </c>
      <c r="C3949" t="s">
        <v>11803</v>
      </c>
    </row>
    <row r="3950" spans="1:3" x14ac:dyDescent="0.35">
      <c r="A3950" t="s">
        <v>11804</v>
      </c>
      <c r="B3950" t="s">
        <v>11805</v>
      </c>
      <c r="C3950" t="s">
        <v>11806</v>
      </c>
    </row>
    <row r="3951" spans="1:3" x14ac:dyDescent="0.35">
      <c r="A3951" t="s">
        <v>11807</v>
      </c>
      <c r="B3951" t="s">
        <v>11808</v>
      </c>
      <c r="C3951" t="s">
        <v>11809</v>
      </c>
    </row>
    <row r="3952" spans="1:3" x14ac:dyDescent="0.35">
      <c r="A3952" t="s">
        <v>11810</v>
      </c>
      <c r="B3952" t="s">
        <v>11811</v>
      </c>
      <c r="C3952" t="s">
        <v>11812</v>
      </c>
    </row>
    <row r="3953" spans="1:3" x14ac:dyDescent="0.35">
      <c r="A3953" t="s">
        <v>11813</v>
      </c>
      <c r="B3953" t="s">
        <v>11814</v>
      </c>
      <c r="C3953" t="s">
        <v>11815</v>
      </c>
    </row>
    <row r="3954" spans="1:3" x14ac:dyDescent="0.35">
      <c r="A3954" t="s">
        <v>11816</v>
      </c>
      <c r="B3954" t="s">
        <v>11817</v>
      </c>
      <c r="C3954" t="s">
        <v>11818</v>
      </c>
    </row>
    <row r="3955" spans="1:3" x14ac:dyDescent="0.35">
      <c r="A3955" t="s">
        <v>11819</v>
      </c>
      <c r="B3955" t="s">
        <v>11820</v>
      </c>
      <c r="C3955" t="s">
        <v>11821</v>
      </c>
    </row>
    <row r="3956" spans="1:3" x14ac:dyDescent="0.35">
      <c r="A3956" t="s">
        <v>11822</v>
      </c>
      <c r="B3956" t="s">
        <v>11823</v>
      </c>
      <c r="C3956" t="s">
        <v>11824</v>
      </c>
    </row>
    <row r="3957" spans="1:3" x14ac:dyDescent="0.35">
      <c r="A3957" t="s">
        <v>11825</v>
      </c>
      <c r="B3957" t="s">
        <v>11826</v>
      </c>
      <c r="C3957" t="s">
        <v>11827</v>
      </c>
    </row>
    <row r="3958" spans="1:3" x14ac:dyDescent="0.35">
      <c r="A3958" t="s">
        <v>11828</v>
      </c>
      <c r="B3958" t="s">
        <v>11829</v>
      </c>
      <c r="C3958" t="s">
        <v>11830</v>
      </c>
    </row>
    <row r="3959" spans="1:3" x14ac:dyDescent="0.35">
      <c r="A3959" t="s">
        <v>11831</v>
      </c>
      <c r="B3959" t="s">
        <v>11832</v>
      </c>
      <c r="C3959" t="s">
        <v>11833</v>
      </c>
    </row>
    <row r="3960" spans="1:3" x14ac:dyDescent="0.35">
      <c r="A3960" t="s">
        <v>11831</v>
      </c>
      <c r="B3960" t="s">
        <v>11834</v>
      </c>
      <c r="C3960" t="s">
        <v>11835</v>
      </c>
    </row>
    <row r="3961" spans="1:3" x14ac:dyDescent="0.35">
      <c r="A3961" t="s">
        <v>11836</v>
      </c>
      <c r="B3961" t="s">
        <v>11837</v>
      </c>
      <c r="C3961" t="s">
        <v>11838</v>
      </c>
    </row>
    <row r="3962" spans="1:3" x14ac:dyDescent="0.35">
      <c r="A3962" t="s">
        <v>11839</v>
      </c>
      <c r="B3962" t="s">
        <v>11840</v>
      </c>
      <c r="C3962" t="s">
        <v>11841</v>
      </c>
    </row>
    <row r="3963" spans="1:3" x14ac:dyDescent="0.35">
      <c r="A3963" t="s">
        <v>11842</v>
      </c>
      <c r="B3963" t="s">
        <v>11843</v>
      </c>
      <c r="C3963" t="s">
        <v>11844</v>
      </c>
    </row>
    <row r="3964" spans="1:3" x14ac:dyDescent="0.35">
      <c r="A3964" t="s">
        <v>11845</v>
      </c>
      <c r="B3964" t="s">
        <v>11846</v>
      </c>
      <c r="C3964" t="s">
        <v>11847</v>
      </c>
    </row>
    <row r="3965" spans="1:3" x14ac:dyDescent="0.35">
      <c r="A3965" t="s">
        <v>11848</v>
      </c>
      <c r="B3965" t="s">
        <v>11849</v>
      </c>
      <c r="C3965" t="s">
        <v>11850</v>
      </c>
    </row>
    <row r="3966" spans="1:3" x14ac:dyDescent="0.35">
      <c r="A3966" t="s">
        <v>11851</v>
      </c>
      <c r="B3966" t="s">
        <v>11852</v>
      </c>
      <c r="C3966" t="s">
        <v>11853</v>
      </c>
    </row>
    <row r="3967" spans="1:3" x14ac:dyDescent="0.35">
      <c r="A3967" t="s">
        <v>11854</v>
      </c>
      <c r="B3967" t="s">
        <v>11855</v>
      </c>
      <c r="C3967" t="s">
        <v>11856</v>
      </c>
    </row>
    <row r="3968" spans="1:3" x14ac:dyDescent="0.35">
      <c r="A3968" t="s">
        <v>11854</v>
      </c>
      <c r="B3968" t="s">
        <v>11857</v>
      </c>
      <c r="C3968" t="s">
        <v>11858</v>
      </c>
    </row>
    <row r="3969" spans="1:3" x14ac:dyDescent="0.35">
      <c r="A3969" t="s">
        <v>11859</v>
      </c>
      <c r="B3969" t="s">
        <v>11860</v>
      </c>
      <c r="C3969" t="s">
        <v>11861</v>
      </c>
    </row>
    <row r="3970" spans="1:3" x14ac:dyDescent="0.35">
      <c r="A3970" t="s">
        <v>11859</v>
      </c>
      <c r="B3970" t="s">
        <v>11862</v>
      </c>
      <c r="C3970" t="s">
        <v>11863</v>
      </c>
    </row>
    <row r="3971" spans="1:3" x14ac:dyDescent="0.35">
      <c r="A3971" t="s">
        <v>11864</v>
      </c>
      <c r="B3971" t="s">
        <v>11865</v>
      </c>
      <c r="C3971" t="s">
        <v>11866</v>
      </c>
    </row>
    <row r="3972" spans="1:3" x14ac:dyDescent="0.35">
      <c r="A3972" t="s">
        <v>11867</v>
      </c>
      <c r="B3972" t="s">
        <v>11868</v>
      </c>
      <c r="C3972" t="s">
        <v>11869</v>
      </c>
    </row>
    <row r="3973" spans="1:3" x14ac:dyDescent="0.35">
      <c r="A3973" t="s">
        <v>11870</v>
      </c>
      <c r="B3973" t="s">
        <v>11871</v>
      </c>
      <c r="C3973" t="s">
        <v>11872</v>
      </c>
    </row>
    <row r="3974" spans="1:3" x14ac:dyDescent="0.35">
      <c r="A3974" t="s">
        <v>11873</v>
      </c>
      <c r="B3974" t="s">
        <v>11874</v>
      </c>
      <c r="C3974" t="s">
        <v>11875</v>
      </c>
    </row>
    <row r="3975" spans="1:3" x14ac:dyDescent="0.35">
      <c r="A3975" t="s">
        <v>11876</v>
      </c>
      <c r="B3975" t="s">
        <v>11877</v>
      </c>
      <c r="C3975" t="s">
        <v>11878</v>
      </c>
    </row>
    <row r="3976" spans="1:3" x14ac:dyDescent="0.35">
      <c r="A3976" t="s">
        <v>11879</v>
      </c>
      <c r="B3976" t="s">
        <v>11880</v>
      </c>
      <c r="C3976" t="s">
        <v>11881</v>
      </c>
    </row>
    <row r="3977" spans="1:3" x14ac:dyDescent="0.35">
      <c r="A3977" t="s">
        <v>11882</v>
      </c>
      <c r="B3977" t="s">
        <v>11883</v>
      </c>
      <c r="C3977" t="s">
        <v>11884</v>
      </c>
    </row>
    <row r="3978" spans="1:3" x14ac:dyDescent="0.35">
      <c r="A3978" t="s">
        <v>11885</v>
      </c>
      <c r="B3978" t="s">
        <v>11886</v>
      </c>
      <c r="C3978" t="s">
        <v>11887</v>
      </c>
    </row>
    <row r="3979" spans="1:3" x14ac:dyDescent="0.35">
      <c r="A3979" t="s">
        <v>11888</v>
      </c>
      <c r="B3979" t="s">
        <v>11889</v>
      </c>
      <c r="C3979" t="s">
        <v>11890</v>
      </c>
    </row>
    <row r="3980" spans="1:3" x14ac:dyDescent="0.35">
      <c r="A3980" t="s">
        <v>11891</v>
      </c>
      <c r="B3980" t="s">
        <v>11892</v>
      </c>
      <c r="C3980" t="s">
        <v>11893</v>
      </c>
    </row>
    <row r="3981" spans="1:3" x14ac:dyDescent="0.35">
      <c r="A3981" t="s">
        <v>11894</v>
      </c>
      <c r="B3981" t="s">
        <v>11895</v>
      </c>
      <c r="C3981" t="s">
        <v>11896</v>
      </c>
    </row>
    <row r="3982" spans="1:3" x14ac:dyDescent="0.35">
      <c r="A3982" t="s">
        <v>11897</v>
      </c>
      <c r="B3982" t="s">
        <v>11898</v>
      </c>
      <c r="C3982" t="s">
        <v>11899</v>
      </c>
    </row>
    <row r="3983" spans="1:3" x14ac:dyDescent="0.35">
      <c r="A3983" t="s">
        <v>11900</v>
      </c>
      <c r="B3983" t="s">
        <v>11901</v>
      </c>
      <c r="C3983" t="s">
        <v>11902</v>
      </c>
    </row>
    <row r="3984" spans="1:3" x14ac:dyDescent="0.35">
      <c r="A3984" t="s">
        <v>11903</v>
      </c>
      <c r="B3984" t="s">
        <v>11904</v>
      </c>
      <c r="C3984" t="s">
        <v>11905</v>
      </c>
    </row>
    <row r="3985" spans="1:3" x14ac:dyDescent="0.35">
      <c r="A3985" t="s">
        <v>11906</v>
      </c>
      <c r="B3985" t="s">
        <v>11907</v>
      </c>
      <c r="C3985" t="s">
        <v>11908</v>
      </c>
    </row>
    <row r="3986" spans="1:3" x14ac:dyDescent="0.35">
      <c r="A3986" t="s">
        <v>11909</v>
      </c>
      <c r="B3986" t="s">
        <v>11910</v>
      </c>
      <c r="C3986" t="s">
        <v>11911</v>
      </c>
    </row>
    <row r="3987" spans="1:3" x14ac:dyDescent="0.35">
      <c r="A3987" t="s">
        <v>11912</v>
      </c>
      <c r="B3987" t="s">
        <v>11913</v>
      </c>
      <c r="C3987" t="s">
        <v>11914</v>
      </c>
    </row>
    <row r="3988" spans="1:3" x14ac:dyDescent="0.35">
      <c r="A3988" t="s">
        <v>11915</v>
      </c>
      <c r="B3988" t="s">
        <v>11916</v>
      </c>
      <c r="C3988" t="s">
        <v>11916</v>
      </c>
    </row>
    <row r="3989" spans="1:3" x14ac:dyDescent="0.35">
      <c r="A3989" t="s">
        <v>11917</v>
      </c>
      <c r="B3989" t="s">
        <v>11918</v>
      </c>
      <c r="C3989" t="s">
        <v>11919</v>
      </c>
    </row>
    <row r="3990" spans="1:3" x14ac:dyDescent="0.35">
      <c r="A3990" t="s">
        <v>11920</v>
      </c>
      <c r="B3990" t="s">
        <v>11921</v>
      </c>
      <c r="C3990" t="s">
        <v>11922</v>
      </c>
    </row>
    <row r="3991" spans="1:3" x14ac:dyDescent="0.35">
      <c r="A3991" t="s">
        <v>11923</v>
      </c>
      <c r="B3991" t="s">
        <v>11924</v>
      </c>
      <c r="C3991" t="s">
        <v>11925</v>
      </c>
    </row>
    <row r="3992" spans="1:3" x14ac:dyDescent="0.35">
      <c r="A3992" t="s">
        <v>11926</v>
      </c>
      <c r="B3992" t="s">
        <v>11927</v>
      </c>
      <c r="C3992" t="s">
        <v>11928</v>
      </c>
    </row>
    <row r="3993" spans="1:3" x14ac:dyDescent="0.35">
      <c r="A3993" t="s">
        <v>11929</v>
      </c>
      <c r="B3993" t="s">
        <v>11930</v>
      </c>
      <c r="C3993" t="s">
        <v>11931</v>
      </c>
    </row>
    <row r="3994" spans="1:3" x14ac:dyDescent="0.35">
      <c r="A3994" t="s">
        <v>11932</v>
      </c>
      <c r="B3994" t="s">
        <v>11933</v>
      </c>
      <c r="C3994" t="s">
        <v>11934</v>
      </c>
    </row>
    <row r="3995" spans="1:3" x14ac:dyDescent="0.35">
      <c r="A3995" t="s">
        <v>11935</v>
      </c>
      <c r="B3995" t="s">
        <v>11936</v>
      </c>
      <c r="C3995" t="s">
        <v>11937</v>
      </c>
    </row>
    <row r="3996" spans="1:3" x14ac:dyDescent="0.35">
      <c r="A3996" t="s">
        <v>11938</v>
      </c>
      <c r="B3996" t="s">
        <v>11939</v>
      </c>
      <c r="C3996" t="s">
        <v>11940</v>
      </c>
    </row>
    <row r="3997" spans="1:3" x14ac:dyDescent="0.35">
      <c r="A3997" t="s">
        <v>11941</v>
      </c>
      <c r="B3997" t="s">
        <v>11942</v>
      </c>
      <c r="C3997" t="s">
        <v>11943</v>
      </c>
    </row>
    <row r="3998" spans="1:3" x14ac:dyDescent="0.35">
      <c r="A3998" t="s">
        <v>11944</v>
      </c>
      <c r="B3998" t="s">
        <v>11945</v>
      </c>
      <c r="C3998" t="s">
        <v>11946</v>
      </c>
    </row>
    <row r="3999" spans="1:3" x14ac:dyDescent="0.35">
      <c r="A3999" t="s">
        <v>11947</v>
      </c>
      <c r="B3999" t="s">
        <v>11948</v>
      </c>
      <c r="C3999" t="s">
        <v>11949</v>
      </c>
    </row>
    <row r="4000" spans="1:3" x14ac:dyDescent="0.35">
      <c r="A4000" t="s">
        <v>11950</v>
      </c>
      <c r="B4000" t="s">
        <v>11951</v>
      </c>
      <c r="C4000" t="s">
        <v>11952</v>
      </c>
    </row>
    <row r="4001" spans="1:3" x14ac:dyDescent="0.35">
      <c r="A4001" t="s">
        <v>11953</v>
      </c>
      <c r="B4001" t="s">
        <v>11954</v>
      </c>
      <c r="C4001" t="s">
        <v>11955</v>
      </c>
    </row>
    <row r="4002" spans="1:3" x14ac:dyDescent="0.35">
      <c r="A4002" t="s">
        <v>11953</v>
      </c>
      <c r="B4002" t="s">
        <v>11956</v>
      </c>
      <c r="C4002" t="s">
        <v>11957</v>
      </c>
    </row>
    <row r="4003" spans="1:3" x14ac:dyDescent="0.35">
      <c r="A4003" t="s">
        <v>11958</v>
      </c>
      <c r="B4003" t="s">
        <v>11959</v>
      </c>
      <c r="C4003" t="s">
        <v>11960</v>
      </c>
    </row>
    <row r="4004" spans="1:3" x14ac:dyDescent="0.35">
      <c r="A4004" t="s">
        <v>11958</v>
      </c>
      <c r="B4004" t="s">
        <v>11961</v>
      </c>
      <c r="C4004" t="s">
        <v>11962</v>
      </c>
    </row>
    <row r="4005" spans="1:3" x14ac:dyDescent="0.35">
      <c r="A4005" t="s">
        <v>11963</v>
      </c>
      <c r="B4005" t="s">
        <v>11964</v>
      </c>
      <c r="C4005" t="s">
        <v>11965</v>
      </c>
    </row>
    <row r="4006" spans="1:3" x14ac:dyDescent="0.35">
      <c r="A4006" t="s">
        <v>11966</v>
      </c>
      <c r="B4006" t="s">
        <v>11967</v>
      </c>
      <c r="C4006" t="s">
        <v>11968</v>
      </c>
    </row>
    <row r="4007" spans="1:3" x14ac:dyDescent="0.35">
      <c r="A4007" t="s">
        <v>11969</v>
      </c>
      <c r="B4007" t="s">
        <v>11970</v>
      </c>
      <c r="C4007" t="s">
        <v>11971</v>
      </c>
    </row>
    <row r="4008" spans="1:3" x14ac:dyDescent="0.35">
      <c r="A4008" t="s">
        <v>11972</v>
      </c>
      <c r="B4008" t="s">
        <v>11973</v>
      </c>
      <c r="C4008" t="s">
        <v>11974</v>
      </c>
    </row>
    <row r="4009" spans="1:3" x14ac:dyDescent="0.35">
      <c r="A4009" t="s">
        <v>11975</v>
      </c>
      <c r="B4009" t="s">
        <v>11976</v>
      </c>
      <c r="C4009" t="s">
        <v>11977</v>
      </c>
    </row>
    <row r="4010" spans="1:3" x14ac:dyDescent="0.35">
      <c r="A4010" t="s">
        <v>11978</v>
      </c>
      <c r="B4010" t="s">
        <v>11979</v>
      </c>
      <c r="C4010" t="s">
        <v>11980</v>
      </c>
    </row>
    <row r="4011" spans="1:3" x14ac:dyDescent="0.35">
      <c r="A4011" t="s">
        <v>11981</v>
      </c>
      <c r="B4011" t="s">
        <v>11982</v>
      </c>
      <c r="C4011" t="s">
        <v>11983</v>
      </c>
    </row>
    <row r="4012" spans="1:3" x14ac:dyDescent="0.35">
      <c r="A4012" t="s">
        <v>11984</v>
      </c>
      <c r="B4012" t="s">
        <v>11985</v>
      </c>
      <c r="C4012" t="s">
        <v>11986</v>
      </c>
    </row>
    <row r="4013" spans="1:3" x14ac:dyDescent="0.35">
      <c r="A4013" t="s">
        <v>11987</v>
      </c>
      <c r="B4013" t="s">
        <v>11988</v>
      </c>
      <c r="C4013" t="s">
        <v>11989</v>
      </c>
    </row>
    <row r="4014" spans="1:3" x14ac:dyDescent="0.35">
      <c r="A4014" t="s">
        <v>11990</v>
      </c>
      <c r="B4014" t="s">
        <v>11991</v>
      </c>
      <c r="C4014" t="s">
        <v>11992</v>
      </c>
    </row>
    <row r="4015" spans="1:3" x14ac:dyDescent="0.35">
      <c r="A4015" t="s">
        <v>11993</v>
      </c>
      <c r="B4015" t="s">
        <v>11994</v>
      </c>
      <c r="C4015" t="s">
        <v>11995</v>
      </c>
    </row>
    <row r="4016" spans="1:3" x14ac:dyDescent="0.35">
      <c r="A4016" t="s">
        <v>11996</v>
      </c>
      <c r="B4016" t="s">
        <v>11997</v>
      </c>
      <c r="C4016" t="s">
        <v>11998</v>
      </c>
    </row>
    <row r="4017" spans="1:3" x14ac:dyDescent="0.35">
      <c r="A4017" t="s">
        <v>11999</v>
      </c>
      <c r="B4017" t="s">
        <v>12000</v>
      </c>
      <c r="C4017" t="s">
        <v>12001</v>
      </c>
    </row>
    <row r="4018" spans="1:3" x14ac:dyDescent="0.35">
      <c r="A4018" t="s">
        <v>12002</v>
      </c>
      <c r="B4018" t="s">
        <v>12003</v>
      </c>
      <c r="C4018" t="s">
        <v>12004</v>
      </c>
    </row>
    <row r="4019" spans="1:3" x14ac:dyDescent="0.35">
      <c r="A4019" t="s">
        <v>12005</v>
      </c>
      <c r="B4019" t="s">
        <v>12006</v>
      </c>
      <c r="C4019" t="s">
        <v>12007</v>
      </c>
    </row>
    <row r="4020" spans="1:3" x14ac:dyDescent="0.35">
      <c r="A4020" t="s">
        <v>12008</v>
      </c>
      <c r="B4020" t="s">
        <v>12009</v>
      </c>
      <c r="C4020" t="s">
        <v>12010</v>
      </c>
    </row>
    <row r="4021" spans="1:3" x14ac:dyDescent="0.35">
      <c r="A4021" t="s">
        <v>12011</v>
      </c>
      <c r="B4021" t="s">
        <v>12012</v>
      </c>
      <c r="C4021" t="s">
        <v>12013</v>
      </c>
    </row>
    <row r="4022" spans="1:3" x14ac:dyDescent="0.35">
      <c r="A4022" t="s">
        <v>12014</v>
      </c>
      <c r="B4022" t="s">
        <v>12015</v>
      </c>
      <c r="C4022" t="s">
        <v>12016</v>
      </c>
    </row>
    <row r="4023" spans="1:3" x14ac:dyDescent="0.35">
      <c r="A4023" t="s">
        <v>12017</v>
      </c>
      <c r="B4023" t="s">
        <v>12018</v>
      </c>
      <c r="C4023" t="s">
        <v>12019</v>
      </c>
    </row>
    <row r="4024" spans="1:3" x14ac:dyDescent="0.35">
      <c r="A4024" t="s">
        <v>12020</v>
      </c>
      <c r="B4024" t="s">
        <v>12021</v>
      </c>
      <c r="C4024" t="s">
        <v>12022</v>
      </c>
    </row>
    <row r="4025" spans="1:3" x14ac:dyDescent="0.35">
      <c r="A4025" t="s">
        <v>12023</v>
      </c>
      <c r="B4025" t="s">
        <v>12024</v>
      </c>
      <c r="C4025" t="s">
        <v>12025</v>
      </c>
    </row>
    <row r="4026" spans="1:3" x14ac:dyDescent="0.35">
      <c r="A4026" t="s">
        <v>12023</v>
      </c>
      <c r="B4026" t="s">
        <v>12026</v>
      </c>
      <c r="C4026" t="s">
        <v>12027</v>
      </c>
    </row>
    <row r="4027" spans="1:3" x14ac:dyDescent="0.35">
      <c r="A4027" t="s">
        <v>12028</v>
      </c>
      <c r="B4027" t="s">
        <v>12029</v>
      </c>
      <c r="C4027" t="s">
        <v>12030</v>
      </c>
    </row>
    <row r="4028" spans="1:3" x14ac:dyDescent="0.35">
      <c r="A4028" t="s">
        <v>12031</v>
      </c>
      <c r="B4028" t="s">
        <v>12032</v>
      </c>
      <c r="C4028" t="s">
        <v>12033</v>
      </c>
    </row>
    <row r="4029" spans="1:3" x14ac:dyDescent="0.35">
      <c r="A4029" t="s">
        <v>12034</v>
      </c>
      <c r="B4029" t="s">
        <v>12035</v>
      </c>
      <c r="C4029" t="s">
        <v>12036</v>
      </c>
    </row>
    <row r="4030" spans="1:3" x14ac:dyDescent="0.35">
      <c r="A4030" t="s">
        <v>12037</v>
      </c>
      <c r="B4030" t="s">
        <v>12038</v>
      </c>
      <c r="C4030" t="s">
        <v>12039</v>
      </c>
    </row>
    <row r="4031" spans="1:3" x14ac:dyDescent="0.35">
      <c r="A4031" t="s">
        <v>12040</v>
      </c>
      <c r="B4031" t="s">
        <v>12041</v>
      </c>
      <c r="C4031" t="s">
        <v>12042</v>
      </c>
    </row>
    <row r="4032" spans="1:3" x14ac:dyDescent="0.35">
      <c r="A4032" t="s">
        <v>12043</v>
      </c>
      <c r="B4032" t="s">
        <v>12044</v>
      </c>
      <c r="C4032" t="s">
        <v>12045</v>
      </c>
    </row>
    <row r="4033" spans="1:3" x14ac:dyDescent="0.35">
      <c r="A4033" t="s">
        <v>12046</v>
      </c>
      <c r="B4033" t="s">
        <v>12047</v>
      </c>
      <c r="C4033" t="s">
        <v>12048</v>
      </c>
    </row>
    <row r="4034" spans="1:3" x14ac:dyDescent="0.35">
      <c r="A4034" t="s">
        <v>12049</v>
      </c>
      <c r="B4034" t="s">
        <v>12050</v>
      </c>
      <c r="C4034" t="s">
        <v>12051</v>
      </c>
    </row>
    <row r="4035" spans="1:3" x14ac:dyDescent="0.35">
      <c r="A4035" t="s">
        <v>12052</v>
      </c>
      <c r="B4035" t="s">
        <v>12053</v>
      </c>
      <c r="C4035" t="s">
        <v>12054</v>
      </c>
    </row>
    <row r="4036" spans="1:3" x14ac:dyDescent="0.35">
      <c r="A4036" t="s">
        <v>12055</v>
      </c>
      <c r="B4036" t="s">
        <v>12056</v>
      </c>
      <c r="C4036" t="s">
        <v>12057</v>
      </c>
    </row>
    <row r="4037" spans="1:3" x14ac:dyDescent="0.35">
      <c r="A4037" t="s">
        <v>12058</v>
      </c>
      <c r="B4037" t="s">
        <v>12059</v>
      </c>
      <c r="C4037" t="s">
        <v>12060</v>
      </c>
    </row>
    <row r="4038" spans="1:3" x14ac:dyDescent="0.35">
      <c r="A4038" t="s">
        <v>12061</v>
      </c>
      <c r="B4038" t="s">
        <v>12062</v>
      </c>
      <c r="C4038" t="s">
        <v>12063</v>
      </c>
    </row>
    <row r="4039" spans="1:3" x14ac:dyDescent="0.35">
      <c r="A4039" t="s">
        <v>12064</v>
      </c>
      <c r="B4039" t="s">
        <v>12065</v>
      </c>
      <c r="C4039" t="s">
        <v>12066</v>
      </c>
    </row>
    <row r="4040" spans="1:3" x14ac:dyDescent="0.35">
      <c r="A4040" t="s">
        <v>12067</v>
      </c>
      <c r="B4040" t="s">
        <v>12068</v>
      </c>
      <c r="C4040" t="s">
        <v>12069</v>
      </c>
    </row>
    <row r="4041" spans="1:3" x14ac:dyDescent="0.35">
      <c r="A4041" t="s">
        <v>12070</v>
      </c>
      <c r="B4041" t="s">
        <v>12071</v>
      </c>
      <c r="C4041" t="s">
        <v>12072</v>
      </c>
    </row>
    <row r="4042" spans="1:3" x14ac:dyDescent="0.35">
      <c r="A4042" t="s">
        <v>12073</v>
      </c>
      <c r="B4042" t="s">
        <v>12074</v>
      </c>
      <c r="C4042" t="s">
        <v>12075</v>
      </c>
    </row>
    <row r="4043" spans="1:3" x14ac:dyDescent="0.35">
      <c r="A4043" t="s">
        <v>12076</v>
      </c>
      <c r="B4043" t="s">
        <v>12077</v>
      </c>
      <c r="C4043" t="s">
        <v>12078</v>
      </c>
    </row>
    <row r="4044" spans="1:3" x14ac:dyDescent="0.35">
      <c r="A4044" t="s">
        <v>12079</v>
      </c>
      <c r="B4044" t="s">
        <v>12080</v>
      </c>
      <c r="C4044" t="s">
        <v>12081</v>
      </c>
    </row>
    <row r="4045" spans="1:3" x14ac:dyDescent="0.35">
      <c r="A4045" t="s">
        <v>12082</v>
      </c>
      <c r="B4045" t="s">
        <v>12083</v>
      </c>
      <c r="C4045" t="s">
        <v>12084</v>
      </c>
    </row>
    <row r="4046" spans="1:3" x14ac:dyDescent="0.35">
      <c r="A4046" t="s">
        <v>12085</v>
      </c>
      <c r="B4046" t="s">
        <v>12086</v>
      </c>
      <c r="C4046" t="s">
        <v>12087</v>
      </c>
    </row>
    <row r="4047" spans="1:3" x14ac:dyDescent="0.35">
      <c r="A4047" t="s">
        <v>12088</v>
      </c>
      <c r="B4047" t="s">
        <v>12089</v>
      </c>
      <c r="C4047" t="s">
        <v>12090</v>
      </c>
    </row>
    <row r="4048" spans="1:3" x14ac:dyDescent="0.35">
      <c r="A4048" t="s">
        <v>12091</v>
      </c>
      <c r="B4048" t="s">
        <v>12092</v>
      </c>
      <c r="C4048" t="s">
        <v>12093</v>
      </c>
    </row>
    <row r="4049" spans="1:3" x14ac:dyDescent="0.35">
      <c r="A4049" t="s">
        <v>12091</v>
      </c>
      <c r="B4049" t="s">
        <v>12094</v>
      </c>
      <c r="C4049" t="s">
        <v>12095</v>
      </c>
    </row>
    <row r="4050" spans="1:3" x14ac:dyDescent="0.35">
      <c r="A4050" t="s">
        <v>12096</v>
      </c>
      <c r="B4050" t="s">
        <v>12097</v>
      </c>
      <c r="C4050" t="s">
        <v>12098</v>
      </c>
    </row>
    <row r="4051" spans="1:3" x14ac:dyDescent="0.35">
      <c r="A4051" t="s">
        <v>12099</v>
      </c>
      <c r="B4051" t="s">
        <v>12100</v>
      </c>
      <c r="C4051" t="s">
        <v>12101</v>
      </c>
    </row>
    <row r="4052" spans="1:3" x14ac:dyDescent="0.35">
      <c r="A4052" t="s">
        <v>12102</v>
      </c>
      <c r="B4052" t="s">
        <v>12103</v>
      </c>
      <c r="C4052" t="s">
        <v>12104</v>
      </c>
    </row>
    <row r="4053" spans="1:3" x14ac:dyDescent="0.35">
      <c r="A4053" t="s">
        <v>12105</v>
      </c>
      <c r="B4053" t="s">
        <v>12106</v>
      </c>
      <c r="C4053" t="s">
        <v>12107</v>
      </c>
    </row>
    <row r="4054" spans="1:3" x14ac:dyDescent="0.35">
      <c r="A4054" t="s">
        <v>12108</v>
      </c>
      <c r="B4054" t="s">
        <v>12109</v>
      </c>
      <c r="C4054" t="s">
        <v>12110</v>
      </c>
    </row>
    <row r="4055" spans="1:3" x14ac:dyDescent="0.35">
      <c r="A4055" t="s">
        <v>12111</v>
      </c>
      <c r="B4055" t="s">
        <v>12112</v>
      </c>
      <c r="C4055" t="s">
        <v>12113</v>
      </c>
    </row>
    <row r="4056" spans="1:3" x14ac:dyDescent="0.35">
      <c r="A4056" t="s">
        <v>12114</v>
      </c>
      <c r="B4056" t="s">
        <v>12115</v>
      </c>
      <c r="C4056" t="s">
        <v>12116</v>
      </c>
    </row>
    <row r="4057" spans="1:3" x14ac:dyDescent="0.35">
      <c r="A4057" t="s">
        <v>12117</v>
      </c>
      <c r="B4057" t="s">
        <v>12118</v>
      </c>
      <c r="C4057" t="s">
        <v>12119</v>
      </c>
    </row>
    <row r="4058" spans="1:3" x14ac:dyDescent="0.35">
      <c r="A4058" t="s">
        <v>12120</v>
      </c>
      <c r="B4058" t="s">
        <v>12121</v>
      </c>
      <c r="C4058" t="s">
        <v>12122</v>
      </c>
    </row>
    <row r="4059" spans="1:3" x14ac:dyDescent="0.35">
      <c r="A4059" t="s">
        <v>12123</v>
      </c>
      <c r="B4059" t="s">
        <v>12124</v>
      </c>
      <c r="C4059" t="s">
        <v>12125</v>
      </c>
    </row>
    <row r="4060" spans="1:3" x14ac:dyDescent="0.35">
      <c r="A4060" t="s">
        <v>12123</v>
      </c>
      <c r="B4060" t="s">
        <v>12126</v>
      </c>
      <c r="C4060" t="s">
        <v>12127</v>
      </c>
    </row>
    <row r="4061" spans="1:3" x14ac:dyDescent="0.35">
      <c r="A4061" t="s">
        <v>12128</v>
      </c>
      <c r="B4061" t="s">
        <v>12129</v>
      </c>
      <c r="C4061" t="s">
        <v>12130</v>
      </c>
    </row>
    <row r="4062" spans="1:3" x14ac:dyDescent="0.35">
      <c r="A4062" t="s">
        <v>12131</v>
      </c>
      <c r="B4062" t="s">
        <v>12132</v>
      </c>
      <c r="C4062" t="s">
        <v>12133</v>
      </c>
    </row>
    <row r="4063" spans="1:3" x14ac:dyDescent="0.35">
      <c r="A4063" t="s">
        <v>12131</v>
      </c>
      <c r="B4063" t="s">
        <v>12132</v>
      </c>
      <c r="C4063" t="s">
        <v>12134</v>
      </c>
    </row>
    <row r="4064" spans="1:3" x14ac:dyDescent="0.35">
      <c r="A4064" t="s">
        <v>12135</v>
      </c>
      <c r="B4064" t="s">
        <v>12136</v>
      </c>
      <c r="C4064" t="s">
        <v>12137</v>
      </c>
    </row>
    <row r="4065" spans="1:3" x14ac:dyDescent="0.35">
      <c r="A4065" t="s">
        <v>12138</v>
      </c>
      <c r="B4065" t="s">
        <v>12139</v>
      </c>
      <c r="C4065" t="s">
        <v>12140</v>
      </c>
    </row>
    <row r="4066" spans="1:3" x14ac:dyDescent="0.35">
      <c r="A4066" t="s">
        <v>12141</v>
      </c>
      <c r="B4066" t="s">
        <v>12142</v>
      </c>
      <c r="C4066" t="s">
        <v>12143</v>
      </c>
    </row>
    <row r="4067" spans="1:3" x14ac:dyDescent="0.35">
      <c r="A4067" t="s">
        <v>12144</v>
      </c>
      <c r="B4067" t="s">
        <v>12145</v>
      </c>
      <c r="C4067" t="s">
        <v>12146</v>
      </c>
    </row>
    <row r="4068" spans="1:3" x14ac:dyDescent="0.35">
      <c r="A4068" t="s">
        <v>12147</v>
      </c>
      <c r="B4068" t="s">
        <v>12148</v>
      </c>
      <c r="C4068" t="s">
        <v>12149</v>
      </c>
    </row>
    <row r="4069" spans="1:3" x14ac:dyDescent="0.35">
      <c r="A4069" t="s">
        <v>12150</v>
      </c>
      <c r="B4069" t="s">
        <v>12151</v>
      </c>
      <c r="C4069" t="s">
        <v>12152</v>
      </c>
    </row>
    <row r="4070" spans="1:3" x14ac:dyDescent="0.35">
      <c r="A4070" t="s">
        <v>12153</v>
      </c>
      <c r="B4070" t="s">
        <v>12154</v>
      </c>
      <c r="C4070" t="s">
        <v>12155</v>
      </c>
    </row>
    <row r="4071" spans="1:3" x14ac:dyDescent="0.35">
      <c r="A4071" t="s">
        <v>12156</v>
      </c>
      <c r="B4071" t="s">
        <v>12157</v>
      </c>
      <c r="C4071" t="s">
        <v>12158</v>
      </c>
    </row>
    <row r="4072" spans="1:3" x14ac:dyDescent="0.35">
      <c r="A4072" t="s">
        <v>12159</v>
      </c>
      <c r="B4072" t="s">
        <v>12160</v>
      </c>
      <c r="C4072" t="s">
        <v>12161</v>
      </c>
    </row>
    <row r="4073" spans="1:3" x14ac:dyDescent="0.35">
      <c r="A4073" t="s">
        <v>12162</v>
      </c>
      <c r="B4073" t="s">
        <v>12163</v>
      </c>
      <c r="C4073" t="s">
        <v>12164</v>
      </c>
    </row>
    <row r="4074" spans="1:3" x14ac:dyDescent="0.35">
      <c r="A4074" t="s">
        <v>12165</v>
      </c>
      <c r="B4074" t="s">
        <v>12166</v>
      </c>
      <c r="C4074" t="s">
        <v>12167</v>
      </c>
    </row>
    <row r="4075" spans="1:3" x14ac:dyDescent="0.35">
      <c r="A4075" t="s">
        <v>12168</v>
      </c>
      <c r="B4075" t="s">
        <v>12169</v>
      </c>
      <c r="C4075" t="s">
        <v>12170</v>
      </c>
    </row>
    <row r="4076" spans="1:3" x14ac:dyDescent="0.35">
      <c r="A4076" t="s">
        <v>12171</v>
      </c>
      <c r="B4076" t="s">
        <v>12172</v>
      </c>
      <c r="C4076" t="s">
        <v>12173</v>
      </c>
    </row>
    <row r="4077" spans="1:3" x14ac:dyDescent="0.35">
      <c r="A4077" t="s">
        <v>12171</v>
      </c>
      <c r="B4077" t="s">
        <v>12174</v>
      </c>
      <c r="C4077" t="s">
        <v>12175</v>
      </c>
    </row>
    <row r="4078" spans="1:3" x14ac:dyDescent="0.35">
      <c r="A4078" t="s">
        <v>12176</v>
      </c>
      <c r="B4078" t="s">
        <v>12177</v>
      </c>
      <c r="C4078" t="s">
        <v>12178</v>
      </c>
    </row>
    <row r="4079" spans="1:3" x14ac:dyDescent="0.35">
      <c r="A4079" t="s">
        <v>12179</v>
      </c>
      <c r="B4079" t="s">
        <v>12180</v>
      </c>
      <c r="C4079" t="s">
        <v>12181</v>
      </c>
    </row>
    <row r="4080" spans="1:3" x14ac:dyDescent="0.35">
      <c r="A4080" t="s">
        <v>12182</v>
      </c>
      <c r="B4080" t="s">
        <v>12183</v>
      </c>
      <c r="C4080" t="s">
        <v>12184</v>
      </c>
    </row>
    <row r="4081" spans="1:3" x14ac:dyDescent="0.35">
      <c r="A4081" t="s">
        <v>12185</v>
      </c>
      <c r="B4081" t="s">
        <v>12186</v>
      </c>
      <c r="C4081" t="s">
        <v>12187</v>
      </c>
    </row>
    <row r="4082" spans="1:3" x14ac:dyDescent="0.35">
      <c r="A4082" t="s">
        <v>12188</v>
      </c>
      <c r="B4082" t="s">
        <v>12189</v>
      </c>
      <c r="C4082" t="s">
        <v>12190</v>
      </c>
    </row>
    <row r="4083" spans="1:3" x14ac:dyDescent="0.35">
      <c r="A4083" t="s">
        <v>12191</v>
      </c>
      <c r="B4083" t="s">
        <v>12192</v>
      </c>
      <c r="C4083" t="s">
        <v>12193</v>
      </c>
    </row>
    <row r="4084" spans="1:3" x14ac:dyDescent="0.35">
      <c r="A4084" t="s">
        <v>12194</v>
      </c>
      <c r="B4084" t="s">
        <v>12195</v>
      </c>
      <c r="C4084" t="s">
        <v>12196</v>
      </c>
    </row>
    <row r="4085" spans="1:3" x14ac:dyDescent="0.35">
      <c r="A4085" t="s">
        <v>12194</v>
      </c>
      <c r="B4085" t="s">
        <v>12197</v>
      </c>
      <c r="C4085" t="s">
        <v>12198</v>
      </c>
    </row>
    <row r="4086" spans="1:3" x14ac:dyDescent="0.35">
      <c r="A4086" t="s">
        <v>12199</v>
      </c>
      <c r="B4086" t="s">
        <v>12200</v>
      </c>
      <c r="C4086" t="s">
        <v>12201</v>
      </c>
    </row>
    <row r="4087" spans="1:3" x14ac:dyDescent="0.35">
      <c r="A4087" t="s">
        <v>12202</v>
      </c>
      <c r="B4087" t="s">
        <v>12203</v>
      </c>
      <c r="C4087" t="s">
        <v>12204</v>
      </c>
    </row>
    <row r="4088" spans="1:3" x14ac:dyDescent="0.35">
      <c r="A4088" t="s">
        <v>12205</v>
      </c>
      <c r="B4088" t="s">
        <v>12206</v>
      </c>
      <c r="C4088" t="s">
        <v>12207</v>
      </c>
    </row>
    <row r="4089" spans="1:3" x14ac:dyDescent="0.35">
      <c r="A4089" t="s">
        <v>12208</v>
      </c>
      <c r="B4089" t="s">
        <v>12209</v>
      </c>
      <c r="C4089" t="s">
        <v>12210</v>
      </c>
    </row>
    <row r="4090" spans="1:3" x14ac:dyDescent="0.35">
      <c r="A4090" t="s">
        <v>12211</v>
      </c>
      <c r="B4090" t="s">
        <v>12212</v>
      </c>
      <c r="C4090" t="s">
        <v>12213</v>
      </c>
    </row>
    <row r="4091" spans="1:3" x14ac:dyDescent="0.35">
      <c r="A4091" t="s">
        <v>12214</v>
      </c>
      <c r="B4091" t="s">
        <v>12215</v>
      </c>
      <c r="C4091" t="s">
        <v>12216</v>
      </c>
    </row>
    <row r="4092" spans="1:3" x14ac:dyDescent="0.35">
      <c r="A4092" t="s">
        <v>12217</v>
      </c>
      <c r="B4092" t="s">
        <v>12218</v>
      </c>
      <c r="C4092" t="s">
        <v>12219</v>
      </c>
    </row>
    <row r="4093" spans="1:3" x14ac:dyDescent="0.35">
      <c r="A4093" t="s">
        <v>12220</v>
      </c>
      <c r="B4093" t="s">
        <v>12221</v>
      </c>
      <c r="C4093" t="s">
        <v>12222</v>
      </c>
    </row>
    <row r="4094" spans="1:3" x14ac:dyDescent="0.35">
      <c r="A4094" t="s">
        <v>12223</v>
      </c>
      <c r="B4094" t="s">
        <v>12224</v>
      </c>
      <c r="C4094" t="s">
        <v>12225</v>
      </c>
    </row>
    <row r="4095" spans="1:3" x14ac:dyDescent="0.35">
      <c r="A4095" t="s">
        <v>12226</v>
      </c>
      <c r="B4095" t="s">
        <v>12227</v>
      </c>
      <c r="C4095" t="s">
        <v>12228</v>
      </c>
    </row>
    <row r="4096" spans="1:3" x14ac:dyDescent="0.35">
      <c r="A4096" t="s">
        <v>12229</v>
      </c>
      <c r="B4096" t="s">
        <v>12230</v>
      </c>
      <c r="C4096" t="s">
        <v>12231</v>
      </c>
    </row>
    <row r="4097" spans="1:3" x14ac:dyDescent="0.35">
      <c r="A4097" t="s">
        <v>12232</v>
      </c>
      <c r="B4097" t="s">
        <v>12233</v>
      </c>
      <c r="C4097" t="s">
        <v>12234</v>
      </c>
    </row>
    <row r="4098" spans="1:3" x14ac:dyDescent="0.35">
      <c r="A4098" t="s">
        <v>12235</v>
      </c>
      <c r="B4098" t="s">
        <v>12236</v>
      </c>
      <c r="C4098" t="s">
        <v>12237</v>
      </c>
    </row>
    <row r="4099" spans="1:3" x14ac:dyDescent="0.35">
      <c r="A4099" t="s">
        <v>12238</v>
      </c>
      <c r="B4099" t="s">
        <v>12239</v>
      </c>
      <c r="C4099" t="s">
        <v>12240</v>
      </c>
    </row>
    <row r="4100" spans="1:3" x14ac:dyDescent="0.35">
      <c r="A4100" t="s">
        <v>12241</v>
      </c>
      <c r="B4100" t="s">
        <v>12242</v>
      </c>
      <c r="C4100" t="s">
        <v>12243</v>
      </c>
    </row>
    <row r="4101" spans="1:3" x14ac:dyDescent="0.35">
      <c r="A4101" t="s">
        <v>12244</v>
      </c>
      <c r="B4101" t="s">
        <v>12245</v>
      </c>
      <c r="C4101" t="s">
        <v>12246</v>
      </c>
    </row>
    <row r="4102" spans="1:3" x14ac:dyDescent="0.35">
      <c r="A4102" t="s">
        <v>12247</v>
      </c>
      <c r="B4102" t="s">
        <v>12248</v>
      </c>
      <c r="C4102" t="s">
        <v>12249</v>
      </c>
    </row>
    <row r="4103" spans="1:3" x14ac:dyDescent="0.35">
      <c r="A4103" t="s">
        <v>12250</v>
      </c>
      <c r="B4103" t="s">
        <v>12251</v>
      </c>
      <c r="C4103" t="s">
        <v>12252</v>
      </c>
    </row>
    <row r="4104" spans="1:3" x14ac:dyDescent="0.35">
      <c r="A4104" t="s">
        <v>12253</v>
      </c>
      <c r="B4104" t="s">
        <v>12254</v>
      </c>
      <c r="C4104" t="s">
        <v>12255</v>
      </c>
    </row>
    <row r="4105" spans="1:3" x14ac:dyDescent="0.35">
      <c r="A4105" t="s">
        <v>12256</v>
      </c>
      <c r="B4105" t="s">
        <v>12257</v>
      </c>
      <c r="C4105" t="s">
        <v>12258</v>
      </c>
    </row>
    <row r="4106" spans="1:3" x14ac:dyDescent="0.35">
      <c r="A4106" t="s">
        <v>12259</v>
      </c>
      <c r="B4106" t="s">
        <v>12260</v>
      </c>
      <c r="C4106" t="s">
        <v>12261</v>
      </c>
    </row>
    <row r="4107" spans="1:3" x14ac:dyDescent="0.35">
      <c r="A4107" t="s">
        <v>12262</v>
      </c>
      <c r="B4107" t="s">
        <v>12263</v>
      </c>
      <c r="C4107" t="s">
        <v>12264</v>
      </c>
    </row>
    <row r="4108" spans="1:3" x14ac:dyDescent="0.35">
      <c r="A4108" t="s">
        <v>12265</v>
      </c>
      <c r="B4108" t="s">
        <v>12266</v>
      </c>
      <c r="C4108" t="s">
        <v>12267</v>
      </c>
    </row>
    <row r="4109" spans="1:3" x14ac:dyDescent="0.35">
      <c r="A4109" t="s">
        <v>12268</v>
      </c>
      <c r="B4109" t="s">
        <v>12269</v>
      </c>
      <c r="C4109" t="s">
        <v>12270</v>
      </c>
    </row>
    <row r="4110" spans="1:3" x14ac:dyDescent="0.35">
      <c r="A4110" t="s">
        <v>12271</v>
      </c>
      <c r="B4110" t="s">
        <v>12272</v>
      </c>
      <c r="C4110" t="s">
        <v>12273</v>
      </c>
    </row>
    <row r="4111" spans="1:3" x14ac:dyDescent="0.35">
      <c r="A4111" t="s">
        <v>12274</v>
      </c>
      <c r="B4111" t="s">
        <v>12275</v>
      </c>
      <c r="C4111" t="s">
        <v>12276</v>
      </c>
    </row>
    <row r="4112" spans="1:3" x14ac:dyDescent="0.35">
      <c r="A4112" t="s">
        <v>12277</v>
      </c>
      <c r="B4112" t="s">
        <v>12278</v>
      </c>
      <c r="C4112" t="s">
        <v>12279</v>
      </c>
    </row>
    <row r="4113" spans="1:3" x14ac:dyDescent="0.35">
      <c r="A4113" t="s">
        <v>12280</v>
      </c>
      <c r="B4113" t="s">
        <v>12281</v>
      </c>
      <c r="C4113" t="s">
        <v>12282</v>
      </c>
    </row>
    <row r="4114" spans="1:3" x14ac:dyDescent="0.35">
      <c r="A4114" t="s">
        <v>12283</v>
      </c>
      <c r="B4114" t="s">
        <v>12284</v>
      </c>
      <c r="C4114" t="s">
        <v>12285</v>
      </c>
    </row>
    <row r="4115" spans="1:3" x14ac:dyDescent="0.35">
      <c r="A4115" t="s">
        <v>12286</v>
      </c>
      <c r="B4115" t="s">
        <v>12287</v>
      </c>
      <c r="C4115" t="s">
        <v>12288</v>
      </c>
    </row>
    <row r="4116" spans="1:3" x14ac:dyDescent="0.35">
      <c r="A4116" t="s">
        <v>12289</v>
      </c>
      <c r="B4116" t="s">
        <v>12290</v>
      </c>
      <c r="C4116" t="s">
        <v>12291</v>
      </c>
    </row>
    <row r="4117" spans="1:3" x14ac:dyDescent="0.35">
      <c r="A4117" t="s">
        <v>58</v>
      </c>
      <c r="B4117" t="s">
        <v>12292</v>
      </c>
      <c r="C4117" t="s">
        <v>12293</v>
      </c>
    </row>
    <row r="4118" spans="1:3" x14ac:dyDescent="0.35">
      <c r="A4118" t="s">
        <v>12294</v>
      </c>
      <c r="B4118" t="s">
        <v>12295</v>
      </c>
      <c r="C4118" t="s">
        <v>12296</v>
      </c>
    </row>
    <row r="4119" spans="1:3" x14ac:dyDescent="0.35">
      <c r="A4119" t="s">
        <v>12297</v>
      </c>
      <c r="B4119" t="s">
        <v>12298</v>
      </c>
      <c r="C4119" t="s">
        <v>12299</v>
      </c>
    </row>
    <row r="4120" spans="1:3" x14ac:dyDescent="0.35">
      <c r="A4120" t="s">
        <v>12300</v>
      </c>
      <c r="B4120" t="s">
        <v>12301</v>
      </c>
      <c r="C4120" t="s">
        <v>12302</v>
      </c>
    </row>
    <row r="4121" spans="1:3" x14ac:dyDescent="0.35">
      <c r="A4121" t="s">
        <v>12303</v>
      </c>
      <c r="B4121" t="s">
        <v>12304</v>
      </c>
      <c r="C4121" t="s">
        <v>12305</v>
      </c>
    </row>
    <row r="4122" spans="1:3" x14ac:dyDescent="0.35">
      <c r="A4122" t="s">
        <v>12306</v>
      </c>
      <c r="B4122" t="s">
        <v>12307</v>
      </c>
      <c r="C4122" t="s">
        <v>12308</v>
      </c>
    </row>
    <row r="4123" spans="1:3" x14ac:dyDescent="0.35">
      <c r="A4123" t="s">
        <v>12309</v>
      </c>
      <c r="B4123" t="s">
        <v>12310</v>
      </c>
      <c r="C4123" t="s">
        <v>12311</v>
      </c>
    </row>
    <row r="4124" spans="1:3" x14ac:dyDescent="0.35">
      <c r="A4124" t="s">
        <v>12312</v>
      </c>
      <c r="B4124" t="s">
        <v>12313</v>
      </c>
      <c r="C4124" t="s">
        <v>12314</v>
      </c>
    </row>
    <row r="4125" spans="1:3" x14ac:dyDescent="0.35">
      <c r="A4125" t="s">
        <v>12315</v>
      </c>
      <c r="B4125" t="s">
        <v>12316</v>
      </c>
      <c r="C4125" t="s">
        <v>12317</v>
      </c>
    </row>
    <row r="4126" spans="1:3" x14ac:dyDescent="0.35">
      <c r="A4126" t="s">
        <v>12318</v>
      </c>
      <c r="B4126" t="s">
        <v>12319</v>
      </c>
      <c r="C4126" t="s">
        <v>12320</v>
      </c>
    </row>
    <row r="4127" spans="1:3" x14ac:dyDescent="0.35">
      <c r="A4127" t="s">
        <v>12321</v>
      </c>
      <c r="B4127" t="s">
        <v>12322</v>
      </c>
      <c r="C4127" t="s">
        <v>12323</v>
      </c>
    </row>
    <row r="4128" spans="1:3" x14ac:dyDescent="0.35">
      <c r="A4128" t="s">
        <v>12324</v>
      </c>
      <c r="B4128" t="s">
        <v>12325</v>
      </c>
      <c r="C4128" t="s">
        <v>12326</v>
      </c>
    </row>
    <row r="4129" spans="1:3" x14ac:dyDescent="0.35">
      <c r="A4129" t="s">
        <v>12327</v>
      </c>
      <c r="B4129" t="s">
        <v>12328</v>
      </c>
      <c r="C4129" t="s">
        <v>12329</v>
      </c>
    </row>
    <row r="4130" spans="1:3" x14ac:dyDescent="0.35">
      <c r="A4130" t="s">
        <v>12330</v>
      </c>
      <c r="B4130" t="s">
        <v>12331</v>
      </c>
      <c r="C4130" t="s">
        <v>12332</v>
      </c>
    </row>
    <row r="4131" spans="1:3" x14ac:dyDescent="0.35">
      <c r="A4131" t="s">
        <v>12333</v>
      </c>
      <c r="B4131" t="s">
        <v>12334</v>
      </c>
      <c r="C4131" t="s">
        <v>12335</v>
      </c>
    </row>
    <row r="4132" spans="1:3" x14ac:dyDescent="0.35">
      <c r="A4132" t="s">
        <v>12336</v>
      </c>
      <c r="B4132" t="s">
        <v>12337</v>
      </c>
      <c r="C4132" t="s">
        <v>12338</v>
      </c>
    </row>
    <row r="4133" spans="1:3" x14ac:dyDescent="0.35">
      <c r="A4133" t="s">
        <v>12339</v>
      </c>
      <c r="B4133" t="s">
        <v>12340</v>
      </c>
      <c r="C4133" t="s">
        <v>12341</v>
      </c>
    </row>
    <row r="4134" spans="1:3" x14ac:dyDescent="0.35">
      <c r="A4134" t="s">
        <v>12342</v>
      </c>
      <c r="B4134" t="s">
        <v>12343</v>
      </c>
      <c r="C4134" t="s">
        <v>12344</v>
      </c>
    </row>
    <row r="4135" spans="1:3" x14ac:dyDescent="0.35">
      <c r="A4135" t="s">
        <v>12345</v>
      </c>
      <c r="B4135" t="s">
        <v>12346</v>
      </c>
      <c r="C4135" t="s">
        <v>12347</v>
      </c>
    </row>
    <row r="4136" spans="1:3" x14ac:dyDescent="0.35">
      <c r="A4136" t="s">
        <v>12348</v>
      </c>
      <c r="B4136" t="s">
        <v>12349</v>
      </c>
      <c r="C4136" t="s">
        <v>12350</v>
      </c>
    </row>
    <row r="4137" spans="1:3" x14ac:dyDescent="0.35">
      <c r="A4137" t="s">
        <v>12351</v>
      </c>
      <c r="B4137" t="s">
        <v>12352</v>
      </c>
      <c r="C4137" t="s">
        <v>12353</v>
      </c>
    </row>
    <row r="4138" spans="1:3" x14ac:dyDescent="0.35">
      <c r="A4138" t="s">
        <v>12354</v>
      </c>
      <c r="B4138" t="s">
        <v>12355</v>
      </c>
      <c r="C4138" t="s">
        <v>12356</v>
      </c>
    </row>
    <row r="4139" spans="1:3" x14ac:dyDescent="0.35">
      <c r="A4139" t="s">
        <v>12357</v>
      </c>
      <c r="B4139" t="s">
        <v>12358</v>
      </c>
      <c r="C4139" t="s">
        <v>12359</v>
      </c>
    </row>
    <row r="4140" spans="1:3" x14ac:dyDescent="0.35">
      <c r="A4140" t="s">
        <v>12360</v>
      </c>
      <c r="B4140" t="s">
        <v>12361</v>
      </c>
      <c r="C4140" t="s">
        <v>12362</v>
      </c>
    </row>
    <row r="4141" spans="1:3" x14ac:dyDescent="0.35">
      <c r="A4141" t="s">
        <v>12363</v>
      </c>
      <c r="B4141" t="s">
        <v>12364</v>
      </c>
      <c r="C4141" t="s">
        <v>12365</v>
      </c>
    </row>
    <row r="4142" spans="1:3" x14ac:dyDescent="0.35">
      <c r="A4142" t="s">
        <v>12366</v>
      </c>
      <c r="B4142" t="s">
        <v>12367</v>
      </c>
      <c r="C4142" t="s">
        <v>12368</v>
      </c>
    </row>
    <row r="4143" spans="1:3" x14ac:dyDescent="0.35">
      <c r="A4143" t="s">
        <v>12369</v>
      </c>
      <c r="B4143" t="s">
        <v>12370</v>
      </c>
      <c r="C4143" t="s">
        <v>12371</v>
      </c>
    </row>
    <row r="4144" spans="1:3" x14ac:dyDescent="0.35">
      <c r="A4144" t="s">
        <v>12372</v>
      </c>
      <c r="B4144" t="s">
        <v>12373</v>
      </c>
      <c r="C4144" t="s">
        <v>12374</v>
      </c>
    </row>
    <row r="4145" spans="1:3" x14ac:dyDescent="0.35">
      <c r="A4145" t="s">
        <v>12375</v>
      </c>
      <c r="B4145" t="s">
        <v>12376</v>
      </c>
      <c r="C4145" t="s">
        <v>12377</v>
      </c>
    </row>
    <row r="4146" spans="1:3" x14ac:dyDescent="0.35">
      <c r="A4146" t="s">
        <v>12378</v>
      </c>
      <c r="B4146" t="s">
        <v>12379</v>
      </c>
      <c r="C4146" t="s">
        <v>12380</v>
      </c>
    </row>
    <row r="4147" spans="1:3" x14ac:dyDescent="0.35">
      <c r="A4147" t="s">
        <v>12381</v>
      </c>
      <c r="B4147" t="s">
        <v>12382</v>
      </c>
      <c r="C4147" t="s">
        <v>12383</v>
      </c>
    </row>
    <row r="4148" spans="1:3" x14ac:dyDescent="0.35">
      <c r="A4148" t="s">
        <v>12381</v>
      </c>
      <c r="B4148" t="s">
        <v>12384</v>
      </c>
      <c r="C4148" t="s">
        <v>12385</v>
      </c>
    </row>
    <row r="4149" spans="1:3" x14ac:dyDescent="0.35">
      <c r="A4149" t="s">
        <v>12386</v>
      </c>
      <c r="B4149" t="s">
        <v>12387</v>
      </c>
      <c r="C4149" t="s">
        <v>12388</v>
      </c>
    </row>
    <row r="4150" spans="1:3" x14ac:dyDescent="0.35">
      <c r="A4150" t="s">
        <v>12389</v>
      </c>
      <c r="B4150" t="s">
        <v>12390</v>
      </c>
      <c r="C4150" t="s">
        <v>12391</v>
      </c>
    </row>
    <row r="4151" spans="1:3" x14ac:dyDescent="0.35">
      <c r="A4151" t="s">
        <v>12392</v>
      </c>
      <c r="B4151" t="s">
        <v>12393</v>
      </c>
      <c r="C4151" t="s">
        <v>12394</v>
      </c>
    </row>
    <row r="4152" spans="1:3" x14ac:dyDescent="0.35">
      <c r="A4152" t="s">
        <v>12392</v>
      </c>
      <c r="B4152" t="s">
        <v>12395</v>
      </c>
      <c r="C4152" t="s">
        <v>12396</v>
      </c>
    </row>
    <row r="4153" spans="1:3" x14ac:dyDescent="0.35">
      <c r="A4153" t="s">
        <v>12397</v>
      </c>
      <c r="B4153" t="s">
        <v>12398</v>
      </c>
      <c r="C4153" t="s">
        <v>12399</v>
      </c>
    </row>
    <row r="4154" spans="1:3" x14ac:dyDescent="0.35">
      <c r="A4154" t="s">
        <v>12400</v>
      </c>
      <c r="B4154" t="s">
        <v>12401</v>
      </c>
      <c r="C4154" t="s">
        <v>12402</v>
      </c>
    </row>
    <row r="4155" spans="1:3" x14ac:dyDescent="0.35">
      <c r="A4155" t="s">
        <v>12403</v>
      </c>
      <c r="B4155" t="s">
        <v>12404</v>
      </c>
      <c r="C4155" t="s">
        <v>12405</v>
      </c>
    </row>
    <row r="4156" spans="1:3" x14ac:dyDescent="0.35">
      <c r="A4156" t="s">
        <v>12406</v>
      </c>
      <c r="B4156" t="s">
        <v>12407</v>
      </c>
      <c r="C4156" t="s">
        <v>12408</v>
      </c>
    </row>
    <row r="4157" spans="1:3" x14ac:dyDescent="0.35">
      <c r="A4157" t="s">
        <v>12409</v>
      </c>
      <c r="B4157" t="s">
        <v>12410</v>
      </c>
      <c r="C4157" t="s">
        <v>12411</v>
      </c>
    </row>
    <row r="4158" spans="1:3" x14ac:dyDescent="0.35">
      <c r="A4158" t="s">
        <v>12412</v>
      </c>
      <c r="B4158" t="s">
        <v>12413</v>
      </c>
      <c r="C4158" t="s">
        <v>12414</v>
      </c>
    </row>
    <row r="4159" spans="1:3" x14ac:dyDescent="0.35">
      <c r="A4159" t="s">
        <v>12415</v>
      </c>
      <c r="B4159" t="s">
        <v>12416</v>
      </c>
      <c r="C4159" t="s">
        <v>12417</v>
      </c>
    </row>
    <row r="4160" spans="1:3" x14ac:dyDescent="0.35">
      <c r="A4160" t="s">
        <v>12418</v>
      </c>
      <c r="B4160" t="s">
        <v>12419</v>
      </c>
      <c r="C4160" t="s">
        <v>12420</v>
      </c>
    </row>
    <row r="4161" spans="1:3" x14ac:dyDescent="0.35">
      <c r="A4161" t="s">
        <v>12421</v>
      </c>
      <c r="B4161" t="s">
        <v>12422</v>
      </c>
      <c r="C4161" t="s">
        <v>12423</v>
      </c>
    </row>
    <row r="4162" spans="1:3" x14ac:dyDescent="0.35">
      <c r="A4162" t="s">
        <v>12421</v>
      </c>
      <c r="B4162" t="s">
        <v>12424</v>
      </c>
      <c r="C4162" t="s">
        <v>12425</v>
      </c>
    </row>
    <row r="4163" spans="1:3" x14ac:dyDescent="0.35">
      <c r="A4163" t="s">
        <v>12426</v>
      </c>
      <c r="B4163" t="s">
        <v>12427</v>
      </c>
      <c r="C4163" t="s">
        <v>12428</v>
      </c>
    </row>
    <row r="4164" spans="1:3" x14ac:dyDescent="0.35">
      <c r="A4164" t="s">
        <v>12429</v>
      </c>
      <c r="B4164" t="s">
        <v>12430</v>
      </c>
      <c r="C4164" t="s">
        <v>2234</v>
      </c>
    </row>
    <row r="4165" spans="1:3" x14ac:dyDescent="0.35">
      <c r="A4165" t="s">
        <v>12431</v>
      </c>
      <c r="B4165" t="s">
        <v>12432</v>
      </c>
      <c r="C4165" t="s">
        <v>12433</v>
      </c>
    </row>
    <row r="4166" spans="1:3" x14ac:dyDescent="0.35">
      <c r="A4166" t="s">
        <v>12434</v>
      </c>
      <c r="B4166" t="s">
        <v>12435</v>
      </c>
      <c r="C4166" t="s">
        <v>12436</v>
      </c>
    </row>
    <row r="4167" spans="1:3" x14ac:dyDescent="0.35">
      <c r="A4167" t="s">
        <v>12437</v>
      </c>
      <c r="B4167" t="s">
        <v>12438</v>
      </c>
      <c r="C4167" t="s">
        <v>12439</v>
      </c>
    </row>
    <row r="4168" spans="1:3" x14ac:dyDescent="0.35">
      <c r="A4168" t="s">
        <v>12440</v>
      </c>
      <c r="B4168" t="s">
        <v>12441</v>
      </c>
      <c r="C4168" t="s">
        <v>12442</v>
      </c>
    </row>
    <row r="4169" spans="1:3" x14ac:dyDescent="0.35">
      <c r="A4169" t="s">
        <v>12443</v>
      </c>
      <c r="B4169" t="s">
        <v>12444</v>
      </c>
      <c r="C4169" t="s">
        <v>12445</v>
      </c>
    </row>
    <row r="4170" spans="1:3" x14ac:dyDescent="0.35">
      <c r="A4170" t="s">
        <v>12446</v>
      </c>
      <c r="B4170" t="s">
        <v>12447</v>
      </c>
      <c r="C4170" t="s">
        <v>12448</v>
      </c>
    </row>
    <row r="4171" spans="1:3" x14ac:dyDescent="0.35">
      <c r="A4171" t="s">
        <v>12449</v>
      </c>
      <c r="B4171" t="s">
        <v>12450</v>
      </c>
      <c r="C4171" t="s">
        <v>12451</v>
      </c>
    </row>
    <row r="4172" spans="1:3" x14ac:dyDescent="0.35">
      <c r="A4172" t="s">
        <v>12452</v>
      </c>
      <c r="B4172" t="s">
        <v>12453</v>
      </c>
      <c r="C4172" t="s">
        <v>12454</v>
      </c>
    </row>
    <row r="4173" spans="1:3" x14ac:dyDescent="0.35">
      <c r="A4173" t="s">
        <v>12455</v>
      </c>
      <c r="B4173" t="s">
        <v>12456</v>
      </c>
      <c r="C4173" t="s">
        <v>12457</v>
      </c>
    </row>
    <row r="4174" spans="1:3" x14ac:dyDescent="0.35">
      <c r="A4174" t="s">
        <v>12458</v>
      </c>
      <c r="B4174" t="s">
        <v>12459</v>
      </c>
      <c r="C4174" t="s">
        <v>12460</v>
      </c>
    </row>
    <row r="4175" spans="1:3" x14ac:dyDescent="0.35">
      <c r="A4175" t="s">
        <v>12461</v>
      </c>
      <c r="B4175" t="s">
        <v>12462</v>
      </c>
      <c r="C4175" t="s">
        <v>12463</v>
      </c>
    </row>
    <row r="4176" spans="1:3" x14ac:dyDescent="0.35">
      <c r="A4176" t="s">
        <v>12464</v>
      </c>
      <c r="B4176" t="s">
        <v>12465</v>
      </c>
      <c r="C4176" t="s">
        <v>12466</v>
      </c>
    </row>
    <row r="4177" spans="1:3" x14ac:dyDescent="0.35">
      <c r="A4177" t="s">
        <v>12467</v>
      </c>
      <c r="B4177" t="s">
        <v>12468</v>
      </c>
      <c r="C4177" t="s">
        <v>12469</v>
      </c>
    </row>
    <row r="4178" spans="1:3" x14ac:dyDescent="0.35">
      <c r="A4178" t="s">
        <v>12470</v>
      </c>
      <c r="B4178" t="s">
        <v>12471</v>
      </c>
      <c r="C4178" t="s">
        <v>12472</v>
      </c>
    </row>
    <row r="4179" spans="1:3" x14ac:dyDescent="0.35">
      <c r="A4179" t="s">
        <v>12473</v>
      </c>
      <c r="B4179" t="s">
        <v>12474</v>
      </c>
      <c r="C4179" t="s">
        <v>12475</v>
      </c>
    </row>
    <row r="4180" spans="1:3" x14ac:dyDescent="0.35">
      <c r="A4180" t="s">
        <v>12476</v>
      </c>
      <c r="B4180" t="s">
        <v>12477</v>
      </c>
      <c r="C4180" t="s">
        <v>12478</v>
      </c>
    </row>
    <row r="4181" spans="1:3" x14ac:dyDescent="0.35">
      <c r="A4181" t="s">
        <v>12479</v>
      </c>
      <c r="B4181" t="s">
        <v>12480</v>
      </c>
      <c r="C4181" t="s">
        <v>12481</v>
      </c>
    </row>
    <row r="4182" spans="1:3" x14ac:dyDescent="0.35">
      <c r="A4182" t="s">
        <v>12482</v>
      </c>
      <c r="B4182" t="s">
        <v>12483</v>
      </c>
      <c r="C4182" t="s">
        <v>12484</v>
      </c>
    </row>
    <row r="4183" spans="1:3" x14ac:dyDescent="0.35">
      <c r="A4183" t="s">
        <v>12485</v>
      </c>
      <c r="B4183" t="s">
        <v>12486</v>
      </c>
      <c r="C4183" t="s">
        <v>12487</v>
      </c>
    </row>
    <row r="4184" spans="1:3" x14ac:dyDescent="0.35">
      <c r="A4184" t="s">
        <v>12488</v>
      </c>
      <c r="B4184" t="s">
        <v>12489</v>
      </c>
      <c r="C4184" t="s">
        <v>12490</v>
      </c>
    </row>
    <row r="4185" spans="1:3" x14ac:dyDescent="0.35">
      <c r="A4185" t="s">
        <v>12491</v>
      </c>
      <c r="B4185" t="s">
        <v>12492</v>
      </c>
      <c r="C4185" t="s">
        <v>12493</v>
      </c>
    </row>
    <row r="4186" spans="1:3" x14ac:dyDescent="0.35">
      <c r="A4186" t="s">
        <v>12494</v>
      </c>
      <c r="B4186" t="s">
        <v>12495</v>
      </c>
      <c r="C4186" t="s">
        <v>12496</v>
      </c>
    </row>
    <row r="4187" spans="1:3" x14ac:dyDescent="0.35">
      <c r="A4187" t="s">
        <v>12497</v>
      </c>
      <c r="B4187" t="s">
        <v>12498</v>
      </c>
      <c r="C4187" t="s">
        <v>12499</v>
      </c>
    </row>
    <row r="4188" spans="1:3" x14ac:dyDescent="0.35">
      <c r="A4188" t="s">
        <v>12500</v>
      </c>
      <c r="B4188" t="s">
        <v>12501</v>
      </c>
      <c r="C4188" t="s">
        <v>12502</v>
      </c>
    </row>
    <row r="4189" spans="1:3" x14ac:dyDescent="0.35">
      <c r="A4189" t="s">
        <v>12503</v>
      </c>
      <c r="B4189" t="s">
        <v>12504</v>
      </c>
      <c r="C4189" t="s">
        <v>12505</v>
      </c>
    </row>
    <row r="4190" spans="1:3" x14ac:dyDescent="0.35">
      <c r="A4190" t="s">
        <v>12506</v>
      </c>
      <c r="B4190" t="s">
        <v>12507</v>
      </c>
      <c r="C4190" t="s">
        <v>12508</v>
      </c>
    </row>
    <row r="4191" spans="1:3" x14ac:dyDescent="0.35">
      <c r="A4191" t="s">
        <v>12506</v>
      </c>
      <c r="B4191" t="s">
        <v>12509</v>
      </c>
      <c r="C4191" t="s">
        <v>12510</v>
      </c>
    </row>
    <row r="4192" spans="1:3" x14ac:dyDescent="0.35">
      <c r="A4192" t="s">
        <v>12511</v>
      </c>
      <c r="B4192" t="s">
        <v>12512</v>
      </c>
      <c r="C4192" t="s">
        <v>12513</v>
      </c>
    </row>
    <row r="4193" spans="1:3" x14ac:dyDescent="0.35">
      <c r="A4193" t="s">
        <v>12514</v>
      </c>
      <c r="B4193" t="s">
        <v>12515</v>
      </c>
      <c r="C4193" t="s">
        <v>12516</v>
      </c>
    </row>
    <row r="4194" spans="1:3" x14ac:dyDescent="0.35">
      <c r="A4194" t="s">
        <v>12517</v>
      </c>
      <c r="B4194" t="s">
        <v>12518</v>
      </c>
      <c r="C4194" t="s">
        <v>12519</v>
      </c>
    </row>
    <row r="4195" spans="1:3" x14ac:dyDescent="0.35">
      <c r="A4195" t="s">
        <v>12520</v>
      </c>
      <c r="B4195" t="s">
        <v>12521</v>
      </c>
      <c r="C4195" t="s">
        <v>12522</v>
      </c>
    </row>
    <row r="4196" spans="1:3" x14ac:dyDescent="0.35">
      <c r="A4196" t="s">
        <v>12523</v>
      </c>
      <c r="B4196" t="s">
        <v>12524</v>
      </c>
      <c r="C4196" t="s">
        <v>12525</v>
      </c>
    </row>
    <row r="4197" spans="1:3" x14ac:dyDescent="0.35">
      <c r="A4197" t="s">
        <v>12526</v>
      </c>
      <c r="B4197" t="s">
        <v>12527</v>
      </c>
      <c r="C4197" t="s">
        <v>12528</v>
      </c>
    </row>
    <row r="4198" spans="1:3" x14ac:dyDescent="0.35">
      <c r="A4198" t="s">
        <v>12529</v>
      </c>
      <c r="B4198" t="s">
        <v>12530</v>
      </c>
      <c r="C4198" t="s">
        <v>12531</v>
      </c>
    </row>
    <row r="4199" spans="1:3" x14ac:dyDescent="0.35">
      <c r="A4199" t="s">
        <v>12532</v>
      </c>
      <c r="B4199" t="s">
        <v>12533</v>
      </c>
      <c r="C4199" t="s">
        <v>12534</v>
      </c>
    </row>
    <row r="4200" spans="1:3" x14ac:dyDescent="0.35">
      <c r="A4200" t="s">
        <v>12535</v>
      </c>
      <c r="B4200" t="s">
        <v>12536</v>
      </c>
      <c r="C4200" t="s">
        <v>12537</v>
      </c>
    </row>
    <row r="4201" spans="1:3" x14ac:dyDescent="0.35">
      <c r="A4201" t="s">
        <v>12538</v>
      </c>
      <c r="B4201" t="s">
        <v>12539</v>
      </c>
      <c r="C4201" t="s">
        <v>12540</v>
      </c>
    </row>
    <row r="4202" spans="1:3" x14ac:dyDescent="0.35">
      <c r="A4202" t="s">
        <v>12541</v>
      </c>
      <c r="B4202" t="s">
        <v>12542</v>
      </c>
      <c r="C4202" t="s">
        <v>12543</v>
      </c>
    </row>
    <row r="4203" spans="1:3" x14ac:dyDescent="0.35">
      <c r="A4203" t="s">
        <v>12544</v>
      </c>
      <c r="B4203" t="s">
        <v>12545</v>
      </c>
      <c r="C4203" t="s">
        <v>12546</v>
      </c>
    </row>
    <row r="4204" spans="1:3" x14ac:dyDescent="0.35">
      <c r="A4204" t="s">
        <v>12547</v>
      </c>
      <c r="B4204" t="s">
        <v>12548</v>
      </c>
      <c r="C4204" t="s">
        <v>12549</v>
      </c>
    </row>
    <row r="4205" spans="1:3" x14ac:dyDescent="0.35">
      <c r="A4205" t="s">
        <v>12550</v>
      </c>
      <c r="B4205" t="s">
        <v>12551</v>
      </c>
      <c r="C4205" t="s">
        <v>12552</v>
      </c>
    </row>
    <row r="4206" spans="1:3" x14ac:dyDescent="0.35">
      <c r="A4206" t="s">
        <v>12553</v>
      </c>
      <c r="B4206" t="s">
        <v>12554</v>
      </c>
      <c r="C4206" t="s">
        <v>12478</v>
      </c>
    </row>
    <row r="4207" spans="1:3" x14ac:dyDescent="0.35">
      <c r="A4207" t="s">
        <v>12555</v>
      </c>
      <c r="B4207" t="s">
        <v>12556</v>
      </c>
      <c r="C4207" t="s">
        <v>12557</v>
      </c>
    </row>
    <row r="4208" spans="1:3" x14ac:dyDescent="0.35">
      <c r="A4208" t="s">
        <v>12558</v>
      </c>
      <c r="B4208" t="s">
        <v>12559</v>
      </c>
      <c r="C4208" t="s">
        <v>12560</v>
      </c>
    </row>
    <row r="4209" spans="1:3" x14ac:dyDescent="0.35">
      <c r="A4209" t="s">
        <v>12561</v>
      </c>
      <c r="B4209" t="s">
        <v>12562</v>
      </c>
      <c r="C4209" t="s">
        <v>12563</v>
      </c>
    </row>
    <row r="4210" spans="1:3" x14ac:dyDescent="0.35">
      <c r="A4210" t="s">
        <v>12564</v>
      </c>
      <c r="B4210" t="s">
        <v>12565</v>
      </c>
      <c r="C4210" t="s">
        <v>12566</v>
      </c>
    </row>
    <row r="4211" spans="1:3" x14ac:dyDescent="0.35">
      <c r="A4211" t="s">
        <v>12567</v>
      </c>
      <c r="B4211" t="s">
        <v>12568</v>
      </c>
      <c r="C4211" t="s">
        <v>12569</v>
      </c>
    </row>
    <row r="4212" spans="1:3" x14ac:dyDescent="0.35">
      <c r="A4212" t="s">
        <v>12570</v>
      </c>
      <c r="B4212" t="s">
        <v>12571</v>
      </c>
      <c r="C4212" t="s">
        <v>12572</v>
      </c>
    </row>
    <row r="4213" spans="1:3" x14ac:dyDescent="0.35">
      <c r="A4213" t="s">
        <v>12573</v>
      </c>
      <c r="B4213" t="s">
        <v>12574</v>
      </c>
      <c r="C4213" t="s">
        <v>12575</v>
      </c>
    </row>
    <row r="4214" spans="1:3" x14ac:dyDescent="0.35">
      <c r="A4214" t="s">
        <v>12576</v>
      </c>
      <c r="B4214" t="s">
        <v>12577</v>
      </c>
      <c r="C4214" t="s">
        <v>12578</v>
      </c>
    </row>
    <row r="4215" spans="1:3" x14ac:dyDescent="0.35">
      <c r="A4215" t="s">
        <v>12579</v>
      </c>
      <c r="B4215" t="s">
        <v>12580</v>
      </c>
      <c r="C4215" t="s">
        <v>12581</v>
      </c>
    </row>
    <row r="4216" spans="1:3" x14ac:dyDescent="0.35">
      <c r="A4216" t="s">
        <v>12582</v>
      </c>
      <c r="B4216" t="s">
        <v>12583</v>
      </c>
      <c r="C4216" t="s">
        <v>12584</v>
      </c>
    </row>
    <row r="4217" spans="1:3" x14ac:dyDescent="0.35">
      <c r="A4217" t="s">
        <v>12585</v>
      </c>
      <c r="B4217" t="s">
        <v>12586</v>
      </c>
      <c r="C4217" t="s">
        <v>12587</v>
      </c>
    </row>
    <row r="4218" spans="1:3" x14ac:dyDescent="0.35">
      <c r="A4218" t="s">
        <v>12588</v>
      </c>
      <c r="B4218" t="s">
        <v>12589</v>
      </c>
      <c r="C4218" t="s">
        <v>12590</v>
      </c>
    </row>
    <row r="4219" spans="1:3" x14ac:dyDescent="0.35">
      <c r="A4219" t="s">
        <v>12591</v>
      </c>
      <c r="B4219" t="s">
        <v>12592</v>
      </c>
      <c r="C4219" t="s">
        <v>12593</v>
      </c>
    </row>
    <row r="4220" spans="1:3" x14ac:dyDescent="0.35">
      <c r="A4220" t="s">
        <v>12594</v>
      </c>
      <c r="B4220" t="s">
        <v>12595</v>
      </c>
      <c r="C4220" t="s">
        <v>12596</v>
      </c>
    </row>
    <row r="4221" spans="1:3" x14ac:dyDescent="0.35">
      <c r="A4221" t="s">
        <v>12597</v>
      </c>
      <c r="B4221" t="s">
        <v>12598</v>
      </c>
      <c r="C4221" t="s">
        <v>12599</v>
      </c>
    </row>
    <row r="4222" spans="1:3" x14ac:dyDescent="0.35">
      <c r="A4222" t="s">
        <v>12600</v>
      </c>
      <c r="B4222" t="s">
        <v>12601</v>
      </c>
      <c r="C4222" t="s">
        <v>12602</v>
      </c>
    </row>
    <row r="4223" spans="1:3" x14ac:dyDescent="0.35">
      <c r="A4223" t="s">
        <v>12600</v>
      </c>
      <c r="B4223" t="s">
        <v>12603</v>
      </c>
      <c r="C4223" t="s">
        <v>12604</v>
      </c>
    </row>
    <row r="4224" spans="1:3" x14ac:dyDescent="0.35">
      <c r="A4224" t="s">
        <v>12605</v>
      </c>
      <c r="B4224" t="s">
        <v>12606</v>
      </c>
      <c r="C4224" t="s">
        <v>12607</v>
      </c>
    </row>
    <row r="4225" spans="1:3" x14ac:dyDescent="0.35">
      <c r="A4225" t="s">
        <v>12608</v>
      </c>
      <c r="B4225" t="s">
        <v>12609</v>
      </c>
      <c r="C4225" t="s">
        <v>12610</v>
      </c>
    </row>
    <row r="4226" spans="1:3" x14ac:dyDescent="0.35">
      <c r="A4226" t="s">
        <v>12611</v>
      </c>
      <c r="B4226" t="s">
        <v>12612</v>
      </c>
      <c r="C4226" t="s">
        <v>12613</v>
      </c>
    </row>
    <row r="4227" spans="1:3" x14ac:dyDescent="0.35">
      <c r="A4227" t="s">
        <v>12614</v>
      </c>
      <c r="B4227" t="s">
        <v>12615</v>
      </c>
      <c r="C4227" t="s">
        <v>12616</v>
      </c>
    </row>
    <row r="4228" spans="1:3" x14ac:dyDescent="0.35">
      <c r="A4228" t="s">
        <v>12617</v>
      </c>
      <c r="B4228" t="s">
        <v>12618</v>
      </c>
      <c r="C4228" t="s">
        <v>12619</v>
      </c>
    </row>
    <row r="4229" spans="1:3" x14ac:dyDescent="0.35">
      <c r="A4229" t="s">
        <v>12620</v>
      </c>
      <c r="B4229" t="s">
        <v>12621</v>
      </c>
      <c r="C4229" t="s">
        <v>12622</v>
      </c>
    </row>
    <row r="4230" spans="1:3" x14ac:dyDescent="0.35">
      <c r="A4230" t="s">
        <v>12620</v>
      </c>
      <c r="B4230" t="s">
        <v>12623</v>
      </c>
      <c r="C4230" t="s">
        <v>12624</v>
      </c>
    </row>
    <row r="4231" spans="1:3" x14ac:dyDescent="0.35">
      <c r="A4231" t="s">
        <v>12625</v>
      </c>
      <c r="B4231" t="s">
        <v>12626</v>
      </c>
      <c r="C4231" t="s">
        <v>12627</v>
      </c>
    </row>
    <row r="4232" spans="1:3" x14ac:dyDescent="0.35">
      <c r="A4232" t="s">
        <v>12628</v>
      </c>
      <c r="B4232" t="s">
        <v>12629</v>
      </c>
      <c r="C4232" t="s">
        <v>12630</v>
      </c>
    </row>
    <row r="4233" spans="1:3" x14ac:dyDescent="0.35">
      <c r="A4233" t="s">
        <v>12631</v>
      </c>
      <c r="B4233" t="s">
        <v>12632</v>
      </c>
      <c r="C4233" t="s">
        <v>12633</v>
      </c>
    </row>
    <row r="4234" spans="1:3" x14ac:dyDescent="0.35">
      <c r="A4234" t="s">
        <v>12634</v>
      </c>
      <c r="B4234" t="s">
        <v>12635</v>
      </c>
      <c r="C4234" t="s">
        <v>12636</v>
      </c>
    </row>
    <row r="4235" spans="1:3" x14ac:dyDescent="0.35">
      <c r="A4235" t="s">
        <v>12637</v>
      </c>
      <c r="B4235" t="s">
        <v>12638</v>
      </c>
      <c r="C4235" t="s">
        <v>12639</v>
      </c>
    </row>
    <row r="4236" spans="1:3" x14ac:dyDescent="0.35">
      <c r="A4236" t="s">
        <v>12640</v>
      </c>
      <c r="B4236" t="s">
        <v>12641</v>
      </c>
      <c r="C4236" t="s">
        <v>12642</v>
      </c>
    </row>
    <row r="4237" spans="1:3" x14ac:dyDescent="0.35">
      <c r="A4237" t="s">
        <v>12643</v>
      </c>
      <c r="B4237" t="s">
        <v>12644</v>
      </c>
      <c r="C4237" t="s">
        <v>12645</v>
      </c>
    </row>
    <row r="4238" spans="1:3" x14ac:dyDescent="0.35">
      <c r="A4238" t="s">
        <v>12643</v>
      </c>
      <c r="B4238" t="s">
        <v>12646</v>
      </c>
      <c r="C4238" t="s">
        <v>12647</v>
      </c>
    </row>
    <row r="4239" spans="1:3" x14ac:dyDescent="0.35">
      <c r="A4239" t="s">
        <v>12648</v>
      </c>
      <c r="B4239" t="s">
        <v>12649</v>
      </c>
      <c r="C4239" t="s">
        <v>12650</v>
      </c>
    </row>
    <row r="4240" spans="1:3" x14ac:dyDescent="0.35">
      <c r="A4240" t="s">
        <v>12651</v>
      </c>
      <c r="B4240" t="s">
        <v>12652</v>
      </c>
      <c r="C4240" t="s">
        <v>12653</v>
      </c>
    </row>
    <row r="4241" spans="1:3" x14ac:dyDescent="0.35">
      <c r="A4241" t="s">
        <v>12654</v>
      </c>
      <c r="B4241" t="s">
        <v>12655</v>
      </c>
      <c r="C4241" t="s">
        <v>12656</v>
      </c>
    </row>
    <row r="4242" spans="1:3" x14ac:dyDescent="0.35">
      <c r="A4242" t="s">
        <v>12657</v>
      </c>
      <c r="B4242" t="s">
        <v>12658</v>
      </c>
      <c r="C4242" t="s">
        <v>12659</v>
      </c>
    </row>
    <row r="4243" spans="1:3" x14ac:dyDescent="0.35">
      <c r="A4243" t="s">
        <v>12660</v>
      </c>
      <c r="B4243" t="s">
        <v>12661</v>
      </c>
      <c r="C4243" t="s">
        <v>12662</v>
      </c>
    </row>
    <row r="4244" spans="1:3" x14ac:dyDescent="0.35">
      <c r="A4244" t="s">
        <v>12660</v>
      </c>
      <c r="B4244" t="s">
        <v>12663</v>
      </c>
      <c r="C4244" t="s">
        <v>12664</v>
      </c>
    </row>
    <row r="4245" spans="1:3" x14ac:dyDescent="0.35">
      <c r="A4245" t="s">
        <v>12665</v>
      </c>
      <c r="B4245" t="s">
        <v>12666</v>
      </c>
      <c r="C4245" t="s">
        <v>12667</v>
      </c>
    </row>
    <row r="4246" spans="1:3" x14ac:dyDescent="0.35">
      <c r="A4246" t="s">
        <v>12668</v>
      </c>
      <c r="B4246" t="s">
        <v>12669</v>
      </c>
      <c r="C4246" t="s">
        <v>12670</v>
      </c>
    </row>
    <row r="4247" spans="1:3" x14ac:dyDescent="0.35">
      <c r="A4247" t="s">
        <v>12671</v>
      </c>
      <c r="B4247" t="s">
        <v>12672</v>
      </c>
      <c r="C4247" t="s">
        <v>12673</v>
      </c>
    </row>
    <row r="4248" spans="1:3" x14ac:dyDescent="0.35">
      <c r="A4248" t="s">
        <v>12674</v>
      </c>
      <c r="B4248" t="s">
        <v>12675</v>
      </c>
      <c r="C4248" t="s">
        <v>12676</v>
      </c>
    </row>
    <row r="4249" spans="1:3" x14ac:dyDescent="0.35">
      <c r="A4249" t="s">
        <v>12677</v>
      </c>
      <c r="B4249" t="s">
        <v>12678</v>
      </c>
      <c r="C4249" t="s">
        <v>12679</v>
      </c>
    </row>
    <row r="4250" spans="1:3" x14ac:dyDescent="0.35">
      <c r="A4250" t="s">
        <v>12680</v>
      </c>
      <c r="B4250" t="s">
        <v>12681</v>
      </c>
      <c r="C4250" t="s">
        <v>12682</v>
      </c>
    </row>
    <row r="4251" spans="1:3" x14ac:dyDescent="0.35">
      <c r="A4251" t="s">
        <v>12683</v>
      </c>
      <c r="B4251" t="s">
        <v>12684</v>
      </c>
      <c r="C4251" t="s">
        <v>12685</v>
      </c>
    </row>
    <row r="4252" spans="1:3" x14ac:dyDescent="0.35">
      <c r="A4252" t="s">
        <v>12686</v>
      </c>
      <c r="B4252" t="s">
        <v>12687</v>
      </c>
      <c r="C4252" t="s">
        <v>12688</v>
      </c>
    </row>
    <row r="4253" spans="1:3" x14ac:dyDescent="0.35">
      <c r="A4253" t="s">
        <v>12689</v>
      </c>
      <c r="B4253" t="s">
        <v>12690</v>
      </c>
      <c r="C4253" t="s">
        <v>12691</v>
      </c>
    </row>
    <row r="4254" spans="1:3" x14ac:dyDescent="0.35">
      <c r="A4254" t="s">
        <v>12692</v>
      </c>
      <c r="B4254" t="s">
        <v>12693</v>
      </c>
      <c r="C4254" t="s">
        <v>12694</v>
      </c>
    </row>
    <row r="4255" spans="1:3" x14ac:dyDescent="0.35">
      <c r="A4255" t="s">
        <v>12695</v>
      </c>
      <c r="B4255" t="s">
        <v>12696</v>
      </c>
      <c r="C4255" t="s">
        <v>12697</v>
      </c>
    </row>
    <row r="4256" spans="1:3" x14ac:dyDescent="0.35">
      <c r="A4256" t="s">
        <v>12698</v>
      </c>
      <c r="B4256" t="s">
        <v>12699</v>
      </c>
      <c r="C4256" t="s">
        <v>12700</v>
      </c>
    </row>
    <row r="4257" spans="1:3" x14ac:dyDescent="0.35">
      <c r="A4257" t="s">
        <v>12698</v>
      </c>
      <c r="B4257" t="s">
        <v>12701</v>
      </c>
      <c r="C4257" t="s">
        <v>12700</v>
      </c>
    </row>
    <row r="4258" spans="1:3" x14ac:dyDescent="0.35">
      <c r="A4258" t="s">
        <v>12702</v>
      </c>
      <c r="B4258" t="s">
        <v>12703</v>
      </c>
      <c r="C4258" t="s">
        <v>12704</v>
      </c>
    </row>
    <row r="4259" spans="1:3" x14ac:dyDescent="0.35">
      <c r="A4259" t="s">
        <v>12705</v>
      </c>
      <c r="B4259" t="s">
        <v>12706</v>
      </c>
      <c r="C4259" t="s">
        <v>12707</v>
      </c>
    </row>
    <row r="4260" spans="1:3" x14ac:dyDescent="0.35">
      <c r="A4260" t="s">
        <v>12708</v>
      </c>
      <c r="B4260" t="s">
        <v>12709</v>
      </c>
      <c r="C4260" t="s">
        <v>12710</v>
      </c>
    </row>
    <row r="4261" spans="1:3" x14ac:dyDescent="0.35">
      <c r="A4261" t="s">
        <v>12711</v>
      </c>
      <c r="B4261" t="s">
        <v>12712</v>
      </c>
      <c r="C4261" t="s">
        <v>12713</v>
      </c>
    </row>
    <row r="4262" spans="1:3" x14ac:dyDescent="0.35">
      <c r="A4262" t="s">
        <v>12714</v>
      </c>
      <c r="B4262" t="s">
        <v>12715</v>
      </c>
      <c r="C4262" t="s">
        <v>12716</v>
      </c>
    </row>
    <row r="4263" spans="1:3" x14ac:dyDescent="0.35">
      <c r="A4263" t="s">
        <v>12717</v>
      </c>
      <c r="B4263" t="s">
        <v>12718</v>
      </c>
      <c r="C4263" t="s">
        <v>12719</v>
      </c>
    </row>
    <row r="4264" spans="1:3" x14ac:dyDescent="0.35">
      <c r="A4264" t="s">
        <v>12720</v>
      </c>
      <c r="B4264" t="s">
        <v>12721</v>
      </c>
      <c r="C4264" t="s">
        <v>12722</v>
      </c>
    </row>
    <row r="4265" spans="1:3" x14ac:dyDescent="0.35">
      <c r="A4265" t="s">
        <v>12723</v>
      </c>
      <c r="B4265" t="s">
        <v>12724</v>
      </c>
      <c r="C4265" t="s">
        <v>12725</v>
      </c>
    </row>
    <row r="4266" spans="1:3" x14ac:dyDescent="0.35">
      <c r="A4266" t="s">
        <v>12723</v>
      </c>
      <c r="B4266" t="s">
        <v>12726</v>
      </c>
      <c r="C4266" t="s">
        <v>12727</v>
      </c>
    </row>
    <row r="4267" spans="1:3" x14ac:dyDescent="0.35">
      <c r="A4267" t="s">
        <v>12728</v>
      </c>
      <c r="B4267" t="s">
        <v>12726</v>
      </c>
      <c r="C4267" t="s">
        <v>12729</v>
      </c>
    </row>
    <row r="4268" spans="1:3" x14ac:dyDescent="0.35">
      <c r="A4268" t="s">
        <v>12730</v>
      </c>
      <c r="B4268" t="s">
        <v>12731</v>
      </c>
      <c r="C4268" t="s">
        <v>12732</v>
      </c>
    </row>
    <row r="4269" spans="1:3" x14ac:dyDescent="0.35">
      <c r="A4269" t="s">
        <v>12733</v>
      </c>
      <c r="B4269" t="s">
        <v>12734</v>
      </c>
      <c r="C4269" t="s">
        <v>12735</v>
      </c>
    </row>
    <row r="4270" spans="1:3" x14ac:dyDescent="0.35">
      <c r="A4270" t="s">
        <v>12736</v>
      </c>
      <c r="B4270" t="s">
        <v>12737</v>
      </c>
      <c r="C4270" t="s">
        <v>12738</v>
      </c>
    </row>
    <row r="4271" spans="1:3" x14ac:dyDescent="0.35">
      <c r="A4271" t="s">
        <v>12739</v>
      </c>
      <c r="B4271" t="s">
        <v>12740</v>
      </c>
      <c r="C4271" t="s">
        <v>12741</v>
      </c>
    </row>
    <row r="4272" spans="1:3" x14ac:dyDescent="0.35">
      <c r="A4272" t="s">
        <v>12742</v>
      </c>
      <c r="B4272" t="s">
        <v>12743</v>
      </c>
      <c r="C4272" t="s">
        <v>12744</v>
      </c>
    </row>
    <row r="4273" spans="1:3" x14ac:dyDescent="0.35">
      <c r="A4273" t="s">
        <v>12745</v>
      </c>
      <c r="B4273" t="s">
        <v>12746</v>
      </c>
      <c r="C4273" t="s">
        <v>12747</v>
      </c>
    </row>
    <row r="4274" spans="1:3" x14ac:dyDescent="0.35">
      <c r="A4274" t="s">
        <v>12748</v>
      </c>
      <c r="B4274" t="s">
        <v>12749</v>
      </c>
      <c r="C4274" t="s">
        <v>12750</v>
      </c>
    </row>
    <row r="4275" spans="1:3" x14ac:dyDescent="0.35">
      <c r="A4275" t="s">
        <v>12751</v>
      </c>
      <c r="B4275" t="s">
        <v>12752</v>
      </c>
      <c r="C4275" t="s">
        <v>12753</v>
      </c>
    </row>
    <row r="4276" spans="1:3" x14ac:dyDescent="0.35">
      <c r="A4276" t="s">
        <v>12754</v>
      </c>
      <c r="B4276" t="s">
        <v>12755</v>
      </c>
      <c r="C4276" t="s">
        <v>12756</v>
      </c>
    </row>
    <row r="4277" spans="1:3" x14ac:dyDescent="0.35">
      <c r="A4277" t="s">
        <v>12757</v>
      </c>
      <c r="B4277" t="s">
        <v>12758</v>
      </c>
      <c r="C4277" t="s">
        <v>12759</v>
      </c>
    </row>
    <row r="4278" spans="1:3" x14ac:dyDescent="0.35">
      <c r="A4278" t="s">
        <v>12760</v>
      </c>
      <c r="B4278" t="s">
        <v>12761</v>
      </c>
      <c r="C4278" t="s">
        <v>12762</v>
      </c>
    </row>
    <row r="4279" spans="1:3" x14ac:dyDescent="0.35">
      <c r="A4279" t="s">
        <v>12763</v>
      </c>
      <c r="B4279" t="s">
        <v>12764</v>
      </c>
      <c r="C4279" t="s">
        <v>12765</v>
      </c>
    </row>
    <row r="4280" spans="1:3" x14ac:dyDescent="0.35">
      <c r="A4280" t="s">
        <v>12766</v>
      </c>
      <c r="B4280" t="s">
        <v>12767</v>
      </c>
      <c r="C4280" t="s">
        <v>12768</v>
      </c>
    </row>
    <row r="4281" spans="1:3" x14ac:dyDescent="0.35">
      <c r="A4281" t="s">
        <v>12769</v>
      </c>
      <c r="B4281" t="s">
        <v>12770</v>
      </c>
      <c r="C4281" t="s">
        <v>12771</v>
      </c>
    </row>
    <row r="4282" spans="1:3" x14ac:dyDescent="0.35">
      <c r="A4282" t="s">
        <v>12772</v>
      </c>
      <c r="B4282" t="s">
        <v>12773</v>
      </c>
      <c r="C4282" t="s">
        <v>12774</v>
      </c>
    </row>
    <row r="4283" spans="1:3" x14ac:dyDescent="0.35">
      <c r="A4283" t="s">
        <v>12775</v>
      </c>
      <c r="B4283" t="s">
        <v>12776</v>
      </c>
      <c r="C4283" t="s">
        <v>12777</v>
      </c>
    </row>
    <row r="4284" spans="1:3" x14ac:dyDescent="0.35">
      <c r="A4284" t="s">
        <v>12778</v>
      </c>
      <c r="B4284" t="s">
        <v>12779</v>
      </c>
      <c r="C4284" t="s">
        <v>12780</v>
      </c>
    </row>
    <row r="4285" spans="1:3" x14ac:dyDescent="0.35">
      <c r="A4285" t="s">
        <v>12781</v>
      </c>
      <c r="B4285" t="s">
        <v>12782</v>
      </c>
      <c r="C4285" t="s">
        <v>12783</v>
      </c>
    </row>
    <row r="4286" spans="1:3" x14ac:dyDescent="0.35">
      <c r="A4286" t="s">
        <v>12784</v>
      </c>
      <c r="B4286" t="s">
        <v>12785</v>
      </c>
      <c r="C4286" t="s">
        <v>12786</v>
      </c>
    </row>
    <row r="4287" spans="1:3" x14ac:dyDescent="0.35">
      <c r="A4287" t="s">
        <v>12787</v>
      </c>
      <c r="B4287" t="s">
        <v>12788</v>
      </c>
      <c r="C4287" t="s">
        <v>12789</v>
      </c>
    </row>
    <row r="4288" spans="1:3" x14ac:dyDescent="0.35">
      <c r="A4288" t="s">
        <v>12790</v>
      </c>
      <c r="B4288" t="s">
        <v>12791</v>
      </c>
      <c r="C4288" t="s">
        <v>12792</v>
      </c>
    </row>
    <row r="4289" spans="1:3" x14ac:dyDescent="0.35">
      <c r="A4289" t="s">
        <v>12793</v>
      </c>
      <c r="B4289" t="s">
        <v>12794</v>
      </c>
      <c r="C4289" t="s">
        <v>12795</v>
      </c>
    </row>
    <row r="4290" spans="1:3" x14ac:dyDescent="0.35">
      <c r="A4290" t="s">
        <v>12796</v>
      </c>
      <c r="B4290" t="s">
        <v>12797</v>
      </c>
      <c r="C4290" t="s">
        <v>12798</v>
      </c>
    </row>
    <row r="4291" spans="1:3" x14ac:dyDescent="0.35">
      <c r="A4291" t="s">
        <v>12799</v>
      </c>
      <c r="B4291" t="s">
        <v>12800</v>
      </c>
      <c r="C4291" t="s">
        <v>12801</v>
      </c>
    </row>
    <row r="4292" spans="1:3" x14ac:dyDescent="0.35">
      <c r="A4292" t="s">
        <v>12802</v>
      </c>
      <c r="B4292" t="s">
        <v>12803</v>
      </c>
      <c r="C4292" t="s">
        <v>12804</v>
      </c>
    </row>
    <row r="4293" spans="1:3" x14ac:dyDescent="0.35">
      <c r="A4293" t="s">
        <v>12805</v>
      </c>
      <c r="B4293" t="s">
        <v>12806</v>
      </c>
      <c r="C4293" t="s">
        <v>12807</v>
      </c>
    </row>
    <row r="4294" spans="1:3" x14ac:dyDescent="0.35">
      <c r="A4294" t="s">
        <v>12808</v>
      </c>
      <c r="B4294" t="s">
        <v>12809</v>
      </c>
      <c r="C4294" t="s">
        <v>12810</v>
      </c>
    </row>
    <row r="4295" spans="1:3" x14ac:dyDescent="0.35">
      <c r="A4295" t="s">
        <v>12811</v>
      </c>
      <c r="B4295" t="s">
        <v>12812</v>
      </c>
      <c r="C4295" t="s">
        <v>12813</v>
      </c>
    </row>
    <row r="4296" spans="1:3" x14ac:dyDescent="0.35">
      <c r="A4296" t="s">
        <v>12811</v>
      </c>
      <c r="B4296" t="s">
        <v>12814</v>
      </c>
      <c r="C4296" t="s">
        <v>12815</v>
      </c>
    </row>
    <row r="4297" spans="1:3" x14ac:dyDescent="0.35">
      <c r="A4297" t="s">
        <v>12816</v>
      </c>
      <c r="B4297" t="s">
        <v>12817</v>
      </c>
      <c r="C4297" t="s">
        <v>12818</v>
      </c>
    </row>
    <row r="4298" spans="1:3" x14ac:dyDescent="0.35">
      <c r="A4298" t="s">
        <v>12816</v>
      </c>
      <c r="B4298" t="s">
        <v>12819</v>
      </c>
      <c r="C4298" t="s">
        <v>12820</v>
      </c>
    </row>
    <row r="4299" spans="1:3" x14ac:dyDescent="0.35">
      <c r="A4299" t="s">
        <v>12821</v>
      </c>
      <c r="B4299" t="s">
        <v>12822</v>
      </c>
      <c r="C4299" t="s">
        <v>12823</v>
      </c>
    </row>
    <row r="4300" spans="1:3" x14ac:dyDescent="0.35">
      <c r="A4300" t="s">
        <v>12824</v>
      </c>
      <c r="B4300" t="s">
        <v>12825</v>
      </c>
      <c r="C4300" t="s">
        <v>12826</v>
      </c>
    </row>
    <row r="4301" spans="1:3" x14ac:dyDescent="0.35">
      <c r="A4301" t="s">
        <v>12827</v>
      </c>
      <c r="B4301" t="s">
        <v>12828</v>
      </c>
      <c r="C4301" t="s">
        <v>12829</v>
      </c>
    </row>
    <row r="4302" spans="1:3" x14ac:dyDescent="0.35">
      <c r="A4302" t="s">
        <v>12830</v>
      </c>
      <c r="B4302" t="s">
        <v>12831</v>
      </c>
      <c r="C4302" t="s">
        <v>12832</v>
      </c>
    </row>
    <row r="4303" spans="1:3" x14ac:dyDescent="0.35">
      <c r="A4303" t="s">
        <v>12833</v>
      </c>
      <c r="B4303" t="s">
        <v>12834</v>
      </c>
      <c r="C4303" t="s">
        <v>23135</v>
      </c>
    </row>
    <row r="4304" spans="1:3" x14ac:dyDescent="0.35">
      <c r="A4304" t="s">
        <v>12835</v>
      </c>
      <c r="B4304" t="s">
        <v>12836</v>
      </c>
      <c r="C4304" t="s">
        <v>12837</v>
      </c>
    </row>
    <row r="4305" spans="1:3" x14ac:dyDescent="0.35">
      <c r="A4305" t="s">
        <v>12838</v>
      </c>
      <c r="B4305" t="s">
        <v>12839</v>
      </c>
      <c r="C4305" t="s">
        <v>12840</v>
      </c>
    </row>
    <row r="4306" spans="1:3" x14ac:dyDescent="0.35">
      <c r="A4306" t="s">
        <v>12841</v>
      </c>
      <c r="B4306" t="s">
        <v>12842</v>
      </c>
      <c r="C4306" t="s">
        <v>12843</v>
      </c>
    </row>
    <row r="4307" spans="1:3" x14ac:dyDescent="0.35">
      <c r="A4307" t="s">
        <v>12844</v>
      </c>
      <c r="B4307" t="s">
        <v>12845</v>
      </c>
      <c r="C4307" t="s">
        <v>12846</v>
      </c>
    </row>
    <row r="4308" spans="1:3" x14ac:dyDescent="0.35">
      <c r="A4308" t="s">
        <v>12847</v>
      </c>
      <c r="B4308" t="s">
        <v>12848</v>
      </c>
      <c r="C4308" t="s">
        <v>12849</v>
      </c>
    </row>
    <row r="4309" spans="1:3" x14ac:dyDescent="0.35">
      <c r="A4309" t="s">
        <v>12850</v>
      </c>
      <c r="B4309" t="s">
        <v>12851</v>
      </c>
      <c r="C4309" t="s">
        <v>12852</v>
      </c>
    </row>
    <row r="4310" spans="1:3" x14ac:dyDescent="0.35">
      <c r="A4310" t="s">
        <v>12853</v>
      </c>
      <c r="B4310" t="s">
        <v>12854</v>
      </c>
      <c r="C4310" t="s">
        <v>12855</v>
      </c>
    </row>
    <row r="4311" spans="1:3" x14ac:dyDescent="0.35">
      <c r="A4311" t="s">
        <v>12856</v>
      </c>
      <c r="B4311" t="s">
        <v>12857</v>
      </c>
      <c r="C4311" t="s">
        <v>12858</v>
      </c>
    </row>
    <row r="4312" spans="1:3" x14ac:dyDescent="0.35">
      <c r="A4312" t="s">
        <v>12859</v>
      </c>
      <c r="B4312" t="s">
        <v>12860</v>
      </c>
      <c r="C4312" t="s">
        <v>12861</v>
      </c>
    </row>
    <row r="4313" spans="1:3" x14ac:dyDescent="0.35">
      <c r="A4313" t="s">
        <v>12862</v>
      </c>
      <c r="B4313" t="s">
        <v>12863</v>
      </c>
      <c r="C4313" t="s">
        <v>12864</v>
      </c>
    </row>
    <row r="4314" spans="1:3" x14ac:dyDescent="0.35">
      <c r="A4314" t="s">
        <v>12865</v>
      </c>
      <c r="B4314" t="s">
        <v>12866</v>
      </c>
      <c r="C4314" t="s">
        <v>12867</v>
      </c>
    </row>
    <row r="4315" spans="1:3" x14ac:dyDescent="0.35">
      <c r="A4315" t="s">
        <v>12868</v>
      </c>
      <c r="B4315" t="s">
        <v>12869</v>
      </c>
      <c r="C4315" t="s">
        <v>12870</v>
      </c>
    </row>
    <row r="4316" spans="1:3" x14ac:dyDescent="0.35">
      <c r="A4316" t="s">
        <v>12871</v>
      </c>
      <c r="B4316" t="s">
        <v>12872</v>
      </c>
      <c r="C4316" t="s">
        <v>12873</v>
      </c>
    </row>
    <row r="4317" spans="1:3" x14ac:dyDescent="0.35">
      <c r="A4317" t="s">
        <v>102</v>
      </c>
      <c r="B4317" t="s">
        <v>12874</v>
      </c>
      <c r="C4317" t="s">
        <v>12875</v>
      </c>
    </row>
    <row r="4318" spans="1:3" x14ac:dyDescent="0.35">
      <c r="A4318" t="s">
        <v>12876</v>
      </c>
      <c r="B4318" t="s">
        <v>12877</v>
      </c>
      <c r="C4318" t="s">
        <v>12878</v>
      </c>
    </row>
    <row r="4319" spans="1:3" x14ac:dyDescent="0.35">
      <c r="A4319" t="s">
        <v>12879</v>
      </c>
      <c r="B4319" t="s">
        <v>12880</v>
      </c>
      <c r="C4319" t="s">
        <v>12881</v>
      </c>
    </row>
    <row r="4320" spans="1:3" x14ac:dyDescent="0.35">
      <c r="A4320" t="s">
        <v>12882</v>
      </c>
      <c r="B4320" t="s">
        <v>12883</v>
      </c>
      <c r="C4320" t="s">
        <v>12884</v>
      </c>
    </row>
    <row r="4321" spans="1:3" x14ac:dyDescent="0.35">
      <c r="A4321" t="s">
        <v>12885</v>
      </c>
      <c r="B4321" t="s">
        <v>12886</v>
      </c>
      <c r="C4321" t="s">
        <v>12887</v>
      </c>
    </row>
    <row r="4322" spans="1:3" x14ac:dyDescent="0.35">
      <c r="A4322" t="s">
        <v>12888</v>
      </c>
      <c r="B4322" t="s">
        <v>12889</v>
      </c>
      <c r="C4322" t="s">
        <v>12890</v>
      </c>
    </row>
    <row r="4323" spans="1:3" x14ac:dyDescent="0.35">
      <c r="A4323" t="s">
        <v>12891</v>
      </c>
      <c r="B4323" t="s">
        <v>12892</v>
      </c>
      <c r="C4323" t="s">
        <v>2234</v>
      </c>
    </row>
    <row r="4324" spans="1:3" x14ac:dyDescent="0.35">
      <c r="A4324" t="s">
        <v>12893</v>
      </c>
      <c r="B4324" t="s">
        <v>12894</v>
      </c>
      <c r="C4324" t="s">
        <v>12895</v>
      </c>
    </row>
    <row r="4325" spans="1:3" x14ac:dyDescent="0.35">
      <c r="A4325" t="s">
        <v>12896</v>
      </c>
      <c r="B4325" t="s">
        <v>12897</v>
      </c>
      <c r="C4325" t="s">
        <v>12898</v>
      </c>
    </row>
    <row r="4326" spans="1:3" x14ac:dyDescent="0.35">
      <c r="A4326" t="s">
        <v>12899</v>
      </c>
      <c r="B4326" t="s">
        <v>12900</v>
      </c>
      <c r="C4326" t="s">
        <v>12901</v>
      </c>
    </row>
    <row r="4327" spans="1:3" x14ac:dyDescent="0.35">
      <c r="A4327" t="s">
        <v>12902</v>
      </c>
      <c r="B4327" t="s">
        <v>12903</v>
      </c>
      <c r="C4327" t="s">
        <v>12904</v>
      </c>
    </row>
    <row r="4328" spans="1:3" x14ac:dyDescent="0.35">
      <c r="A4328" t="s">
        <v>12905</v>
      </c>
      <c r="B4328" t="s">
        <v>12906</v>
      </c>
      <c r="C4328" t="s">
        <v>12907</v>
      </c>
    </row>
    <row r="4329" spans="1:3" x14ac:dyDescent="0.35">
      <c r="A4329" t="s">
        <v>12908</v>
      </c>
      <c r="B4329" t="s">
        <v>12909</v>
      </c>
      <c r="C4329" t="s">
        <v>12910</v>
      </c>
    </row>
    <row r="4330" spans="1:3" x14ac:dyDescent="0.35">
      <c r="A4330" t="s">
        <v>12911</v>
      </c>
      <c r="B4330" t="s">
        <v>12912</v>
      </c>
      <c r="C4330" t="s">
        <v>12913</v>
      </c>
    </row>
    <row r="4331" spans="1:3" x14ac:dyDescent="0.35">
      <c r="A4331" t="s">
        <v>12914</v>
      </c>
      <c r="B4331" t="s">
        <v>12915</v>
      </c>
      <c r="C4331" t="s">
        <v>12916</v>
      </c>
    </row>
    <row r="4332" spans="1:3" x14ac:dyDescent="0.35">
      <c r="A4332" t="s">
        <v>12917</v>
      </c>
      <c r="B4332" t="s">
        <v>12918</v>
      </c>
      <c r="C4332" t="s">
        <v>12919</v>
      </c>
    </row>
    <row r="4333" spans="1:3" x14ac:dyDescent="0.35">
      <c r="A4333" t="s">
        <v>12920</v>
      </c>
      <c r="B4333" t="s">
        <v>12921</v>
      </c>
      <c r="C4333" t="s">
        <v>12922</v>
      </c>
    </row>
    <row r="4334" spans="1:3" x14ac:dyDescent="0.35">
      <c r="A4334" t="s">
        <v>12923</v>
      </c>
      <c r="B4334" t="s">
        <v>12924</v>
      </c>
      <c r="C4334" t="s">
        <v>12925</v>
      </c>
    </row>
    <row r="4335" spans="1:3" x14ac:dyDescent="0.35">
      <c r="A4335" t="s">
        <v>12926</v>
      </c>
      <c r="B4335" t="s">
        <v>12927</v>
      </c>
      <c r="C4335" t="s">
        <v>12928</v>
      </c>
    </row>
    <row r="4336" spans="1:3" x14ac:dyDescent="0.35">
      <c r="A4336" t="s">
        <v>12929</v>
      </c>
      <c r="B4336" t="s">
        <v>12930</v>
      </c>
      <c r="C4336" t="s">
        <v>12931</v>
      </c>
    </row>
    <row r="4337" spans="1:3" x14ac:dyDescent="0.35">
      <c r="A4337" t="s">
        <v>12932</v>
      </c>
      <c r="B4337" t="s">
        <v>12933</v>
      </c>
      <c r="C4337" t="s">
        <v>12934</v>
      </c>
    </row>
    <row r="4338" spans="1:3" x14ac:dyDescent="0.35">
      <c r="A4338" t="s">
        <v>12935</v>
      </c>
      <c r="B4338" t="s">
        <v>12936</v>
      </c>
      <c r="C4338" t="s">
        <v>12937</v>
      </c>
    </row>
    <row r="4339" spans="1:3" x14ac:dyDescent="0.35">
      <c r="A4339" t="s">
        <v>12938</v>
      </c>
      <c r="B4339" t="s">
        <v>12939</v>
      </c>
      <c r="C4339" t="s">
        <v>12940</v>
      </c>
    </row>
    <row r="4340" spans="1:3" x14ac:dyDescent="0.35">
      <c r="A4340" t="s">
        <v>12941</v>
      </c>
      <c r="B4340" t="s">
        <v>12942</v>
      </c>
      <c r="C4340" t="s">
        <v>12943</v>
      </c>
    </row>
    <row r="4341" spans="1:3" x14ac:dyDescent="0.35">
      <c r="A4341" t="s">
        <v>12944</v>
      </c>
      <c r="B4341" t="s">
        <v>12945</v>
      </c>
      <c r="C4341" t="s">
        <v>12946</v>
      </c>
    </row>
    <row r="4342" spans="1:3" x14ac:dyDescent="0.35">
      <c r="A4342" t="s">
        <v>12947</v>
      </c>
      <c r="B4342" t="s">
        <v>12948</v>
      </c>
      <c r="C4342" t="s">
        <v>12949</v>
      </c>
    </row>
    <row r="4343" spans="1:3" x14ac:dyDescent="0.35">
      <c r="A4343" t="s">
        <v>12950</v>
      </c>
      <c r="B4343" t="s">
        <v>12951</v>
      </c>
      <c r="C4343" t="s">
        <v>12952</v>
      </c>
    </row>
    <row r="4344" spans="1:3" x14ac:dyDescent="0.35">
      <c r="A4344" t="s">
        <v>12953</v>
      </c>
      <c r="B4344" t="s">
        <v>12954</v>
      </c>
      <c r="C4344" t="s">
        <v>12955</v>
      </c>
    </row>
    <row r="4345" spans="1:3" x14ac:dyDescent="0.35">
      <c r="A4345" t="s">
        <v>12956</v>
      </c>
      <c r="B4345" t="s">
        <v>12957</v>
      </c>
      <c r="C4345" t="s">
        <v>12958</v>
      </c>
    </row>
    <row r="4346" spans="1:3" x14ac:dyDescent="0.35">
      <c r="A4346" t="s">
        <v>12959</v>
      </c>
      <c r="B4346" t="s">
        <v>12960</v>
      </c>
      <c r="C4346" t="s">
        <v>12961</v>
      </c>
    </row>
    <row r="4347" spans="1:3" x14ac:dyDescent="0.35">
      <c r="A4347" t="s">
        <v>12962</v>
      </c>
      <c r="B4347" t="s">
        <v>12963</v>
      </c>
      <c r="C4347" t="s">
        <v>12964</v>
      </c>
    </row>
    <row r="4348" spans="1:3" x14ac:dyDescent="0.35">
      <c r="A4348" t="s">
        <v>12965</v>
      </c>
      <c r="B4348" t="s">
        <v>12966</v>
      </c>
      <c r="C4348" t="s">
        <v>12967</v>
      </c>
    </row>
    <row r="4349" spans="1:3" x14ac:dyDescent="0.35">
      <c r="A4349" t="s">
        <v>12968</v>
      </c>
      <c r="B4349" t="s">
        <v>12969</v>
      </c>
      <c r="C4349" t="s">
        <v>12970</v>
      </c>
    </row>
    <row r="4350" spans="1:3" x14ac:dyDescent="0.35">
      <c r="A4350" t="s">
        <v>12968</v>
      </c>
      <c r="B4350" t="s">
        <v>12971</v>
      </c>
      <c r="C4350" t="s">
        <v>12972</v>
      </c>
    </row>
    <row r="4351" spans="1:3" x14ac:dyDescent="0.35">
      <c r="A4351" t="s">
        <v>12973</v>
      </c>
      <c r="B4351" t="s">
        <v>12974</v>
      </c>
      <c r="C4351" t="s">
        <v>12975</v>
      </c>
    </row>
    <row r="4352" spans="1:3" x14ac:dyDescent="0.35">
      <c r="A4352" t="s">
        <v>12976</v>
      </c>
      <c r="B4352" t="s">
        <v>12977</v>
      </c>
      <c r="C4352" t="s">
        <v>12978</v>
      </c>
    </row>
    <row r="4353" spans="1:3" x14ac:dyDescent="0.35">
      <c r="A4353" t="s">
        <v>12979</v>
      </c>
      <c r="B4353" t="s">
        <v>12980</v>
      </c>
      <c r="C4353" t="s">
        <v>12981</v>
      </c>
    </row>
    <row r="4354" spans="1:3" x14ac:dyDescent="0.35">
      <c r="A4354" t="s">
        <v>12982</v>
      </c>
      <c r="B4354" t="s">
        <v>12983</v>
      </c>
      <c r="C4354" t="s">
        <v>12984</v>
      </c>
    </row>
    <row r="4355" spans="1:3" x14ac:dyDescent="0.35">
      <c r="A4355" t="s">
        <v>12985</v>
      </c>
      <c r="B4355" t="s">
        <v>12986</v>
      </c>
      <c r="C4355" t="s">
        <v>12987</v>
      </c>
    </row>
    <row r="4356" spans="1:3" x14ac:dyDescent="0.35">
      <c r="A4356" t="s">
        <v>12988</v>
      </c>
      <c r="B4356" t="s">
        <v>12989</v>
      </c>
      <c r="C4356" t="s">
        <v>12990</v>
      </c>
    </row>
    <row r="4357" spans="1:3" x14ac:dyDescent="0.35">
      <c r="A4357" t="s">
        <v>12991</v>
      </c>
      <c r="B4357" t="s">
        <v>12992</v>
      </c>
      <c r="C4357" t="s">
        <v>12993</v>
      </c>
    </row>
    <row r="4358" spans="1:3" x14ac:dyDescent="0.35">
      <c r="A4358" t="s">
        <v>12994</v>
      </c>
      <c r="B4358" t="s">
        <v>12995</v>
      </c>
      <c r="C4358" t="s">
        <v>12996</v>
      </c>
    </row>
    <row r="4359" spans="1:3" x14ac:dyDescent="0.35">
      <c r="A4359" t="s">
        <v>12997</v>
      </c>
      <c r="B4359" t="s">
        <v>12998</v>
      </c>
      <c r="C4359" t="s">
        <v>12999</v>
      </c>
    </row>
    <row r="4360" spans="1:3" x14ac:dyDescent="0.35">
      <c r="A4360" t="s">
        <v>13000</v>
      </c>
      <c r="B4360" t="s">
        <v>13001</v>
      </c>
      <c r="C4360" t="s">
        <v>13002</v>
      </c>
    </row>
    <row r="4361" spans="1:3" x14ac:dyDescent="0.35">
      <c r="A4361" t="s">
        <v>13003</v>
      </c>
      <c r="B4361" t="s">
        <v>13004</v>
      </c>
      <c r="C4361" t="s">
        <v>13005</v>
      </c>
    </row>
    <row r="4362" spans="1:3" x14ac:dyDescent="0.35">
      <c r="A4362" t="s">
        <v>13006</v>
      </c>
      <c r="B4362" t="s">
        <v>13007</v>
      </c>
      <c r="C4362" t="s">
        <v>13008</v>
      </c>
    </row>
    <row r="4363" spans="1:3" x14ac:dyDescent="0.35">
      <c r="A4363" t="s">
        <v>13009</v>
      </c>
      <c r="B4363" t="s">
        <v>13010</v>
      </c>
      <c r="C4363" t="s">
        <v>13011</v>
      </c>
    </row>
    <row r="4364" spans="1:3" x14ac:dyDescent="0.35">
      <c r="A4364" t="s">
        <v>13012</v>
      </c>
      <c r="B4364" t="s">
        <v>13013</v>
      </c>
      <c r="C4364" t="s">
        <v>13014</v>
      </c>
    </row>
    <row r="4365" spans="1:3" x14ac:dyDescent="0.35">
      <c r="A4365" t="s">
        <v>13015</v>
      </c>
      <c r="B4365" t="s">
        <v>13016</v>
      </c>
      <c r="C4365" t="s">
        <v>13017</v>
      </c>
    </row>
    <row r="4366" spans="1:3" x14ac:dyDescent="0.35">
      <c r="A4366" t="s">
        <v>13018</v>
      </c>
      <c r="B4366" t="s">
        <v>13019</v>
      </c>
      <c r="C4366" t="s">
        <v>13020</v>
      </c>
    </row>
    <row r="4367" spans="1:3" x14ac:dyDescent="0.35">
      <c r="A4367" t="s">
        <v>13021</v>
      </c>
      <c r="B4367" t="s">
        <v>13022</v>
      </c>
      <c r="C4367" t="s">
        <v>13023</v>
      </c>
    </row>
    <row r="4368" spans="1:3" x14ac:dyDescent="0.35">
      <c r="A4368" t="s">
        <v>13024</v>
      </c>
      <c r="B4368" t="s">
        <v>13025</v>
      </c>
      <c r="C4368" t="s">
        <v>13026</v>
      </c>
    </row>
    <row r="4369" spans="1:3" x14ac:dyDescent="0.35">
      <c r="A4369" t="s">
        <v>13027</v>
      </c>
      <c r="B4369" t="s">
        <v>13028</v>
      </c>
      <c r="C4369" t="s">
        <v>13029</v>
      </c>
    </row>
    <row r="4370" spans="1:3" x14ac:dyDescent="0.35">
      <c r="A4370" t="s">
        <v>13030</v>
      </c>
      <c r="B4370" t="s">
        <v>13031</v>
      </c>
      <c r="C4370" t="s">
        <v>13032</v>
      </c>
    </row>
    <row r="4371" spans="1:3" x14ac:dyDescent="0.35">
      <c r="A4371" t="s">
        <v>13033</v>
      </c>
      <c r="B4371" t="s">
        <v>13034</v>
      </c>
      <c r="C4371" t="s">
        <v>13035</v>
      </c>
    </row>
    <row r="4372" spans="1:3" x14ac:dyDescent="0.35">
      <c r="A4372" t="s">
        <v>13036</v>
      </c>
      <c r="B4372" t="s">
        <v>13037</v>
      </c>
      <c r="C4372" t="s">
        <v>13038</v>
      </c>
    </row>
    <row r="4373" spans="1:3" x14ac:dyDescent="0.35">
      <c r="A4373" t="s">
        <v>13039</v>
      </c>
      <c r="B4373" t="s">
        <v>13040</v>
      </c>
      <c r="C4373" t="s">
        <v>13041</v>
      </c>
    </row>
    <row r="4374" spans="1:3" x14ac:dyDescent="0.35">
      <c r="A4374" t="s">
        <v>13042</v>
      </c>
      <c r="B4374" t="s">
        <v>13043</v>
      </c>
      <c r="C4374" t="s">
        <v>13044</v>
      </c>
    </row>
    <row r="4375" spans="1:3" x14ac:dyDescent="0.35">
      <c r="A4375" t="s">
        <v>13045</v>
      </c>
      <c r="B4375" t="s">
        <v>13046</v>
      </c>
      <c r="C4375" t="s">
        <v>13047</v>
      </c>
    </row>
    <row r="4376" spans="1:3" x14ac:dyDescent="0.35">
      <c r="A4376" t="s">
        <v>13048</v>
      </c>
      <c r="B4376" t="s">
        <v>13049</v>
      </c>
      <c r="C4376" t="s">
        <v>13050</v>
      </c>
    </row>
    <row r="4377" spans="1:3" x14ac:dyDescent="0.35">
      <c r="A4377" t="s">
        <v>13051</v>
      </c>
      <c r="B4377" t="s">
        <v>13052</v>
      </c>
      <c r="C4377" t="s">
        <v>13053</v>
      </c>
    </row>
    <row r="4378" spans="1:3" x14ac:dyDescent="0.35">
      <c r="A4378" t="s">
        <v>13054</v>
      </c>
      <c r="B4378" t="s">
        <v>13055</v>
      </c>
      <c r="C4378" t="s">
        <v>13056</v>
      </c>
    </row>
    <row r="4379" spans="1:3" x14ac:dyDescent="0.35">
      <c r="A4379" t="s">
        <v>13057</v>
      </c>
      <c r="B4379" t="s">
        <v>13058</v>
      </c>
      <c r="C4379" t="s">
        <v>13059</v>
      </c>
    </row>
    <row r="4380" spans="1:3" x14ac:dyDescent="0.35">
      <c r="A4380" t="s">
        <v>13060</v>
      </c>
      <c r="B4380" t="s">
        <v>13061</v>
      </c>
      <c r="C4380" t="s">
        <v>13062</v>
      </c>
    </row>
    <row r="4381" spans="1:3" x14ac:dyDescent="0.35">
      <c r="A4381" t="s">
        <v>13063</v>
      </c>
      <c r="B4381" t="s">
        <v>13064</v>
      </c>
      <c r="C4381" t="s">
        <v>13065</v>
      </c>
    </row>
    <row r="4382" spans="1:3" x14ac:dyDescent="0.35">
      <c r="A4382" t="s">
        <v>13066</v>
      </c>
      <c r="B4382" t="s">
        <v>13067</v>
      </c>
      <c r="C4382" t="s">
        <v>13068</v>
      </c>
    </row>
    <row r="4383" spans="1:3" x14ac:dyDescent="0.35">
      <c r="A4383" t="s">
        <v>13069</v>
      </c>
      <c r="B4383" t="s">
        <v>13070</v>
      </c>
      <c r="C4383" t="s">
        <v>13071</v>
      </c>
    </row>
    <row r="4384" spans="1:3" x14ac:dyDescent="0.35">
      <c r="A4384" t="s">
        <v>13072</v>
      </c>
      <c r="B4384" t="s">
        <v>13073</v>
      </c>
      <c r="C4384" t="s">
        <v>13074</v>
      </c>
    </row>
    <row r="4385" spans="1:3" x14ac:dyDescent="0.35">
      <c r="A4385" t="s">
        <v>13075</v>
      </c>
      <c r="B4385" t="s">
        <v>13076</v>
      </c>
      <c r="C4385" t="s">
        <v>13077</v>
      </c>
    </row>
    <row r="4386" spans="1:3" x14ac:dyDescent="0.35">
      <c r="A4386" t="s">
        <v>13078</v>
      </c>
      <c r="B4386" t="s">
        <v>13079</v>
      </c>
      <c r="C4386" t="s">
        <v>13080</v>
      </c>
    </row>
    <row r="4387" spans="1:3" x14ac:dyDescent="0.35">
      <c r="A4387" t="s">
        <v>13081</v>
      </c>
      <c r="B4387" t="s">
        <v>13082</v>
      </c>
      <c r="C4387" t="s">
        <v>13083</v>
      </c>
    </row>
    <row r="4388" spans="1:3" x14ac:dyDescent="0.35">
      <c r="A4388" t="s">
        <v>13084</v>
      </c>
      <c r="B4388" t="s">
        <v>13085</v>
      </c>
      <c r="C4388" t="s">
        <v>13086</v>
      </c>
    </row>
    <row r="4389" spans="1:3" x14ac:dyDescent="0.35">
      <c r="A4389" t="s">
        <v>13087</v>
      </c>
      <c r="B4389" t="s">
        <v>13088</v>
      </c>
      <c r="C4389" t="s">
        <v>13089</v>
      </c>
    </row>
    <row r="4390" spans="1:3" x14ac:dyDescent="0.35">
      <c r="A4390" t="s">
        <v>13090</v>
      </c>
      <c r="B4390" t="s">
        <v>13091</v>
      </c>
      <c r="C4390" t="s">
        <v>13092</v>
      </c>
    </row>
    <row r="4391" spans="1:3" x14ac:dyDescent="0.35">
      <c r="A4391" t="s">
        <v>13093</v>
      </c>
      <c r="B4391" t="s">
        <v>13094</v>
      </c>
      <c r="C4391" t="s">
        <v>13095</v>
      </c>
    </row>
    <row r="4392" spans="1:3" x14ac:dyDescent="0.35">
      <c r="A4392" t="s">
        <v>13096</v>
      </c>
      <c r="B4392" t="s">
        <v>13097</v>
      </c>
      <c r="C4392" t="s">
        <v>13098</v>
      </c>
    </row>
    <row r="4393" spans="1:3" x14ac:dyDescent="0.35">
      <c r="A4393" t="s">
        <v>13099</v>
      </c>
      <c r="B4393" t="s">
        <v>13100</v>
      </c>
      <c r="C4393" t="s">
        <v>13101</v>
      </c>
    </row>
    <row r="4394" spans="1:3" x14ac:dyDescent="0.35">
      <c r="A4394" t="s">
        <v>13102</v>
      </c>
      <c r="B4394" t="s">
        <v>13103</v>
      </c>
      <c r="C4394" t="s">
        <v>13104</v>
      </c>
    </row>
    <row r="4395" spans="1:3" x14ac:dyDescent="0.35">
      <c r="A4395" t="s">
        <v>13105</v>
      </c>
      <c r="B4395" t="s">
        <v>13106</v>
      </c>
      <c r="C4395" t="s">
        <v>13107</v>
      </c>
    </row>
    <row r="4396" spans="1:3" x14ac:dyDescent="0.35">
      <c r="A4396" t="s">
        <v>13108</v>
      </c>
      <c r="B4396" t="s">
        <v>13109</v>
      </c>
      <c r="C4396" t="s">
        <v>13110</v>
      </c>
    </row>
    <row r="4397" spans="1:3" x14ac:dyDescent="0.35">
      <c r="A4397" t="s">
        <v>13108</v>
      </c>
      <c r="B4397" t="s">
        <v>13111</v>
      </c>
      <c r="C4397" t="s">
        <v>13112</v>
      </c>
    </row>
    <row r="4398" spans="1:3" x14ac:dyDescent="0.35">
      <c r="A4398" t="s">
        <v>13113</v>
      </c>
      <c r="B4398" t="s">
        <v>13114</v>
      </c>
      <c r="C4398" t="s">
        <v>13115</v>
      </c>
    </row>
    <row r="4399" spans="1:3" x14ac:dyDescent="0.35">
      <c r="A4399" t="s">
        <v>13116</v>
      </c>
      <c r="B4399" t="s">
        <v>13117</v>
      </c>
      <c r="C4399" t="s">
        <v>13118</v>
      </c>
    </row>
    <row r="4400" spans="1:3" x14ac:dyDescent="0.35">
      <c r="A4400" t="s">
        <v>13119</v>
      </c>
      <c r="B4400" t="s">
        <v>13120</v>
      </c>
      <c r="C4400" t="s">
        <v>13121</v>
      </c>
    </row>
    <row r="4401" spans="1:3" x14ac:dyDescent="0.35">
      <c r="A4401" t="s">
        <v>13122</v>
      </c>
      <c r="B4401" t="s">
        <v>13123</v>
      </c>
      <c r="C4401" t="s">
        <v>13124</v>
      </c>
    </row>
    <row r="4402" spans="1:3" x14ac:dyDescent="0.35">
      <c r="A4402" t="s">
        <v>13122</v>
      </c>
      <c r="B4402" t="s">
        <v>13125</v>
      </c>
      <c r="C4402" t="s">
        <v>13126</v>
      </c>
    </row>
    <row r="4403" spans="1:3" x14ac:dyDescent="0.35">
      <c r="A4403" t="s">
        <v>13127</v>
      </c>
      <c r="B4403" t="s">
        <v>13128</v>
      </c>
      <c r="C4403" t="s">
        <v>13129</v>
      </c>
    </row>
    <row r="4404" spans="1:3" x14ac:dyDescent="0.35">
      <c r="A4404" t="s">
        <v>13130</v>
      </c>
      <c r="B4404" t="s">
        <v>13131</v>
      </c>
      <c r="C4404" t="s">
        <v>13132</v>
      </c>
    </row>
    <row r="4405" spans="1:3" x14ac:dyDescent="0.35">
      <c r="A4405" t="s">
        <v>13133</v>
      </c>
      <c r="B4405" t="s">
        <v>13134</v>
      </c>
      <c r="C4405" t="s">
        <v>13135</v>
      </c>
    </row>
    <row r="4406" spans="1:3" x14ac:dyDescent="0.35">
      <c r="A4406" t="s">
        <v>13136</v>
      </c>
      <c r="B4406" t="s">
        <v>13137</v>
      </c>
      <c r="C4406" t="s">
        <v>13138</v>
      </c>
    </row>
    <row r="4407" spans="1:3" x14ac:dyDescent="0.35">
      <c r="A4407" t="s">
        <v>13139</v>
      </c>
      <c r="B4407" t="s">
        <v>13140</v>
      </c>
      <c r="C4407" t="s">
        <v>13141</v>
      </c>
    </row>
    <row r="4408" spans="1:3" x14ac:dyDescent="0.35">
      <c r="A4408" t="s">
        <v>13142</v>
      </c>
      <c r="B4408" t="s">
        <v>13143</v>
      </c>
      <c r="C4408" t="s">
        <v>13144</v>
      </c>
    </row>
    <row r="4409" spans="1:3" x14ac:dyDescent="0.35">
      <c r="A4409" t="s">
        <v>13145</v>
      </c>
      <c r="B4409" t="s">
        <v>13146</v>
      </c>
      <c r="C4409" t="s">
        <v>13147</v>
      </c>
    </row>
    <row r="4410" spans="1:3" x14ac:dyDescent="0.35">
      <c r="A4410" t="s">
        <v>13148</v>
      </c>
      <c r="B4410" t="s">
        <v>13149</v>
      </c>
      <c r="C4410" t="s">
        <v>13150</v>
      </c>
    </row>
    <row r="4411" spans="1:3" x14ac:dyDescent="0.35">
      <c r="A4411" t="s">
        <v>13151</v>
      </c>
      <c r="B4411" t="s">
        <v>13152</v>
      </c>
      <c r="C4411" t="s">
        <v>13153</v>
      </c>
    </row>
    <row r="4412" spans="1:3" x14ac:dyDescent="0.35">
      <c r="A4412" t="s">
        <v>13154</v>
      </c>
      <c r="B4412" t="s">
        <v>13155</v>
      </c>
      <c r="C4412" t="s">
        <v>13156</v>
      </c>
    </row>
    <row r="4413" spans="1:3" x14ac:dyDescent="0.35">
      <c r="A4413" t="s">
        <v>13157</v>
      </c>
      <c r="B4413" t="s">
        <v>13158</v>
      </c>
      <c r="C4413" t="s">
        <v>13159</v>
      </c>
    </row>
    <row r="4414" spans="1:3" x14ac:dyDescent="0.35">
      <c r="A4414" t="s">
        <v>13160</v>
      </c>
      <c r="B4414" t="s">
        <v>13161</v>
      </c>
      <c r="C4414" t="s">
        <v>13162</v>
      </c>
    </row>
    <row r="4415" spans="1:3" x14ac:dyDescent="0.35">
      <c r="A4415" t="s">
        <v>13163</v>
      </c>
      <c r="B4415" t="s">
        <v>13164</v>
      </c>
      <c r="C4415" t="s">
        <v>13165</v>
      </c>
    </row>
    <row r="4416" spans="1:3" x14ac:dyDescent="0.35">
      <c r="A4416" t="s">
        <v>13166</v>
      </c>
      <c r="B4416" t="s">
        <v>13167</v>
      </c>
      <c r="C4416" t="s">
        <v>13168</v>
      </c>
    </row>
    <row r="4417" spans="1:3" x14ac:dyDescent="0.35">
      <c r="A4417" t="s">
        <v>13169</v>
      </c>
      <c r="B4417" t="s">
        <v>13170</v>
      </c>
      <c r="C4417" t="s">
        <v>12411</v>
      </c>
    </row>
    <row r="4418" spans="1:3" x14ac:dyDescent="0.35">
      <c r="A4418" t="s">
        <v>13171</v>
      </c>
      <c r="B4418" t="s">
        <v>13172</v>
      </c>
      <c r="C4418" t="s">
        <v>13173</v>
      </c>
    </row>
    <row r="4419" spans="1:3" x14ac:dyDescent="0.35">
      <c r="A4419" t="s">
        <v>13174</v>
      </c>
      <c r="B4419" t="s">
        <v>13175</v>
      </c>
      <c r="C4419" t="s">
        <v>13176</v>
      </c>
    </row>
    <row r="4420" spans="1:3" x14ac:dyDescent="0.35">
      <c r="A4420" t="s">
        <v>13177</v>
      </c>
      <c r="B4420" t="s">
        <v>13178</v>
      </c>
      <c r="C4420" t="s">
        <v>13179</v>
      </c>
    </row>
    <row r="4421" spans="1:3" x14ac:dyDescent="0.35">
      <c r="A4421" t="s">
        <v>13180</v>
      </c>
      <c r="B4421" t="s">
        <v>13181</v>
      </c>
      <c r="C4421" t="s">
        <v>13182</v>
      </c>
    </row>
    <row r="4422" spans="1:3" x14ac:dyDescent="0.35">
      <c r="A4422" t="s">
        <v>13183</v>
      </c>
      <c r="B4422" t="s">
        <v>13184</v>
      </c>
      <c r="C4422" t="s">
        <v>13185</v>
      </c>
    </row>
    <row r="4423" spans="1:3" x14ac:dyDescent="0.35">
      <c r="A4423" t="s">
        <v>13186</v>
      </c>
      <c r="B4423" t="s">
        <v>13187</v>
      </c>
      <c r="C4423" t="s">
        <v>13188</v>
      </c>
    </row>
    <row r="4424" spans="1:3" x14ac:dyDescent="0.35">
      <c r="A4424" t="s">
        <v>13189</v>
      </c>
      <c r="B4424" t="s">
        <v>13190</v>
      </c>
      <c r="C4424" t="s">
        <v>13191</v>
      </c>
    </row>
    <row r="4425" spans="1:3" x14ac:dyDescent="0.35">
      <c r="A4425" t="s">
        <v>13192</v>
      </c>
      <c r="B4425" t="s">
        <v>13193</v>
      </c>
      <c r="C4425" t="s">
        <v>13194</v>
      </c>
    </row>
    <row r="4426" spans="1:3" x14ac:dyDescent="0.35">
      <c r="A4426" t="s">
        <v>13195</v>
      </c>
      <c r="B4426" t="s">
        <v>13196</v>
      </c>
      <c r="C4426" t="s">
        <v>13197</v>
      </c>
    </row>
    <row r="4427" spans="1:3" x14ac:dyDescent="0.35">
      <c r="A4427" t="s">
        <v>13198</v>
      </c>
      <c r="B4427" t="s">
        <v>13199</v>
      </c>
      <c r="C4427" t="s">
        <v>13200</v>
      </c>
    </row>
    <row r="4428" spans="1:3" x14ac:dyDescent="0.35">
      <c r="A4428" t="s">
        <v>13201</v>
      </c>
      <c r="B4428" t="s">
        <v>13202</v>
      </c>
      <c r="C4428" t="s">
        <v>13203</v>
      </c>
    </row>
    <row r="4429" spans="1:3" x14ac:dyDescent="0.35">
      <c r="A4429" t="s">
        <v>13204</v>
      </c>
      <c r="B4429" t="s">
        <v>13205</v>
      </c>
      <c r="C4429" t="s">
        <v>13206</v>
      </c>
    </row>
    <row r="4430" spans="1:3" x14ac:dyDescent="0.35">
      <c r="A4430" t="s">
        <v>13207</v>
      </c>
      <c r="B4430" t="s">
        <v>13208</v>
      </c>
      <c r="C4430" t="s">
        <v>13209</v>
      </c>
    </row>
    <row r="4431" spans="1:3" x14ac:dyDescent="0.35">
      <c r="A4431" t="s">
        <v>13210</v>
      </c>
      <c r="B4431" t="s">
        <v>13211</v>
      </c>
      <c r="C4431" t="s">
        <v>13212</v>
      </c>
    </row>
    <row r="4432" spans="1:3" x14ac:dyDescent="0.35">
      <c r="A4432" t="s">
        <v>13213</v>
      </c>
      <c r="B4432" t="s">
        <v>13214</v>
      </c>
      <c r="C4432" t="s">
        <v>13215</v>
      </c>
    </row>
    <row r="4433" spans="1:3" x14ac:dyDescent="0.35">
      <c r="A4433" t="s">
        <v>13216</v>
      </c>
      <c r="B4433" t="s">
        <v>13217</v>
      </c>
      <c r="C4433" t="s">
        <v>13218</v>
      </c>
    </row>
    <row r="4434" spans="1:3" x14ac:dyDescent="0.35">
      <c r="A4434" t="s">
        <v>13219</v>
      </c>
      <c r="B4434" t="s">
        <v>13220</v>
      </c>
      <c r="C4434" t="s">
        <v>13221</v>
      </c>
    </row>
    <row r="4435" spans="1:3" x14ac:dyDescent="0.35">
      <c r="A4435" t="s">
        <v>13222</v>
      </c>
      <c r="B4435" t="s">
        <v>13223</v>
      </c>
      <c r="C4435" t="s">
        <v>13224</v>
      </c>
    </row>
    <row r="4436" spans="1:3" x14ac:dyDescent="0.35">
      <c r="A4436" t="s">
        <v>13225</v>
      </c>
      <c r="B4436" t="s">
        <v>13226</v>
      </c>
      <c r="C4436" t="s">
        <v>13227</v>
      </c>
    </row>
    <row r="4437" spans="1:3" x14ac:dyDescent="0.35">
      <c r="A4437" t="s">
        <v>13228</v>
      </c>
      <c r="B4437" t="s">
        <v>13229</v>
      </c>
      <c r="C4437" t="s">
        <v>13230</v>
      </c>
    </row>
    <row r="4438" spans="1:3" x14ac:dyDescent="0.35">
      <c r="A4438" t="s">
        <v>13231</v>
      </c>
      <c r="B4438" t="s">
        <v>13232</v>
      </c>
      <c r="C4438" t="s">
        <v>13233</v>
      </c>
    </row>
    <row r="4439" spans="1:3" x14ac:dyDescent="0.35">
      <c r="A4439" t="s">
        <v>13234</v>
      </c>
      <c r="B4439" t="s">
        <v>13235</v>
      </c>
      <c r="C4439" t="s">
        <v>13236</v>
      </c>
    </row>
    <row r="4440" spans="1:3" x14ac:dyDescent="0.35">
      <c r="A4440" t="s">
        <v>13237</v>
      </c>
      <c r="B4440" t="s">
        <v>13238</v>
      </c>
      <c r="C4440" t="s">
        <v>13239</v>
      </c>
    </row>
    <row r="4441" spans="1:3" x14ac:dyDescent="0.35">
      <c r="A4441" t="s">
        <v>13240</v>
      </c>
      <c r="B4441" t="s">
        <v>13241</v>
      </c>
      <c r="C4441" t="s">
        <v>13242</v>
      </c>
    </row>
    <row r="4442" spans="1:3" x14ac:dyDescent="0.35">
      <c r="A4442" t="s">
        <v>13243</v>
      </c>
      <c r="B4442" t="s">
        <v>13244</v>
      </c>
      <c r="C4442" t="s">
        <v>13245</v>
      </c>
    </row>
    <row r="4443" spans="1:3" x14ac:dyDescent="0.35">
      <c r="A4443" t="s">
        <v>13246</v>
      </c>
      <c r="B4443" t="s">
        <v>13247</v>
      </c>
      <c r="C4443" t="s">
        <v>13248</v>
      </c>
    </row>
    <row r="4444" spans="1:3" x14ac:dyDescent="0.35">
      <c r="A4444" t="s">
        <v>13249</v>
      </c>
      <c r="B4444" t="s">
        <v>13250</v>
      </c>
      <c r="C4444" t="s">
        <v>13251</v>
      </c>
    </row>
    <row r="4445" spans="1:3" x14ac:dyDescent="0.35">
      <c r="A4445" t="s">
        <v>76</v>
      </c>
      <c r="B4445" t="s">
        <v>13252</v>
      </c>
      <c r="C4445" t="s">
        <v>13253</v>
      </c>
    </row>
    <row r="4446" spans="1:3" x14ac:dyDescent="0.35">
      <c r="A4446" t="s">
        <v>13254</v>
      </c>
      <c r="B4446" t="s">
        <v>13255</v>
      </c>
      <c r="C4446" t="s">
        <v>13256</v>
      </c>
    </row>
    <row r="4447" spans="1:3" x14ac:dyDescent="0.35">
      <c r="A4447" t="s">
        <v>13257</v>
      </c>
      <c r="B4447" t="s">
        <v>13258</v>
      </c>
      <c r="C4447" t="s">
        <v>13259</v>
      </c>
    </row>
    <row r="4448" spans="1:3" x14ac:dyDescent="0.35">
      <c r="A4448" t="s">
        <v>13260</v>
      </c>
      <c r="B4448" t="s">
        <v>13261</v>
      </c>
      <c r="C4448" t="s">
        <v>13262</v>
      </c>
    </row>
    <row r="4449" spans="1:3" x14ac:dyDescent="0.35">
      <c r="A4449" t="s">
        <v>13260</v>
      </c>
      <c r="B4449" t="s">
        <v>13263</v>
      </c>
      <c r="C4449" t="s">
        <v>13264</v>
      </c>
    </row>
    <row r="4450" spans="1:3" x14ac:dyDescent="0.35">
      <c r="A4450" t="s">
        <v>13265</v>
      </c>
      <c r="B4450" t="s">
        <v>13266</v>
      </c>
      <c r="C4450" t="s">
        <v>13267</v>
      </c>
    </row>
    <row r="4451" spans="1:3" x14ac:dyDescent="0.35">
      <c r="A4451" t="s">
        <v>13268</v>
      </c>
      <c r="B4451" t="s">
        <v>13269</v>
      </c>
      <c r="C4451" t="s">
        <v>13270</v>
      </c>
    </row>
    <row r="4452" spans="1:3" x14ac:dyDescent="0.35">
      <c r="A4452" t="s">
        <v>13271</v>
      </c>
      <c r="B4452" t="s">
        <v>13272</v>
      </c>
      <c r="C4452" t="s">
        <v>13273</v>
      </c>
    </row>
    <row r="4453" spans="1:3" x14ac:dyDescent="0.35">
      <c r="A4453" t="s">
        <v>13274</v>
      </c>
      <c r="B4453" t="s">
        <v>13275</v>
      </c>
      <c r="C4453" t="s">
        <v>13276</v>
      </c>
    </row>
    <row r="4454" spans="1:3" x14ac:dyDescent="0.35">
      <c r="A4454" t="s">
        <v>13277</v>
      </c>
      <c r="B4454" t="s">
        <v>13278</v>
      </c>
      <c r="C4454" t="s">
        <v>13279</v>
      </c>
    </row>
    <row r="4455" spans="1:3" x14ac:dyDescent="0.35">
      <c r="A4455" t="s">
        <v>13280</v>
      </c>
      <c r="B4455" t="s">
        <v>13281</v>
      </c>
      <c r="C4455" t="s">
        <v>13282</v>
      </c>
    </row>
    <row r="4456" spans="1:3" x14ac:dyDescent="0.35">
      <c r="A4456" t="s">
        <v>13283</v>
      </c>
      <c r="B4456" t="s">
        <v>13284</v>
      </c>
      <c r="C4456" t="s">
        <v>13285</v>
      </c>
    </row>
    <row r="4457" spans="1:3" x14ac:dyDescent="0.35">
      <c r="A4457" t="s">
        <v>13286</v>
      </c>
      <c r="B4457" t="s">
        <v>13287</v>
      </c>
      <c r="C4457" t="s">
        <v>13288</v>
      </c>
    </row>
    <row r="4458" spans="1:3" x14ac:dyDescent="0.35">
      <c r="A4458" t="s">
        <v>13289</v>
      </c>
      <c r="B4458" t="s">
        <v>13290</v>
      </c>
      <c r="C4458" t="s">
        <v>13291</v>
      </c>
    </row>
    <row r="4459" spans="1:3" x14ac:dyDescent="0.35">
      <c r="A4459" t="s">
        <v>13292</v>
      </c>
      <c r="B4459" t="s">
        <v>13293</v>
      </c>
      <c r="C4459" t="s">
        <v>13294</v>
      </c>
    </row>
    <row r="4460" spans="1:3" x14ac:dyDescent="0.35">
      <c r="A4460" t="s">
        <v>13295</v>
      </c>
      <c r="B4460" t="s">
        <v>13296</v>
      </c>
      <c r="C4460" t="s">
        <v>13297</v>
      </c>
    </row>
    <row r="4461" spans="1:3" x14ac:dyDescent="0.35">
      <c r="A4461" t="s">
        <v>13298</v>
      </c>
      <c r="B4461" t="s">
        <v>13299</v>
      </c>
      <c r="C4461" t="s">
        <v>13300</v>
      </c>
    </row>
    <row r="4462" spans="1:3" x14ac:dyDescent="0.35">
      <c r="A4462" t="s">
        <v>13301</v>
      </c>
      <c r="B4462" t="s">
        <v>13302</v>
      </c>
      <c r="C4462" t="s">
        <v>13303</v>
      </c>
    </row>
    <row r="4463" spans="1:3" x14ac:dyDescent="0.35">
      <c r="A4463" t="s">
        <v>13304</v>
      </c>
      <c r="B4463" t="s">
        <v>13305</v>
      </c>
      <c r="C4463" t="s">
        <v>13306</v>
      </c>
    </row>
    <row r="4464" spans="1:3" x14ac:dyDescent="0.35">
      <c r="A4464" t="s">
        <v>13307</v>
      </c>
      <c r="B4464" t="s">
        <v>13308</v>
      </c>
      <c r="C4464" t="s">
        <v>13309</v>
      </c>
    </row>
    <row r="4465" spans="1:3" x14ac:dyDescent="0.35">
      <c r="A4465" t="s">
        <v>13310</v>
      </c>
      <c r="B4465" t="s">
        <v>13311</v>
      </c>
      <c r="C4465" t="s">
        <v>13312</v>
      </c>
    </row>
    <row r="4466" spans="1:3" x14ac:dyDescent="0.35">
      <c r="A4466" t="s">
        <v>13313</v>
      </c>
      <c r="B4466" t="s">
        <v>13314</v>
      </c>
      <c r="C4466" t="s">
        <v>13315</v>
      </c>
    </row>
    <row r="4467" spans="1:3" x14ac:dyDescent="0.35">
      <c r="A4467" t="s">
        <v>13316</v>
      </c>
      <c r="B4467" t="s">
        <v>13317</v>
      </c>
      <c r="C4467" t="s">
        <v>13318</v>
      </c>
    </row>
    <row r="4468" spans="1:3" x14ac:dyDescent="0.35">
      <c r="A4468" t="s">
        <v>13319</v>
      </c>
      <c r="B4468" t="s">
        <v>13320</v>
      </c>
      <c r="C4468" t="s">
        <v>11773</v>
      </c>
    </row>
    <row r="4469" spans="1:3" x14ac:dyDescent="0.35">
      <c r="A4469" t="s">
        <v>13321</v>
      </c>
      <c r="B4469" t="s">
        <v>13322</v>
      </c>
      <c r="C4469" t="s">
        <v>13323</v>
      </c>
    </row>
    <row r="4470" spans="1:3" x14ac:dyDescent="0.35">
      <c r="A4470" t="s">
        <v>13324</v>
      </c>
      <c r="B4470" t="s">
        <v>13325</v>
      </c>
      <c r="C4470" t="s">
        <v>13326</v>
      </c>
    </row>
    <row r="4471" spans="1:3" x14ac:dyDescent="0.35">
      <c r="A4471" t="s">
        <v>13327</v>
      </c>
      <c r="B4471" t="s">
        <v>13328</v>
      </c>
      <c r="C4471" t="s">
        <v>13329</v>
      </c>
    </row>
    <row r="4472" spans="1:3" x14ac:dyDescent="0.35">
      <c r="A4472" t="s">
        <v>13330</v>
      </c>
      <c r="B4472" t="s">
        <v>13331</v>
      </c>
      <c r="C4472" t="s">
        <v>13332</v>
      </c>
    </row>
    <row r="4473" spans="1:3" x14ac:dyDescent="0.35">
      <c r="A4473" t="s">
        <v>13333</v>
      </c>
      <c r="B4473" t="s">
        <v>13334</v>
      </c>
      <c r="C4473" t="s">
        <v>13335</v>
      </c>
    </row>
    <row r="4474" spans="1:3" x14ac:dyDescent="0.35">
      <c r="A4474" t="s">
        <v>13336</v>
      </c>
      <c r="B4474" t="s">
        <v>13337</v>
      </c>
      <c r="C4474" t="s">
        <v>13338</v>
      </c>
    </row>
    <row r="4475" spans="1:3" x14ac:dyDescent="0.35">
      <c r="A4475" t="s">
        <v>13339</v>
      </c>
      <c r="B4475" t="s">
        <v>13340</v>
      </c>
      <c r="C4475" t="s">
        <v>13341</v>
      </c>
    </row>
    <row r="4476" spans="1:3" x14ac:dyDescent="0.35">
      <c r="A4476" t="s">
        <v>13342</v>
      </c>
      <c r="B4476" t="s">
        <v>13343</v>
      </c>
      <c r="C4476" t="s">
        <v>13344</v>
      </c>
    </row>
    <row r="4477" spans="1:3" x14ac:dyDescent="0.35">
      <c r="A4477" t="s">
        <v>13345</v>
      </c>
      <c r="B4477" t="s">
        <v>13346</v>
      </c>
      <c r="C4477" t="s">
        <v>13347</v>
      </c>
    </row>
    <row r="4478" spans="1:3" x14ac:dyDescent="0.35">
      <c r="A4478" t="s">
        <v>13348</v>
      </c>
      <c r="B4478" t="s">
        <v>13349</v>
      </c>
      <c r="C4478" t="s">
        <v>13350</v>
      </c>
    </row>
    <row r="4479" spans="1:3" x14ac:dyDescent="0.35">
      <c r="A4479" t="s">
        <v>13351</v>
      </c>
      <c r="B4479" t="s">
        <v>13352</v>
      </c>
      <c r="C4479" t="s">
        <v>13353</v>
      </c>
    </row>
    <row r="4480" spans="1:3" x14ac:dyDescent="0.35">
      <c r="A4480" t="s">
        <v>13354</v>
      </c>
      <c r="B4480" t="s">
        <v>13355</v>
      </c>
      <c r="C4480" t="s">
        <v>13356</v>
      </c>
    </row>
    <row r="4481" spans="1:3" x14ac:dyDescent="0.35">
      <c r="A4481" t="s">
        <v>13357</v>
      </c>
      <c r="B4481" t="s">
        <v>13358</v>
      </c>
      <c r="C4481" t="s">
        <v>13359</v>
      </c>
    </row>
    <row r="4482" spans="1:3" x14ac:dyDescent="0.35">
      <c r="A4482" t="s">
        <v>13360</v>
      </c>
      <c r="B4482" t="s">
        <v>13361</v>
      </c>
      <c r="C4482" t="s">
        <v>13362</v>
      </c>
    </row>
    <row r="4483" spans="1:3" x14ac:dyDescent="0.35">
      <c r="A4483" t="s">
        <v>13363</v>
      </c>
      <c r="B4483" t="s">
        <v>13364</v>
      </c>
      <c r="C4483" t="s">
        <v>13365</v>
      </c>
    </row>
    <row r="4484" spans="1:3" x14ac:dyDescent="0.35">
      <c r="A4484" t="s">
        <v>13366</v>
      </c>
      <c r="B4484" t="s">
        <v>13367</v>
      </c>
      <c r="C4484" t="s">
        <v>13368</v>
      </c>
    </row>
    <row r="4485" spans="1:3" x14ac:dyDescent="0.35">
      <c r="A4485" t="s">
        <v>13369</v>
      </c>
      <c r="B4485" t="s">
        <v>13370</v>
      </c>
      <c r="C4485" t="s">
        <v>13371</v>
      </c>
    </row>
    <row r="4486" spans="1:3" x14ac:dyDescent="0.35">
      <c r="A4486" t="s">
        <v>13372</v>
      </c>
      <c r="B4486" t="s">
        <v>13373</v>
      </c>
      <c r="C4486" t="s">
        <v>13374</v>
      </c>
    </row>
    <row r="4487" spans="1:3" x14ac:dyDescent="0.35">
      <c r="A4487" t="s">
        <v>13375</v>
      </c>
      <c r="B4487" t="s">
        <v>13376</v>
      </c>
      <c r="C4487" t="s">
        <v>13377</v>
      </c>
    </row>
    <row r="4488" spans="1:3" x14ac:dyDescent="0.35">
      <c r="A4488" t="s">
        <v>13375</v>
      </c>
      <c r="B4488" t="s">
        <v>13378</v>
      </c>
      <c r="C4488" t="s">
        <v>13379</v>
      </c>
    </row>
    <row r="4489" spans="1:3" x14ac:dyDescent="0.35">
      <c r="A4489" t="s">
        <v>13380</v>
      </c>
      <c r="B4489" t="s">
        <v>13381</v>
      </c>
      <c r="C4489" t="s">
        <v>13382</v>
      </c>
    </row>
    <row r="4490" spans="1:3" x14ac:dyDescent="0.35">
      <c r="A4490" t="s">
        <v>13383</v>
      </c>
      <c r="B4490" t="s">
        <v>13384</v>
      </c>
      <c r="C4490" t="s">
        <v>13385</v>
      </c>
    </row>
    <row r="4491" spans="1:3" x14ac:dyDescent="0.35">
      <c r="A4491" t="s">
        <v>13386</v>
      </c>
      <c r="B4491" t="s">
        <v>13387</v>
      </c>
      <c r="C4491" t="s">
        <v>13388</v>
      </c>
    </row>
    <row r="4492" spans="1:3" x14ac:dyDescent="0.35">
      <c r="A4492" t="s">
        <v>13389</v>
      </c>
      <c r="B4492" t="s">
        <v>13390</v>
      </c>
      <c r="C4492" t="s">
        <v>13391</v>
      </c>
    </row>
    <row r="4493" spans="1:3" x14ac:dyDescent="0.35">
      <c r="A4493" t="s">
        <v>13392</v>
      </c>
      <c r="B4493" t="s">
        <v>13393</v>
      </c>
      <c r="C4493" t="s">
        <v>13394</v>
      </c>
    </row>
    <row r="4494" spans="1:3" x14ac:dyDescent="0.35">
      <c r="A4494" t="s">
        <v>13395</v>
      </c>
      <c r="B4494" t="s">
        <v>13396</v>
      </c>
      <c r="C4494" t="s">
        <v>13397</v>
      </c>
    </row>
    <row r="4495" spans="1:3" x14ac:dyDescent="0.35">
      <c r="A4495" t="s">
        <v>13398</v>
      </c>
      <c r="B4495" t="s">
        <v>13399</v>
      </c>
      <c r="C4495" t="s">
        <v>13400</v>
      </c>
    </row>
    <row r="4496" spans="1:3" x14ac:dyDescent="0.35">
      <c r="A4496" t="s">
        <v>13401</v>
      </c>
      <c r="B4496" t="s">
        <v>13402</v>
      </c>
      <c r="C4496" t="s">
        <v>13403</v>
      </c>
    </row>
    <row r="4497" spans="1:3" x14ac:dyDescent="0.35">
      <c r="A4497" t="s">
        <v>13404</v>
      </c>
      <c r="B4497" t="s">
        <v>13405</v>
      </c>
      <c r="C4497" t="s">
        <v>13406</v>
      </c>
    </row>
    <row r="4498" spans="1:3" x14ac:dyDescent="0.35">
      <c r="A4498" t="s">
        <v>13407</v>
      </c>
      <c r="B4498" t="s">
        <v>13408</v>
      </c>
      <c r="C4498" t="s">
        <v>13409</v>
      </c>
    </row>
    <row r="4499" spans="1:3" x14ac:dyDescent="0.35">
      <c r="A4499" t="s">
        <v>13410</v>
      </c>
      <c r="B4499" t="s">
        <v>13411</v>
      </c>
      <c r="C4499" t="s">
        <v>13412</v>
      </c>
    </row>
    <row r="4500" spans="1:3" x14ac:dyDescent="0.35">
      <c r="A4500" t="s">
        <v>13413</v>
      </c>
      <c r="B4500" t="s">
        <v>13414</v>
      </c>
      <c r="C4500" t="s">
        <v>13415</v>
      </c>
    </row>
    <row r="4501" spans="1:3" x14ac:dyDescent="0.35">
      <c r="A4501" t="s">
        <v>13416</v>
      </c>
      <c r="B4501" t="s">
        <v>13417</v>
      </c>
      <c r="C4501" t="s">
        <v>13418</v>
      </c>
    </row>
    <row r="4502" spans="1:3" x14ac:dyDescent="0.35">
      <c r="A4502" t="s">
        <v>13419</v>
      </c>
      <c r="B4502" t="s">
        <v>13420</v>
      </c>
      <c r="C4502" t="s">
        <v>13421</v>
      </c>
    </row>
    <row r="4503" spans="1:3" x14ac:dyDescent="0.35">
      <c r="A4503" t="s">
        <v>13422</v>
      </c>
      <c r="B4503" t="s">
        <v>13423</v>
      </c>
      <c r="C4503" t="s">
        <v>13424</v>
      </c>
    </row>
    <row r="4504" spans="1:3" x14ac:dyDescent="0.35">
      <c r="A4504" t="s">
        <v>13425</v>
      </c>
      <c r="B4504" t="s">
        <v>13426</v>
      </c>
      <c r="C4504" t="s">
        <v>13427</v>
      </c>
    </row>
    <row r="4505" spans="1:3" x14ac:dyDescent="0.35">
      <c r="A4505" t="s">
        <v>13428</v>
      </c>
      <c r="B4505" t="s">
        <v>13429</v>
      </c>
      <c r="C4505" t="s">
        <v>13430</v>
      </c>
    </row>
    <row r="4506" spans="1:3" x14ac:dyDescent="0.35">
      <c r="A4506" t="s">
        <v>13431</v>
      </c>
      <c r="B4506" t="s">
        <v>13432</v>
      </c>
      <c r="C4506" t="s">
        <v>13433</v>
      </c>
    </row>
    <row r="4507" spans="1:3" x14ac:dyDescent="0.35">
      <c r="A4507" t="s">
        <v>13434</v>
      </c>
      <c r="B4507" t="s">
        <v>13435</v>
      </c>
      <c r="C4507" t="s">
        <v>13436</v>
      </c>
    </row>
    <row r="4508" spans="1:3" x14ac:dyDescent="0.35">
      <c r="A4508" t="s">
        <v>13437</v>
      </c>
      <c r="B4508" t="s">
        <v>13438</v>
      </c>
      <c r="C4508" t="s">
        <v>13439</v>
      </c>
    </row>
    <row r="4509" spans="1:3" x14ac:dyDescent="0.35">
      <c r="A4509" t="s">
        <v>13440</v>
      </c>
      <c r="B4509" t="s">
        <v>13441</v>
      </c>
      <c r="C4509" t="s">
        <v>13442</v>
      </c>
    </row>
    <row r="4510" spans="1:3" x14ac:dyDescent="0.35">
      <c r="A4510" t="s">
        <v>13443</v>
      </c>
      <c r="B4510" t="s">
        <v>13444</v>
      </c>
      <c r="C4510" t="s">
        <v>13445</v>
      </c>
    </row>
    <row r="4511" spans="1:3" x14ac:dyDescent="0.35">
      <c r="A4511" t="s">
        <v>13446</v>
      </c>
      <c r="B4511" t="s">
        <v>13447</v>
      </c>
      <c r="C4511" t="s">
        <v>13448</v>
      </c>
    </row>
    <row r="4512" spans="1:3" x14ac:dyDescent="0.35">
      <c r="A4512" t="s">
        <v>13449</v>
      </c>
      <c r="B4512" t="s">
        <v>13450</v>
      </c>
      <c r="C4512" t="s">
        <v>13451</v>
      </c>
    </row>
    <row r="4513" spans="1:3" x14ac:dyDescent="0.35">
      <c r="A4513" t="s">
        <v>13452</v>
      </c>
      <c r="B4513" t="s">
        <v>13453</v>
      </c>
      <c r="C4513" t="s">
        <v>13454</v>
      </c>
    </row>
    <row r="4514" spans="1:3" x14ac:dyDescent="0.35">
      <c r="A4514" t="s">
        <v>13455</v>
      </c>
      <c r="B4514" t="s">
        <v>13456</v>
      </c>
      <c r="C4514" t="s">
        <v>13457</v>
      </c>
    </row>
    <row r="4515" spans="1:3" x14ac:dyDescent="0.35">
      <c r="A4515" t="s">
        <v>13458</v>
      </c>
      <c r="B4515" t="s">
        <v>13459</v>
      </c>
      <c r="C4515" t="s">
        <v>13460</v>
      </c>
    </row>
    <row r="4516" spans="1:3" x14ac:dyDescent="0.35">
      <c r="A4516" t="s">
        <v>13461</v>
      </c>
      <c r="B4516" t="s">
        <v>13462</v>
      </c>
      <c r="C4516" t="s">
        <v>13463</v>
      </c>
    </row>
    <row r="4517" spans="1:3" x14ac:dyDescent="0.35">
      <c r="A4517" t="s">
        <v>13464</v>
      </c>
      <c r="B4517" t="s">
        <v>13465</v>
      </c>
      <c r="C4517" t="s">
        <v>13466</v>
      </c>
    </row>
    <row r="4518" spans="1:3" x14ac:dyDescent="0.35">
      <c r="A4518" t="s">
        <v>13467</v>
      </c>
      <c r="B4518" t="s">
        <v>13468</v>
      </c>
      <c r="C4518" t="s">
        <v>13469</v>
      </c>
    </row>
    <row r="4519" spans="1:3" x14ac:dyDescent="0.35">
      <c r="A4519" t="s">
        <v>13470</v>
      </c>
      <c r="B4519" t="s">
        <v>13471</v>
      </c>
      <c r="C4519" t="s">
        <v>13472</v>
      </c>
    </row>
    <row r="4520" spans="1:3" x14ac:dyDescent="0.35">
      <c r="A4520" t="s">
        <v>13473</v>
      </c>
      <c r="B4520" t="s">
        <v>13474</v>
      </c>
      <c r="C4520" t="s">
        <v>13475</v>
      </c>
    </row>
    <row r="4521" spans="1:3" x14ac:dyDescent="0.35">
      <c r="A4521" t="s">
        <v>13476</v>
      </c>
      <c r="B4521" t="s">
        <v>13477</v>
      </c>
      <c r="C4521" t="s">
        <v>13478</v>
      </c>
    </row>
    <row r="4522" spans="1:3" x14ac:dyDescent="0.35">
      <c r="A4522" t="s">
        <v>13479</v>
      </c>
      <c r="B4522" t="s">
        <v>13480</v>
      </c>
      <c r="C4522" t="s">
        <v>13481</v>
      </c>
    </row>
    <row r="4523" spans="1:3" x14ac:dyDescent="0.35">
      <c r="A4523" t="s">
        <v>13482</v>
      </c>
      <c r="B4523" t="s">
        <v>13483</v>
      </c>
      <c r="C4523" t="s">
        <v>13484</v>
      </c>
    </row>
    <row r="4524" spans="1:3" x14ac:dyDescent="0.35">
      <c r="A4524" t="s">
        <v>13485</v>
      </c>
      <c r="B4524" t="s">
        <v>13486</v>
      </c>
      <c r="C4524" t="s">
        <v>13487</v>
      </c>
    </row>
    <row r="4525" spans="1:3" x14ac:dyDescent="0.35">
      <c r="A4525" t="s">
        <v>13488</v>
      </c>
      <c r="B4525" t="s">
        <v>13489</v>
      </c>
      <c r="C4525" t="s">
        <v>13490</v>
      </c>
    </row>
    <row r="4526" spans="1:3" x14ac:dyDescent="0.35">
      <c r="A4526" t="s">
        <v>13491</v>
      </c>
      <c r="B4526" t="s">
        <v>13492</v>
      </c>
      <c r="C4526" t="s">
        <v>13493</v>
      </c>
    </row>
    <row r="4527" spans="1:3" x14ac:dyDescent="0.35">
      <c r="A4527" t="s">
        <v>13494</v>
      </c>
      <c r="B4527" t="s">
        <v>13495</v>
      </c>
      <c r="C4527" t="s">
        <v>13496</v>
      </c>
    </row>
    <row r="4528" spans="1:3" x14ac:dyDescent="0.35">
      <c r="A4528" t="s">
        <v>13497</v>
      </c>
      <c r="B4528" t="s">
        <v>13498</v>
      </c>
      <c r="C4528" t="s">
        <v>13499</v>
      </c>
    </row>
    <row r="4529" spans="1:3" x14ac:dyDescent="0.35">
      <c r="A4529" t="s">
        <v>13500</v>
      </c>
      <c r="B4529" t="s">
        <v>13501</v>
      </c>
      <c r="C4529" t="s">
        <v>13502</v>
      </c>
    </row>
    <row r="4530" spans="1:3" x14ac:dyDescent="0.35">
      <c r="A4530" t="s">
        <v>13503</v>
      </c>
      <c r="B4530" t="s">
        <v>13504</v>
      </c>
      <c r="C4530" t="s">
        <v>13505</v>
      </c>
    </row>
    <row r="4531" spans="1:3" x14ac:dyDescent="0.35">
      <c r="A4531" t="s">
        <v>13506</v>
      </c>
      <c r="B4531" t="s">
        <v>13507</v>
      </c>
      <c r="C4531" t="s">
        <v>13508</v>
      </c>
    </row>
    <row r="4532" spans="1:3" x14ac:dyDescent="0.35">
      <c r="A4532" t="s">
        <v>13509</v>
      </c>
      <c r="B4532" t="s">
        <v>13510</v>
      </c>
      <c r="C4532" t="s">
        <v>13511</v>
      </c>
    </row>
    <row r="4533" spans="1:3" x14ac:dyDescent="0.35">
      <c r="A4533" t="s">
        <v>13512</v>
      </c>
      <c r="B4533" t="s">
        <v>13513</v>
      </c>
      <c r="C4533" t="s">
        <v>13514</v>
      </c>
    </row>
    <row r="4534" spans="1:3" x14ac:dyDescent="0.35">
      <c r="A4534" t="s">
        <v>13515</v>
      </c>
      <c r="B4534" t="s">
        <v>13516</v>
      </c>
      <c r="C4534" t="s">
        <v>13517</v>
      </c>
    </row>
    <row r="4535" spans="1:3" x14ac:dyDescent="0.35">
      <c r="A4535" t="s">
        <v>13518</v>
      </c>
      <c r="B4535" t="s">
        <v>13519</v>
      </c>
      <c r="C4535" t="s">
        <v>13520</v>
      </c>
    </row>
    <row r="4536" spans="1:3" x14ac:dyDescent="0.35">
      <c r="A4536" t="s">
        <v>13521</v>
      </c>
      <c r="B4536" t="s">
        <v>13522</v>
      </c>
      <c r="C4536" t="s">
        <v>13523</v>
      </c>
    </row>
    <row r="4537" spans="1:3" x14ac:dyDescent="0.35">
      <c r="A4537" t="s">
        <v>13524</v>
      </c>
      <c r="B4537" t="s">
        <v>13525</v>
      </c>
      <c r="C4537" t="s">
        <v>13526</v>
      </c>
    </row>
    <row r="4538" spans="1:3" x14ac:dyDescent="0.35">
      <c r="A4538" t="s">
        <v>13527</v>
      </c>
      <c r="B4538" t="s">
        <v>13528</v>
      </c>
      <c r="C4538" t="s">
        <v>13529</v>
      </c>
    </row>
    <row r="4539" spans="1:3" x14ac:dyDescent="0.35">
      <c r="A4539" t="s">
        <v>13530</v>
      </c>
      <c r="B4539" t="s">
        <v>13531</v>
      </c>
      <c r="C4539" t="s">
        <v>13532</v>
      </c>
    </row>
    <row r="4540" spans="1:3" x14ac:dyDescent="0.35">
      <c r="A4540" t="s">
        <v>13533</v>
      </c>
      <c r="B4540" t="s">
        <v>13534</v>
      </c>
      <c r="C4540" t="s">
        <v>13535</v>
      </c>
    </row>
    <row r="4541" spans="1:3" x14ac:dyDescent="0.35">
      <c r="A4541" t="s">
        <v>13536</v>
      </c>
      <c r="B4541" t="s">
        <v>13537</v>
      </c>
      <c r="C4541" t="s">
        <v>13538</v>
      </c>
    </row>
    <row r="4542" spans="1:3" x14ac:dyDescent="0.35">
      <c r="A4542" t="s">
        <v>13539</v>
      </c>
      <c r="B4542" t="s">
        <v>13540</v>
      </c>
      <c r="C4542" t="s">
        <v>13541</v>
      </c>
    </row>
    <row r="4543" spans="1:3" x14ac:dyDescent="0.35">
      <c r="A4543" t="s">
        <v>13539</v>
      </c>
      <c r="B4543" t="s">
        <v>13542</v>
      </c>
      <c r="C4543" t="s">
        <v>13543</v>
      </c>
    </row>
    <row r="4544" spans="1:3" x14ac:dyDescent="0.35">
      <c r="A4544" t="s">
        <v>13544</v>
      </c>
      <c r="B4544" t="s">
        <v>13545</v>
      </c>
      <c r="C4544" t="s">
        <v>13546</v>
      </c>
    </row>
    <row r="4545" spans="1:3" x14ac:dyDescent="0.35">
      <c r="A4545" t="s">
        <v>13547</v>
      </c>
      <c r="B4545" t="s">
        <v>13548</v>
      </c>
      <c r="C4545" t="s">
        <v>13549</v>
      </c>
    </row>
    <row r="4546" spans="1:3" x14ac:dyDescent="0.35">
      <c r="A4546" t="s">
        <v>13550</v>
      </c>
      <c r="B4546" t="s">
        <v>13551</v>
      </c>
      <c r="C4546" t="s">
        <v>13552</v>
      </c>
    </row>
    <row r="4547" spans="1:3" x14ac:dyDescent="0.35">
      <c r="A4547" t="s">
        <v>13553</v>
      </c>
      <c r="B4547" t="s">
        <v>13554</v>
      </c>
      <c r="C4547" t="s">
        <v>13555</v>
      </c>
    </row>
    <row r="4548" spans="1:3" x14ac:dyDescent="0.35">
      <c r="A4548" t="s">
        <v>13556</v>
      </c>
      <c r="B4548" t="s">
        <v>13557</v>
      </c>
      <c r="C4548" t="s">
        <v>13558</v>
      </c>
    </row>
    <row r="4549" spans="1:3" x14ac:dyDescent="0.35">
      <c r="A4549" t="s">
        <v>13559</v>
      </c>
      <c r="B4549" t="s">
        <v>13560</v>
      </c>
      <c r="C4549" t="s">
        <v>13561</v>
      </c>
    </row>
    <row r="4550" spans="1:3" x14ac:dyDescent="0.35">
      <c r="A4550" t="s">
        <v>13562</v>
      </c>
      <c r="B4550" t="s">
        <v>13563</v>
      </c>
      <c r="C4550" t="s">
        <v>13564</v>
      </c>
    </row>
    <row r="4551" spans="1:3" x14ac:dyDescent="0.35">
      <c r="A4551" t="s">
        <v>13565</v>
      </c>
      <c r="B4551" t="s">
        <v>13566</v>
      </c>
      <c r="C4551" t="s">
        <v>13567</v>
      </c>
    </row>
    <row r="4552" spans="1:3" x14ac:dyDescent="0.35">
      <c r="A4552" t="s">
        <v>13568</v>
      </c>
      <c r="B4552" t="s">
        <v>13569</v>
      </c>
      <c r="C4552" t="s">
        <v>13570</v>
      </c>
    </row>
    <row r="4553" spans="1:3" x14ac:dyDescent="0.35">
      <c r="A4553" t="s">
        <v>13571</v>
      </c>
      <c r="B4553" t="s">
        <v>13572</v>
      </c>
      <c r="C4553" t="s">
        <v>13573</v>
      </c>
    </row>
    <row r="4554" spans="1:3" x14ac:dyDescent="0.35">
      <c r="A4554" t="s">
        <v>13574</v>
      </c>
      <c r="B4554" t="s">
        <v>13575</v>
      </c>
      <c r="C4554" t="s">
        <v>13576</v>
      </c>
    </row>
    <row r="4555" spans="1:3" x14ac:dyDescent="0.35">
      <c r="A4555" t="s">
        <v>13577</v>
      </c>
      <c r="B4555" t="s">
        <v>13578</v>
      </c>
      <c r="C4555" t="s">
        <v>13579</v>
      </c>
    </row>
    <row r="4556" spans="1:3" x14ac:dyDescent="0.35">
      <c r="A4556" t="s">
        <v>13580</v>
      </c>
      <c r="B4556" t="s">
        <v>13581</v>
      </c>
      <c r="C4556" t="s">
        <v>13582</v>
      </c>
    </row>
    <row r="4557" spans="1:3" x14ac:dyDescent="0.35">
      <c r="A4557" t="s">
        <v>13583</v>
      </c>
      <c r="B4557" t="s">
        <v>13584</v>
      </c>
      <c r="C4557" t="s">
        <v>13585</v>
      </c>
    </row>
    <row r="4558" spans="1:3" x14ac:dyDescent="0.35">
      <c r="A4558" t="s">
        <v>13586</v>
      </c>
      <c r="B4558" t="s">
        <v>13587</v>
      </c>
      <c r="C4558" t="s">
        <v>13588</v>
      </c>
    </row>
    <row r="4559" spans="1:3" x14ac:dyDescent="0.35">
      <c r="A4559" t="s">
        <v>13589</v>
      </c>
      <c r="B4559" t="s">
        <v>13590</v>
      </c>
      <c r="C4559" t="s">
        <v>13591</v>
      </c>
    </row>
    <row r="4560" spans="1:3" x14ac:dyDescent="0.35">
      <c r="A4560" t="s">
        <v>13592</v>
      </c>
      <c r="B4560" t="s">
        <v>13593</v>
      </c>
      <c r="C4560" t="s">
        <v>13594</v>
      </c>
    </row>
    <row r="4561" spans="1:3" x14ac:dyDescent="0.35">
      <c r="A4561" t="s">
        <v>13595</v>
      </c>
      <c r="B4561" t="s">
        <v>13596</v>
      </c>
      <c r="C4561" t="s">
        <v>13597</v>
      </c>
    </row>
    <row r="4562" spans="1:3" x14ac:dyDescent="0.35">
      <c r="A4562" t="s">
        <v>13598</v>
      </c>
      <c r="B4562" t="s">
        <v>13599</v>
      </c>
      <c r="C4562" t="s">
        <v>13600</v>
      </c>
    </row>
    <row r="4563" spans="1:3" x14ac:dyDescent="0.35">
      <c r="A4563" t="s">
        <v>13601</v>
      </c>
      <c r="B4563" t="s">
        <v>13602</v>
      </c>
      <c r="C4563" t="s">
        <v>13603</v>
      </c>
    </row>
    <row r="4564" spans="1:3" x14ac:dyDescent="0.35">
      <c r="A4564" t="s">
        <v>13604</v>
      </c>
      <c r="B4564" t="s">
        <v>13605</v>
      </c>
      <c r="C4564" t="s">
        <v>13606</v>
      </c>
    </row>
    <row r="4565" spans="1:3" x14ac:dyDescent="0.35">
      <c r="A4565" t="s">
        <v>13607</v>
      </c>
      <c r="B4565" t="s">
        <v>13608</v>
      </c>
      <c r="C4565" t="s">
        <v>13609</v>
      </c>
    </row>
    <row r="4566" spans="1:3" x14ac:dyDescent="0.35">
      <c r="A4566" t="s">
        <v>13610</v>
      </c>
      <c r="B4566" t="s">
        <v>13611</v>
      </c>
      <c r="C4566" t="s">
        <v>13612</v>
      </c>
    </row>
    <row r="4567" spans="1:3" x14ac:dyDescent="0.35">
      <c r="A4567" t="s">
        <v>13613</v>
      </c>
      <c r="B4567" t="s">
        <v>13614</v>
      </c>
      <c r="C4567" t="s">
        <v>13615</v>
      </c>
    </row>
    <row r="4568" spans="1:3" x14ac:dyDescent="0.35">
      <c r="A4568" t="s">
        <v>13616</v>
      </c>
      <c r="B4568" t="s">
        <v>13617</v>
      </c>
      <c r="C4568" t="s">
        <v>13618</v>
      </c>
    </row>
    <row r="4569" spans="1:3" x14ac:dyDescent="0.35">
      <c r="A4569" t="s">
        <v>13619</v>
      </c>
      <c r="B4569" t="s">
        <v>13620</v>
      </c>
      <c r="C4569" t="s">
        <v>13621</v>
      </c>
    </row>
    <row r="4570" spans="1:3" x14ac:dyDescent="0.35">
      <c r="A4570" t="s">
        <v>13619</v>
      </c>
      <c r="B4570" t="s">
        <v>13622</v>
      </c>
      <c r="C4570" t="s">
        <v>13623</v>
      </c>
    </row>
    <row r="4571" spans="1:3" x14ac:dyDescent="0.35">
      <c r="A4571" t="s">
        <v>13624</v>
      </c>
      <c r="B4571" t="s">
        <v>13625</v>
      </c>
      <c r="C4571" t="s">
        <v>13626</v>
      </c>
    </row>
    <row r="4572" spans="1:3" x14ac:dyDescent="0.35">
      <c r="A4572" t="s">
        <v>13627</v>
      </c>
      <c r="B4572" t="s">
        <v>13628</v>
      </c>
      <c r="C4572" t="s">
        <v>13629</v>
      </c>
    </row>
    <row r="4573" spans="1:3" x14ac:dyDescent="0.35">
      <c r="A4573" t="s">
        <v>13630</v>
      </c>
      <c r="B4573" t="s">
        <v>13631</v>
      </c>
      <c r="C4573" t="s">
        <v>13632</v>
      </c>
    </row>
    <row r="4574" spans="1:3" x14ac:dyDescent="0.35">
      <c r="A4574" t="s">
        <v>13633</v>
      </c>
      <c r="B4574" t="s">
        <v>13634</v>
      </c>
      <c r="C4574" t="s">
        <v>13635</v>
      </c>
    </row>
    <row r="4575" spans="1:3" x14ac:dyDescent="0.35">
      <c r="A4575" t="s">
        <v>13636</v>
      </c>
      <c r="B4575" t="s">
        <v>13637</v>
      </c>
      <c r="C4575" t="s">
        <v>13638</v>
      </c>
    </row>
    <row r="4576" spans="1:3" x14ac:dyDescent="0.35">
      <c r="A4576" t="s">
        <v>13639</v>
      </c>
      <c r="B4576" t="s">
        <v>13640</v>
      </c>
      <c r="C4576" t="s">
        <v>13641</v>
      </c>
    </row>
    <row r="4577" spans="1:3" x14ac:dyDescent="0.35">
      <c r="A4577" t="s">
        <v>13642</v>
      </c>
      <c r="B4577" t="s">
        <v>13643</v>
      </c>
      <c r="C4577" t="s">
        <v>13644</v>
      </c>
    </row>
    <row r="4578" spans="1:3" x14ac:dyDescent="0.35">
      <c r="A4578" t="s">
        <v>13645</v>
      </c>
      <c r="B4578" t="s">
        <v>13646</v>
      </c>
      <c r="C4578" t="s">
        <v>13647</v>
      </c>
    </row>
    <row r="4579" spans="1:3" x14ac:dyDescent="0.35">
      <c r="A4579" t="s">
        <v>13648</v>
      </c>
      <c r="B4579" t="s">
        <v>13649</v>
      </c>
      <c r="C4579" t="s">
        <v>13650</v>
      </c>
    </row>
    <row r="4580" spans="1:3" x14ac:dyDescent="0.35">
      <c r="A4580" t="s">
        <v>13651</v>
      </c>
      <c r="B4580" t="s">
        <v>13652</v>
      </c>
      <c r="C4580" t="s">
        <v>13653</v>
      </c>
    </row>
    <row r="4581" spans="1:3" x14ac:dyDescent="0.35">
      <c r="A4581" t="s">
        <v>13654</v>
      </c>
      <c r="B4581" t="s">
        <v>13655</v>
      </c>
      <c r="C4581" t="s">
        <v>13656</v>
      </c>
    </row>
    <row r="4582" spans="1:3" x14ac:dyDescent="0.35">
      <c r="A4582" t="s">
        <v>13657</v>
      </c>
      <c r="B4582" t="s">
        <v>13658</v>
      </c>
      <c r="C4582" t="s">
        <v>13659</v>
      </c>
    </row>
    <row r="4583" spans="1:3" x14ac:dyDescent="0.35">
      <c r="A4583" t="s">
        <v>13660</v>
      </c>
      <c r="B4583" t="s">
        <v>13661</v>
      </c>
      <c r="C4583" t="s">
        <v>13662</v>
      </c>
    </row>
    <row r="4584" spans="1:3" x14ac:dyDescent="0.35">
      <c r="A4584" t="s">
        <v>13663</v>
      </c>
      <c r="B4584" t="s">
        <v>13664</v>
      </c>
      <c r="C4584" t="s">
        <v>13665</v>
      </c>
    </row>
    <row r="4585" spans="1:3" x14ac:dyDescent="0.35">
      <c r="A4585" t="s">
        <v>13666</v>
      </c>
      <c r="B4585" t="s">
        <v>13667</v>
      </c>
      <c r="C4585" t="s">
        <v>13668</v>
      </c>
    </row>
    <row r="4586" spans="1:3" x14ac:dyDescent="0.35">
      <c r="A4586" t="s">
        <v>13669</v>
      </c>
      <c r="B4586" t="s">
        <v>13670</v>
      </c>
      <c r="C4586" t="s">
        <v>13671</v>
      </c>
    </row>
    <row r="4587" spans="1:3" x14ac:dyDescent="0.35">
      <c r="A4587" t="s">
        <v>13672</v>
      </c>
      <c r="B4587" t="s">
        <v>13673</v>
      </c>
      <c r="C4587" t="s">
        <v>13674</v>
      </c>
    </row>
    <row r="4588" spans="1:3" x14ac:dyDescent="0.35">
      <c r="A4588" t="s">
        <v>13675</v>
      </c>
      <c r="B4588" t="s">
        <v>13676</v>
      </c>
      <c r="C4588" t="s">
        <v>13677</v>
      </c>
    </row>
    <row r="4589" spans="1:3" x14ac:dyDescent="0.35">
      <c r="A4589" t="s">
        <v>13678</v>
      </c>
      <c r="B4589" t="s">
        <v>13679</v>
      </c>
      <c r="C4589" t="s">
        <v>13680</v>
      </c>
    </row>
    <row r="4590" spans="1:3" x14ac:dyDescent="0.35">
      <c r="A4590" t="s">
        <v>13681</v>
      </c>
      <c r="B4590" t="s">
        <v>13682</v>
      </c>
      <c r="C4590" t="s">
        <v>13683</v>
      </c>
    </row>
    <row r="4591" spans="1:3" x14ac:dyDescent="0.35">
      <c r="A4591" t="s">
        <v>13684</v>
      </c>
      <c r="B4591" t="s">
        <v>13685</v>
      </c>
      <c r="C4591" t="s">
        <v>13686</v>
      </c>
    </row>
    <row r="4592" spans="1:3" x14ac:dyDescent="0.35">
      <c r="A4592" t="s">
        <v>13687</v>
      </c>
      <c r="B4592" t="s">
        <v>13688</v>
      </c>
      <c r="C4592" t="s">
        <v>13689</v>
      </c>
    </row>
    <row r="4593" spans="1:3" x14ac:dyDescent="0.35">
      <c r="A4593" t="s">
        <v>13690</v>
      </c>
      <c r="B4593" t="s">
        <v>13691</v>
      </c>
      <c r="C4593" t="s">
        <v>13692</v>
      </c>
    </row>
    <row r="4594" spans="1:3" x14ac:dyDescent="0.35">
      <c r="A4594" t="s">
        <v>13693</v>
      </c>
      <c r="B4594" t="s">
        <v>13694</v>
      </c>
      <c r="C4594" t="s">
        <v>13695</v>
      </c>
    </row>
    <row r="4595" spans="1:3" x14ac:dyDescent="0.35">
      <c r="A4595" t="s">
        <v>13696</v>
      </c>
      <c r="B4595" t="s">
        <v>13697</v>
      </c>
      <c r="C4595" t="s">
        <v>13698</v>
      </c>
    </row>
    <row r="4596" spans="1:3" x14ac:dyDescent="0.35">
      <c r="A4596" t="s">
        <v>13699</v>
      </c>
      <c r="B4596" t="s">
        <v>13700</v>
      </c>
      <c r="C4596" t="s">
        <v>13701</v>
      </c>
    </row>
    <row r="4597" spans="1:3" x14ac:dyDescent="0.35">
      <c r="A4597" t="s">
        <v>13702</v>
      </c>
      <c r="B4597" t="s">
        <v>13703</v>
      </c>
      <c r="C4597" t="s">
        <v>13704</v>
      </c>
    </row>
    <row r="4598" spans="1:3" x14ac:dyDescent="0.35">
      <c r="A4598" t="s">
        <v>13705</v>
      </c>
      <c r="B4598" t="s">
        <v>13706</v>
      </c>
      <c r="C4598" t="s">
        <v>13707</v>
      </c>
    </row>
    <row r="4599" spans="1:3" x14ac:dyDescent="0.35">
      <c r="A4599" t="s">
        <v>13708</v>
      </c>
      <c r="B4599" t="s">
        <v>13709</v>
      </c>
      <c r="C4599" t="s">
        <v>13710</v>
      </c>
    </row>
    <row r="4600" spans="1:3" x14ac:dyDescent="0.35">
      <c r="A4600" t="s">
        <v>13711</v>
      </c>
      <c r="B4600" t="s">
        <v>13712</v>
      </c>
      <c r="C4600" t="s">
        <v>13713</v>
      </c>
    </row>
    <row r="4601" spans="1:3" x14ac:dyDescent="0.35">
      <c r="A4601" t="s">
        <v>13714</v>
      </c>
      <c r="B4601" t="s">
        <v>13715</v>
      </c>
      <c r="C4601" t="s">
        <v>13716</v>
      </c>
    </row>
    <row r="4602" spans="1:3" x14ac:dyDescent="0.35">
      <c r="A4602" t="s">
        <v>13714</v>
      </c>
      <c r="B4602" t="s">
        <v>13717</v>
      </c>
      <c r="C4602" t="s">
        <v>13718</v>
      </c>
    </row>
    <row r="4603" spans="1:3" x14ac:dyDescent="0.35">
      <c r="A4603" t="s">
        <v>13719</v>
      </c>
      <c r="B4603" t="s">
        <v>13720</v>
      </c>
      <c r="C4603" t="s">
        <v>13721</v>
      </c>
    </row>
    <row r="4604" spans="1:3" x14ac:dyDescent="0.35">
      <c r="A4604" t="s">
        <v>13722</v>
      </c>
      <c r="B4604" t="s">
        <v>13723</v>
      </c>
      <c r="C4604" t="s">
        <v>13724</v>
      </c>
    </row>
    <row r="4605" spans="1:3" x14ac:dyDescent="0.35">
      <c r="A4605" t="s">
        <v>13725</v>
      </c>
      <c r="B4605" t="s">
        <v>13726</v>
      </c>
      <c r="C4605" t="s">
        <v>13727</v>
      </c>
    </row>
    <row r="4606" spans="1:3" x14ac:dyDescent="0.35">
      <c r="A4606" t="s">
        <v>13728</v>
      </c>
      <c r="B4606" t="s">
        <v>13729</v>
      </c>
      <c r="C4606" t="s">
        <v>13730</v>
      </c>
    </row>
    <row r="4607" spans="1:3" x14ac:dyDescent="0.35">
      <c r="A4607" t="s">
        <v>13731</v>
      </c>
      <c r="B4607" t="s">
        <v>13732</v>
      </c>
      <c r="C4607" t="s">
        <v>13733</v>
      </c>
    </row>
    <row r="4608" spans="1:3" x14ac:dyDescent="0.35">
      <c r="A4608" t="s">
        <v>13731</v>
      </c>
      <c r="B4608" t="s">
        <v>13734</v>
      </c>
      <c r="C4608" t="s">
        <v>13735</v>
      </c>
    </row>
    <row r="4609" spans="1:3" x14ac:dyDescent="0.35">
      <c r="A4609" t="s">
        <v>13736</v>
      </c>
      <c r="B4609" t="s">
        <v>13737</v>
      </c>
      <c r="C4609" t="s">
        <v>13738</v>
      </c>
    </row>
    <row r="4610" spans="1:3" x14ac:dyDescent="0.35">
      <c r="A4610" t="s">
        <v>13739</v>
      </c>
      <c r="B4610" t="s">
        <v>13740</v>
      </c>
      <c r="C4610" t="s">
        <v>13741</v>
      </c>
    </row>
    <row r="4611" spans="1:3" x14ac:dyDescent="0.35">
      <c r="A4611" t="s">
        <v>13742</v>
      </c>
      <c r="B4611" t="s">
        <v>13743</v>
      </c>
      <c r="C4611" t="s">
        <v>13744</v>
      </c>
    </row>
    <row r="4612" spans="1:3" x14ac:dyDescent="0.35">
      <c r="A4612" t="s">
        <v>13745</v>
      </c>
      <c r="B4612" t="s">
        <v>13746</v>
      </c>
      <c r="C4612" t="s">
        <v>13747</v>
      </c>
    </row>
    <row r="4613" spans="1:3" x14ac:dyDescent="0.35">
      <c r="A4613" t="s">
        <v>13748</v>
      </c>
      <c r="B4613" t="s">
        <v>13749</v>
      </c>
      <c r="C4613" t="s">
        <v>13750</v>
      </c>
    </row>
    <row r="4614" spans="1:3" x14ac:dyDescent="0.35">
      <c r="A4614" t="s">
        <v>13751</v>
      </c>
      <c r="B4614" t="s">
        <v>13752</v>
      </c>
      <c r="C4614" t="s">
        <v>13753</v>
      </c>
    </row>
    <row r="4615" spans="1:3" x14ac:dyDescent="0.35">
      <c r="A4615" t="s">
        <v>13751</v>
      </c>
      <c r="B4615" t="s">
        <v>13754</v>
      </c>
      <c r="C4615" t="s">
        <v>13755</v>
      </c>
    </row>
    <row r="4616" spans="1:3" x14ac:dyDescent="0.35">
      <c r="A4616" t="s">
        <v>13756</v>
      </c>
      <c r="B4616" t="s">
        <v>13757</v>
      </c>
      <c r="C4616" t="s">
        <v>13758</v>
      </c>
    </row>
    <row r="4617" spans="1:3" x14ac:dyDescent="0.35">
      <c r="A4617" t="s">
        <v>13759</v>
      </c>
      <c r="B4617" t="s">
        <v>13760</v>
      </c>
      <c r="C4617" t="s">
        <v>13761</v>
      </c>
    </row>
    <row r="4618" spans="1:3" x14ac:dyDescent="0.35">
      <c r="A4618" t="s">
        <v>13762</v>
      </c>
      <c r="B4618" t="s">
        <v>13763</v>
      </c>
      <c r="C4618" t="s">
        <v>13764</v>
      </c>
    </row>
    <row r="4619" spans="1:3" x14ac:dyDescent="0.35">
      <c r="A4619" t="s">
        <v>13765</v>
      </c>
      <c r="B4619" t="s">
        <v>13766</v>
      </c>
      <c r="C4619" t="s">
        <v>13767</v>
      </c>
    </row>
    <row r="4620" spans="1:3" x14ac:dyDescent="0.35">
      <c r="A4620" t="s">
        <v>13768</v>
      </c>
      <c r="B4620" t="s">
        <v>13769</v>
      </c>
      <c r="C4620" t="s">
        <v>13770</v>
      </c>
    </row>
    <row r="4621" spans="1:3" x14ac:dyDescent="0.35">
      <c r="A4621" t="s">
        <v>13771</v>
      </c>
      <c r="B4621" t="s">
        <v>13772</v>
      </c>
      <c r="C4621" t="s">
        <v>13773</v>
      </c>
    </row>
    <row r="4622" spans="1:3" x14ac:dyDescent="0.35">
      <c r="A4622" t="s">
        <v>13774</v>
      </c>
      <c r="B4622" t="s">
        <v>13775</v>
      </c>
      <c r="C4622" t="s">
        <v>13776</v>
      </c>
    </row>
    <row r="4623" spans="1:3" x14ac:dyDescent="0.35">
      <c r="A4623" t="s">
        <v>13777</v>
      </c>
      <c r="B4623" t="s">
        <v>13778</v>
      </c>
      <c r="C4623" t="s">
        <v>13779</v>
      </c>
    </row>
    <row r="4624" spans="1:3" x14ac:dyDescent="0.35">
      <c r="A4624" t="s">
        <v>13780</v>
      </c>
      <c r="B4624" t="s">
        <v>13781</v>
      </c>
      <c r="C4624" t="s">
        <v>13782</v>
      </c>
    </row>
    <row r="4625" spans="1:3" x14ac:dyDescent="0.35">
      <c r="A4625" t="s">
        <v>13783</v>
      </c>
      <c r="B4625" t="s">
        <v>13784</v>
      </c>
      <c r="C4625" t="s">
        <v>13785</v>
      </c>
    </row>
    <row r="4626" spans="1:3" x14ac:dyDescent="0.35">
      <c r="A4626" t="s">
        <v>13786</v>
      </c>
      <c r="B4626" t="s">
        <v>13787</v>
      </c>
      <c r="C4626" t="s">
        <v>13788</v>
      </c>
    </row>
    <row r="4627" spans="1:3" x14ac:dyDescent="0.35">
      <c r="A4627" t="s">
        <v>13789</v>
      </c>
      <c r="B4627" t="s">
        <v>13790</v>
      </c>
      <c r="C4627" t="s">
        <v>13791</v>
      </c>
    </row>
    <row r="4628" spans="1:3" x14ac:dyDescent="0.35">
      <c r="A4628" t="s">
        <v>13792</v>
      </c>
      <c r="B4628" t="s">
        <v>13793</v>
      </c>
      <c r="C4628" t="s">
        <v>13794</v>
      </c>
    </row>
    <row r="4629" spans="1:3" x14ac:dyDescent="0.35">
      <c r="A4629" t="s">
        <v>13795</v>
      </c>
      <c r="B4629" t="s">
        <v>13796</v>
      </c>
      <c r="C4629" t="s">
        <v>13797</v>
      </c>
    </row>
    <row r="4630" spans="1:3" x14ac:dyDescent="0.35">
      <c r="A4630" t="s">
        <v>13798</v>
      </c>
      <c r="B4630" t="s">
        <v>13799</v>
      </c>
      <c r="C4630" t="s">
        <v>13800</v>
      </c>
    </row>
    <row r="4631" spans="1:3" x14ac:dyDescent="0.35">
      <c r="A4631" t="s">
        <v>13801</v>
      </c>
      <c r="B4631" t="s">
        <v>13802</v>
      </c>
      <c r="C4631" t="s">
        <v>13803</v>
      </c>
    </row>
    <row r="4632" spans="1:3" x14ac:dyDescent="0.35">
      <c r="A4632" t="s">
        <v>13804</v>
      </c>
      <c r="B4632" t="s">
        <v>13805</v>
      </c>
      <c r="C4632" t="s">
        <v>13806</v>
      </c>
    </row>
    <row r="4633" spans="1:3" x14ac:dyDescent="0.35">
      <c r="A4633" t="s">
        <v>13807</v>
      </c>
      <c r="B4633" t="s">
        <v>13808</v>
      </c>
      <c r="C4633" t="s">
        <v>13809</v>
      </c>
    </row>
    <row r="4634" spans="1:3" x14ac:dyDescent="0.35">
      <c r="A4634" t="s">
        <v>13810</v>
      </c>
      <c r="B4634" t="s">
        <v>13811</v>
      </c>
      <c r="C4634" t="s">
        <v>13812</v>
      </c>
    </row>
    <row r="4635" spans="1:3" x14ac:dyDescent="0.35">
      <c r="A4635" t="s">
        <v>13813</v>
      </c>
      <c r="B4635" t="s">
        <v>13814</v>
      </c>
      <c r="C4635" t="s">
        <v>13815</v>
      </c>
    </row>
    <row r="4636" spans="1:3" x14ac:dyDescent="0.35">
      <c r="A4636" t="s">
        <v>13816</v>
      </c>
      <c r="B4636" t="s">
        <v>13817</v>
      </c>
      <c r="C4636" t="s">
        <v>13818</v>
      </c>
    </row>
    <row r="4637" spans="1:3" x14ac:dyDescent="0.35">
      <c r="A4637" t="s">
        <v>13819</v>
      </c>
      <c r="B4637" t="s">
        <v>13820</v>
      </c>
      <c r="C4637" t="s">
        <v>13821</v>
      </c>
    </row>
    <row r="4638" spans="1:3" x14ac:dyDescent="0.35">
      <c r="A4638" t="s">
        <v>13822</v>
      </c>
      <c r="B4638" t="s">
        <v>13823</v>
      </c>
      <c r="C4638" t="s">
        <v>13824</v>
      </c>
    </row>
    <row r="4639" spans="1:3" x14ac:dyDescent="0.35">
      <c r="A4639" t="s">
        <v>13825</v>
      </c>
      <c r="B4639" t="s">
        <v>13826</v>
      </c>
      <c r="C4639" t="s">
        <v>13827</v>
      </c>
    </row>
    <row r="4640" spans="1:3" x14ac:dyDescent="0.35">
      <c r="A4640" t="s">
        <v>13828</v>
      </c>
      <c r="B4640" t="s">
        <v>13829</v>
      </c>
      <c r="C4640" t="s">
        <v>13830</v>
      </c>
    </row>
    <row r="4641" spans="1:3" x14ac:dyDescent="0.35">
      <c r="A4641" t="s">
        <v>13831</v>
      </c>
      <c r="B4641" t="s">
        <v>13832</v>
      </c>
      <c r="C4641" t="s">
        <v>13833</v>
      </c>
    </row>
    <row r="4642" spans="1:3" x14ac:dyDescent="0.35">
      <c r="A4642" t="s">
        <v>13834</v>
      </c>
      <c r="B4642" t="s">
        <v>13835</v>
      </c>
      <c r="C4642" t="s">
        <v>13836</v>
      </c>
    </row>
    <row r="4643" spans="1:3" x14ac:dyDescent="0.35">
      <c r="A4643" t="s">
        <v>13837</v>
      </c>
      <c r="B4643" t="s">
        <v>13838</v>
      </c>
      <c r="C4643" t="s">
        <v>13839</v>
      </c>
    </row>
    <row r="4644" spans="1:3" x14ac:dyDescent="0.35">
      <c r="A4644" t="s">
        <v>13840</v>
      </c>
      <c r="B4644" t="s">
        <v>13841</v>
      </c>
      <c r="C4644" t="s">
        <v>13842</v>
      </c>
    </row>
    <row r="4645" spans="1:3" x14ac:dyDescent="0.35">
      <c r="A4645" t="s">
        <v>13843</v>
      </c>
      <c r="B4645" t="s">
        <v>13844</v>
      </c>
      <c r="C4645" t="s">
        <v>13845</v>
      </c>
    </row>
    <row r="4646" spans="1:3" x14ac:dyDescent="0.35">
      <c r="A4646" t="s">
        <v>13843</v>
      </c>
      <c r="B4646" t="s">
        <v>13846</v>
      </c>
      <c r="C4646" t="s">
        <v>13845</v>
      </c>
    </row>
    <row r="4647" spans="1:3" x14ac:dyDescent="0.35">
      <c r="A4647" t="s">
        <v>13847</v>
      </c>
      <c r="B4647" t="s">
        <v>13848</v>
      </c>
      <c r="C4647" t="s">
        <v>13849</v>
      </c>
    </row>
    <row r="4648" spans="1:3" x14ac:dyDescent="0.35">
      <c r="A4648" t="s">
        <v>13850</v>
      </c>
      <c r="B4648" t="s">
        <v>13851</v>
      </c>
      <c r="C4648" t="s">
        <v>13852</v>
      </c>
    </row>
    <row r="4649" spans="1:3" x14ac:dyDescent="0.35">
      <c r="A4649" t="s">
        <v>13853</v>
      </c>
      <c r="B4649" t="s">
        <v>13854</v>
      </c>
      <c r="C4649" t="s">
        <v>13855</v>
      </c>
    </row>
    <row r="4650" spans="1:3" x14ac:dyDescent="0.35">
      <c r="A4650" t="s">
        <v>13856</v>
      </c>
      <c r="B4650" t="s">
        <v>13857</v>
      </c>
      <c r="C4650" t="s">
        <v>13858</v>
      </c>
    </row>
    <row r="4651" spans="1:3" x14ac:dyDescent="0.35">
      <c r="A4651" t="s">
        <v>13859</v>
      </c>
      <c r="B4651" t="s">
        <v>13860</v>
      </c>
      <c r="C4651" t="s">
        <v>13861</v>
      </c>
    </row>
    <row r="4652" spans="1:3" x14ac:dyDescent="0.35">
      <c r="A4652" t="s">
        <v>13862</v>
      </c>
      <c r="B4652" t="s">
        <v>13863</v>
      </c>
      <c r="C4652" t="s">
        <v>13864</v>
      </c>
    </row>
    <row r="4653" spans="1:3" x14ac:dyDescent="0.35">
      <c r="A4653" t="s">
        <v>13865</v>
      </c>
      <c r="B4653" t="s">
        <v>13866</v>
      </c>
      <c r="C4653" t="s">
        <v>13867</v>
      </c>
    </row>
    <row r="4654" spans="1:3" x14ac:dyDescent="0.35">
      <c r="A4654" t="s">
        <v>13868</v>
      </c>
      <c r="B4654" t="s">
        <v>13869</v>
      </c>
      <c r="C4654" t="s">
        <v>13870</v>
      </c>
    </row>
    <row r="4655" spans="1:3" x14ac:dyDescent="0.35">
      <c r="A4655" t="s">
        <v>13871</v>
      </c>
      <c r="B4655" t="s">
        <v>13872</v>
      </c>
      <c r="C4655" t="s">
        <v>13873</v>
      </c>
    </row>
    <row r="4656" spans="1:3" x14ac:dyDescent="0.35">
      <c r="A4656" t="s">
        <v>13874</v>
      </c>
      <c r="B4656" t="s">
        <v>13875</v>
      </c>
      <c r="C4656" t="s">
        <v>13876</v>
      </c>
    </row>
    <row r="4657" spans="1:3" x14ac:dyDescent="0.35">
      <c r="A4657" t="s">
        <v>13877</v>
      </c>
      <c r="B4657" t="s">
        <v>13878</v>
      </c>
      <c r="C4657" t="s">
        <v>13879</v>
      </c>
    </row>
    <row r="4658" spans="1:3" x14ac:dyDescent="0.35">
      <c r="A4658" t="s">
        <v>13880</v>
      </c>
      <c r="B4658" t="s">
        <v>13881</v>
      </c>
      <c r="C4658" t="s">
        <v>13882</v>
      </c>
    </row>
    <row r="4659" spans="1:3" x14ac:dyDescent="0.35">
      <c r="A4659" t="s">
        <v>13883</v>
      </c>
      <c r="B4659" t="s">
        <v>13884</v>
      </c>
      <c r="C4659" t="s">
        <v>13885</v>
      </c>
    </row>
    <row r="4660" spans="1:3" x14ac:dyDescent="0.35">
      <c r="A4660" t="s">
        <v>13886</v>
      </c>
      <c r="B4660" t="s">
        <v>13887</v>
      </c>
      <c r="C4660" t="s">
        <v>13888</v>
      </c>
    </row>
    <row r="4661" spans="1:3" x14ac:dyDescent="0.35">
      <c r="A4661" t="s">
        <v>13889</v>
      </c>
      <c r="B4661" t="s">
        <v>13890</v>
      </c>
      <c r="C4661" t="s">
        <v>13891</v>
      </c>
    </row>
    <row r="4662" spans="1:3" x14ac:dyDescent="0.35">
      <c r="A4662" t="s">
        <v>13892</v>
      </c>
      <c r="B4662" t="s">
        <v>13893</v>
      </c>
      <c r="C4662" t="s">
        <v>13894</v>
      </c>
    </row>
    <row r="4663" spans="1:3" x14ac:dyDescent="0.35">
      <c r="A4663" t="s">
        <v>13895</v>
      </c>
      <c r="B4663" t="s">
        <v>13896</v>
      </c>
      <c r="C4663" t="s">
        <v>13897</v>
      </c>
    </row>
    <row r="4664" spans="1:3" x14ac:dyDescent="0.35">
      <c r="A4664" t="s">
        <v>13898</v>
      </c>
      <c r="B4664" t="s">
        <v>13899</v>
      </c>
      <c r="C4664" t="s">
        <v>13900</v>
      </c>
    </row>
    <row r="4665" spans="1:3" x14ac:dyDescent="0.35">
      <c r="A4665" t="s">
        <v>13901</v>
      </c>
      <c r="B4665" t="s">
        <v>13902</v>
      </c>
      <c r="C4665" t="s">
        <v>13903</v>
      </c>
    </row>
    <row r="4666" spans="1:3" x14ac:dyDescent="0.35">
      <c r="A4666" t="s">
        <v>13904</v>
      </c>
      <c r="B4666" t="s">
        <v>13905</v>
      </c>
      <c r="C4666" t="s">
        <v>13906</v>
      </c>
    </row>
    <row r="4667" spans="1:3" x14ac:dyDescent="0.35">
      <c r="A4667" t="s">
        <v>13907</v>
      </c>
      <c r="B4667" t="s">
        <v>13908</v>
      </c>
      <c r="C4667" t="s">
        <v>13909</v>
      </c>
    </row>
    <row r="4668" spans="1:3" x14ac:dyDescent="0.35">
      <c r="A4668" t="s">
        <v>13910</v>
      </c>
      <c r="B4668" t="s">
        <v>13911</v>
      </c>
      <c r="C4668" t="s">
        <v>13912</v>
      </c>
    </row>
    <row r="4669" spans="1:3" x14ac:dyDescent="0.35">
      <c r="A4669" t="s">
        <v>13913</v>
      </c>
      <c r="B4669" t="s">
        <v>13914</v>
      </c>
      <c r="C4669" t="s">
        <v>13915</v>
      </c>
    </row>
    <row r="4670" spans="1:3" x14ac:dyDescent="0.35">
      <c r="A4670" t="s">
        <v>13916</v>
      </c>
      <c r="B4670" t="s">
        <v>2410</v>
      </c>
      <c r="C4670" t="s">
        <v>2411</v>
      </c>
    </row>
    <row r="4671" spans="1:3" x14ac:dyDescent="0.35">
      <c r="A4671" t="s">
        <v>13917</v>
      </c>
      <c r="B4671" t="s">
        <v>13918</v>
      </c>
      <c r="C4671" t="s">
        <v>13919</v>
      </c>
    </row>
    <row r="4672" spans="1:3" x14ac:dyDescent="0.35">
      <c r="A4672" t="s">
        <v>13920</v>
      </c>
      <c r="B4672" t="s">
        <v>13921</v>
      </c>
      <c r="C4672" t="s">
        <v>13922</v>
      </c>
    </row>
    <row r="4673" spans="1:3" x14ac:dyDescent="0.35">
      <c r="A4673" t="s">
        <v>13923</v>
      </c>
      <c r="B4673" t="s">
        <v>13924</v>
      </c>
      <c r="C4673" t="s">
        <v>13925</v>
      </c>
    </row>
    <row r="4674" spans="1:3" x14ac:dyDescent="0.35">
      <c r="A4674" t="s">
        <v>13926</v>
      </c>
      <c r="B4674" t="s">
        <v>13927</v>
      </c>
      <c r="C4674" t="s">
        <v>13928</v>
      </c>
    </row>
    <row r="4675" spans="1:3" x14ac:dyDescent="0.35">
      <c r="A4675" t="s">
        <v>13929</v>
      </c>
      <c r="B4675" t="s">
        <v>13930</v>
      </c>
      <c r="C4675" t="s">
        <v>13931</v>
      </c>
    </row>
    <row r="4676" spans="1:3" x14ac:dyDescent="0.35">
      <c r="A4676" t="s">
        <v>13932</v>
      </c>
      <c r="B4676" t="s">
        <v>13933</v>
      </c>
      <c r="C4676" t="s">
        <v>13934</v>
      </c>
    </row>
    <row r="4677" spans="1:3" x14ac:dyDescent="0.35">
      <c r="A4677" t="s">
        <v>13935</v>
      </c>
      <c r="B4677" t="s">
        <v>13936</v>
      </c>
      <c r="C4677" t="s">
        <v>13937</v>
      </c>
    </row>
    <row r="4678" spans="1:3" x14ac:dyDescent="0.35">
      <c r="A4678" t="s">
        <v>13938</v>
      </c>
      <c r="B4678" t="s">
        <v>13939</v>
      </c>
      <c r="C4678" t="s">
        <v>13940</v>
      </c>
    </row>
    <row r="4679" spans="1:3" x14ac:dyDescent="0.35">
      <c r="A4679" t="s">
        <v>13941</v>
      </c>
      <c r="B4679" t="s">
        <v>13942</v>
      </c>
      <c r="C4679" t="s">
        <v>13943</v>
      </c>
    </row>
    <row r="4680" spans="1:3" x14ac:dyDescent="0.35">
      <c r="A4680" t="s">
        <v>13944</v>
      </c>
      <c r="B4680" t="s">
        <v>13945</v>
      </c>
      <c r="C4680" t="s">
        <v>13946</v>
      </c>
    </row>
    <row r="4681" spans="1:3" x14ac:dyDescent="0.35">
      <c r="A4681" t="s">
        <v>13947</v>
      </c>
      <c r="B4681" t="s">
        <v>13948</v>
      </c>
      <c r="C4681" t="s">
        <v>13949</v>
      </c>
    </row>
    <row r="4682" spans="1:3" x14ac:dyDescent="0.35">
      <c r="A4682" t="s">
        <v>13950</v>
      </c>
      <c r="B4682" t="s">
        <v>13951</v>
      </c>
      <c r="C4682" t="s">
        <v>13952</v>
      </c>
    </row>
    <row r="4683" spans="1:3" x14ac:dyDescent="0.35">
      <c r="A4683" t="s">
        <v>13953</v>
      </c>
      <c r="B4683" t="s">
        <v>13954</v>
      </c>
      <c r="C4683" t="s">
        <v>13955</v>
      </c>
    </row>
    <row r="4684" spans="1:3" x14ac:dyDescent="0.35">
      <c r="A4684" t="s">
        <v>13956</v>
      </c>
      <c r="B4684" t="s">
        <v>13957</v>
      </c>
      <c r="C4684" t="s">
        <v>13958</v>
      </c>
    </row>
    <row r="4685" spans="1:3" x14ac:dyDescent="0.35">
      <c r="A4685" t="s">
        <v>13959</v>
      </c>
      <c r="B4685" t="s">
        <v>13960</v>
      </c>
      <c r="C4685" t="s">
        <v>13961</v>
      </c>
    </row>
    <row r="4686" spans="1:3" x14ac:dyDescent="0.35">
      <c r="A4686" t="s">
        <v>13962</v>
      </c>
      <c r="B4686" t="s">
        <v>13963</v>
      </c>
      <c r="C4686" t="s">
        <v>13964</v>
      </c>
    </row>
    <row r="4687" spans="1:3" x14ac:dyDescent="0.35">
      <c r="A4687" t="s">
        <v>13965</v>
      </c>
      <c r="B4687" t="s">
        <v>13966</v>
      </c>
      <c r="C4687" t="s">
        <v>13967</v>
      </c>
    </row>
    <row r="4688" spans="1:3" x14ac:dyDescent="0.35">
      <c r="A4688" t="s">
        <v>13968</v>
      </c>
      <c r="B4688" t="s">
        <v>13969</v>
      </c>
      <c r="C4688" t="s">
        <v>13970</v>
      </c>
    </row>
    <row r="4689" spans="1:3" x14ac:dyDescent="0.35">
      <c r="A4689" t="s">
        <v>13971</v>
      </c>
      <c r="B4689" t="s">
        <v>13972</v>
      </c>
      <c r="C4689" t="s">
        <v>13973</v>
      </c>
    </row>
    <row r="4690" spans="1:3" x14ac:dyDescent="0.35">
      <c r="A4690" t="s">
        <v>13974</v>
      </c>
      <c r="B4690" t="s">
        <v>13975</v>
      </c>
      <c r="C4690" t="s">
        <v>13976</v>
      </c>
    </row>
    <row r="4691" spans="1:3" x14ac:dyDescent="0.35">
      <c r="A4691" t="s">
        <v>13977</v>
      </c>
      <c r="B4691" t="s">
        <v>13978</v>
      </c>
      <c r="C4691" t="s">
        <v>13979</v>
      </c>
    </row>
    <row r="4692" spans="1:3" x14ac:dyDescent="0.35">
      <c r="A4692" t="s">
        <v>13977</v>
      </c>
      <c r="B4692" t="s">
        <v>13980</v>
      </c>
      <c r="C4692" t="s">
        <v>13981</v>
      </c>
    </row>
    <row r="4693" spans="1:3" x14ac:dyDescent="0.35">
      <c r="A4693" t="s">
        <v>13982</v>
      </c>
      <c r="B4693" t="s">
        <v>13983</v>
      </c>
      <c r="C4693" t="s">
        <v>13984</v>
      </c>
    </row>
    <row r="4694" spans="1:3" x14ac:dyDescent="0.35">
      <c r="A4694" t="s">
        <v>13985</v>
      </c>
      <c r="B4694" t="s">
        <v>13986</v>
      </c>
      <c r="C4694" t="s">
        <v>13987</v>
      </c>
    </row>
    <row r="4695" spans="1:3" x14ac:dyDescent="0.35">
      <c r="A4695" t="s">
        <v>13988</v>
      </c>
      <c r="B4695" t="s">
        <v>13989</v>
      </c>
      <c r="C4695" t="s">
        <v>13990</v>
      </c>
    </row>
    <row r="4696" spans="1:3" x14ac:dyDescent="0.35">
      <c r="A4696" t="s">
        <v>13991</v>
      </c>
      <c r="B4696" t="s">
        <v>13992</v>
      </c>
      <c r="C4696" t="s">
        <v>13993</v>
      </c>
    </row>
    <row r="4697" spans="1:3" x14ac:dyDescent="0.35">
      <c r="A4697" t="s">
        <v>13994</v>
      </c>
      <c r="B4697" t="s">
        <v>13995</v>
      </c>
      <c r="C4697" t="s">
        <v>13996</v>
      </c>
    </row>
    <row r="4698" spans="1:3" x14ac:dyDescent="0.35">
      <c r="A4698" t="s">
        <v>13997</v>
      </c>
      <c r="B4698" t="s">
        <v>13998</v>
      </c>
      <c r="C4698" t="s">
        <v>13999</v>
      </c>
    </row>
    <row r="4699" spans="1:3" x14ac:dyDescent="0.35">
      <c r="A4699" t="s">
        <v>14000</v>
      </c>
      <c r="B4699" t="s">
        <v>14001</v>
      </c>
      <c r="C4699" t="s">
        <v>14002</v>
      </c>
    </row>
    <row r="4700" spans="1:3" x14ac:dyDescent="0.35">
      <c r="A4700" t="s">
        <v>14003</v>
      </c>
      <c r="B4700" t="s">
        <v>14004</v>
      </c>
      <c r="C4700" t="s">
        <v>14005</v>
      </c>
    </row>
    <row r="4701" spans="1:3" x14ac:dyDescent="0.35">
      <c r="A4701" t="s">
        <v>14006</v>
      </c>
      <c r="B4701" t="s">
        <v>14007</v>
      </c>
      <c r="C4701" t="s">
        <v>14008</v>
      </c>
    </row>
    <row r="4702" spans="1:3" x14ac:dyDescent="0.35">
      <c r="A4702" t="s">
        <v>14009</v>
      </c>
      <c r="B4702" t="s">
        <v>14010</v>
      </c>
      <c r="C4702" t="s">
        <v>14011</v>
      </c>
    </row>
    <row r="4703" spans="1:3" x14ac:dyDescent="0.35">
      <c r="A4703" t="s">
        <v>14012</v>
      </c>
      <c r="B4703" t="s">
        <v>14013</v>
      </c>
      <c r="C4703" t="s">
        <v>14014</v>
      </c>
    </row>
    <row r="4704" spans="1:3" x14ac:dyDescent="0.35">
      <c r="A4704" t="s">
        <v>14015</v>
      </c>
      <c r="B4704" t="s">
        <v>14016</v>
      </c>
      <c r="C4704" t="s">
        <v>14017</v>
      </c>
    </row>
    <row r="4705" spans="1:3" x14ac:dyDescent="0.35">
      <c r="A4705" t="s">
        <v>14018</v>
      </c>
      <c r="B4705" t="s">
        <v>14019</v>
      </c>
      <c r="C4705" t="s">
        <v>14020</v>
      </c>
    </row>
    <row r="4706" spans="1:3" x14ac:dyDescent="0.35">
      <c r="A4706" t="s">
        <v>14021</v>
      </c>
      <c r="B4706" t="s">
        <v>14022</v>
      </c>
      <c r="C4706" t="s">
        <v>14023</v>
      </c>
    </row>
    <row r="4707" spans="1:3" x14ac:dyDescent="0.35">
      <c r="A4707" t="s">
        <v>14024</v>
      </c>
      <c r="B4707" t="s">
        <v>13969</v>
      </c>
      <c r="C4707" t="s">
        <v>13970</v>
      </c>
    </row>
    <row r="4708" spans="1:3" x14ac:dyDescent="0.35">
      <c r="A4708" t="s">
        <v>14025</v>
      </c>
      <c r="B4708" t="s">
        <v>14026</v>
      </c>
      <c r="C4708" t="s">
        <v>14027</v>
      </c>
    </row>
    <row r="4709" spans="1:3" x14ac:dyDescent="0.35">
      <c r="A4709" t="s">
        <v>14028</v>
      </c>
      <c r="B4709" t="s">
        <v>14029</v>
      </c>
      <c r="C4709" t="s">
        <v>14030</v>
      </c>
    </row>
    <row r="4710" spans="1:3" x14ac:dyDescent="0.35">
      <c r="A4710" t="s">
        <v>14031</v>
      </c>
      <c r="B4710" t="s">
        <v>14032</v>
      </c>
      <c r="C4710" t="s">
        <v>14033</v>
      </c>
    </row>
    <row r="4711" spans="1:3" x14ac:dyDescent="0.35">
      <c r="A4711" t="s">
        <v>14034</v>
      </c>
      <c r="B4711" t="s">
        <v>14035</v>
      </c>
      <c r="C4711" t="s">
        <v>14036</v>
      </c>
    </row>
    <row r="4712" spans="1:3" x14ac:dyDescent="0.35">
      <c r="A4712" t="s">
        <v>14037</v>
      </c>
      <c r="B4712" t="s">
        <v>14038</v>
      </c>
      <c r="C4712" t="s">
        <v>14039</v>
      </c>
    </row>
    <row r="4713" spans="1:3" x14ac:dyDescent="0.35">
      <c r="A4713" t="s">
        <v>14040</v>
      </c>
      <c r="B4713" t="s">
        <v>14041</v>
      </c>
      <c r="C4713" t="s">
        <v>14042</v>
      </c>
    </row>
    <row r="4714" spans="1:3" x14ac:dyDescent="0.35">
      <c r="A4714" t="s">
        <v>14040</v>
      </c>
      <c r="B4714" t="s">
        <v>14043</v>
      </c>
      <c r="C4714" t="s">
        <v>14044</v>
      </c>
    </row>
    <row r="4715" spans="1:3" x14ac:dyDescent="0.35">
      <c r="A4715" t="s">
        <v>14045</v>
      </c>
      <c r="B4715" t="s">
        <v>14046</v>
      </c>
      <c r="C4715" t="s">
        <v>14047</v>
      </c>
    </row>
    <row r="4716" spans="1:3" x14ac:dyDescent="0.35">
      <c r="A4716" t="s">
        <v>14048</v>
      </c>
      <c r="B4716" t="s">
        <v>14049</v>
      </c>
      <c r="C4716" t="s">
        <v>14050</v>
      </c>
    </row>
    <row r="4717" spans="1:3" x14ac:dyDescent="0.35">
      <c r="A4717" t="s">
        <v>14048</v>
      </c>
      <c r="B4717" t="s">
        <v>14051</v>
      </c>
      <c r="C4717" t="s">
        <v>14052</v>
      </c>
    </row>
    <row r="4718" spans="1:3" x14ac:dyDescent="0.35">
      <c r="A4718" t="s">
        <v>14053</v>
      </c>
      <c r="B4718" t="s">
        <v>14054</v>
      </c>
      <c r="C4718" t="s">
        <v>14055</v>
      </c>
    </row>
    <row r="4719" spans="1:3" x14ac:dyDescent="0.35">
      <c r="A4719" t="s">
        <v>14056</v>
      </c>
      <c r="B4719" t="s">
        <v>14057</v>
      </c>
      <c r="C4719" t="s">
        <v>14058</v>
      </c>
    </row>
    <row r="4720" spans="1:3" x14ac:dyDescent="0.35">
      <c r="A4720" t="s">
        <v>14059</v>
      </c>
      <c r="B4720" t="s">
        <v>14060</v>
      </c>
      <c r="C4720" t="s">
        <v>14061</v>
      </c>
    </row>
    <row r="4721" spans="1:3" x14ac:dyDescent="0.35">
      <c r="A4721" t="s">
        <v>14062</v>
      </c>
      <c r="B4721" t="s">
        <v>14063</v>
      </c>
      <c r="C4721" t="s">
        <v>14064</v>
      </c>
    </row>
    <row r="4722" spans="1:3" x14ac:dyDescent="0.35">
      <c r="A4722" t="s">
        <v>14065</v>
      </c>
      <c r="B4722" t="s">
        <v>14066</v>
      </c>
      <c r="C4722" t="s">
        <v>14067</v>
      </c>
    </row>
    <row r="4723" spans="1:3" x14ac:dyDescent="0.35">
      <c r="A4723" t="s">
        <v>14068</v>
      </c>
      <c r="B4723" t="s">
        <v>14069</v>
      </c>
      <c r="C4723" t="s">
        <v>14070</v>
      </c>
    </row>
    <row r="4724" spans="1:3" x14ac:dyDescent="0.35">
      <c r="A4724" t="s">
        <v>14071</v>
      </c>
      <c r="B4724" t="s">
        <v>14072</v>
      </c>
      <c r="C4724" t="s">
        <v>14073</v>
      </c>
    </row>
    <row r="4725" spans="1:3" x14ac:dyDescent="0.35">
      <c r="A4725" t="s">
        <v>14074</v>
      </c>
      <c r="B4725" t="s">
        <v>14075</v>
      </c>
      <c r="C4725" t="s">
        <v>14076</v>
      </c>
    </row>
    <row r="4726" spans="1:3" x14ac:dyDescent="0.35">
      <c r="A4726" t="s">
        <v>14074</v>
      </c>
      <c r="B4726" t="s">
        <v>14077</v>
      </c>
      <c r="C4726" t="s">
        <v>14078</v>
      </c>
    </row>
    <row r="4727" spans="1:3" x14ac:dyDescent="0.35">
      <c r="A4727" t="s">
        <v>14079</v>
      </c>
      <c r="B4727" t="s">
        <v>14080</v>
      </c>
      <c r="C4727" t="s">
        <v>14081</v>
      </c>
    </row>
    <row r="4728" spans="1:3" x14ac:dyDescent="0.35">
      <c r="A4728" t="s">
        <v>14082</v>
      </c>
      <c r="B4728" t="s">
        <v>14083</v>
      </c>
      <c r="C4728" t="s">
        <v>14084</v>
      </c>
    </row>
    <row r="4729" spans="1:3" x14ac:dyDescent="0.35">
      <c r="A4729" t="s">
        <v>14085</v>
      </c>
      <c r="B4729" t="s">
        <v>14086</v>
      </c>
      <c r="C4729" t="s">
        <v>14087</v>
      </c>
    </row>
    <row r="4730" spans="1:3" x14ac:dyDescent="0.35">
      <c r="A4730" t="s">
        <v>14088</v>
      </c>
      <c r="B4730" t="s">
        <v>14089</v>
      </c>
      <c r="C4730" t="s">
        <v>14090</v>
      </c>
    </row>
    <row r="4731" spans="1:3" x14ac:dyDescent="0.35">
      <c r="A4731" t="s">
        <v>14091</v>
      </c>
      <c r="B4731" t="s">
        <v>14092</v>
      </c>
      <c r="C4731" t="s">
        <v>14093</v>
      </c>
    </row>
    <row r="4732" spans="1:3" x14ac:dyDescent="0.35">
      <c r="A4732" t="s">
        <v>14094</v>
      </c>
      <c r="B4732" t="s">
        <v>14095</v>
      </c>
      <c r="C4732" t="s">
        <v>14096</v>
      </c>
    </row>
    <row r="4733" spans="1:3" x14ac:dyDescent="0.35">
      <c r="A4733" t="s">
        <v>14097</v>
      </c>
      <c r="B4733" t="s">
        <v>14098</v>
      </c>
      <c r="C4733" t="s">
        <v>14099</v>
      </c>
    </row>
    <row r="4734" spans="1:3" x14ac:dyDescent="0.35">
      <c r="A4734" t="s">
        <v>14100</v>
      </c>
      <c r="B4734" t="s">
        <v>14101</v>
      </c>
      <c r="C4734" t="s">
        <v>14102</v>
      </c>
    </row>
    <row r="4735" spans="1:3" x14ac:dyDescent="0.35">
      <c r="A4735" t="s">
        <v>14103</v>
      </c>
      <c r="B4735" t="s">
        <v>14104</v>
      </c>
      <c r="C4735" t="s">
        <v>14105</v>
      </c>
    </row>
    <row r="4736" spans="1:3" x14ac:dyDescent="0.35">
      <c r="A4736" t="s">
        <v>14106</v>
      </c>
      <c r="B4736" t="s">
        <v>14107</v>
      </c>
      <c r="C4736" t="s">
        <v>14108</v>
      </c>
    </row>
    <row r="4737" spans="1:3" x14ac:dyDescent="0.35">
      <c r="A4737" t="s">
        <v>14109</v>
      </c>
      <c r="B4737" t="s">
        <v>14110</v>
      </c>
      <c r="C4737" t="s">
        <v>14111</v>
      </c>
    </row>
    <row r="4738" spans="1:3" x14ac:dyDescent="0.35">
      <c r="A4738" t="s">
        <v>14112</v>
      </c>
      <c r="B4738" t="s">
        <v>14113</v>
      </c>
      <c r="C4738" t="s">
        <v>14114</v>
      </c>
    </row>
    <row r="4739" spans="1:3" x14ac:dyDescent="0.35">
      <c r="A4739" t="s">
        <v>14115</v>
      </c>
      <c r="B4739" t="s">
        <v>14116</v>
      </c>
      <c r="C4739" t="s">
        <v>14117</v>
      </c>
    </row>
    <row r="4740" spans="1:3" x14ac:dyDescent="0.35">
      <c r="A4740" t="s">
        <v>14118</v>
      </c>
      <c r="B4740" t="s">
        <v>14119</v>
      </c>
      <c r="C4740" t="s">
        <v>14120</v>
      </c>
    </row>
    <row r="4741" spans="1:3" x14ac:dyDescent="0.35">
      <c r="A4741" t="s">
        <v>14121</v>
      </c>
      <c r="B4741" t="s">
        <v>14122</v>
      </c>
      <c r="C4741" t="s">
        <v>14123</v>
      </c>
    </row>
    <row r="4742" spans="1:3" x14ac:dyDescent="0.35">
      <c r="A4742" t="s">
        <v>14124</v>
      </c>
      <c r="B4742" t="s">
        <v>14125</v>
      </c>
      <c r="C4742" t="s">
        <v>14126</v>
      </c>
    </row>
    <row r="4743" spans="1:3" x14ac:dyDescent="0.35">
      <c r="A4743" t="s">
        <v>14127</v>
      </c>
      <c r="B4743" t="s">
        <v>14128</v>
      </c>
      <c r="C4743" t="s">
        <v>14129</v>
      </c>
    </row>
    <row r="4744" spans="1:3" x14ac:dyDescent="0.35">
      <c r="A4744" t="s">
        <v>14130</v>
      </c>
      <c r="B4744" t="s">
        <v>14131</v>
      </c>
      <c r="C4744" t="s">
        <v>14132</v>
      </c>
    </row>
    <row r="4745" spans="1:3" x14ac:dyDescent="0.35">
      <c r="A4745" t="s">
        <v>14133</v>
      </c>
      <c r="B4745" t="s">
        <v>14134</v>
      </c>
      <c r="C4745" t="s">
        <v>14135</v>
      </c>
    </row>
    <row r="4746" spans="1:3" x14ac:dyDescent="0.35">
      <c r="A4746" t="s">
        <v>14136</v>
      </c>
      <c r="B4746" t="s">
        <v>14137</v>
      </c>
      <c r="C4746" t="s">
        <v>14138</v>
      </c>
    </row>
    <row r="4747" spans="1:3" x14ac:dyDescent="0.35">
      <c r="A4747" t="s">
        <v>14139</v>
      </c>
      <c r="B4747" t="s">
        <v>14140</v>
      </c>
      <c r="C4747" t="s">
        <v>14141</v>
      </c>
    </row>
    <row r="4748" spans="1:3" x14ac:dyDescent="0.35">
      <c r="A4748" t="s">
        <v>14142</v>
      </c>
      <c r="B4748" t="s">
        <v>14143</v>
      </c>
      <c r="C4748" t="s">
        <v>14144</v>
      </c>
    </row>
    <row r="4749" spans="1:3" x14ac:dyDescent="0.35">
      <c r="A4749" t="s">
        <v>14145</v>
      </c>
      <c r="B4749" t="s">
        <v>14146</v>
      </c>
      <c r="C4749" t="s">
        <v>14147</v>
      </c>
    </row>
    <row r="4750" spans="1:3" x14ac:dyDescent="0.35">
      <c r="A4750" t="s">
        <v>14148</v>
      </c>
      <c r="B4750" t="s">
        <v>14149</v>
      </c>
      <c r="C4750" t="s">
        <v>14150</v>
      </c>
    </row>
    <row r="4751" spans="1:3" x14ac:dyDescent="0.35">
      <c r="A4751" t="s">
        <v>14151</v>
      </c>
      <c r="B4751" t="s">
        <v>14152</v>
      </c>
      <c r="C4751" t="s">
        <v>14153</v>
      </c>
    </row>
    <row r="4752" spans="1:3" x14ac:dyDescent="0.35">
      <c r="A4752" t="s">
        <v>14154</v>
      </c>
      <c r="B4752" t="s">
        <v>14155</v>
      </c>
      <c r="C4752" t="s">
        <v>14156</v>
      </c>
    </row>
    <row r="4753" spans="1:3" x14ac:dyDescent="0.35">
      <c r="A4753" t="s">
        <v>14157</v>
      </c>
      <c r="B4753" t="s">
        <v>14158</v>
      </c>
      <c r="C4753" t="s">
        <v>14159</v>
      </c>
    </row>
    <row r="4754" spans="1:3" x14ac:dyDescent="0.35">
      <c r="A4754" t="s">
        <v>14160</v>
      </c>
      <c r="B4754" t="s">
        <v>14161</v>
      </c>
      <c r="C4754" t="s">
        <v>14162</v>
      </c>
    </row>
    <row r="4755" spans="1:3" x14ac:dyDescent="0.35">
      <c r="A4755" t="s">
        <v>14163</v>
      </c>
      <c r="B4755" t="s">
        <v>14164</v>
      </c>
      <c r="C4755" t="s">
        <v>14165</v>
      </c>
    </row>
    <row r="4756" spans="1:3" x14ac:dyDescent="0.35">
      <c r="A4756" t="s">
        <v>14166</v>
      </c>
      <c r="B4756" t="s">
        <v>14167</v>
      </c>
      <c r="C4756" t="s">
        <v>14168</v>
      </c>
    </row>
    <row r="4757" spans="1:3" x14ac:dyDescent="0.35">
      <c r="A4757" t="s">
        <v>14169</v>
      </c>
      <c r="B4757" t="s">
        <v>14170</v>
      </c>
      <c r="C4757" t="s">
        <v>14171</v>
      </c>
    </row>
    <row r="4758" spans="1:3" x14ac:dyDescent="0.35">
      <c r="A4758" t="s">
        <v>14172</v>
      </c>
      <c r="B4758" t="s">
        <v>14173</v>
      </c>
      <c r="C4758" t="s">
        <v>14174</v>
      </c>
    </row>
    <row r="4759" spans="1:3" x14ac:dyDescent="0.35">
      <c r="A4759" t="s">
        <v>14175</v>
      </c>
      <c r="B4759" t="s">
        <v>14176</v>
      </c>
      <c r="C4759" t="s">
        <v>14177</v>
      </c>
    </row>
    <row r="4760" spans="1:3" x14ac:dyDescent="0.35">
      <c r="A4760" t="s">
        <v>14178</v>
      </c>
      <c r="B4760" t="s">
        <v>14179</v>
      </c>
      <c r="C4760" t="s">
        <v>14180</v>
      </c>
    </row>
    <row r="4761" spans="1:3" x14ac:dyDescent="0.35">
      <c r="A4761" t="s">
        <v>14181</v>
      </c>
      <c r="B4761" t="s">
        <v>14182</v>
      </c>
      <c r="C4761" t="s">
        <v>14183</v>
      </c>
    </row>
    <row r="4762" spans="1:3" x14ac:dyDescent="0.35">
      <c r="A4762" t="s">
        <v>14184</v>
      </c>
      <c r="B4762" t="s">
        <v>14185</v>
      </c>
      <c r="C4762" t="s">
        <v>14186</v>
      </c>
    </row>
    <row r="4763" spans="1:3" x14ac:dyDescent="0.35">
      <c r="A4763" t="s">
        <v>14187</v>
      </c>
      <c r="B4763" t="s">
        <v>14188</v>
      </c>
      <c r="C4763" t="s">
        <v>14189</v>
      </c>
    </row>
    <row r="4764" spans="1:3" x14ac:dyDescent="0.35">
      <c r="A4764" t="s">
        <v>14190</v>
      </c>
      <c r="B4764" t="s">
        <v>14191</v>
      </c>
      <c r="C4764" t="s">
        <v>13185</v>
      </c>
    </row>
    <row r="4765" spans="1:3" x14ac:dyDescent="0.35">
      <c r="A4765" t="s">
        <v>14192</v>
      </c>
      <c r="B4765" t="s">
        <v>14193</v>
      </c>
      <c r="C4765" t="s">
        <v>14194</v>
      </c>
    </row>
    <row r="4766" spans="1:3" x14ac:dyDescent="0.35">
      <c r="A4766" t="s">
        <v>14195</v>
      </c>
      <c r="B4766" t="s">
        <v>14196</v>
      </c>
      <c r="C4766" t="s">
        <v>14197</v>
      </c>
    </row>
    <row r="4767" spans="1:3" x14ac:dyDescent="0.35">
      <c r="A4767" t="s">
        <v>14198</v>
      </c>
      <c r="B4767" t="s">
        <v>14199</v>
      </c>
      <c r="C4767" t="s">
        <v>14200</v>
      </c>
    </row>
    <row r="4768" spans="1:3" x14ac:dyDescent="0.35">
      <c r="A4768" t="s">
        <v>14201</v>
      </c>
      <c r="B4768" t="s">
        <v>14202</v>
      </c>
      <c r="C4768" t="s">
        <v>14203</v>
      </c>
    </row>
    <row r="4769" spans="1:3" x14ac:dyDescent="0.35">
      <c r="A4769" t="s">
        <v>14204</v>
      </c>
      <c r="B4769" t="s">
        <v>14205</v>
      </c>
      <c r="C4769" t="s">
        <v>14206</v>
      </c>
    </row>
    <row r="4770" spans="1:3" x14ac:dyDescent="0.35">
      <c r="A4770" t="s">
        <v>14207</v>
      </c>
      <c r="B4770" t="s">
        <v>14208</v>
      </c>
      <c r="C4770" t="s">
        <v>14209</v>
      </c>
    </row>
    <row r="4771" spans="1:3" x14ac:dyDescent="0.35">
      <c r="A4771" t="s">
        <v>14210</v>
      </c>
      <c r="B4771" t="s">
        <v>14211</v>
      </c>
      <c r="C4771" t="s">
        <v>14212</v>
      </c>
    </row>
    <row r="4772" spans="1:3" x14ac:dyDescent="0.35">
      <c r="A4772" t="s">
        <v>14213</v>
      </c>
      <c r="B4772" t="s">
        <v>14214</v>
      </c>
      <c r="C4772" t="s">
        <v>14215</v>
      </c>
    </row>
    <row r="4773" spans="1:3" x14ac:dyDescent="0.35">
      <c r="A4773" t="s">
        <v>14216</v>
      </c>
      <c r="B4773" t="s">
        <v>14217</v>
      </c>
      <c r="C4773" t="s">
        <v>14218</v>
      </c>
    </row>
    <row r="4774" spans="1:3" x14ac:dyDescent="0.35">
      <c r="A4774" t="s">
        <v>14219</v>
      </c>
      <c r="B4774" t="s">
        <v>14220</v>
      </c>
      <c r="C4774" t="s">
        <v>14221</v>
      </c>
    </row>
    <row r="4775" spans="1:3" x14ac:dyDescent="0.35">
      <c r="A4775" t="s">
        <v>14222</v>
      </c>
      <c r="B4775" t="s">
        <v>14223</v>
      </c>
      <c r="C4775" t="s">
        <v>14224</v>
      </c>
    </row>
    <row r="4776" spans="1:3" x14ac:dyDescent="0.35">
      <c r="A4776" t="s">
        <v>14225</v>
      </c>
      <c r="B4776" t="s">
        <v>14226</v>
      </c>
      <c r="C4776" t="s">
        <v>14227</v>
      </c>
    </row>
    <row r="4777" spans="1:3" x14ac:dyDescent="0.35">
      <c r="A4777" t="s">
        <v>14228</v>
      </c>
      <c r="B4777" t="s">
        <v>14229</v>
      </c>
      <c r="C4777" t="s">
        <v>14230</v>
      </c>
    </row>
    <row r="4778" spans="1:3" x14ac:dyDescent="0.35">
      <c r="A4778" t="s">
        <v>14231</v>
      </c>
      <c r="B4778" t="s">
        <v>14232</v>
      </c>
      <c r="C4778" t="s">
        <v>14233</v>
      </c>
    </row>
    <row r="4779" spans="1:3" x14ac:dyDescent="0.35">
      <c r="A4779" t="s">
        <v>14234</v>
      </c>
      <c r="B4779" t="s">
        <v>14235</v>
      </c>
      <c r="C4779" t="s">
        <v>14236</v>
      </c>
    </row>
    <row r="4780" spans="1:3" x14ac:dyDescent="0.35">
      <c r="A4780" t="s">
        <v>14237</v>
      </c>
      <c r="B4780" t="s">
        <v>14238</v>
      </c>
      <c r="C4780" t="s">
        <v>14239</v>
      </c>
    </row>
    <row r="4781" spans="1:3" x14ac:dyDescent="0.35">
      <c r="A4781" t="s">
        <v>14237</v>
      </c>
      <c r="B4781" t="s">
        <v>14240</v>
      </c>
      <c r="C4781" t="s">
        <v>14241</v>
      </c>
    </row>
    <row r="4782" spans="1:3" x14ac:dyDescent="0.35">
      <c r="A4782" t="s">
        <v>14242</v>
      </c>
      <c r="B4782" t="s">
        <v>14243</v>
      </c>
      <c r="C4782" t="s">
        <v>14244</v>
      </c>
    </row>
    <row r="4783" spans="1:3" x14ac:dyDescent="0.35">
      <c r="A4783" t="s">
        <v>14245</v>
      </c>
      <c r="B4783" t="s">
        <v>14246</v>
      </c>
      <c r="C4783" t="s">
        <v>14247</v>
      </c>
    </row>
    <row r="4784" spans="1:3" x14ac:dyDescent="0.35">
      <c r="A4784" t="s">
        <v>14248</v>
      </c>
      <c r="B4784" t="s">
        <v>14249</v>
      </c>
      <c r="C4784" t="s">
        <v>14250</v>
      </c>
    </row>
    <row r="4785" spans="1:3" x14ac:dyDescent="0.35">
      <c r="A4785" t="s">
        <v>14251</v>
      </c>
      <c r="B4785" t="s">
        <v>14252</v>
      </c>
      <c r="C4785" t="s">
        <v>14253</v>
      </c>
    </row>
    <row r="4786" spans="1:3" x14ac:dyDescent="0.35">
      <c r="A4786" t="s">
        <v>14254</v>
      </c>
      <c r="B4786" t="s">
        <v>14255</v>
      </c>
      <c r="C4786" t="s">
        <v>14256</v>
      </c>
    </row>
    <row r="4787" spans="1:3" x14ac:dyDescent="0.35">
      <c r="A4787" t="s">
        <v>14257</v>
      </c>
      <c r="B4787" t="s">
        <v>14258</v>
      </c>
      <c r="C4787" t="s">
        <v>14259</v>
      </c>
    </row>
    <row r="4788" spans="1:3" x14ac:dyDescent="0.35">
      <c r="A4788" t="s">
        <v>14260</v>
      </c>
      <c r="B4788" t="s">
        <v>14261</v>
      </c>
      <c r="C4788" t="s">
        <v>14262</v>
      </c>
    </row>
    <row r="4789" spans="1:3" x14ac:dyDescent="0.35">
      <c r="A4789" t="s">
        <v>14263</v>
      </c>
      <c r="B4789" t="s">
        <v>14264</v>
      </c>
      <c r="C4789" t="s">
        <v>14265</v>
      </c>
    </row>
    <row r="4790" spans="1:3" x14ac:dyDescent="0.35">
      <c r="A4790" t="s">
        <v>14266</v>
      </c>
      <c r="B4790" t="s">
        <v>14267</v>
      </c>
      <c r="C4790" t="s">
        <v>14268</v>
      </c>
    </row>
    <row r="4791" spans="1:3" x14ac:dyDescent="0.35">
      <c r="A4791" t="s">
        <v>14269</v>
      </c>
      <c r="B4791" t="s">
        <v>14270</v>
      </c>
      <c r="C4791" t="s">
        <v>14271</v>
      </c>
    </row>
    <row r="4792" spans="1:3" x14ac:dyDescent="0.35">
      <c r="A4792" t="s">
        <v>14272</v>
      </c>
      <c r="B4792" t="s">
        <v>14273</v>
      </c>
      <c r="C4792" t="s">
        <v>14274</v>
      </c>
    </row>
    <row r="4793" spans="1:3" x14ac:dyDescent="0.35">
      <c r="A4793" t="s">
        <v>14275</v>
      </c>
      <c r="B4793" t="s">
        <v>14276</v>
      </c>
      <c r="C4793" t="s">
        <v>14277</v>
      </c>
    </row>
    <row r="4794" spans="1:3" x14ac:dyDescent="0.35">
      <c r="A4794" t="s">
        <v>14278</v>
      </c>
      <c r="B4794" t="s">
        <v>14279</v>
      </c>
      <c r="C4794" t="s">
        <v>14280</v>
      </c>
    </row>
    <row r="4795" spans="1:3" x14ac:dyDescent="0.35">
      <c r="A4795" t="s">
        <v>14281</v>
      </c>
      <c r="B4795" t="s">
        <v>14282</v>
      </c>
      <c r="C4795" t="s">
        <v>14283</v>
      </c>
    </row>
    <row r="4796" spans="1:3" x14ac:dyDescent="0.35">
      <c r="A4796" t="s">
        <v>14284</v>
      </c>
      <c r="B4796" t="s">
        <v>14285</v>
      </c>
      <c r="C4796" t="s">
        <v>14286</v>
      </c>
    </row>
    <row r="4797" spans="1:3" x14ac:dyDescent="0.35">
      <c r="A4797" t="s">
        <v>14287</v>
      </c>
      <c r="B4797" t="s">
        <v>14288</v>
      </c>
      <c r="C4797" t="s">
        <v>14289</v>
      </c>
    </row>
    <row r="4798" spans="1:3" x14ac:dyDescent="0.35">
      <c r="A4798" t="s">
        <v>14290</v>
      </c>
      <c r="B4798" t="s">
        <v>14291</v>
      </c>
      <c r="C4798" t="s">
        <v>13621</v>
      </c>
    </row>
    <row r="4799" spans="1:3" x14ac:dyDescent="0.35">
      <c r="A4799" t="s">
        <v>14292</v>
      </c>
      <c r="B4799" t="s">
        <v>14293</v>
      </c>
      <c r="C4799" t="s">
        <v>14294</v>
      </c>
    </row>
    <row r="4800" spans="1:3" x14ac:dyDescent="0.35">
      <c r="A4800" t="s">
        <v>14295</v>
      </c>
      <c r="B4800" t="s">
        <v>14296</v>
      </c>
      <c r="C4800" t="s">
        <v>14297</v>
      </c>
    </row>
    <row r="4801" spans="1:3" x14ac:dyDescent="0.35">
      <c r="A4801" t="s">
        <v>14298</v>
      </c>
      <c r="B4801" t="s">
        <v>14299</v>
      </c>
      <c r="C4801" t="s">
        <v>14300</v>
      </c>
    </row>
    <row r="4802" spans="1:3" x14ac:dyDescent="0.35">
      <c r="A4802" t="s">
        <v>14301</v>
      </c>
      <c r="B4802" t="s">
        <v>14302</v>
      </c>
      <c r="C4802" t="s">
        <v>14303</v>
      </c>
    </row>
    <row r="4803" spans="1:3" x14ac:dyDescent="0.35">
      <c r="A4803" t="s">
        <v>14304</v>
      </c>
      <c r="B4803" t="s">
        <v>14305</v>
      </c>
      <c r="C4803" t="s">
        <v>14306</v>
      </c>
    </row>
    <row r="4804" spans="1:3" x14ac:dyDescent="0.35">
      <c r="A4804" t="s">
        <v>14307</v>
      </c>
      <c r="B4804" t="s">
        <v>14308</v>
      </c>
      <c r="C4804" t="s">
        <v>14309</v>
      </c>
    </row>
    <row r="4805" spans="1:3" x14ac:dyDescent="0.35">
      <c r="A4805" t="s">
        <v>14310</v>
      </c>
      <c r="B4805" t="s">
        <v>14311</v>
      </c>
      <c r="C4805" t="s">
        <v>14312</v>
      </c>
    </row>
    <row r="4806" spans="1:3" x14ac:dyDescent="0.35">
      <c r="A4806" t="s">
        <v>14313</v>
      </c>
      <c r="B4806" t="s">
        <v>14314</v>
      </c>
      <c r="C4806" t="s">
        <v>14315</v>
      </c>
    </row>
    <row r="4807" spans="1:3" x14ac:dyDescent="0.35">
      <c r="A4807" t="s">
        <v>14316</v>
      </c>
      <c r="B4807" t="s">
        <v>14317</v>
      </c>
      <c r="C4807" t="s">
        <v>14318</v>
      </c>
    </row>
    <row r="4808" spans="1:3" x14ac:dyDescent="0.35">
      <c r="A4808" t="s">
        <v>14319</v>
      </c>
      <c r="B4808" t="s">
        <v>14320</v>
      </c>
      <c r="C4808" t="s">
        <v>14321</v>
      </c>
    </row>
    <row r="4809" spans="1:3" x14ac:dyDescent="0.35">
      <c r="A4809" t="s">
        <v>14322</v>
      </c>
      <c r="B4809" t="s">
        <v>14323</v>
      </c>
      <c r="C4809" t="s">
        <v>14324</v>
      </c>
    </row>
    <row r="4810" spans="1:3" x14ac:dyDescent="0.35">
      <c r="A4810" t="s">
        <v>14325</v>
      </c>
      <c r="B4810" t="s">
        <v>14326</v>
      </c>
      <c r="C4810" t="s">
        <v>14327</v>
      </c>
    </row>
    <row r="4811" spans="1:3" x14ac:dyDescent="0.35">
      <c r="A4811" t="s">
        <v>14325</v>
      </c>
      <c r="B4811" t="s">
        <v>14328</v>
      </c>
      <c r="C4811" t="s">
        <v>11943</v>
      </c>
    </row>
    <row r="4812" spans="1:3" x14ac:dyDescent="0.35">
      <c r="A4812" t="s">
        <v>14329</v>
      </c>
      <c r="B4812" t="s">
        <v>14330</v>
      </c>
      <c r="C4812" t="s">
        <v>14331</v>
      </c>
    </row>
    <row r="4813" spans="1:3" x14ac:dyDescent="0.35">
      <c r="A4813" t="s">
        <v>14332</v>
      </c>
      <c r="B4813" t="s">
        <v>14333</v>
      </c>
      <c r="C4813" t="s">
        <v>14334</v>
      </c>
    </row>
    <row r="4814" spans="1:3" x14ac:dyDescent="0.35">
      <c r="A4814" t="s">
        <v>14335</v>
      </c>
      <c r="B4814" t="s">
        <v>14336</v>
      </c>
      <c r="C4814" t="s">
        <v>14337</v>
      </c>
    </row>
    <row r="4815" spans="1:3" x14ac:dyDescent="0.35">
      <c r="A4815" t="s">
        <v>14338</v>
      </c>
      <c r="B4815" t="s">
        <v>14339</v>
      </c>
      <c r="C4815" t="s">
        <v>14340</v>
      </c>
    </row>
    <row r="4816" spans="1:3" x14ac:dyDescent="0.35">
      <c r="A4816" t="s">
        <v>14341</v>
      </c>
      <c r="B4816" t="s">
        <v>14342</v>
      </c>
      <c r="C4816" t="s">
        <v>14343</v>
      </c>
    </row>
    <row r="4817" spans="1:3" x14ac:dyDescent="0.35">
      <c r="A4817" t="s">
        <v>14344</v>
      </c>
      <c r="B4817" t="s">
        <v>14345</v>
      </c>
      <c r="C4817" t="s">
        <v>14346</v>
      </c>
    </row>
    <row r="4818" spans="1:3" x14ac:dyDescent="0.35">
      <c r="A4818" t="s">
        <v>14347</v>
      </c>
      <c r="B4818" t="s">
        <v>14348</v>
      </c>
      <c r="C4818" t="s">
        <v>14349</v>
      </c>
    </row>
    <row r="4819" spans="1:3" x14ac:dyDescent="0.35">
      <c r="A4819" t="s">
        <v>14350</v>
      </c>
      <c r="B4819" t="s">
        <v>14351</v>
      </c>
      <c r="C4819" t="s">
        <v>14352</v>
      </c>
    </row>
    <row r="4820" spans="1:3" x14ac:dyDescent="0.35">
      <c r="A4820" t="s">
        <v>14353</v>
      </c>
      <c r="B4820" t="s">
        <v>14354</v>
      </c>
      <c r="C4820" t="s">
        <v>14355</v>
      </c>
    </row>
    <row r="4821" spans="1:3" x14ac:dyDescent="0.35">
      <c r="A4821" t="s">
        <v>14356</v>
      </c>
      <c r="B4821" t="s">
        <v>14357</v>
      </c>
      <c r="C4821" t="s">
        <v>14358</v>
      </c>
    </row>
    <row r="4822" spans="1:3" x14ac:dyDescent="0.35">
      <c r="A4822" t="s">
        <v>14359</v>
      </c>
      <c r="B4822" t="s">
        <v>14360</v>
      </c>
      <c r="C4822" t="s">
        <v>14361</v>
      </c>
    </row>
    <row r="4823" spans="1:3" x14ac:dyDescent="0.35">
      <c r="A4823" t="s">
        <v>14362</v>
      </c>
      <c r="B4823" t="s">
        <v>14363</v>
      </c>
      <c r="C4823" t="s">
        <v>14364</v>
      </c>
    </row>
    <row r="4824" spans="1:3" x14ac:dyDescent="0.35">
      <c r="A4824" t="s">
        <v>14365</v>
      </c>
      <c r="B4824" t="s">
        <v>14366</v>
      </c>
      <c r="C4824" t="s">
        <v>14367</v>
      </c>
    </row>
    <row r="4825" spans="1:3" x14ac:dyDescent="0.35">
      <c r="A4825" t="s">
        <v>14368</v>
      </c>
      <c r="B4825" t="s">
        <v>14369</v>
      </c>
      <c r="C4825" t="s">
        <v>14370</v>
      </c>
    </row>
    <row r="4826" spans="1:3" x14ac:dyDescent="0.35">
      <c r="A4826" t="s">
        <v>14371</v>
      </c>
      <c r="B4826" t="s">
        <v>14372</v>
      </c>
      <c r="C4826" t="s">
        <v>14373</v>
      </c>
    </row>
    <row r="4827" spans="1:3" x14ac:dyDescent="0.35">
      <c r="A4827" t="s">
        <v>14374</v>
      </c>
      <c r="B4827" t="s">
        <v>14375</v>
      </c>
      <c r="C4827" t="s">
        <v>14376</v>
      </c>
    </row>
    <row r="4828" spans="1:3" x14ac:dyDescent="0.35">
      <c r="A4828" t="s">
        <v>14377</v>
      </c>
      <c r="B4828" t="s">
        <v>14378</v>
      </c>
      <c r="C4828" t="s">
        <v>14379</v>
      </c>
    </row>
    <row r="4829" spans="1:3" x14ac:dyDescent="0.35">
      <c r="A4829" t="s">
        <v>14380</v>
      </c>
      <c r="B4829" t="s">
        <v>14381</v>
      </c>
      <c r="C4829" t="s">
        <v>14382</v>
      </c>
    </row>
    <row r="4830" spans="1:3" x14ac:dyDescent="0.35">
      <c r="A4830" t="s">
        <v>14383</v>
      </c>
      <c r="B4830" t="s">
        <v>14384</v>
      </c>
      <c r="C4830" t="s">
        <v>14385</v>
      </c>
    </row>
    <row r="4831" spans="1:3" x14ac:dyDescent="0.35">
      <c r="A4831" t="s">
        <v>14386</v>
      </c>
      <c r="B4831" t="s">
        <v>14387</v>
      </c>
      <c r="C4831" t="s">
        <v>14388</v>
      </c>
    </row>
    <row r="4832" spans="1:3" x14ac:dyDescent="0.35">
      <c r="A4832" t="s">
        <v>14389</v>
      </c>
      <c r="B4832" t="s">
        <v>14390</v>
      </c>
      <c r="C4832" t="s">
        <v>14391</v>
      </c>
    </row>
    <row r="4833" spans="1:3" x14ac:dyDescent="0.35">
      <c r="A4833" t="s">
        <v>14392</v>
      </c>
      <c r="B4833" t="s">
        <v>14393</v>
      </c>
      <c r="C4833" t="s">
        <v>14394</v>
      </c>
    </row>
    <row r="4834" spans="1:3" x14ac:dyDescent="0.35">
      <c r="A4834" t="s">
        <v>14395</v>
      </c>
      <c r="B4834" t="s">
        <v>14396</v>
      </c>
      <c r="C4834" t="s">
        <v>14397</v>
      </c>
    </row>
    <row r="4835" spans="1:3" x14ac:dyDescent="0.35">
      <c r="A4835" t="s">
        <v>14398</v>
      </c>
      <c r="B4835" t="s">
        <v>14399</v>
      </c>
      <c r="C4835" t="s">
        <v>14400</v>
      </c>
    </row>
    <row r="4836" spans="1:3" x14ac:dyDescent="0.35">
      <c r="A4836" t="s">
        <v>14401</v>
      </c>
      <c r="B4836" t="s">
        <v>14402</v>
      </c>
      <c r="C4836" t="s">
        <v>14403</v>
      </c>
    </row>
    <row r="4837" spans="1:3" x14ac:dyDescent="0.35">
      <c r="A4837" t="s">
        <v>14404</v>
      </c>
      <c r="B4837" t="s">
        <v>14405</v>
      </c>
      <c r="C4837" t="s">
        <v>14406</v>
      </c>
    </row>
    <row r="4838" spans="1:3" x14ac:dyDescent="0.35">
      <c r="A4838" t="s">
        <v>14407</v>
      </c>
      <c r="B4838" t="s">
        <v>14408</v>
      </c>
      <c r="C4838" t="s">
        <v>14409</v>
      </c>
    </row>
    <row r="4839" spans="1:3" x14ac:dyDescent="0.35">
      <c r="A4839" t="s">
        <v>14410</v>
      </c>
      <c r="B4839" t="s">
        <v>14411</v>
      </c>
      <c r="C4839" t="s">
        <v>14412</v>
      </c>
    </row>
    <row r="4840" spans="1:3" x14ac:dyDescent="0.35">
      <c r="A4840" t="s">
        <v>14413</v>
      </c>
      <c r="B4840" t="s">
        <v>14414</v>
      </c>
      <c r="C4840" t="s">
        <v>14415</v>
      </c>
    </row>
    <row r="4841" spans="1:3" x14ac:dyDescent="0.35">
      <c r="A4841" t="s">
        <v>14416</v>
      </c>
      <c r="B4841" t="s">
        <v>14417</v>
      </c>
      <c r="C4841" t="s">
        <v>14418</v>
      </c>
    </row>
    <row r="4842" spans="1:3" x14ac:dyDescent="0.35">
      <c r="A4842" t="s">
        <v>14419</v>
      </c>
      <c r="B4842" t="s">
        <v>14420</v>
      </c>
      <c r="C4842" t="s">
        <v>14421</v>
      </c>
    </row>
    <row r="4843" spans="1:3" x14ac:dyDescent="0.35">
      <c r="A4843" t="s">
        <v>14422</v>
      </c>
      <c r="B4843" t="s">
        <v>14423</v>
      </c>
      <c r="C4843" t="s">
        <v>14424</v>
      </c>
    </row>
    <row r="4844" spans="1:3" x14ac:dyDescent="0.35">
      <c r="A4844" t="s">
        <v>14425</v>
      </c>
      <c r="B4844" t="s">
        <v>14426</v>
      </c>
      <c r="C4844" t="s">
        <v>14427</v>
      </c>
    </row>
    <row r="4845" spans="1:3" x14ac:dyDescent="0.35">
      <c r="A4845" t="s">
        <v>14428</v>
      </c>
      <c r="B4845" t="s">
        <v>14429</v>
      </c>
      <c r="C4845" t="s">
        <v>14430</v>
      </c>
    </row>
    <row r="4846" spans="1:3" x14ac:dyDescent="0.35">
      <c r="A4846" t="s">
        <v>14431</v>
      </c>
      <c r="B4846" t="s">
        <v>14432</v>
      </c>
      <c r="C4846" t="s">
        <v>14433</v>
      </c>
    </row>
    <row r="4847" spans="1:3" x14ac:dyDescent="0.35">
      <c r="A4847" t="s">
        <v>14434</v>
      </c>
      <c r="B4847" t="s">
        <v>14435</v>
      </c>
      <c r="C4847" t="s">
        <v>14436</v>
      </c>
    </row>
    <row r="4848" spans="1:3" x14ac:dyDescent="0.35">
      <c r="A4848" t="s">
        <v>14437</v>
      </c>
      <c r="B4848" t="s">
        <v>14438</v>
      </c>
      <c r="C4848" t="s">
        <v>14439</v>
      </c>
    </row>
    <row r="4849" spans="1:3" x14ac:dyDescent="0.35">
      <c r="A4849" t="s">
        <v>14440</v>
      </c>
      <c r="B4849" t="s">
        <v>14441</v>
      </c>
      <c r="C4849" t="s">
        <v>14442</v>
      </c>
    </row>
    <row r="4850" spans="1:3" x14ac:dyDescent="0.35">
      <c r="A4850" t="s">
        <v>14443</v>
      </c>
      <c r="B4850" t="s">
        <v>14444</v>
      </c>
      <c r="C4850" t="s">
        <v>14445</v>
      </c>
    </row>
    <row r="4851" spans="1:3" x14ac:dyDescent="0.35">
      <c r="A4851" t="s">
        <v>14446</v>
      </c>
      <c r="B4851" t="s">
        <v>14447</v>
      </c>
      <c r="C4851" t="s">
        <v>14448</v>
      </c>
    </row>
    <row r="4852" spans="1:3" x14ac:dyDescent="0.35">
      <c r="A4852" t="s">
        <v>14449</v>
      </c>
      <c r="B4852" t="s">
        <v>14450</v>
      </c>
      <c r="C4852" t="s">
        <v>14451</v>
      </c>
    </row>
    <row r="4853" spans="1:3" x14ac:dyDescent="0.35">
      <c r="A4853" t="s">
        <v>14449</v>
      </c>
      <c r="B4853" t="s">
        <v>14452</v>
      </c>
      <c r="C4853" t="s">
        <v>14453</v>
      </c>
    </row>
    <row r="4854" spans="1:3" x14ac:dyDescent="0.35">
      <c r="A4854" t="s">
        <v>14454</v>
      </c>
      <c r="B4854" t="s">
        <v>14455</v>
      </c>
      <c r="C4854" t="s">
        <v>14456</v>
      </c>
    </row>
    <row r="4855" spans="1:3" x14ac:dyDescent="0.35">
      <c r="A4855" t="s">
        <v>14457</v>
      </c>
      <c r="B4855" t="s">
        <v>14458</v>
      </c>
      <c r="C4855" t="s">
        <v>14459</v>
      </c>
    </row>
    <row r="4856" spans="1:3" x14ac:dyDescent="0.35">
      <c r="A4856" t="s">
        <v>14457</v>
      </c>
      <c r="B4856" t="s">
        <v>14460</v>
      </c>
      <c r="C4856" t="s">
        <v>14461</v>
      </c>
    </row>
    <row r="4857" spans="1:3" x14ac:dyDescent="0.35">
      <c r="A4857" t="s">
        <v>14462</v>
      </c>
      <c r="B4857" t="s">
        <v>14463</v>
      </c>
      <c r="C4857" t="s">
        <v>14464</v>
      </c>
    </row>
    <row r="4858" spans="1:3" x14ac:dyDescent="0.35">
      <c r="A4858" t="s">
        <v>14465</v>
      </c>
      <c r="B4858" t="s">
        <v>14466</v>
      </c>
      <c r="C4858" t="s">
        <v>14467</v>
      </c>
    </row>
    <row r="4859" spans="1:3" x14ac:dyDescent="0.35">
      <c r="A4859" t="s">
        <v>14465</v>
      </c>
      <c r="B4859" t="s">
        <v>14468</v>
      </c>
      <c r="C4859" t="s">
        <v>14469</v>
      </c>
    </row>
    <row r="4860" spans="1:3" x14ac:dyDescent="0.35">
      <c r="A4860" t="s">
        <v>14470</v>
      </c>
      <c r="B4860" t="s">
        <v>14471</v>
      </c>
      <c r="C4860" t="s">
        <v>14472</v>
      </c>
    </row>
    <row r="4861" spans="1:3" x14ac:dyDescent="0.35">
      <c r="A4861" t="s">
        <v>14473</v>
      </c>
      <c r="B4861" t="s">
        <v>14474</v>
      </c>
      <c r="C4861" t="s">
        <v>14475</v>
      </c>
    </row>
    <row r="4862" spans="1:3" x14ac:dyDescent="0.35">
      <c r="A4862" t="s">
        <v>14476</v>
      </c>
      <c r="B4862" t="s">
        <v>14477</v>
      </c>
      <c r="C4862" t="s">
        <v>14478</v>
      </c>
    </row>
    <row r="4863" spans="1:3" x14ac:dyDescent="0.35">
      <c r="A4863" t="s">
        <v>14476</v>
      </c>
      <c r="B4863" t="s">
        <v>14479</v>
      </c>
      <c r="C4863" t="s">
        <v>14478</v>
      </c>
    </row>
    <row r="4864" spans="1:3" x14ac:dyDescent="0.35">
      <c r="A4864" t="s">
        <v>14480</v>
      </c>
      <c r="B4864" t="s">
        <v>14481</v>
      </c>
      <c r="C4864" t="s">
        <v>14482</v>
      </c>
    </row>
    <row r="4865" spans="1:3" x14ac:dyDescent="0.35">
      <c r="A4865" t="s">
        <v>14483</v>
      </c>
      <c r="B4865" t="s">
        <v>14484</v>
      </c>
      <c r="C4865" t="s">
        <v>14485</v>
      </c>
    </row>
    <row r="4866" spans="1:3" x14ac:dyDescent="0.35">
      <c r="A4866" t="s">
        <v>14486</v>
      </c>
      <c r="B4866" t="s">
        <v>14487</v>
      </c>
      <c r="C4866" t="s">
        <v>14488</v>
      </c>
    </row>
    <row r="4867" spans="1:3" x14ac:dyDescent="0.35">
      <c r="A4867" t="s">
        <v>14489</v>
      </c>
      <c r="B4867" t="s">
        <v>14490</v>
      </c>
      <c r="C4867" t="s">
        <v>14491</v>
      </c>
    </row>
    <row r="4868" spans="1:3" x14ac:dyDescent="0.35">
      <c r="A4868" t="s">
        <v>14492</v>
      </c>
      <c r="B4868" t="s">
        <v>14493</v>
      </c>
      <c r="C4868" t="s">
        <v>14494</v>
      </c>
    </row>
    <row r="4869" spans="1:3" x14ac:dyDescent="0.35">
      <c r="A4869" t="s">
        <v>14495</v>
      </c>
      <c r="B4869" t="s">
        <v>14496</v>
      </c>
      <c r="C4869" t="s">
        <v>14497</v>
      </c>
    </row>
    <row r="4870" spans="1:3" x14ac:dyDescent="0.35">
      <c r="A4870" t="s">
        <v>14498</v>
      </c>
      <c r="B4870" t="s">
        <v>14499</v>
      </c>
      <c r="C4870" t="s">
        <v>14500</v>
      </c>
    </row>
    <row r="4871" spans="1:3" x14ac:dyDescent="0.35">
      <c r="A4871" t="s">
        <v>14501</v>
      </c>
      <c r="B4871" t="s">
        <v>14502</v>
      </c>
      <c r="C4871" t="s">
        <v>14503</v>
      </c>
    </row>
    <row r="4872" spans="1:3" x14ac:dyDescent="0.35">
      <c r="A4872" t="s">
        <v>14504</v>
      </c>
      <c r="B4872" t="s">
        <v>14505</v>
      </c>
      <c r="C4872" t="s">
        <v>14506</v>
      </c>
    </row>
    <row r="4873" spans="1:3" x14ac:dyDescent="0.35">
      <c r="A4873" t="s">
        <v>14507</v>
      </c>
      <c r="B4873" t="s">
        <v>14508</v>
      </c>
      <c r="C4873" t="s">
        <v>14509</v>
      </c>
    </row>
    <row r="4874" spans="1:3" x14ac:dyDescent="0.35">
      <c r="A4874" t="s">
        <v>14510</v>
      </c>
      <c r="B4874" t="s">
        <v>14511</v>
      </c>
      <c r="C4874" t="s">
        <v>14512</v>
      </c>
    </row>
    <row r="4875" spans="1:3" x14ac:dyDescent="0.35">
      <c r="A4875" t="s">
        <v>14513</v>
      </c>
      <c r="B4875" t="s">
        <v>14514</v>
      </c>
      <c r="C4875" t="s">
        <v>14515</v>
      </c>
    </row>
    <row r="4876" spans="1:3" x14ac:dyDescent="0.35">
      <c r="A4876" t="s">
        <v>14516</v>
      </c>
      <c r="B4876" t="s">
        <v>14517</v>
      </c>
      <c r="C4876" t="s">
        <v>14518</v>
      </c>
    </row>
    <row r="4877" spans="1:3" x14ac:dyDescent="0.35">
      <c r="A4877" t="s">
        <v>14519</v>
      </c>
      <c r="B4877" t="s">
        <v>14520</v>
      </c>
      <c r="C4877" t="s">
        <v>14521</v>
      </c>
    </row>
    <row r="4878" spans="1:3" x14ac:dyDescent="0.35">
      <c r="A4878" t="s">
        <v>14522</v>
      </c>
      <c r="B4878" t="s">
        <v>14523</v>
      </c>
      <c r="C4878" t="s">
        <v>14524</v>
      </c>
    </row>
    <row r="4879" spans="1:3" x14ac:dyDescent="0.35">
      <c r="A4879" t="s">
        <v>14525</v>
      </c>
      <c r="B4879" t="s">
        <v>14526</v>
      </c>
      <c r="C4879" t="s">
        <v>14527</v>
      </c>
    </row>
    <row r="4880" spans="1:3" x14ac:dyDescent="0.35">
      <c r="A4880" t="s">
        <v>14528</v>
      </c>
      <c r="B4880" t="s">
        <v>14529</v>
      </c>
      <c r="C4880" t="s">
        <v>14530</v>
      </c>
    </row>
    <row r="4881" spans="1:3" x14ac:dyDescent="0.35">
      <c r="A4881" t="s">
        <v>14531</v>
      </c>
      <c r="B4881" t="s">
        <v>14532</v>
      </c>
      <c r="C4881" t="s">
        <v>14533</v>
      </c>
    </row>
    <row r="4882" spans="1:3" x14ac:dyDescent="0.35">
      <c r="A4882" t="s">
        <v>14534</v>
      </c>
      <c r="B4882" t="s">
        <v>14535</v>
      </c>
      <c r="C4882" t="s">
        <v>14536</v>
      </c>
    </row>
    <row r="4883" spans="1:3" x14ac:dyDescent="0.35">
      <c r="A4883" t="s">
        <v>14537</v>
      </c>
      <c r="B4883" t="s">
        <v>14538</v>
      </c>
      <c r="C4883" t="s">
        <v>14539</v>
      </c>
    </row>
    <row r="4884" spans="1:3" x14ac:dyDescent="0.35">
      <c r="A4884" t="s">
        <v>14537</v>
      </c>
      <c r="B4884" t="s">
        <v>8787</v>
      </c>
      <c r="C4884" t="s">
        <v>14540</v>
      </c>
    </row>
    <row r="4885" spans="1:3" x14ac:dyDescent="0.35">
      <c r="A4885" t="s">
        <v>14541</v>
      </c>
      <c r="B4885" t="s">
        <v>14542</v>
      </c>
      <c r="C4885" t="s">
        <v>14543</v>
      </c>
    </row>
    <row r="4886" spans="1:3" x14ac:dyDescent="0.35">
      <c r="A4886" t="s">
        <v>14544</v>
      </c>
      <c r="B4886" t="s">
        <v>14545</v>
      </c>
      <c r="C4886" t="s">
        <v>14546</v>
      </c>
    </row>
    <row r="4887" spans="1:3" x14ac:dyDescent="0.35">
      <c r="A4887" t="s">
        <v>14547</v>
      </c>
      <c r="B4887" t="s">
        <v>14548</v>
      </c>
      <c r="C4887" t="s">
        <v>14549</v>
      </c>
    </row>
    <row r="4888" spans="1:3" x14ac:dyDescent="0.35">
      <c r="A4888" t="s">
        <v>14550</v>
      </c>
      <c r="B4888" t="s">
        <v>14551</v>
      </c>
      <c r="C4888" t="s">
        <v>14552</v>
      </c>
    </row>
    <row r="4889" spans="1:3" x14ac:dyDescent="0.35">
      <c r="A4889" t="s">
        <v>14553</v>
      </c>
      <c r="B4889" t="s">
        <v>14554</v>
      </c>
      <c r="C4889" t="s">
        <v>14555</v>
      </c>
    </row>
    <row r="4890" spans="1:3" x14ac:dyDescent="0.35">
      <c r="A4890" t="s">
        <v>14556</v>
      </c>
      <c r="B4890" t="s">
        <v>14557</v>
      </c>
      <c r="C4890" t="s">
        <v>14558</v>
      </c>
    </row>
    <row r="4891" spans="1:3" x14ac:dyDescent="0.35">
      <c r="A4891" t="s">
        <v>14559</v>
      </c>
      <c r="B4891" t="s">
        <v>14560</v>
      </c>
      <c r="C4891" t="s">
        <v>14561</v>
      </c>
    </row>
    <row r="4892" spans="1:3" x14ac:dyDescent="0.35">
      <c r="A4892" t="s">
        <v>14562</v>
      </c>
      <c r="B4892" t="s">
        <v>14563</v>
      </c>
      <c r="C4892" t="s">
        <v>14564</v>
      </c>
    </row>
    <row r="4893" spans="1:3" x14ac:dyDescent="0.35">
      <c r="A4893" t="s">
        <v>14565</v>
      </c>
      <c r="B4893" t="s">
        <v>14566</v>
      </c>
      <c r="C4893" t="s">
        <v>2825</v>
      </c>
    </row>
    <row r="4894" spans="1:3" x14ac:dyDescent="0.35">
      <c r="A4894" t="s">
        <v>14567</v>
      </c>
      <c r="B4894" t="s">
        <v>14568</v>
      </c>
      <c r="C4894" t="s">
        <v>14569</v>
      </c>
    </row>
    <row r="4895" spans="1:3" x14ac:dyDescent="0.35">
      <c r="A4895" t="s">
        <v>14570</v>
      </c>
      <c r="B4895" t="s">
        <v>14571</v>
      </c>
      <c r="C4895" t="s">
        <v>14572</v>
      </c>
    </row>
    <row r="4896" spans="1:3" x14ac:dyDescent="0.35">
      <c r="A4896" t="s">
        <v>14573</v>
      </c>
      <c r="B4896" t="s">
        <v>14574</v>
      </c>
      <c r="C4896" t="s">
        <v>14575</v>
      </c>
    </row>
    <row r="4897" spans="1:3" x14ac:dyDescent="0.35">
      <c r="A4897" t="s">
        <v>14576</v>
      </c>
      <c r="B4897" t="s">
        <v>14577</v>
      </c>
      <c r="C4897" t="s">
        <v>14578</v>
      </c>
    </row>
    <row r="4898" spans="1:3" x14ac:dyDescent="0.35">
      <c r="A4898" t="s">
        <v>14579</v>
      </c>
      <c r="B4898" t="s">
        <v>14580</v>
      </c>
      <c r="C4898" t="s">
        <v>14581</v>
      </c>
    </row>
    <row r="4899" spans="1:3" x14ac:dyDescent="0.35">
      <c r="A4899" t="s">
        <v>14582</v>
      </c>
      <c r="B4899" t="s">
        <v>14583</v>
      </c>
      <c r="C4899" t="s">
        <v>14584</v>
      </c>
    </row>
    <row r="4900" spans="1:3" x14ac:dyDescent="0.35">
      <c r="A4900" t="s">
        <v>14585</v>
      </c>
      <c r="B4900" t="s">
        <v>14586</v>
      </c>
      <c r="C4900" t="s">
        <v>14587</v>
      </c>
    </row>
    <row r="4901" spans="1:3" x14ac:dyDescent="0.35">
      <c r="A4901" t="s">
        <v>14588</v>
      </c>
      <c r="B4901" t="s">
        <v>14589</v>
      </c>
      <c r="C4901" t="s">
        <v>14590</v>
      </c>
    </row>
    <row r="4902" spans="1:3" x14ac:dyDescent="0.35">
      <c r="A4902" t="s">
        <v>14591</v>
      </c>
      <c r="B4902" t="s">
        <v>14592</v>
      </c>
      <c r="C4902" t="s">
        <v>14593</v>
      </c>
    </row>
    <row r="4903" spans="1:3" x14ac:dyDescent="0.35">
      <c r="A4903" t="s">
        <v>14594</v>
      </c>
      <c r="B4903" t="s">
        <v>14595</v>
      </c>
      <c r="C4903" t="s">
        <v>14596</v>
      </c>
    </row>
    <row r="4904" spans="1:3" x14ac:dyDescent="0.35">
      <c r="A4904" t="s">
        <v>14597</v>
      </c>
      <c r="B4904" t="s">
        <v>14598</v>
      </c>
      <c r="C4904" t="s">
        <v>14599</v>
      </c>
    </row>
    <row r="4905" spans="1:3" x14ac:dyDescent="0.35">
      <c r="A4905" t="s">
        <v>14600</v>
      </c>
      <c r="B4905" t="s">
        <v>14601</v>
      </c>
      <c r="C4905" t="s">
        <v>14602</v>
      </c>
    </row>
    <row r="4906" spans="1:3" x14ac:dyDescent="0.35">
      <c r="A4906" t="s">
        <v>14603</v>
      </c>
      <c r="B4906" t="s">
        <v>14604</v>
      </c>
      <c r="C4906" t="s">
        <v>14605</v>
      </c>
    </row>
    <row r="4907" spans="1:3" x14ac:dyDescent="0.35">
      <c r="A4907" t="s">
        <v>14606</v>
      </c>
      <c r="B4907" t="s">
        <v>14607</v>
      </c>
      <c r="C4907" t="s">
        <v>14608</v>
      </c>
    </row>
    <row r="4908" spans="1:3" x14ac:dyDescent="0.35">
      <c r="A4908" t="s">
        <v>14609</v>
      </c>
      <c r="B4908" t="s">
        <v>14610</v>
      </c>
      <c r="C4908" t="s">
        <v>14611</v>
      </c>
    </row>
    <row r="4909" spans="1:3" x14ac:dyDescent="0.35">
      <c r="A4909" t="s">
        <v>14612</v>
      </c>
      <c r="B4909" t="s">
        <v>14613</v>
      </c>
      <c r="C4909" t="s">
        <v>14614</v>
      </c>
    </row>
    <row r="4910" spans="1:3" x14ac:dyDescent="0.35">
      <c r="A4910" t="s">
        <v>14615</v>
      </c>
      <c r="B4910" t="s">
        <v>14616</v>
      </c>
      <c r="C4910" t="s">
        <v>14617</v>
      </c>
    </row>
    <row r="4911" spans="1:3" x14ac:dyDescent="0.35">
      <c r="A4911" t="s">
        <v>14618</v>
      </c>
      <c r="B4911" t="s">
        <v>14619</v>
      </c>
      <c r="C4911" t="s">
        <v>14620</v>
      </c>
    </row>
    <row r="4912" spans="1:3" x14ac:dyDescent="0.35">
      <c r="A4912" t="s">
        <v>14621</v>
      </c>
      <c r="B4912" t="s">
        <v>14622</v>
      </c>
      <c r="C4912" t="s">
        <v>14623</v>
      </c>
    </row>
    <row r="4913" spans="1:3" x14ac:dyDescent="0.35">
      <c r="A4913" t="s">
        <v>14624</v>
      </c>
      <c r="B4913" t="s">
        <v>14625</v>
      </c>
      <c r="C4913" t="s">
        <v>14626</v>
      </c>
    </row>
    <row r="4914" spans="1:3" x14ac:dyDescent="0.35">
      <c r="A4914" t="s">
        <v>14627</v>
      </c>
      <c r="B4914" t="s">
        <v>14628</v>
      </c>
      <c r="C4914" t="s">
        <v>14629</v>
      </c>
    </row>
    <row r="4915" spans="1:3" x14ac:dyDescent="0.35">
      <c r="A4915" t="s">
        <v>14630</v>
      </c>
      <c r="B4915" t="s">
        <v>14631</v>
      </c>
      <c r="C4915" t="s">
        <v>14632</v>
      </c>
    </row>
    <row r="4916" spans="1:3" x14ac:dyDescent="0.35">
      <c r="A4916" t="s">
        <v>14633</v>
      </c>
      <c r="B4916" t="s">
        <v>14634</v>
      </c>
      <c r="C4916" t="s">
        <v>14635</v>
      </c>
    </row>
    <row r="4917" spans="1:3" x14ac:dyDescent="0.35">
      <c r="A4917" t="s">
        <v>14636</v>
      </c>
      <c r="B4917" t="s">
        <v>14637</v>
      </c>
      <c r="C4917" t="s">
        <v>14638</v>
      </c>
    </row>
    <row r="4918" spans="1:3" x14ac:dyDescent="0.35">
      <c r="A4918" t="s">
        <v>14639</v>
      </c>
      <c r="B4918" t="s">
        <v>14640</v>
      </c>
      <c r="C4918" t="s">
        <v>14641</v>
      </c>
    </row>
    <row r="4919" spans="1:3" x14ac:dyDescent="0.35">
      <c r="A4919" t="s">
        <v>14642</v>
      </c>
      <c r="B4919" t="s">
        <v>14643</v>
      </c>
      <c r="C4919" t="s">
        <v>14644</v>
      </c>
    </row>
    <row r="4920" spans="1:3" x14ac:dyDescent="0.35">
      <c r="A4920" t="s">
        <v>14645</v>
      </c>
      <c r="B4920" t="s">
        <v>14646</v>
      </c>
      <c r="C4920" t="s">
        <v>14647</v>
      </c>
    </row>
    <row r="4921" spans="1:3" x14ac:dyDescent="0.35">
      <c r="A4921" t="s">
        <v>14648</v>
      </c>
      <c r="B4921" t="s">
        <v>14649</v>
      </c>
      <c r="C4921" t="s">
        <v>14650</v>
      </c>
    </row>
    <row r="4922" spans="1:3" x14ac:dyDescent="0.35">
      <c r="A4922" t="s">
        <v>14648</v>
      </c>
      <c r="B4922" t="s">
        <v>14651</v>
      </c>
      <c r="C4922" t="s">
        <v>14652</v>
      </c>
    </row>
    <row r="4923" spans="1:3" x14ac:dyDescent="0.35">
      <c r="A4923" t="s">
        <v>14653</v>
      </c>
      <c r="B4923" t="s">
        <v>14654</v>
      </c>
      <c r="C4923" t="s">
        <v>14655</v>
      </c>
    </row>
    <row r="4924" spans="1:3" x14ac:dyDescent="0.35">
      <c r="A4924" t="s">
        <v>14656</v>
      </c>
      <c r="B4924" t="s">
        <v>14657</v>
      </c>
      <c r="C4924" t="s">
        <v>14658</v>
      </c>
    </row>
    <row r="4925" spans="1:3" x14ac:dyDescent="0.35">
      <c r="A4925" t="s">
        <v>14659</v>
      </c>
      <c r="B4925" t="s">
        <v>14660</v>
      </c>
      <c r="C4925" t="s">
        <v>14661</v>
      </c>
    </row>
    <row r="4926" spans="1:3" x14ac:dyDescent="0.35">
      <c r="A4926" t="s">
        <v>14662</v>
      </c>
      <c r="B4926" t="s">
        <v>14663</v>
      </c>
      <c r="C4926" t="s">
        <v>14664</v>
      </c>
    </row>
    <row r="4927" spans="1:3" x14ac:dyDescent="0.35">
      <c r="A4927" t="s">
        <v>14665</v>
      </c>
      <c r="B4927" t="s">
        <v>14666</v>
      </c>
      <c r="C4927" t="s">
        <v>14667</v>
      </c>
    </row>
    <row r="4928" spans="1:3" x14ac:dyDescent="0.35">
      <c r="A4928" t="s">
        <v>14668</v>
      </c>
      <c r="B4928" t="s">
        <v>14669</v>
      </c>
      <c r="C4928" t="s">
        <v>14670</v>
      </c>
    </row>
    <row r="4929" spans="1:3" x14ac:dyDescent="0.35">
      <c r="A4929" t="s">
        <v>14671</v>
      </c>
      <c r="B4929" t="s">
        <v>14672</v>
      </c>
      <c r="C4929" t="s">
        <v>14673</v>
      </c>
    </row>
    <row r="4930" spans="1:3" x14ac:dyDescent="0.35">
      <c r="A4930" t="s">
        <v>14674</v>
      </c>
      <c r="B4930" t="s">
        <v>14675</v>
      </c>
      <c r="C4930" t="s">
        <v>14676</v>
      </c>
    </row>
    <row r="4931" spans="1:3" x14ac:dyDescent="0.35">
      <c r="A4931" t="s">
        <v>14677</v>
      </c>
      <c r="B4931" t="s">
        <v>14678</v>
      </c>
      <c r="C4931" t="s">
        <v>14679</v>
      </c>
    </row>
    <row r="4932" spans="1:3" x14ac:dyDescent="0.35">
      <c r="A4932" t="s">
        <v>14680</v>
      </c>
      <c r="B4932" t="s">
        <v>14681</v>
      </c>
      <c r="C4932" t="s">
        <v>14682</v>
      </c>
    </row>
    <row r="4933" spans="1:3" x14ac:dyDescent="0.35">
      <c r="A4933" t="s">
        <v>14683</v>
      </c>
      <c r="B4933" t="s">
        <v>14684</v>
      </c>
      <c r="C4933" t="s">
        <v>14685</v>
      </c>
    </row>
    <row r="4934" spans="1:3" x14ac:dyDescent="0.35">
      <c r="A4934" t="s">
        <v>14686</v>
      </c>
      <c r="B4934" t="s">
        <v>14687</v>
      </c>
      <c r="C4934" t="s">
        <v>14688</v>
      </c>
    </row>
    <row r="4935" spans="1:3" x14ac:dyDescent="0.35">
      <c r="A4935" t="s">
        <v>14689</v>
      </c>
      <c r="B4935" t="s">
        <v>14690</v>
      </c>
      <c r="C4935" t="s">
        <v>14691</v>
      </c>
    </row>
    <row r="4936" spans="1:3" x14ac:dyDescent="0.35">
      <c r="A4936" t="s">
        <v>14692</v>
      </c>
      <c r="B4936" t="s">
        <v>14693</v>
      </c>
      <c r="C4936" t="s">
        <v>14694</v>
      </c>
    </row>
    <row r="4937" spans="1:3" x14ac:dyDescent="0.35">
      <c r="A4937" t="s">
        <v>14695</v>
      </c>
      <c r="B4937" t="s">
        <v>14696</v>
      </c>
      <c r="C4937" t="s">
        <v>14697</v>
      </c>
    </row>
    <row r="4938" spans="1:3" x14ac:dyDescent="0.35">
      <c r="A4938" t="s">
        <v>14698</v>
      </c>
      <c r="B4938" t="s">
        <v>14699</v>
      </c>
      <c r="C4938" t="s">
        <v>14700</v>
      </c>
    </row>
    <row r="4939" spans="1:3" x14ac:dyDescent="0.35">
      <c r="A4939" t="s">
        <v>14701</v>
      </c>
      <c r="B4939" t="s">
        <v>14702</v>
      </c>
      <c r="C4939" t="s">
        <v>14703</v>
      </c>
    </row>
    <row r="4940" spans="1:3" x14ac:dyDescent="0.35">
      <c r="A4940" t="s">
        <v>14704</v>
      </c>
      <c r="B4940" t="s">
        <v>14705</v>
      </c>
      <c r="C4940" t="s">
        <v>14706</v>
      </c>
    </row>
    <row r="4941" spans="1:3" x14ac:dyDescent="0.35">
      <c r="A4941" t="s">
        <v>14707</v>
      </c>
      <c r="B4941" t="s">
        <v>14708</v>
      </c>
      <c r="C4941" t="s">
        <v>14709</v>
      </c>
    </row>
    <row r="4942" spans="1:3" x14ac:dyDescent="0.35">
      <c r="A4942" t="s">
        <v>14710</v>
      </c>
      <c r="B4942" t="s">
        <v>14711</v>
      </c>
      <c r="C4942" t="s">
        <v>14712</v>
      </c>
    </row>
    <row r="4943" spans="1:3" x14ac:dyDescent="0.35">
      <c r="A4943" t="s">
        <v>14713</v>
      </c>
      <c r="B4943" t="s">
        <v>14714</v>
      </c>
      <c r="C4943" t="s">
        <v>14715</v>
      </c>
    </row>
    <row r="4944" spans="1:3" x14ac:dyDescent="0.35">
      <c r="A4944" t="s">
        <v>14716</v>
      </c>
      <c r="B4944" t="s">
        <v>14717</v>
      </c>
      <c r="C4944" t="s">
        <v>14718</v>
      </c>
    </row>
    <row r="4945" spans="1:3" x14ac:dyDescent="0.35">
      <c r="A4945" t="s">
        <v>14719</v>
      </c>
      <c r="B4945" t="s">
        <v>14720</v>
      </c>
      <c r="C4945" t="s">
        <v>14721</v>
      </c>
    </row>
    <row r="4946" spans="1:3" x14ac:dyDescent="0.35">
      <c r="A4946" t="s">
        <v>14722</v>
      </c>
      <c r="B4946" t="s">
        <v>14723</v>
      </c>
      <c r="C4946" t="s">
        <v>14724</v>
      </c>
    </row>
    <row r="4947" spans="1:3" x14ac:dyDescent="0.35">
      <c r="A4947" t="s">
        <v>14725</v>
      </c>
      <c r="B4947" t="s">
        <v>14726</v>
      </c>
      <c r="C4947" t="s">
        <v>14727</v>
      </c>
    </row>
    <row r="4948" spans="1:3" x14ac:dyDescent="0.35">
      <c r="A4948" t="s">
        <v>14728</v>
      </c>
      <c r="B4948" t="s">
        <v>14729</v>
      </c>
      <c r="C4948" t="s">
        <v>14730</v>
      </c>
    </row>
    <row r="4949" spans="1:3" x14ac:dyDescent="0.35">
      <c r="A4949" t="s">
        <v>14731</v>
      </c>
      <c r="B4949" t="s">
        <v>14732</v>
      </c>
      <c r="C4949" t="s">
        <v>14733</v>
      </c>
    </row>
    <row r="4950" spans="1:3" x14ac:dyDescent="0.35">
      <c r="A4950" t="s">
        <v>14734</v>
      </c>
      <c r="B4950" t="s">
        <v>14735</v>
      </c>
      <c r="C4950" t="s">
        <v>14736</v>
      </c>
    </row>
    <row r="4951" spans="1:3" x14ac:dyDescent="0.35">
      <c r="A4951" t="s">
        <v>14737</v>
      </c>
      <c r="B4951" t="s">
        <v>14738</v>
      </c>
      <c r="C4951" t="s">
        <v>14739</v>
      </c>
    </row>
    <row r="4952" spans="1:3" x14ac:dyDescent="0.35">
      <c r="A4952" t="s">
        <v>14740</v>
      </c>
      <c r="B4952" t="s">
        <v>14741</v>
      </c>
      <c r="C4952" t="s">
        <v>14742</v>
      </c>
    </row>
    <row r="4953" spans="1:3" x14ac:dyDescent="0.35">
      <c r="A4953" t="s">
        <v>14743</v>
      </c>
      <c r="B4953" t="s">
        <v>14744</v>
      </c>
      <c r="C4953" t="s">
        <v>14745</v>
      </c>
    </row>
    <row r="4954" spans="1:3" x14ac:dyDescent="0.35">
      <c r="A4954" t="s">
        <v>14746</v>
      </c>
      <c r="B4954" t="s">
        <v>14747</v>
      </c>
      <c r="C4954" t="s">
        <v>14748</v>
      </c>
    </row>
    <row r="4955" spans="1:3" x14ac:dyDescent="0.35">
      <c r="A4955" t="s">
        <v>14749</v>
      </c>
      <c r="B4955" t="s">
        <v>14750</v>
      </c>
      <c r="C4955" t="s">
        <v>14751</v>
      </c>
    </row>
    <row r="4956" spans="1:3" x14ac:dyDescent="0.35">
      <c r="A4956" t="s">
        <v>14752</v>
      </c>
      <c r="B4956" t="s">
        <v>14753</v>
      </c>
      <c r="C4956" t="s">
        <v>14754</v>
      </c>
    </row>
    <row r="4957" spans="1:3" x14ac:dyDescent="0.35">
      <c r="A4957" t="s">
        <v>103</v>
      </c>
      <c r="B4957" t="s">
        <v>14755</v>
      </c>
      <c r="C4957" t="s">
        <v>14756</v>
      </c>
    </row>
    <row r="4958" spans="1:3" x14ac:dyDescent="0.35">
      <c r="A4958" t="s">
        <v>14757</v>
      </c>
      <c r="B4958" t="s">
        <v>14758</v>
      </c>
      <c r="C4958" t="s">
        <v>14759</v>
      </c>
    </row>
    <row r="4959" spans="1:3" x14ac:dyDescent="0.35">
      <c r="A4959" t="s">
        <v>14760</v>
      </c>
      <c r="B4959" t="s">
        <v>14761</v>
      </c>
      <c r="C4959" t="s">
        <v>14762</v>
      </c>
    </row>
    <row r="4960" spans="1:3" x14ac:dyDescent="0.35">
      <c r="A4960" t="s">
        <v>14763</v>
      </c>
      <c r="B4960" t="s">
        <v>14764</v>
      </c>
      <c r="C4960" t="s">
        <v>14765</v>
      </c>
    </row>
    <row r="4961" spans="1:3" x14ac:dyDescent="0.35">
      <c r="A4961" t="s">
        <v>79</v>
      </c>
      <c r="B4961" t="s">
        <v>14766</v>
      </c>
      <c r="C4961" t="s">
        <v>14767</v>
      </c>
    </row>
    <row r="4962" spans="1:3" x14ac:dyDescent="0.35">
      <c r="A4962" t="s">
        <v>14768</v>
      </c>
      <c r="B4962" t="s">
        <v>14769</v>
      </c>
      <c r="C4962" t="s">
        <v>14770</v>
      </c>
    </row>
    <row r="4963" spans="1:3" x14ac:dyDescent="0.35">
      <c r="A4963" t="s">
        <v>14771</v>
      </c>
      <c r="B4963" t="s">
        <v>14772</v>
      </c>
      <c r="C4963" t="s">
        <v>14773</v>
      </c>
    </row>
    <row r="4964" spans="1:3" x14ac:dyDescent="0.35">
      <c r="A4964" t="s">
        <v>14774</v>
      </c>
      <c r="B4964" t="s">
        <v>14775</v>
      </c>
      <c r="C4964" t="s">
        <v>14776</v>
      </c>
    </row>
    <row r="4965" spans="1:3" x14ac:dyDescent="0.35">
      <c r="A4965" t="s">
        <v>14777</v>
      </c>
      <c r="B4965" t="s">
        <v>14778</v>
      </c>
      <c r="C4965" t="s">
        <v>14779</v>
      </c>
    </row>
    <row r="4966" spans="1:3" x14ac:dyDescent="0.35">
      <c r="A4966" t="s">
        <v>14777</v>
      </c>
      <c r="B4966" t="s">
        <v>14780</v>
      </c>
      <c r="C4966" t="s">
        <v>14781</v>
      </c>
    </row>
    <row r="4967" spans="1:3" x14ac:dyDescent="0.35">
      <c r="A4967" t="s">
        <v>14782</v>
      </c>
      <c r="B4967" t="s">
        <v>14783</v>
      </c>
      <c r="C4967" t="s">
        <v>14784</v>
      </c>
    </row>
    <row r="4968" spans="1:3" x14ac:dyDescent="0.35">
      <c r="A4968" t="s">
        <v>14785</v>
      </c>
      <c r="B4968" t="s">
        <v>14786</v>
      </c>
      <c r="C4968" t="s">
        <v>14787</v>
      </c>
    </row>
    <row r="4969" spans="1:3" x14ac:dyDescent="0.35">
      <c r="A4969" t="s">
        <v>14788</v>
      </c>
      <c r="B4969" t="s">
        <v>14789</v>
      </c>
      <c r="C4969" t="s">
        <v>14790</v>
      </c>
    </row>
    <row r="4970" spans="1:3" x14ac:dyDescent="0.35">
      <c r="A4970" t="s">
        <v>14791</v>
      </c>
      <c r="B4970" t="s">
        <v>14792</v>
      </c>
      <c r="C4970" t="s">
        <v>14793</v>
      </c>
    </row>
    <row r="4971" spans="1:3" x14ac:dyDescent="0.35">
      <c r="A4971" t="s">
        <v>14794</v>
      </c>
      <c r="B4971" t="s">
        <v>14795</v>
      </c>
      <c r="C4971" t="s">
        <v>14796</v>
      </c>
    </row>
    <row r="4972" spans="1:3" x14ac:dyDescent="0.35">
      <c r="A4972" t="s">
        <v>14797</v>
      </c>
      <c r="B4972" t="s">
        <v>14798</v>
      </c>
      <c r="C4972" t="s">
        <v>14799</v>
      </c>
    </row>
    <row r="4973" spans="1:3" x14ac:dyDescent="0.35">
      <c r="A4973" t="s">
        <v>14800</v>
      </c>
      <c r="B4973" t="s">
        <v>14801</v>
      </c>
      <c r="C4973" t="s">
        <v>14802</v>
      </c>
    </row>
    <row r="4974" spans="1:3" x14ac:dyDescent="0.35">
      <c r="A4974" t="s">
        <v>14803</v>
      </c>
      <c r="B4974" t="s">
        <v>14804</v>
      </c>
      <c r="C4974" t="s">
        <v>14805</v>
      </c>
    </row>
    <row r="4975" spans="1:3" x14ac:dyDescent="0.35">
      <c r="A4975" t="s">
        <v>14806</v>
      </c>
      <c r="B4975" t="s">
        <v>14807</v>
      </c>
      <c r="C4975" t="s">
        <v>14808</v>
      </c>
    </row>
    <row r="4976" spans="1:3" x14ac:dyDescent="0.35">
      <c r="A4976" t="s">
        <v>14809</v>
      </c>
      <c r="B4976" t="s">
        <v>14810</v>
      </c>
      <c r="C4976" t="s">
        <v>14811</v>
      </c>
    </row>
    <row r="4977" spans="1:3" x14ac:dyDescent="0.35">
      <c r="A4977" t="s">
        <v>14812</v>
      </c>
      <c r="B4977" t="s">
        <v>14813</v>
      </c>
      <c r="C4977" t="s">
        <v>14814</v>
      </c>
    </row>
    <row r="4978" spans="1:3" x14ac:dyDescent="0.35">
      <c r="A4978" t="s">
        <v>14812</v>
      </c>
      <c r="B4978" t="s">
        <v>14815</v>
      </c>
      <c r="C4978" t="s">
        <v>14816</v>
      </c>
    </row>
    <row r="4979" spans="1:3" x14ac:dyDescent="0.35">
      <c r="A4979" t="s">
        <v>14817</v>
      </c>
      <c r="B4979" t="s">
        <v>14818</v>
      </c>
      <c r="C4979" t="s">
        <v>14819</v>
      </c>
    </row>
    <row r="4980" spans="1:3" x14ac:dyDescent="0.35">
      <c r="A4980" t="s">
        <v>14820</v>
      </c>
      <c r="B4980" t="s">
        <v>14821</v>
      </c>
      <c r="C4980" t="s">
        <v>14822</v>
      </c>
    </row>
    <row r="4981" spans="1:3" x14ac:dyDescent="0.35">
      <c r="A4981" t="s">
        <v>14823</v>
      </c>
      <c r="B4981" t="s">
        <v>14824</v>
      </c>
      <c r="C4981" t="s">
        <v>14825</v>
      </c>
    </row>
    <row r="4982" spans="1:3" x14ac:dyDescent="0.35">
      <c r="A4982" t="s">
        <v>14826</v>
      </c>
      <c r="B4982" t="s">
        <v>14827</v>
      </c>
      <c r="C4982" t="s">
        <v>14828</v>
      </c>
    </row>
    <row r="4983" spans="1:3" x14ac:dyDescent="0.35">
      <c r="A4983" t="s">
        <v>14829</v>
      </c>
      <c r="B4983" t="s">
        <v>14830</v>
      </c>
      <c r="C4983" t="s">
        <v>14831</v>
      </c>
    </row>
    <row r="4984" spans="1:3" x14ac:dyDescent="0.35">
      <c r="A4984" t="s">
        <v>14832</v>
      </c>
      <c r="B4984" t="s">
        <v>14833</v>
      </c>
      <c r="C4984" t="s">
        <v>14834</v>
      </c>
    </row>
    <row r="4985" spans="1:3" x14ac:dyDescent="0.35">
      <c r="A4985" t="s">
        <v>14835</v>
      </c>
      <c r="B4985" t="s">
        <v>14836</v>
      </c>
      <c r="C4985" t="s">
        <v>14837</v>
      </c>
    </row>
    <row r="4986" spans="1:3" x14ac:dyDescent="0.35">
      <c r="A4986" t="s">
        <v>14838</v>
      </c>
      <c r="B4986" t="s">
        <v>14839</v>
      </c>
      <c r="C4986" t="s">
        <v>14840</v>
      </c>
    </row>
    <row r="4987" spans="1:3" x14ac:dyDescent="0.35">
      <c r="A4987" t="s">
        <v>14841</v>
      </c>
      <c r="B4987" t="s">
        <v>14842</v>
      </c>
      <c r="C4987" t="s">
        <v>14843</v>
      </c>
    </row>
    <row r="4988" spans="1:3" x14ac:dyDescent="0.35">
      <c r="A4988" t="s">
        <v>14844</v>
      </c>
      <c r="B4988" t="s">
        <v>14845</v>
      </c>
      <c r="C4988" t="s">
        <v>14846</v>
      </c>
    </row>
    <row r="4989" spans="1:3" x14ac:dyDescent="0.35">
      <c r="A4989" t="s">
        <v>14847</v>
      </c>
      <c r="B4989" t="s">
        <v>14848</v>
      </c>
      <c r="C4989" t="s">
        <v>14849</v>
      </c>
    </row>
    <row r="4990" spans="1:3" x14ac:dyDescent="0.35">
      <c r="A4990" t="s">
        <v>14850</v>
      </c>
      <c r="B4990" t="s">
        <v>14851</v>
      </c>
      <c r="C4990" t="s">
        <v>14852</v>
      </c>
    </row>
    <row r="4991" spans="1:3" x14ac:dyDescent="0.35">
      <c r="A4991" t="s">
        <v>14853</v>
      </c>
      <c r="B4991" t="s">
        <v>14854</v>
      </c>
      <c r="C4991" t="s">
        <v>14855</v>
      </c>
    </row>
    <row r="4992" spans="1:3" x14ac:dyDescent="0.35">
      <c r="A4992" t="s">
        <v>14856</v>
      </c>
      <c r="B4992" t="s">
        <v>14857</v>
      </c>
      <c r="C4992" t="s">
        <v>14858</v>
      </c>
    </row>
    <row r="4993" spans="1:3" x14ac:dyDescent="0.35">
      <c r="A4993" t="s">
        <v>14859</v>
      </c>
      <c r="B4993" t="s">
        <v>14860</v>
      </c>
      <c r="C4993" t="s">
        <v>14861</v>
      </c>
    </row>
    <row r="4994" spans="1:3" x14ac:dyDescent="0.35">
      <c r="A4994" t="s">
        <v>14862</v>
      </c>
      <c r="B4994" t="s">
        <v>14863</v>
      </c>
      <c r="C4994" t="s">
        <v>14864</v>
      </c>
    </row>
    <row r="4995" spans="1:3" x14ac:dyDescent="0.35">
      <c r="A4995" t="s">
        <v>14865</v>
      </c>
      <c r="B4995" t="s">
        <v>14866</v>
      </c>
      <c r="C4995" t="s">
        <v>14867</v>
      </c>
    </row>
    <row r="4996" spans="1:3" x14ac:dyDescent="0.35">
      <c r="A4996" t="s">
        <v>14868</v>
      </c>
      <c r="B4996" t="s">
        <v>14869</v>
      </c>
      <c r="C4996" t="s">
        <v>14870</v>
      </c>
    </row>
    <row r="4997" spans="1:3" x14ac:dyDescent="0.35">
      <c r="A4997" t="s">
        <v>14871</v>
      </c>
      <c r="B4997" t="s">
        <v>14872</v>
      </c>
      <c r="C4997" t="s">
        <v>14873</v>
      </c>
    </row>
    <row r="4998" spans="1:3" x14ac:dyDescent="0.35">
      <c r="A4998" t="s">
        <v>14874</v>
      </c>
      <c r="B4998" t="s">
        <v>14875</v>
      </c>
      <c r="C4998" t="s">
        <v>14876</v>
      </c>
    </row>
    <row r="4999" spans="1:3" x14ac:dyDescent="0.35">
      <c r="A4999" t="s">
        <v>14877</v>
      </c>
      <c r="B4999" t="s">
        <v>14878</v>
      </c>
      <c r="C4999" t="s">
        <v>14879</v>
      </c>
    </row>
    <row r="5000" spans="1:3" x14ac:dyDescent="0.35">
      <c r="A5000" t="s">
        <v>14880</v>
      </c>
      <c r="B5000" t="s">
        <v>14881</v>
      </c>
      <c r="C5000" t="s">
        <v>14882</v>
      </c>
    </row>
    <row r="5001" spans="1:3" x14ac:dyDescent="0.35">
      <c r="A5001" t="s">
        <v>14883</v>
      </c>
      <c r="B5001" t="s">
        <v>14884</v>
      </c>
      <c r="C5001" t="s">
        <v>14885</v>
      </c>
    </row>
    <row r="5002" spans="1:3" x14ac:dyDescent="0.35">
      <c r="A5002" t="s">
        <v>14886</v>
      </c>
      <c r="B5002" t="s">
        <v>14887</v>
      </c>
      <c r="C5002" t="s">
        <v>14888</v>
      </c>
    </row>
    <row r="5003" spans="1:3" x14ac:dyDescent="0.35">
      <c r="A5003" t="s">
        <v>14889</v>
      </c>
      <c r="B5003" t="s">
        <v>14890</v>
      </c>
      <c r="C5003" t="s">
        <v>14891</v>
      </c>
    </row>
    <row r="5004" spans="1:3" x14ac:dyDescent="0.35">
      <c r="A5004" t="s">
        <v>14892</v>
      </c>
      <c r="B5004" t="s">
        <v>14893</v>
      </c>
      <c r="C5004" t="s">
        <v>14894</v>
      </c>
    </row>
    <row r="5005" spans="1:3" x14ac:dyDescent="0.35">
      <c r="A5005" t="s">
        <v>14895</v>
      </c>
      <c r="B5005" t="s">
        <v>14896</v>
      </c>
      <c r="C5005" t="s">
        <v>14897</v>
      </c>
    </row>
    <row r="5006" spans="1:3" x14ac:dyDescent="0.35">
      <c r="A5006" t="s">
        <v>14898</v>
      </c>
      <c r="B5006" t="s">
        <v>14899</v>
      </c>
      <c r="C5006" t="s">
        <v>14900</v>
      </c>
    </row>
    <row r="5007" spans="1:3" x14ac:dyDescent="0.35">
      <c r="A5007" t="s">
        <v>14901</v>
      </c>
      <c r="B5007" t="s">
        <v>14902</v>
      </c>
      <c r="C5007" t="s">
        <v>14903</v>
      </c>
    </row>
    <row r="5008" spans="1:3" x14ac:dyDescent="0.35">
      <c r="A5008" t="s">
        <v>14904</v>
      </c>
      <c r="B5008" t="s">
        <v>14905</v>
      </c>
      <c r="C5008" t="s">
        <v>14906</v>
      </c>
    </row>
    <row r="5009" spans="1:3" x14ac:dyDescent="0.35">
      <c r="A5009" t="s">
        <v>14904</v>
      </c>
      <c r="B5009" t="s">
        <v>14907</v>
      </c>
      <c r="C5009" t="s">
        <v>14908</v>
      </c>
    </row>
    <row r="5010" spans="1:3" x14ac:dyDescent="0.35">
      <c r="A5010" t="s">
        <v>14909</v>
      </c>
      <c r="B5010" t="s">
        <v>14910</v>
      </c>
      <c r="C5010" t="s">
        <v>14911</v>
      </c>
    </row>
    <row r="5011" spans="1:3" x14ac:dyDescent="0.35">
      <c r="A5011" t="s">
        <v>14912</v>
      </c>
      <c r="B5011" t="s">
        <v>14913</v>
      </c>
      <c r="C5011" t="s">
        <v>14914</v>
      </c>
    </row>
    <row r="5012" spans="1:3" x14ac:dyDescent="0.35">
      <c r="A5012" t="s">
        <v>14915</v>
      </c>
      <c r="B5012" t="s">
        <v>14916</v>
      </c>
      <c r="C5012" t="s">
        <v>14917</v>
      </c>
    </row>
    <row r="5013" spans="1:3" x14ac:dyDescent="0.35">
      <c r="A5013" t="s">
        <v>14915</v>
      </c>
      <c r="B5013" t="s">
        <v>14918</v>
      </c>
      <c r="C5013" t="s">
        <v>14919</v>
      </c>
    </row>
    <row r="5014" spans="1:3" x14ac:dyDescent="0.35">
      <c r="A5014" t="s">
        <v>14920</v>
      </c>
      <c r="B5014" t="s">
        <v>14921</v>
      </c>
      <c r="C5014" t="s">
        <v>14922</v>
      </c>
    </row>
    <row r="5015" spans="1:3" x14ac:dyDescent="0.35">
      <c r="A5015" t="s">
        <v>14923</v>
      </c>
      <c r="B5015" t="s">
        <v>14924</v>
      </c>
      <c r="C5015" t="s">
        <v>14925</v>
      </c>
    </row>
    <row r="5016" spans="1:3" x14ac:dyDescent="0.35">
      <c r="A5016" t="s">
        <v>14926</v>
      </c>
      <c r="B5016" t="s">
        <v>14927</v>
      </c>
      <c r="C5016" t="s">
        <v>14928</v>
      </c>
    </row>
    <row r="5017" spans="1:3" x14ac:dyDescent="0.35">
      <c r="A5017" t="s">
        <v>14929</v>
      </c>
      <c r="B5017" t="s">
        <v>14930</v>
      </c>
      <c r="C5017" t="s">
        <v>14931</v>
      </c>
    </row>
    <row r="5018" spans="1:3" x14ac:dyDescent="0.35">
      <c r="A5018" t="s">
        <v>14932</v>
      </c>
      <c r="B5018" t="s">
        <v>14933</v>
      </c>
      <c r="C5018" t="s">
        <v>14934</v>
      </c>
    </row>
    <row r="5019" spans="1:3" x14ac:dyDescent="0.35">
      <c r="A5019" t="s">
        <v>14935</v>
      </c>
      <c r="B5019" t="s">
        <v>14936</v>
      </c>
      <c r="C5019" t="s">
        <v>14937</v>
      </c>
    </row>
    <row r="5020" spans="1:3" x14ac:dyDescent="0.35">
      <c r="A5020" t="s">
        <v>14938</v>
      </c>
      <c r="B5020" t="s">
        <v>14939</v>
      </c>
      <c r="C5020" t="s">
        <v>14940</v>
      </c>
    </row>
    <row r="5021" spans="1:3" x14ac:dyDescent="0.35">
      <c r="A5021" t="s">
        <v>14941</v>
      </c>
      <c r="B5021" t="s">
        <v>14942</v>
      </c>
      <c r="C5021" t="s">
        <v>14943</v>
      </c>
    </row>
    <row r="5022" spans="1:3" x14ac:dyDescent="0.35">
      <c r="A5022" t="s">
        <v>14944</v>
      </c>
      <c r="B5022" t="s">
        <v>14945</v>
      </c>
      <c r="C5022" t="s">
        <v>14946</v>
      </c>
    </row>
    <row r="5023" spans="1:3" x14ac:dyDescent="0.35">
      <c r="A5023" t="s">
        <v>14947</v>
      </c>
      <c r="B5023" t="s">
        <v>14948</v>
      </c>
      <c r="C5023" t="s">
        <v>14949</v>
      </c>
    </row>
    <row r="5024" spans="1:3" x14ac:dyDescent="0.35">
      <c r="A5024" t="s">
        <v>104</v>
      </c>
      <c r="B5024" t="s">
        <v>14950</v>
      </c>
      <c r="C5024" t="s">
        <v>14951</v>
      </c>
    </row>
    <row r="5025" spans="1:3" x14ac:dyDescent="0.35">
      <c r="A5025" t="s">
        <v>104</v>
      </c>
      <c r="B5025" t="s">
        <v>14952</v>
      </c>
      <c r="C5025" t="s">
        <v>14953</v>
      </c>
    </row>
    <row r="5026" spans="1:3" x14ac:dyDescent="0.35">
      <c r="A5026" t="s">
        <v>14954</v>
      </c>
      <c r="B5026" t="s">
        <v>14955</v>
      </c>
      <c r="C5026" t="s">
        <v>14956</v>
      </c>
    </row>
    <row r="5027" spans="1:3" x14ac:dyDescent="0.35">
      <c r="A5027" t="s">
        <v>14957</v>
      </c>
      <c r="B5027" t="s">
        <v>14958</v>
      </c>
      <c r="C5027" t="s">
        <v>14959</v>
      </c>
    </row>
    <row r="5028" spans="1:3" x14ac:dyDescent="0.35">
      <c r="A5028" t="s">
        <v>14960</v>
      </c>
      <c r="B5028" t="s">
        <v>14961</v>
      </c>
      <c r="C5028" t="s">
        <v>14962</v>
      </c>
    </row>
    <row r="5029" spans="1:3" x14ac:dyDescent="0.35">
      <c r="A5029" t="s">
        <v>14963</v>
      </c>
      <c r="B5029" t="s">
        <v>14964</v>
      </c>
      <c r="C5029" t="s">
        <v>14965</v>
      </c>
    </row>
    <row r="5030" spans="1:3" x14ac:dyDescent="0.35">
      <c r="A5030" t="s">
        <v>14966</v>
      </c>
      <c r="B5030" t="s">
        <v>14967</v>
      </c>
      <c r="C5030" t="s">
        <v>14968</v>
      </c>
    </row>
    <row r="5031" spans="1:3" x14ac:dyDescent="0.35">
      <c r="A5031" t="s">
        <v>14969</v>
      </c>
      <c r="B5031" t="s">
        <v>14970</v>
      </c>
      <c r="C5031" t="s">
        <v>14971</v>
      </c>
    </row>
    <row r="5032" spans="1:3" x14ac:dyDescent="0.35">
      <c r="A5032" t="s">
        <v>14972</v>
      </c>
      <c r="B5032" t="s">
        <v>14973</v>
      </c>
      <c r="C5032" t="s">
        <v>14974</v>
      </c>
    </row>
    <row r="5033" spans="1:3" x14ac:dyDescent="0.35">
      <c r="A5033" t="s">
        <v>105</v>
      </c>
      <c r="B5033" t="s">
        <v>14975</v>
      </c>
      <c r="C5033" t="s">
        <v>14976</v>
      </c>
    </row>
    <row r="5034" spans="1:3" x14ac:dyDescent="0.35">
      <c r="A5034" t="s">
        <v>14977</v>
      </c>
      <c r="B5034" t="s">
        <v>14978</v>
      </c>
      <c r="C5034" t="s">
        <v>14979</v>
      </c>
    </row>
    <row r="5035" spans="1:3" x14ac:dyDescent="0.35">
      <c r="A5035" t="s">
        <v>14980</v>
      </c>
      <c r="B5035" t="s">
        <v>14981</v>
      </c>
      <c r="C5035" t="s">
        <v>14982</v>
      </c>
    </row>
    <row r="5036" spans="1:3" x14ac:dyDescent="0.35">
      <c r="A5036" t="s">
        <v>14983</v>
      </c>
      <c r="B5036" t="s">
        <v>14984</v>
      </c>
      <c r="C5036" t="s">
        <v>14985</v>
      </c>
    </row>
    <row r="5037" spans="1:3" x14ac:dyDescent="0.35">
      <c r="A5037" t="s">
        <v>106</v>
      </c>
      <c r="B5037" t="s">
        <v>14986</v>
      </c>
      <c r="C5037" t="s">
        <v>14987</v>
      </c>
    </row>
    <row r="5038" spans="1:3" x14ac:dyDescent="0.35">
      <c r="A5038" t="s">
        <v>107</v>
      </c>
      <c r="B5038" t="s">
        <v>14988</v>
      </c>
      <c r="C5038" t="s">
        <v>14989</v>
      </c>
    </row>
    <row r="5039" spans="1:3" x14ac:dyDescent="0.35">
      <c r="A5039" t="s">
        <v>14990</v>
      </c>
      <c r="B5039" t="s">
        <v>14991</v>
      </c>
      <c r="C5039" t="s">
        <v>14992</v>
      </c>
    </row>
    <row r="5040" spans="1:3" x14ac:dyDescent="0.35">
      <c r="A5040" t="s">
        <v>14993</v>
      </c>
      <c r="B5040" t="s">
        <v>14994</v>
      </c>
      <c r="C5040" t="s">
        <v>14995</v>
      </c>
    </row>
    <row r="5041" spans="1:3" x14ac:dyDescent="0.35">
      <c r="A5041" t="s">
        <v>14996</v>
      </c>
      <c r="B5041" t="s">
        <v>14997</v>
      </c>
      <c r="C5041" t="s">
        <v>14998</v>
      </c>
    </row>
    <row r="5042" spans="1:3" x14ac:dyDescent="0.35">
      <c r="A5042" t="s">
        <v>14999</v>
      </c>
      <c r="B5042" t="s">
        <v>15000</v>
      </c>
      <c r="C5042" t="s">
        <v>15001</v>
      </c>
    </row>
    <row r="5043" spans="1:3" x14ac:dyDescent="0.35">
      <c r="A5043" t="s">
        <v>15002</v>
      </c>
      <c r="B5043" t="s">
        <v>15003</v>
      </c>
      <c r="C5043" t="s">
        <v>15004</v>
      </c>
    </row>
    <row r="5044" spans="1:3" x14ac:dyDescent="0.35">
      <c r="A5044" t="s">
        <v>15002</v>
      </c>
      <c r="B5044" t="s">
        <v>15005</v>
      </c>
      <c r="C5044" t="s">
        <v>15006</v>
      </c>
    </row>
    <row r="5045" spans="1:3" x14ac:dyDescent="0.35">
      <c r="A5045" t="s">
        <v>15007</v>
      </c>
      <c r="B5045" t="s">
        <v>15008</v>
      </c>
      <c r="C5045" t="s">
        <v>15009</v>
      </c>
    </row>
    <row r="5046" spans="1:3" x14ac:dyDescent="0.35">
      <c r="A5046" t="s">
        <v>15010</v>
      </c>
      <c r="B5046" t="s">
        <v>15011</v>
      </c>
      <c r="C5046" t="s">
        <v>15012</v>
      </c>
    </row>
    <row r="5047" spans="1:3" x14ac:dyDescent="0.35">
      <c r="A5047" t="s">
        <v>15013</v>
      </c>
      <c r="B5047" t="s">
        <v>15014</v>
      </c>
      <c r="C5047" t="s">
        <v>15015</v>
      </c>
    </row>
    <row r="5048" spans="1:3" x14ac:dyDescent="0.35">
      <c r="A5048" t="s">
        <v>15016</v>
      </c>
      <c r="B5048" t="s">
        <v>15017</v>
      </c>
      <c r="C5048" t="s">
        <v>15018</v>
      </c>
    </row>
    <row r="5049" spans="1:3" x14ac:dyDescent="0.35">
      <c r="A5049" t="s">
        <v>15019</v>
      </c>
      <c r="B5049" t="s">
        <v>15020</v>
      </c>
      <c r="C5049" t="s">
        <v>15021</v>
      </c>
    </row>
    <row r="5050" spans="1:3" x14ac:dyDescent="0.35">
      <c r="A5050" t="s">
        <v>15022</v>
      </c>
      <c r="B5050" t="s">
        <v>15023</v>
      </c>
      <c r="C5050" t="s">
        <v>15024</v>
      </c>
    </row>
    <row r="5051" spans="1:3" x14ac:dyDescent="0.35">
      <c r="A5051" t="s">
        <v>15025</v>
      </c>
      <c r="B5051" t="s">
        <v>15026</v>
      </c>
      <c r="C5051" t="s">
        <v>15027</v>
      </c>
    </row>
    <row r="5052" spans="1:3" x14ac:dyDescent="0.35">
      <c r="A5052" t="s">
        <v>15028</v>
      </c>
      <c r="B5052" t="s">
        <v>15029</v>
      </c>
      <c r="C5052" t="s">
        <v>15030</v>
      </c>
    </row>
    <row r="5053" spans="1:3" x14ac:dyDescent="0.35">
      <c r="A5053" t="s">
        <v>15031</v>
      </c>
      <c r="B5053" t="s">
        <v>15032</v>
      </c>
      <c r="C5053" t="s">
        <v>15033</v>
      </c>
    </row>
    <row r="5054" spans="1:3" x14ac:dyDescent="0.35">
      <c r="A5054" t="s">
        <v>15034</v>
      </c>
      <c r="B5054" t="s">
        <v>15035</v>
      </c>
      <c r="C5054" t="s">
        <v>15036</v>
      </c>
    </row>
    <row r="5055" spans="1:3" x14ac:dyDescent="0.35">
      <c r="A5055" t="s">
        <v>15037</v>
      </c>
      <c r="B5055" t="s">
        <v>15038</v>
      </c>
      <c r="C5055" t="s">
        <v>15039</v>
      </c>
    </row>
    <row r="5056" spans="1:3" x14ac:dyDescent="0.35">
      <c r="A5056" t="s">
        <v>15040</v>
      </c>
      <c r="B5056" t="s">
        <v>15041</v>
      </c>
      <c r="C5056" t="s">
        <v>15042</v>
      </c>
    </row>
    <row r="5057" spans="1:3" x14ac:dyDescent="0.35">
      <c r="A5057" t="s">
        <v>15043</v>
      </c>
      <c r="B5057" t="s">
        <v>15044</v>
      </c>
      <c r="C5057" t="s">
        <v>15045</v>
      </c>
    </row>
    <row r="5058" spans="1:3" x14ac:dyDescent="0.35">
      <c r="A5058" t="s">
        <v>15046</v>
      </c>
      <c r="B5058" t="s">
        <v>15047</v>
      </c>
      <c r="C5058" t="s">
        <v>15048</v>
      </c>
    </row>
    <row r="5059" spans="1:3" x14ac:dyDescent="0.35">
      <c r="A5059" t="s">
        <v>15049</v>
      </c>
      <c r="B5059" t="s">
        <v>15050</v>
      </c>
      <c r="C5059" t="s">
        <v>15051</v>
      </c>
    </row>
    <row r="5060" spans="1:3" x14ac:dyDescent="0.35">
      <c r="A5060" t="s">
        <v>15052</v>
      </c>
      <c r="B5060" t="s">
        <v>15053</v>
      </c>
      <c r="C5060" t="s">
        <v>15054</v>
      </c>
    </row>
    <row r="5061" spans="1:3" x14ac:dyDescent="0.35">
      <c r="A5061" t="s">
        <v>15055</v>
      </c>
      <c r="B5061" t="s">
        <v>15056</v>
      </c>
      <c r="C5061" t="s">
        <v>15057</v>
      </c>
    </row>
    <row r="5062" spans="1:3" x14ac:dyDescent="0.35">
      <c r="A5062" t="s">
        <v>15058</v>
      </c>
      <c r="B5062" t="s">
        <v>15059</v>
      </c>
      <c r="C5062" t="s">
        <v>15060</v>
      </c>
    </row>
    <row r="5063" spans="1:3" x14ac:dyDescent="0.35">
      <c r="A5063" t="s">
        <v>15061</v>
      </c>
      <c r="B5063" t="s">
        <v>15062</v>
      </c>
      <c r="C5063" t="s">
        <v>15063</v>
      </c>
    </row>
    <row r="5064" spans="1:3" x14ac:dyDescent="0.35">
      <c r="A5064" t="s">
        <v>15064</v>
      </c>
      <c r="B5064" t="s">
        <v>14813</v>
      </c>
      <c r="C5064" t="s">
        <v>15065</v>
      </c>
    </row>
    <row r="5065" spans="1:3" x14ac:dyDescent="0.35">
      <c r="A5065" t="s">
        <v>15066</v>
      </c>
      <c r="B5065" t="s">
        <v>15067</v>
      </c>
      <c r="C5065" t="s">
        <v>15068</v>
      </c>
    </row>
    <row r="5066" spans="1:3" x14ac:dyDescent="0.35">
      <c r="A5066" t="s">
        <v>15069</v>
      </c>
      <c r="B5066" t="s">
        <v>15070</v>
      </c>
      <c r="C5066" t="s">
        <v>15071</v>
      </c>
    </row>
    <row r="5067" spans="1:3" x14ac:dyDescent="0.35">
      <c r="A5067" t="s">
        <v>15072</v>
      </c>
      <c r="B5067" t="s">
        <v>15073</v>
      </c>
      <c r="C5067" t="s">
        <v>15074</v>
      </c>
    </row>
    <row r="5068" spans="1:3" x14ac:dyDescent="0.35">
      <c r="A5068" t="s">
        <v>15075</v>
      </c>
      <c r="B5068" t="s">
        <v>15076</v>
      </c>
      <c r="C5068" t="s">
        <v>15077</v>
      </c>
    </row>
    <row r="5069" spans="1:3" x14ac:dyDescent="0.35">
      <c r="A5069" t="s">
        <v>15078</v>
      </c>
      <c r="B5069" t="s">
        <v>15079</v>
      </c>
      <c r="C5069" t="s">
        <v>15080</v>
      </c>
    </row>
    <row r="5070" spans="1:3" x14ac:dyDescent="0.35">
      <c r="A5070" t="s">
        <v>15081</v>
      </c>
      <c r="B5070" t="s">
        <v>15082</v>
      </c>
      <c r="C5070" t="s">
        <v>15083</v>
      </c>
    </row>
    <row r="5071" spans="1:3" x14ac:dyDescent="0.35">
      <c r="A5071" t="s">
        <v>15084</v>
      </c>
      <c r="B5071" t="s">
        <v>15085</v>
      </c>
      <c r="C5071" t="s">
        <v>15086</v>
      </c>
    </row>
    <row r="5072" spans="1:3" x14ac:dyDescent="0.35">
      <c r="A5072" t="s">
        <v>15087</v>
      </c>
      <c r="B5072" t="s">
        <v>15088</v>
      </c>
      <c r="C5072" t="s">
        <v>15089</v>
      </c>
    </row>
    <row r="5073" spans="1:3" x14ac:dyDescent="0.35">
      <c r="A5073" t="s">
        <v>15090</v>
      </c>
      <c r="B5073" t="s">
        <v>15091</v>
      </c>
      <c r="C5073" t="s">
        <v>15092</v>
      </c>
    </row>
    <row r="5074" spans="1:3" x14ac:dyDescent="0.35">
      <c r="A5074" t="s">
        <v>15093</v>
      </c>
      <c r="B5074" t="s">
        <v>15094</v>
      </c>
      <c r="C5074" t="s">
        <v>15095</v>
      </c>
    </row>
    <row r="5075" spans="1:3" x14ac:dyDescent="0.35">
      <c r="A5075" t="s">
        <v>15096</v>
      </c>
      <c r="B5075" t="s">
        <v>15097</v>
      </c>
      <c r="C5075" t="s">
        <v>15098</v>
      </c>
    </row>
    <row r="5076" spans="1:3" x14ac:dyDescent="0.35">
      <c r="A5076" t="s">
        <v>15099</v>
      </c>
      <c r="B5076" t="s">
        <v>15100</v>
      </c>
      <c r="C5076" t="s">
        <v>15101</v>
      </c>
    </row>
    <row r="5077" spans="1:3" x14ac:dyDescent="0.35">
      <c r="A5077" t="s">
        <v>15102</v>
      </c>
      <c r="B5077" t="s">
        <v>15103</v>
      </c>
      <c r="C5077" t="s">
        <v>15104</v>
      </c>
    </row>
    <row r="5078" spans="1:3" x14ac:dyDescent="0.35">
      <c r="A5078" t="s">
        <v>15105</v>
      </c>
      <c r="B5078" t="s">
        <v>15106</v>
      </c>
      <c r="C5078" t="s">
        <v>15107</v>
      </c>
    </row>
    <row r="5079" spans="1:3" x14ac:dyDescent="0.35">
      <c r="A5079" t="s">
        <v>15108</v>
      </c>
      <c r="B5079" t="s">
        <v>15109</v>
      </c>
      <c r="C5079" t="s">
        <v>15110</v>
      </c>
    </row>
    <row r="5080" spans="1:3" x14ac:dyDescent="0.35">
      <c r="A5080" t="s">
        <v>15111</v>
      </c>
      <c r="B5080" t="s">
        <v>15112</v>
      </c>
      <c r="C5080" t="s">
        <v>15113</v>
      </c>
    </row>
    <row r="5081" spans="1:3" x14ac:dyDescent="0.35">
      <c r="A5081" t="s">
        <v>15114</v>
      </c>
      <c r="B5081" t="s">
        <v>15115</v>
      </c>
      <c r="C5081" t="s">
        <v>15116</v>
      </c>
    </row>
    <row r="5082" spans="1:3" x14ac:dyDescent="0.35">
      <c r="A5082" t="s">
        <v>15117</v>
      </c>
      <c r="B5082" t="s">
        <v>15118</v>
      </c>
      <c r="C5082" t="s">
        <v>15119</v>
      </c>
    </row>
    <row r="5083" spans="1:3" x14ac:dyDescent="0.35">
      <c r="A5083" t="s">
        <v>15120</v>
      </c>
      <c r="B5083" t="s">
        <v>15121</v>
      </c>
      <c r="C5083" t="s">
        <v>15122</v>
      </c>
    </row>
    <row r="5084" spans="1:3" x14ac:dyDescent="0.35">
      <c r="A5084" t="s">
        <v>15123</v>
      </c>
      <c r="B5084" t="s">
        <v>15124</v>
      </c>
      <c r="C5084" t="s">
        <v>15125</v>
      </c>
    </row>
    <row r="5085" spans="1:3" x14ac:dyDescent="0.35">
      <c r="A5085" t="s">
        <v>15126</v>
      </c>
      <c r="B5085" t="s">
        <v>15127</v>
      </c>
      <c r="C5085" t="s">
        <v>15128</v>
      </c>
    </row>
    <row r="5086" spans="1:3" x14ac:dyDescent="0.35">
      <c r="A5086" t="s">
        <v>15129</v>
      </c>
      <c r="B5086" t="s">
        <v>15130</v>
      </c>
      <c r="C5086" t="s">
        <v>15131</v>
      </c>
    </row>
    <row r="5087" spans="1:3" x14ac:dyDescent="0.35">
      <c r="A5087" t="s">
        <v>15132</v>
      </c>
      <c r="B5087" t="s">
        <v>15133</v>
      </c>
      <c r="C5087" t="s">
        <v>15134</v>
      </c>
    </row>
    <row r="5088" spans="1:3" x14ac:dyDescent="0.35">
      <c r="A5088" t="s">
        <v>15135</v>
      </c>
      <c r="B5088" t="s">
        <v>15136</v>
      </c>
      <c r="C5088" t="s">
        <v>15137</v>
      </c>
    </row>
    <row r="5089" spans="1:3" x14ac:dyDescent="0.35">
      <c r="A5089" t="s">
        <v>15138</v>
      </c>
      <c r="B5089" t="s">
        <v>15139</v>
      </c>
      <c r="C5089" t="s">
        <v>15140</v>
      </c>
    </row>
    <row r="5090" spans="1:3" x14ac:dyDescent="0.35">
      <c r="A5090" t="s">
        <v>108</v>
      </c>
      <c r="B5090" t="s">
        <v>15141</v>
      </c>
      <c r="C5090" t="s">
        <v>15142</v>
      </c>
    </row>
    <row r="5091" spans="1:3" x14ac:dyDescent="0.35">
      <c r="A5091" t="s">
        <v>15143</v>
      </c>
      <c r="B5091" t="s">
        <v>15144</v>
      </c>
      <c r="C5091" t="s">
        <v>15145</v>
      </c>
    </row>
    <row r="5092" spans="1:3" x14ac:dyDescent="0.35">
      <c r="A5092" t="s">
        <v>15146</v>
      </c>
      <c r="B5092" t="s">
        <v>15147</v>
      </c>
      <c r="C5092" t="s">
        <v>15148</v>
      </c>
    </row>
    <row r="5093" spans="1:3" x14ac:dyDescent="0.35">
      <c r="A5093" t="s">
        <v>15149</v>
      </c>
      <c r="B5093" t="s">
        <v>15150</v>
      </c>
      <c r="C5093" t="s">
        <v>15151</v>
      </c>
    </row>
    <row r="5094" spans="1:3" x14ac:dyDescent="0.35">
      <c r="A5094" t="s">
        <v>15152</v>
      </c>
      <c r="B5094" t="s">
        <v>15153</v>
      </c>
      <c r="C5094" t="s">
        <v>15154</v>
      </c>
    </row>
    <row r="5095" spans="1:3" x14ac:dyDescent="0.35">
      <c r="A5095" t="s">
        <v>15155</v>
      </c>
      <c r="B5095" t="s">
        <v>15156</v>
      </c>
      <c r="C5095" t="s">
        <v>15157</v>
      </c>
    </row>
    <row r="5096" spans="1:3" x14ac:dyDescent="0.35">
      <c r="A5096" t="s">
        <v>15158</v>
      </c>
      <c r="B5096" t="s">
        <v>15159</v>
      </c>
      <c r="C5096" t="s">
        <v>15160</v>
      </c>
    </row>
    <row r="5097" spans="1:3" x14ac:dyDescent="0.35">
      <c r="A5097" t="s">
        <v>15161</v>
      </c>
      <c r="B5097" t="s">
        <v>15162</v>
      </c>
      <c r="C5097" t="s">
        <v>15163</v>
      </c>
    </row>
    <row r="5098" spans="1:3" x14ac:dyDescent="0.35">
      <c r="A5098" t="s">
        <v>15164</v>
      </c>
      <c r="B5098" t="s">
        <v>15165</v>
      </c>
      <c r="C5098" t="s">
        <v>15166</v>
      </c>
    </row>
    <row r="5099" spans="1:3" x14ac:dyDescent="0.35">
      <c r="A5099" t="s">
        <v>15164</v>
      </c>
      <c r="B5099" t="s">
        <v>15167</v>
      </c>
      <c r="C5099" t="s">
        <v>15168</v>
      </c>
    </row>
    <row r="5100" spans="1:3" x14ac:dyDescent="0.35">
      <c r="A5100" t="s">
        <v>15169</v>
      </c>
      <c r="B5100" t="s">
        <v>15170</v>
      </c>
      <c r="C5100" t="s">
        <v>15171</v>
      </c>
    </row>
    <row r="5101" spans="1:3" x14ac:dyDescent="0.35">
      <c r="A5101" t="s">
        <v>15172</v>
      </c>
      <c r="B5101" t="s">
        <v>15173</v>
      </c>
      <c r="C5101" t="s">
        <v>15174</v>
      </c>
    </row>
    <row r="5102" spans="1:3" x14ac:dyDescent="0.35">
      <c r="A5102" t="s">
        <v>15175</v>
      </c>
      <c r="B5102" t="s">
        <v>15176</v>
      </c>
      <c r="C5102" t="s">
        <v>15177</v>
      </c>
    </row>
    <row r="5103" spans="1:3" x14ac:dyDescent="0.35">
      <c r="A5103" t="s">
        <v>15178</v>
      </c>
      <c r="B5103" t="s">
        <v>15179</v>
      </c>
      <c r="C5103" t="s">
        <v>15180</v>
      </c>
    </row>
    <row r="5104" spans="1:3" x14ac:dyDescent="0.35">
      <c r="A5104" t="s">
        <v>15181</v>
      </c>
      <c r="B5104" t="s">
        <v>15182</v>
      </c>
      <c r="C5104" t="s">
        <v>15183</v>
      </c>
    </row>
    <row r="5105" spans="1:3" x14ac:dyDescent="0.35">
      <c r="A5105" t="s">
        <v>15184</v>
      </c>
      <c r="B5105" t="s">
        <v>15185</v>
      </c>
      <c r="C5105" t="s">
        <v>15186</v>
      </c>
    </row>
    <row r="5106" spans="1:3" x14ac:dyDescent="0.35">
      <c r="A5106" t="s">
        <v>15187</v>
      </c>
      <c r="B5106" t="s">
        <v>15188</v>
      </c>
      <c r="C5106" t="s">
        <v>15189</v>
      </c>
    </row>
    <row r="5107" spans="1:3" x14ac:dyDescent="0.35">
      <c r="A5107" t="s">
        <v>15190</v>
      </c>
      <c r="B5107" t="s">
        <v>15191</v>
      </c>
      <c r="C5107" t="s">
        <v>15192</v>
      </c>
    </row>
    <row r="5108" spans="1:3" x14ac:dyDescent="0.35">
      <c r="A5108" t="s">
        <v>15193</v>
      </c>
      <c r="B5108" t="s">
        <v>15194</v>
      </c>
      <c r="C5108" t="s">
        <v>15195</v>
      </c>
    </row>
    <row r="5109" spans="1:3" x14ac:dyDescent="0.35">
      <c r="A5109" t="s">
        <v>15196</v>
      </c>
      <c r="B5109" t="s">
        <v>15197</v>
      </c>
      <c r="C5109" t="s">
        <v>15198</v>
      </c>
    </row>
    <row r="5110" spans="1:3" x14ac:dyDescent="0.35">
      <c r="A5110" t="s">
        <v>15199</v>
      </c>
      <c r="B5110" t="s">
        <v>15200</v>
      </c>
      <c r="C5110" t="s">
        <v>15201</v>
      </c>
    </row>
    <row r="5111" spans="1:3" x14ac:dyDescent="0.35">
      <c r="A5111" t="s">
        <v>15202</v>
      </c>
      <c r="B5111" t="s">
        <v>15203</v>
      </c>
      <c r="C5111" t="s">
        <v>15204</v>
      </c>
    </row>
    <row r="5112" spans="1:3" x14ac:dyDescent="0.35">
      <c r="A5112" t="s">
        <v>15205</v>
      </c>
      <c r="B5112" t="s">
        <v>15206</v>
      </c>
      <c r="C5112" t="s">
        <v>15207</v>
      </c>
    </row>
    <row r="5113" spans="1:3" x14ac:dyDescent="0.35">
      <c r="A5113" t="s">
        <v>15208</v>
      </c>
      <c r="B5113" t="s">
        <v>15209</v>
      </c>
      <c r="C5113" t="s">
        <v>15210</v>
      </c>
    </row>
    <row r="5114" spans="1:3" x14ac:dyDescent="0.35">
      <c r="A5114" t="s">
        <v>15211</v>
      </c>
      <c r="B5114" t="s">
        <v>15212</v>
      </c>
      <c r="C5114" t="s">
        <v>15213</v>
      </c>
    </row>
    <row r="5115" spans="1:3" x14ac:dyDescent="0.35">
      <c r="A5115" t="s">
        <v>15214</v>
      </c>
      <c r="B5115" t="s">
        <v>15215</v>
      </c>
      <c r="C5115" t="s">
        <v>15216</v>
      </c>
    </row>
    <row r="5116" spans="1:3" x14ac:dyDescent="0.35">
      <c r="A5116" t="s">
        <v>15217</v>
      </c>
      <c r="B5116" t="s">
        <v>15218</v>
      </c>
      <c r="C5116" t="s">
        <v>15219</v>
      </c>
    </row>
    <row r="5117" spans="1:3" x14ac:dyDescent="0.35">
      <c r="A5117" t="s">
        <v>15220</v>
      </c>
      <c r="B5117" t="s">
        <v>15221</v>
      </c>
      <c r="C5117" t="s">
        <v>15222</v>
      </c>
    </row>
    <row r="5118" spans="1:3" x14ac:dyDescent="0.35">
      <c r="A5118" t="s">
        <v>15223</v>
      </c>
      <c r="B5118" t="s">
        <v>15224</v>
      </c>
      <c r="C5118" t="s">
        <v>15225</v>
      </c>
    </row>
    <row r="5119" spans="1:3" x14ac:dyDescent="0.35">
      <c r="A5119" t="s">
        <v>15226</v>
      </c>
      <c r="B5119" t="s">
        <v>15227</v>
      </c>
      <c r="C5119" t="s">
        <v>15228</v>
      </c>
    </row>
    <row r="5120" spans="1:3" x14ac:dyDescent="0.35">
      <c r="A5120" t="s">
        <v>15229</v>
      </c>
      <c r="B5120" t="s">
        <v>15230</v>
      </c>
      <c r="C5120" t="s">
        <v>15231</v>
      </c>
    </row>
    <row r="5121" spans="1:3" x14ac:dyDescent="0.35">
      <c r="A5121" t="s">
        <v>15232</v>
      </c>
      <c r="B5121" t="s">
        <v>15233</v>
      </c>
      <c r="C5121" t="s">
        <v>15234</v>
      </c>
    </row>
    <row r="5122" spans="1:3" x14ac:dyDescent="0.35">
      <c r="A5122" t="s">
        <v>15235</v>
      </c>
      <c r="B5122" t="s">
        <v>15236</v>
      </c>
      <c r="C5122" t="s">
        <v>15237</v>
      </c>
    </row>
    <row r="5123" spans="1:3" x14ac:dyDescent="0.35">
      <c r="A5123" t="s">
        <v>15238</v>
      </c>
      <c r="B5123" t="s">
        <v>15239</v>
      </c>
      <c r="C5123" t="s">
        <v>15240</v>
      </c>
    </row>
    <row r="5124" spans="1:3" x14ac:dyDescent="0.35">
      <c r="A5124" t="s">
        <v>15241</v>
      </c>
      <c r="B5124" t="s">
        <v>15242</v>
      </c>
      <c r="C5124" t="s">
        <v>15243</v>
      </c>
    </row>
    <row r="5125" spans="1:3" x14ac:dyDescent="0.35">
      <c r="A5125" t="s">
        <v>15244</v>
      </c>
      <c r="B5125" t="s">
        <v>15245</v>
      </c>
      <c r="C5125" t="s">
        <v>15246</v>
      </c>
    </row>
    <row r="5126" spans="1:3" x14ac:dyDescent="0.35">
      <c r="A5126" t="s">
        <v>15247</v>
      </c>
      <c r="B5126" t="s">
        <v>15248</v>
      </c>
      <c r="C5126" t="s">
        <v>15249</v>
      </c>
    </row>
    <row r="5127" spans="1:3" x14ac:dyDescent="0.35">
      <c r="A5127" t="s">
        <v>15250</v>
      </c>
      <c r="B5127" t="s">
        <v>15251</v>
      </c>
      <c r="C5127" t="s">
        <v>15252</v>
      </c>
    </row>
    <row r="5128" spans="1:3" x14ac:dyDescent="0.35">
      <c r="A5128" t="s">
        <v>15253</v>
      </c>
      <c r="B5128" t="s">
        <v>15254</v>
      </c>
      <c r="C5128" t="s">
        <v>15255</v>
      </c>
    </row>
    <row r="5129" spans="1:3" x14ac:dyDescent="0.35">
      <c r="A5129" t="s">
        <v>15256</v>
      </c>
      <c r="B5129" t="s">
        <v>15257</v>
      </c>
      <c r="C5129" t="s">
        <v>15258</v>
      </c>
    </row>
    <row r="5130" spans="1:3" x14ac:dyDescent="0.35">
      <c r="A5130" t="s">
        <v>15256</v>
      </c>
      <c r="B5130" t="s">
        <v>15259</v>
      </c>
      <c r="C5130" t="s">
        <v>15260</v>
      </c>
    </row>
    <row r="5131" spans="1:3" x14ac:dyDescent="0.35">
      <c r="A5131" t="s">
        <v>15261</v>
      </c>
      <c r="B5131" t="s">
        <v>15262</v>
      </c>
      <c r="C5131" t="s">
        <v>15263</v>
      </c>
    </row>
    <row r="5132" spans="1:3" x14ac:dyDescent="0.35">
      <c r="A5132" t="s">
        <v>15264</v>
      </c>
      <c r="B5132" t="s">
        <v>15265</v>
      </c>
      <c r="C5132" t="s">
        <v>15266</v>
      </c>
    </row>
    <row r="5133" spans="1:3" x14ac:dyDescent="0.35">
      <c r="A5133" t="s">
        <v>15267</v>
      </c>
      <c r="B5133" t="s">
        <v>15268</v>
      </c>
      <c r="C5133" t="s">
        <v>15269</v>
      </c>
    </row>
    <row r="5134" spans="1:3" x14ac:dyDescent="0.35">
      <c r="A5134" t="s">
        <v>15270</v>
      </c>
      <c r="B5134" t="s">
        <v>15271</v>
      </c>
      <c r="C5134" t="s">
        <v>15272</v>
      </c>
    </row>
    <row r="5135" spans="1:3" x14ac:dyDescent="0.35">
      <c r="A5135" t="s">
        <v>15273</v>
      </c>
      <c r="B5135" t="s">
        <v>15274</v>
      </c>
      <c r="C5135" t="s">
        <v>15275</v>
      </c>
    </row>
    <row r="5136" spans="1:3" x14ac:dyDescent="0.35">
      <c r="A5136" t="s">
        <v>15276</v>
      </c>
      <c r="B5136" t="s">
        <v>15277</v>
      </c>
      <c r="C5136" t="s">
        <v>15278</v>
      </c>
    </row>
    <row r="5137" spans="1:3" x14ac:dyDescent="0.35">
      <c r="A5137" t="s">
        <v>15279</v>
      </c>
      <c r="B5137" t="s">
        <v>15280</v>
      </c>
      <c r="C5137" t="s">
        <v>15281</v>
      </c>
    </row>
    <row r="5138" spans="1:3" x14ac:dyDescent="0.35">
      <c r="A5138" t="s">
        <v>15282</v>
      </c>
      <c r="B5138" t="s">
        <v>15283</v>
      </c>
      <c r="C5138" t="s">
        <v>15284</v>
      </c>
    </row>
    <row r="5139" spans="1:3" x14ac:dyDescent="0.35">
      <c r="A5139" t="s">
        <v>15285</v>
      </c>
      <c r="B5139" t="s">
        <v>15286</v>
      </c>
      <c r="C5139" t="s">
        <v>15287</v>
      </c>
    </row>
    <row r="5140" spans="1:3" x14ac:dyDescent="0.35">
      <c r="A5140" t="s">
        <v>15288</v>
      </c>
      <c r="B5140" t="s">
        <v>15289</v>
      </c>
      <c r="C5140" t="s">
        <v>15290</v>
      </c>
    </row>
    <row r="5141" spans="1:3" x14ac:dyDescent="0.35">
      <c r="A5141" t="s">
        <v>15291</v>
      </c>
      <c r="B5141" t="s">
        <v>15292</v>
      </c>
      <c r="C5141" t="s">
        <v>15293</v>
      </c>
    </row>
    <row r="5142" spans="1:3" x14ac:dyDescent="0.35">
      <c r="A5142" t="s">
        <v>15294</v>
      </c>
      <c r="B5142" t="s">
        <v>15295</v>
      </c>
      <c r="C5142" t="s">
        <v>15296</v>
      </c>
    </row>
    <row r="5143" spans="1:3" x14ac:dyDescent="0.35">
      <c r="A5143" t="s">
        <v>15297</v>
      </c>
      <c r="B5143" t="s">
        <v>15298</v>
      </c>
      <c r="C5143" t="s">
        <v>15299</v>
      </c>
    </row>
    <row r="5144" spans="1:3" x14ac:dyDescent="0.35">
      <c r="A5144" t="s">
        <v>15300</v>
      </c>
      <c r="B5144" t="s">
        <v>15301</v>
      </c>
      <c r="C5144" t="s">
        <v>15302</v>
      </c>
    </row>
    <row r="5145" spans="1:3" x14ac:dyDescent="0.35">
      <c r="A5145" t="s">
        <v>15303</v>
      </c>
      <c r="B5145" t="s">
        <v>15304</v>
      </c>
      <c r="C5145" t="s">
        <v>15305</v>
      </c>
    </row>
    <row r="5146" spans="1:3" x14ac:dyDescent="0.35">
      <c r="A5146" t="s">
        <v>15306</v>
      </c>
      <c r="B5146" t="s">
        <v>4761</v>
      </c>
      <c r="C5146" t="s">
        <v>15307</v>
      </c>
    </row>
    <row r="5147" spans="1:3" x14ac:dyDescent="0.35">
      <c r="A5147" t="s">
        <v>15308</v>
      </c>
      <c r="B5147" t="s">
        <v>15309</v>
      </c>
      <c r="C5147" t="s">
        <v>15310</v>
      </c>
    </row>
    <row r="5148" spans="1:3" x14ac:dyDescent="0.35">
      <c r="A5148" t="s">
        <v>15311</v>
      </c>
      <c r="B5148" t="s">
        <v>15312</v>
      </c>
      <c r="C5148" t="s">
        <v>15313</v>
      </c>
    </row>
    <row r="5149" spans="1:3" x14ac:dyDescent="0.35">
      <c r="A5149" t="s">
        <v>15314</v>
      </c>
      <c r="B5149" t="s">
        <v>15315</v>
      </c>
      <c r="C5149" t="s">
        <v>15316</v>
      </c>
    </row>
    <row r="5150" spans="1:3" x14ac:dyDescent="0.35">
      <c r="A5150" t="s">
        <v>15317</v>
      </c>
      <c r="B5150" t="s">
        <v>15318</v>
      </c>
      <c r="C5150" t="s">
        <v>15319</v>
      </c>
    </row>
    <row r="5151" spans="1:3" x14ac:dyDescent="0.35">
      <c r="A5151" t="s">
        <v>15320</v>
      </c>
      <c r="B5151" t="s">
        <v>15321</v>
      </c>
      <c r="C5151" t="s">
        <v>15322</v>
      </c>
    </row>
    <row r="5152" spans="1:3" x14ac:dyDescent="0.35">
      <c r="A5152" t="s">
        <v>15323</v>
      </c>
      <c r="B5152" t="s">
        <v>15324</v>
      </c>
      <c r="C5152" t="s">
        <v>15325</v>
      </c>
    </row>
    <row r="5153" spans="1:3" x14ac:dyDescent="0.35">
      <c r="A5153" t="s">
        <v>15326</v>
      </c>
      <c r="B5153" t="s">
        <v>15327</v>
      </c>
      <c r="C5153" t="s">
        <v>15328</v>
      </c>
    </row>
    <row r="5154" spans="1:3" x14ac:dyDescent="0.35">
      <c r="A5154" t="s">
        <v>15329</v>
      </c>
      <c r="B5154" t="s">
        <v>15330</v>
      </c>
      <c r="C5154" t="s">
        <v>15331</v>
      </c>
    </row>
    <row r="5155" spans="1:3" x14ac:dyDescent="0.35">
      <c r="A5155" t="s">
        <v>15332</v>
      </c>
      <c r="B5155" t="s">
        <v>15333</v>
      </c>
      <c r="C5155" t="s">
        <v>15334</v>
      </c>
    </row>
    <row r="5156" spans="1:3" x14ac:dyDescent="0.35">
      <c r="A5156" t="s">
        <v>15335</v>
      </c>
      <c r="B5156" t="s">
        <v>15336</v>
      </c>
      <c r="C5156" t="s">
        <v>15337</v>
      </c>
    </row>
    <row r="5157" spans="1:3" x14ac:dyDescent="0.35">
      <c r="A5157" t="s">
        <v>15338</v>
      </c>
      <c r="B5157" t="s">
        <v>15339</v>
      </c>
      <c r="C5157" t="s">
        <v>15340</v>
      </c>
    </row>
    <row r="5158" spans="1:3" x14ac:dyDescent="0.35">
      <c r="A5158" t="s">
        <v>15341</v>
      </c>
      <c r="B5158" t="s">
        <v>15342</v>
      </c>
      <c r="C5158" t="s">
        <v>15343</v>
      </c>
    </row>
    <row r="5159" spans="1:3" x14ac:dyDescent="0.35">
      <c r="A5159" t="s">
        <v>15344</v>
      </c>
      <c r="B5159" t="s">
        <v>15345</v>
      </c>
      <c r="C5159" t="s">
        <v>15346</v>
      </c>
    </row>
    <row r="5160" spans="1:3" x14ac:dyDescent="0.35">
      <c r="A5160" t="s">
        <v>15347</v>
      </c>
      <c r="B5160" t="s">
        <v>15348</v>
      </c>
      <c r="C5160" t="s">
        <v>15349</v>
      </c>
    </row>
    <row r="5161" spans="1:3" x14ac:dyDescent="0.35">
      <c r="A5161" t="s">
        <v>15350</v>
      </c>
      <c r="B5161" t="s">
        <v>15351</v>
      </c>
      <c r="C5161" t="s">
        <v>15352</v>
      </c>
    </row>
    <row r="5162" spans="1:3" x14ac:dyDescent="0.35">
      <c r="A5162" t="s">
        <v>15353</v>
      </c>
      <c r="B5162" t="s">
        <v>15354</v>
      </c>
      <c r="C5162" t="s">
        <v>15355</v>
      </c>
    </row>
    <row r="5163" spans="1:3" x14ac:dyDescent="0.35">
      <c r="A5163" t="s">
        <v>15356</v>
      </c>
      <c r="B5163" t="s">
        <v>15357</v>
      </c>
      <c r="C5163" t="s">
        <v>15358</v>
      </c>
    </row>
    <row r="5164" spans="1:3" x14ac:dyDescent="0.35">
      <c r="A5164" t="s">
        <v>15356</v>
      </c>
      <c r="B5164" t="s">
        <v>15359</v>
      </c>
      <c r="C5164" t="s">
        <v>15360</v>
      </c>
    </row>
    <row r="5165" spans="1:3" x14ac:dyDescent="0.35">
      <c r="A5165" t="s">
        <v>15361</v>
      </c>
      <c r="B5165" t="s">
        <v>15362</v>
      </c>
      <c r="C5165" t="s">
        <v>15363</v>
      </c>
    </row>
    <row r="5166" spans="1:3" x14ac:dyDescent="0.35">
      <c r="A5166" t="s">
        <v>15364</v>
      </c>
      <c r="B5166" t="s">
        <v>15365</v>
      </c>
      <c r="C5166" t="s">
        <v>15366</v>
      </c>
    </row>
    <row r="5167" spans="1:3" x14ac:dyDescent="0.35">
      <c r="A5167" t="s">
        <v>15364</v>
      </c>
      <c r="B5167" t="s">
        <v>15367</v>
      </c>
      <c r="C5167" t="s">
        <v>15368</v>
      </c>
    </row>
    <row r="5168" spans="1:3" x14ac:dyDescent="0.35">
      <c r="A5168" t="s">
        <v>15369</v>
      </c>
      <c r="B5168" t="s">
        <v>15370</v>
      </c>
      <c r="C5168" t="s">
        <v>15371</v>
      </c>
    </row>
    <row r="5169" spans="1:3" x14ac:dyDescent="0.35">
      <c r="A5169" t="s">
        <v>15369</v>
      </c>
      <c r="B5169" t="s">
        <v>15372</v>
      </c>
      <c r="C5169" t="s">
        <v>15373</v>
      </c>
    </row>
    <row r="5170" spans="1:3" x14ac:dyDescent="0.35">
      <c r="A5170" t="s">
        <v>15374</v>
      </c>
      <c r="B5170" t="s">
        <v>15375</v>
      </c>
      <c r="C5170" t="s">
        <v>15376</v>
      </c>
    </row>
    <row r="5171" spans="1:3" x14ac:dyDescent="0.35">
      <c r="A5171" t="s">
        <v>15377</v>
      </c>
      <c r="B5171" t="s">
        <v>15378</v>
      </c>
      <c r="C5171" t="s">
        <v>15379</v>
      </c>
    </row>
    <row r="5172" spans="1:3" x14ac:dyDescent="0.35">
      <c r="A5172" t="s">
        <v>15380</v>
      </c>
      <c r="B5172" t="s">
        <v>15381</v>
      </c>
      <c r="C5172" t="s">
        <v>15382</v>
      </c>
    </row>
    <row r="5173" spans="1:3" x14ac:dyDescent="0.35">
      <c r="A5173" t="s">
        <v>15383</v>
      </c>
      <c r="B5173" t="s">
        <v>15384</v>
      </c>
      <c r="C5173" t="s">
        <v>15385</v>
      </c>
    </row>
    <row r="5174" spans="1:3" x14ac:dyDescent="0.35">
      <c r="A5174" t="s">
        <v>15386</v>
      </c>
      <c r="B5174" t="s">
        <v>15387</v>
      </c>
      <c r="C5174" t="s">
        <v>15388</v>
      </c>
    </row>
    <row r="5175" spans="1:3" x14ac:dyDescent="0.35">
      <c r="A5175" t="s">
        <v>15389</v>
      </c>
      <c r="B5175" t="s">
        <v>15390</v>
      </c>
      <c r="C5175" t="s">
        <v>15391</v>
      </c>
    </row>
    <row r="5176" spans="1:3" x14ac:dyDescent="0.35">
      <c r="A5176" t="s">
        <v>15392</v>
      </c>
      <c r="B5176" t="s">
        <v>15393</v>
      </c>
      <c r="C5176" t="s">
        <v>15394</v>
      </c>
    </row>
    <row r="5177" spans="1:3" x14ac:dyDescent="0.35">
      <c r="A5177" t="s">
        <v>15395</v>
      </c>
      <c r="B5177" t="s">
        <v>15396</v>
      </c>
      <c r="C5177" t="s">
        <v>15397</v>
      </c>
    </row>
    <row r="5178" spans="1:3" x14ac:dyDescent="0.35">
      <c r="A5178" t="s">
        <v>15398</v>
      </c>
      <c r="B5178" t="s">
        <v>15399</v>
      </c>
      <c r="C5178" t="s">
        <v>15400</v>
      </c>
    </row>
    <row r="5179" spans="1:3" x14ac:dyDescent="0.35">
      <c r="A5179" t="s">
        <v>15401</v>
      </c>
      <c r="B5179" t="s">
        <v>15402</v>
      </c>
      <c r="C5179" t="s">
        <v>15403</v>
      </c>
    </row>
    <row r="5180" spans="1:3" x14ac:dyDescent="0.35">
      <c r="A5180" t="s">
        <v>15404</v>
      </c>
      <c r="B5180" t="s">
        <v>15405</v>
      </c>
      <c r="C5180" t="s">
        <v>15406</v>
      </c>
    </row>
    <row r="5181" spans="1:3" x14ac:dyDescent="0.35">
      <c r="A5181" t="s">
        <v>15407</v>
      </c>
      <c r="B5181" t="s">
        <v>15408</v>
      </c>
      <c r="C5181" t="s">
        <v>15409</v>
      </c>
    </row>
    <row r="5182" spans="1:3" x14ac:dyDescent="0.35">
      <c r="A5182" t="s">
        <v>15410</v>
      </c>
      <c r="B5182" t="s">
        <v>15411</v>
      </c>
      <c r="C5182" t="s">
        <v>15412</v>
      </c>
    </row>
    <row r="5183" spans="1:3" x14ac:dyDescent="0.35">
      <c r="A5183" t="s">
        <v>15413</v>
      </c>
      <c r="B5183" t="s">
        <v>15414</v>
      </c>
      <c r="C5183" t="s">
        <v>15415</v>
      </c>
    </row>
    <row r="5184" spans="1:3" x14ac:dyDescent="0.35">
      <c r="A5184" t="s">
        <v>15416</v>
      </c>
      <c r="B5184" t="s">
        <v>15417</v>
      </c>
      <c r="C5184" t="s">
        <v>15418</v>
      </c>
    </row>
    <row r="5185" spans="1:3" x14ac:dyDescent="0.35">
      <c r="A5185" t="s">
        <v>15416</v>
      </c>
      <c r="B5185" t="s">
        <v>15419</v>
      </c>
      <c r="C5185" t="s">
        <v>15420</v>
      </c>
    </row>
    <row r="5186" spans="1:3" x14ac:dyDescent="0.35">
      <c r="A5186" t="s">
        <v>15421</v>
      </c>
      <c r="B5186" t="s">
        <v>15422</v>
      </c>
      <c r="C5186" t="s">
        <v>15423</v>
      </c>
    </row>
    <row r="5187" spans="1:3" x14ac:dyDescent="0.35">
      <c r="A5187" t="s">
        <v>15424</v>
      </c>
      <c r="B5187" t="s">
        <v>15425</v>
      </c>
      <c r="C5187" t="s">
        <v>15426</v>
      </c>
    </row>
    <row r="5188" spans="1:3" x14ac:dyDescent="0.35">
      <c r="A5188" t="s">
        <v>15427</v>
      </c>
      <c r="B5188" t="s">
        <v>15428</v>
      </c>
      <c r="C5188" t="s">
        <v>15429</v>
      </c>
    </row>
    <row r="5189" spans="1:3" x14ac:dyDescent="0.35">
      <c r="A5189" t="s">
        <v>15430</v>
      </c>
      <c r="B5189" t="s">
        <v>15431</v>
      </c>
      <c r="C5189" t="s">
        <v>15432</v>
      </c>
    </row>
    <row r="5190" spans="1:3" x14ac:dyDescent="0.35">
      <c r="A5190" t="s">
        <v>15433</v>
      </c>
      <c r="B5190" t="s">
        <v>15434</v>
      </c>
      <c r="C5190" t="s">
        <v>15435</v>
      </c>
    </row>
    <row r="5191" spans="1:3" x14ac:dyDescent="0.35">
      <c r="A5191" t="s">
        <v>15436</v>
      </c>
      <c r="B5191" t="s">
        <v>15437</v>
      </c>
      <c r="C5191" t="s">
        <v>15438</v>
      </c>
    </row>
    <row r="5192" spans="1:3" x14ac:dyDescent="0.35">
      <c r="A5192" t="s">
        <v>15439</v>
      </c>
      <c r="B5192" t="s">
        <v>15440</v>
      </c>
      <c r="C5192" t="s">
        <v>15441</v>
      </c>
    </row>
    <row r="5193" spans="1:3" x14ac:dyDescent="0.35">
      <c r="A5193" t="s">
        <v>15442</v>
      </c>
      <c r="B5193" t="s">
        <v>15443</v>
      </c>
      <c r="C5193" t="s">
        <v>15444</v>
      </c>
    </row>
    <row r="5194" spans="1:3" x14ac:dyDescent="0.35">
      <c r="A5194" t="s">
        <v>15445</v>
      </c>
      <c r="B5194" t="s">
        <v>15446</v>
      </c>
      <c r="C5194" t="s">
        <v>15447</v>
      </c>
    </row>
    <row r="5195" spans="1:3" x14ac:dyDescent="0.35">
      <c r="A5195" t="s">
        <v>15448</v>
      </c>
      <c r="B5195" t="s">
        <v>15449</v>
      </c>
      <c r="C5195" t="s">
        <v>15450</v>
      </c>
    </row>
    <row r="5196" spans="1:3" x14ac:dyDescent="0.35">
      <c r="A5196" t="s">
        <v>15451</v>
      </c>
      <c r="B5196" t="s">
        <v>15452</v>
      </c>
      <c r="C5196" t="s">
        <v>15453</v>
      </c>
    </row>
    <row r="5197" spans="1:3" x14ac:dyDescent="0.35">
      <c r="A5197" t="s">
        <v>15454</v>
      </c>
      <c r="B5197" t="s">
        <v>15455</v>
      </c>
      <c r="C5197" t="s">
        <v>15456</v>
      </c>
    </row>
    <row r="5198" spans="1:3" x14ac:dyDescent="0.35">
      <c r="A5198" t="s">
        <v>15457</v>
      </c>
      <c r="B5198" t="s">
        <v>15458</v>
      </c>
      <c r="C5198" t="s">
        <v>15459</v>
      </c>
    </row>
    <row r="5199" spans="1:3" x14ac:dyDescent="0.35">
      <c r="A5199" t="s">
        <v>15460</v>
      </c>
      <c r="B5199" t="s">
        <v>15461</v>
      </c>
      <c r="C5199" t="s">
        <v>15313</v>
      </c>
    </row>
    <row r="5200" spans="1:3" x14ac:dyDescent="0.35">
      <c r="A5200" t="s">
        <v>15462</v>
      </c>
      <c r="B5200" t="s">
        <v>15463</v>
      </c>
      <c r="C5200" t="s">
        <v>15464</v>
      </c>
    </row>
    <row r="5201" spans="1:3" x14ac:dyDescent="0.35">
      <c r="A5201" t="s">
        <v>15465</v>
      </c>
      <c r="B5201" t="s">
        <v>15466</v>
      </c>
      <c r="C5201" t="s">
        <v>15467</v>
      </c>
    </row>
    <row r="5202" spans="1:3" x14ac:dyDescent="0.35">
      <c r="A5202" t="s">
        <v>15468</v>
      </c>
      <c r="B5202" t="s">
        <v>15469</v>
      </c>
      <c r="C5202" t="s">
        <v>15470</v>
      </c>
    </row>
    <row r="5203" spans="1:3" x14ac:dyDescent="0.35">
      <c r="A5203" t="s">
        <v>15471</v>
      </c>
      <c r="B5203" t="s">
        <v>15472</v>
      </c>
      <c r="C5203" t="s">
        <v>15473</v>
      </c>
    </row>
    <row r="5204" spans="1:3" x14ac:dyDescent="0.35">
      <c r="A5204" t="s">
        <v>15474</v>
      </c>
      <c r="B5204" t="s">
        <v>15475</v>
      </c>
      <c r="C5204" t="s">
        <v>15476</v>
      </c>
    </row>
    <row r="5205" spans="1:3" x14ac:dyDescent="0.35">
      <c r="A5205" t="s">
        <v>15477</v>
      </c>
      <c r="B5205" t="s">
        <v>15478</v>
      </c>
      <c r="C5205" t="s">
        <v>15479</v>
      </c>
    </row>
    <row r="5206" spans="1:3" x14ac:dyDescent="0.35">
      <c r="A5206" t="s">
        <v>15480</v>
      </c>
      <c r="B5206" t="s">
        <v>15481</v>
      </c>
      <c r="C5206" t="s">
        <v>15482</v>
      </c>
    </row>
    <row r="5207" spans="1:3" x14ac:dyDescent="0.35">
      <c r="A5207" t="s">
        <v>15483</v>
      </c>
      <c r="B5207" t="s">
        <v>15484</v>
      </c>
      <c r="C5207" t="s">
        <v>15485</v>
      </c>
    </row>
    <row r="5208" spans="1:3" x14ac:dyDescent="0.35">
      <c r="A5208" t="s">
        <v>15486</v>
      </c>
      <c r="B5208" t="s">
        <v>15487</v>
      </c>
      <c r="C5208" t="s">
        <v>15488</v>
      </c>
    </row>
    <row r="5209" spans="1:3" x14ac:dyDescent="0.35">
      <c r="A5209" t="s">
        <v>15489</v>
      </c>
      <c r="B5209" t="s">
        <v>15490</v>
      </c>
      <c r="C5209" t="s">
        <v>15491</v>
      </c>
    </row>
    <row r="5210" spans="1:3" x14ac:dyDescent="0.35">
      <c r="A5210" t="s">
        <v>15492</v>
      </c>
      <c r="B5210" t="s">
        <v>15493</v>
      </c>
      <c r="C5210" t="s">
        <v>15494</v>
      </c>
    </row>
    <row r="5211" spans="1:3" x14ac:dyDescent="0.35">
      <c r="A5211" t="s">
        <v>15495</v>
      </c>
      <c r="B5211" t="s">
        <v>15496</v>
      </c>
      <c r="C5211" t="s">
        <v>15497</v>
      </c>
    </row>
    <row r="5212" spans="1:3" x14ac:dyDescent="0.35">
      <c r="A5212" t="s">
        <v>15498</v>
      </c>
      <c r="B5212" t="s">
        <v>15499</v>
      </c>
      <c r="C5212" t="s">
        <v>15500</v>
      </c>
    </row>
    <row r="5213" spans="1:3" x14ac:dyDescent="0.35">
      <c r="A5213" t="s">
        <v>15501</v>
      </c>
      <c r="B5213" t="s">
        <v>15502</v>
      </c>
      <c r="C5213" t="s">
        <v>15503</v>
      </c>
    </row>
    <row r="5214" spans="1:3" x14ac:dyDescent="0.35">
      <c r="A5214" t="s">
        <v>15504</v>
      </c>
      <c r="B5214" t="s">
        <v>15505</v>
      </c>
      <c r="C5214" t="s">
        <v>15506</v>
      </c>
    </row>
    <row r="5215" spans="1:3" x14ac:dyDescent="0.35">
      <c r="A5215" t="s">
        <v>15507</v>
      </c>
      <c r="B5215" t="s">
        <v>15508</v>
      </c>
      <c r="C5215" t="s">
        <v>15509</v>
      </c>
    </row>
    <row r="5216" spans="1:3" x14ac:dyDescent="0.35">
      <c r="A5216" t="s">
        <v>15510</v>
      </c>
      <c r="B5216" t="s">
        <v>15511</v>
      </c>
      <c r="C5216" t="s">
        <v>15512</v>
      </c>
    </row>
    <row r="5217" spans="1:3" x14ac:dyDescent="0.35">
      <c r="A5217" t="s">
        <v>15513</v>
      </c>
      <c r="B5217" t="s">
        <v>15514</v>
      </c>
      <c r="C5217" t="s">
        <v>15515</v>
      </c>
    </row>
    <row r="5218" spans="1:3" x14ac:dyDescent="0.35">
      <c r="A5218" t="s">
        <v>15516</v>
      </c>
      <c r="B5218" t="s">
        <v>15517</v>
      </c>
      <c r="C5218" t="s">
        <v>15518</v>
      </c>
    </row>
    <row r="5219" spans="1:3" x14ac:dyDescent="0.35">
      <c r="A5219" t="s">
        <v>15519</v>
      </c>
      <c r="B5219" t="s">
        <v>15520</v>
      </c>
      <c r="C5219" t="s">
        <v>15521</v>
      </c>
    </row>
    <row r="5220" spans="1:3" x14ac:dyDescent="0.35">
      <c r="A5220" t="s">
        <v>15522</v>
      </c>
      <c r="B5220" t="s">
        <v>15523</v>
      </c>
      <c r="C5220" t="s">
        <v>15524</v>
      </c>
    </row>
    <row r="5221" spans="1:3" x14ac:dyDescent="0.35">
      <c r="A5221" t="s">
        <v>15525</v>
      </c>
      <c r="B5221" t="s">
        <v>15526</v>
      </c>
      <c r="C5221" t="s">
        <v>15527</v>
      </c>
    </row>
    <row r="5222" spans="1:3" x14ac:dyDescent="0.35">
      <c r="A5222" t="s">
        <v>15528</v>
      </c>
      <c r="B5222" t="s">
        <v>15529</v>
      </c>
      <c r="C5222" t="s">
        <v>15530</v>
      </c>
    </row>
    <row r="5223" spans="1:3" x14ac:dyDescent="0.35">
      <c r="A5223" t="s">
        <v>15531</v>
      </c>
      <c r="B5223" t="s">
        <v>15532</v>
      </c>
      <c r="C5223" t="s">
        <v>15533</v>
      </c>
    </row>
    <row r="5224" spans="1:3" x14ac:dyDescent="0.35">
      <c r="A5224" t="s">
        <v>15534</v>
      </c>
      <c r="B5224" t="s">
        <v>15535</v>
      </c>
      <c r="C5224" t="s">
        <v>15536</v>
      </c>
    </row>
    <row r="5225" spans="1:3" x14ac:dyDescent="0.35">
      <c r="A5225" t="s">
        <v>15537</v>
      </c>
      <c r="B5225" t="s">
        <v>15538</v>
      </c>
      <c r="C5225" t="s">
        <v>15539</v>
      </c>
    </row>
    <row r="5226" spans="1:3" x14ac:dyDescent="0.35">
      <c r="A5226" t="s">
        <v>15540</v>
      </c>
      <c r="B5226" t="s">
        <v>15541</v>
      </c>
      <c r="C5226" t="s">
        <v>15542</v>
      </c>
    </row>
    <row r="5227" spans="1:3" x14ac:dyDescent="0.35">
      <c r="A5227" t="s">
        <v>15543</v>
      </c>
      <c r="B5227" t="s">
        <v>15544</v>
      </c>
      <c r="C5227" t="s">
        <v>15545</v>
      </c>
    </row>
    <row r="5228" spans="1:3" x14ac:dyDescent="0.35">
      <c r="A5228" t="s">
        <v>15543</v>
      </c>
      <c r="B5228" t="s">
        <v>15546</v>
      </c>
      <c r="C5228" t="s">
        <v>15547</v>
      </c>
    </row>
    <row r="5229" spans="1:3" x14ac:dyDescent="0.35">
      <c r="A5229" t="s">
        <v>15548</v>
      </c>
      <c r="B5229" t="s">
        <v>15549</v>
      </c>
      <c r="C5229" t="s">
        <v>15550</v>
      </c>
    </row>
    <row r="5230" spans="1:3" x14ac:dyDescent="0.35">
      <c r="A5230" t="s">
        <v>15551</v>
      </c>
      <c r="B5230" t="s">
        <v>15552</v>
      </c>
      <c r="C5230" t="s">
        <v>15553</v>
      </c>
    </row>
    <row r="5231" spans="1:3" x14ac:dyDescent="0.35">
      <c r="A5231" t="s">
        <v>15554</v>
      </c>
      <c r="B5231" t="s">
        <v>15555</v>
      </c>
      <c r="C5231" t="s">
        <v>15556</v>
      </c>
    </row>
    <row r="5232" spans="1:3" x14ac:dyDescent="0.35">
      <c r="A5232" t="s">
        <v>15557</v>
      </c>
      <c r="B5232" t="s">
        <v>15558</v>
      </c>
      <c r="C5232" t="s">
        <v>15559</v>
      </c>
    </row>
    <row r="5233" spans="1:3" x14ac:dyDescent="0.35">
      <c r="A5233" t="s">
        <v>15560</v>
      </c>
      <c r="B5233" t="s">
        <v>15561</v>
      </c>
      <c r="C5233" t="s">
        <v>15562</v>
      </c>
    </row>
    <row r="5234" spans="1:3" x14ac:dyDescent="0.35">
      <c r="A5234" t="s">
        <v>15563</v>
      </c>
      <c r="B5234" t="s">
        <v>15564</v>
      </c>
      <c r="C5234" t="s">
        <v>15565</v>
      </c>
    </row>
    <row r="5235" spans="1:3" x14ac:dyDescent="0.35">
      <c r="A5235" t="s">
        <v>15566</v>
      </c>
      <c r="B5235" t="s">
        <v>15567</v>
      </c>
      <c r="C5235" t="s">
        <v>15568</v>
      </c>
    </row>
    <row r="5236" spans="1:3" x14ac:dyDescent="0.35">
      <c r="A5236" t="s">
        <v>15569</v>
      </c>
      <c r="B5236" t="s">
        <v>15570</v>
      </c>
      <c r="C5236" t="s">
        <v>15571</v>
      </c>
    </row>
    <row r="5237" spans="1:3" x14ac:dyDescent="0.35">
      <c r="A5237" t="s">
        <v>15572</v>
      </c>
      <c r="B5237" t="s">
        <v>15573</v>
      </c>
      <c r="C5237" t="s">
        <v>15574</v>
      </c>
    </row>
    <row r="5238" spans="1:3" x14ac:dyDescent="0.35">
      <c r="A5238" t="s">
        <v>15575</v>
      </c>
      <c r="B5238" t="s">
        <v>15576</v>
      </c>
      <c r="C5238" t="s">
        <v>15577</v>
      </c>
    </row>
    <row r="5239" spans="1:3" x14ac:dyDescent="0.35">
      <c r="A5239" t="s">
        <v>15578</v>
      </c>
      <c r="B5239" t="s">
        <v>15579</v>
      </c>
      <c r="C5239" t="s">
        <v>15580</v>
      </c>
    </row>
    <row r="5240" spans="1:3" x14ac:dyDescent="0.35">
      <c r="A5240" t="s">
        <v>15581</v>
      </c>
      <c r="B5240" t="s">
        <v>15582</v>
      </c>
      <c r="C5240" t="s">
        <v>15583</v>
      </c>
    </row>
    <row r="5241" spans="1:3" x14ac:dyDescent="0.35">
      <c r="A5241" t="s">
        <v>15584</v>
      </c>
      <c r="B5241" t="s">
        <v>15585</v>
      </c>
      <c r="C5241" t="s">
        <v>15586</v>
      </c>
    </row>
    <row r="5242" spans="1:3" x14ac:dyDescent="0.35">
      <c r="A5242" t="s">
        <v>15587</v>
      </c>
      <c r="B5242" t="s">
        <v>15588</v>
      </c>
      <c r="C5242" t="s">
        <v>15589</v>
      </c>
    </row>
    <row r="5243" spans="1:3" x14ac:dyDescent="0.35">
      <c r="A5243" t="s">
        <v>15590</v>
      </c>
      <c r="B5243" t="s">
        <v>15591</v>
      </c>
      <c r="C5243" t="s">
        <v>15592</v>
      </c>
    </row>
    <row r="5244" spans="1:3" x14ac:dyDescent="0.35">
      <c r="A5244" t="s">
        <v>15593</v>
      </c>
      <c r="B5244" t="s">
        <v>15594</v>
      </c>
      <c r="C5244" t="s">
        <v>15595</v>
      </c>
    </row>
    <row r="5245" spans="1:3" x14ac:dyDescent="0.35">
      <c r="A5245" t="s">
        <v>15596</v>
      </c>
      <c r="B5245" t="s">
        <v>15597</v>
      </c>
      <c r="C5245" t="s">
        <v>15598</v>
      </c>
    </row>
    <row r="5246" spans="1:3" x14ac:dyDescent="0.35">
      <c r="A5246" t="s">
        <v>15599</v>
      </c>
      <c r="B5246" t="s">
        <v>15600</v>
      </c>
      <c r="C5246" t="s">
        <v>15601</v>
      </c>
    </row>
    <row r="5247" spans="1:3" x14ac:dyDescent="0.35">
      <c r="A5247" t="s">
        <v>15599</v>
      </c>
      <c r="B5247" t="s">
        <v>15602</v>
      </c>
      <c r="C5247" t="s">
        <v>15603</v>
      </c>
    </row>
    <row r="5248" spans="1:3" x14ac:dyDescent="0.35">
      <c r="A5248" t="s">
        <v>15604</v>
      </c>
      <c r="B5248" t="s">
        <v>15605</v>
      </c>
      <c r="C5248" t="s">
        <v>15606</v>
      </c>
    </row>
    <row r="5249" spans="1:3" x14ac:dyDescent="0.35">
      <c r="A5249" t="s">
        <v>15607</v>
      </c>
      <c r="B5249" t="s">
        <v>15608</v>
      </c>
      <c r="C5249" t="s">
        <v>15609</v>
      </c>
    </row>
    <row r="5250" spans="1:3" x14ac:dyDescent="0.35">
      <c r="A5250" t="s">
        <v>15610</v>
      </c>
      <c r="B5250" t="s">
        <v>15611</v>
      </c>
      <c r="C5250" t="s">
        <v>15612</v>
      </c>
    </row>
    <row r="5251" spans="1:3" x14ac:dyDescent="0.35">
      <c r="A5251" t="s">
        <v>15613</v>
      </c>
      <c r="B5251" t="s">
        <v>15614</v>
      </c>
      <c r="C5251" t="s">
        <v>15615</v>
      </c>
    </row>
    <row r="5252" spans="1:3" x14ac:dyDescent="0.35">
      <c r="A5252" t="s">
        <v>15616</v>
      </c>
      <c r="B5252" t="s">
        <v>15617</v>
      </c>
      <c r="C5252" t="s">
        <v>15618</v>
      </c>
    </row>
    <row r="5253" spans="1:3" x14ac:dyDescent="0.35">
      <c r="A5253" t="s">
        <v>15619</v>
      </c>
      <c r="B5253" t="s">
        <v>15620</v>
      </c>
      <c r="C5253" t="s">
        <v>15621</v>
      </c>
    </row>
    <row r="5254" spans="1:3" x14ac:dyDescent="0.35">
      <c r="A5254" t="s">
        <v>15622</v>
      </c>
      <c r="B5254" t="s">
        <v>15623</v>
      </c>
      <c r="C5254" t="s">
        <v>15624</v>
      </c>
    </row>
    <row r="5255" spans="1:3" x14ac:dyDescent="0.35">
      <c r="A5255" t="s">
        <v>15625</v>
      </c>
      <c r="B5255" t="s">
        <v>15626</v>
      </c>
      <c r="C5255" t="s">
        <v>15627</v>
      </c>
    </row>
    <row r="5256" spans="1:3" x14ac:dyDescent="0.35">
      <c r="A5256" t="s">
        <v>15628</v>
      </c>
      <c r="B5256" t="s">
        <v>15629</v>
      </c>
      <c r="C5256" t="s">
        <v>15630</v>
      </c>
    </row>
    <row r="5257" spans="1:3" x14ac:dyDescent="0.35">
      <c r="A5257" t="s">
        <v>15631</v>
      </c>
      <c r="B5257" t="s">
        <v>15632</v>
      </c>
      <c r="C5257" t="s">
        <v>15633</v>
      </c>
    </row>
    <row r="5258" spans="1:3" x14ac:dyDescent="0.35">
      <c r="A5258" t="s">
        <v>15634</v>
      </c>
      <c r="B5258" t="s">
        <v>15635</v>
      </c>
      <c r="C5258" t="s">
        <v>15636</v>
      </c>
    </row>
    <row r="5259" spans="1:3" x14ac:dyDescent="0.35">
      <c r="A5259" t="s">
        <v>15637</v>
      </c>
      <c r="B5259" t="s">
        <v>15638</v>
      </c>
      <c r="C5259" t="s">
        <v>15639</v>
      </c>
    </row>
    <row r="5260" spans="1:3" x14ac:dyDescent="0.35">
      <c r="A5260" t="s">
        <v>15640</v>
      </c>
      <c r="B5260" t="s">
        <v>15641</v>
      </c>
      <c r="C5260" t="s">
        <v>15642</v>
      </c>
    </row>
    <row r="5261" spans="1:3" x14ac:dyDescent="0.35">
      <c r="A5261" t="s">
        <v>15643</v>
      </c>
      <c r="B5261" t="s">
        <v>15644</v>
      </c>
      <c r="C5261" t="s">
        <v>15645</v>
      </c>
    </row>
    <row r="5262" spans="1:3" x14ac:dyDescent="0.35">
      <c r="A5262" t="s">
        <v>15646</v>
      </c>
      <c r="B5262" t="s">
        <v>15647</v>
      </c>
      <c r="C5262" t="s">
        <v>15648</v>
      </c>
    </row>
    <row r="5263" spans="1:3" x14ac:dyDescent="0.35">
      <c r="A5263" t="s">
        <v>15649</v>
      </c>
      <c r="B5263" t="s">
        <v>15650</v>
      </c>
      <c r="C5263" t="s">
        <v>15651</v>
      </c>
    </row>
    <row r="5264" spans="1:3" x14ac:dyDescent="0.35">
      <c r="A5264" t="s">
        <v>15652</v>
      </c>
      <c r="B5264" t="s">
        <v>15653</v>
      </c>
      <c r="C5264" t="s">
        <v>15654</v>
      </c>
    </row>
    <row r="5265" spans="1:3" x14ac:dyDescent="0.35">
      <c r="A5265" t="s">
        <v>15655</v>
      </c>
      <c r="B5265" t="s">
        <v>15656</v>
      </c>
      <c r="C5265" t="s">
        <v>15657</v>
      </c>
    </row>
    <row r="5266" spans="1:3" x14ac:dyDescent="0.35">
      <c r="A5266" t="s">
        <v>15658</v>
      </c>
      <c r="B5266" t="s">
        <v>15659</v>
      </c>
      <c r="C5266" t="s">
        <v>15660</v>
      </c>
    </row>
    <row r="5267" spans="1:3" x14ac:dyDescent="0.35">
      <c r="A5267" t="s">
        <v>15661</v>
      </c>
      <c r="B5267" t="s">
        <v>15662</v>
      </c>
      <c r="C5267" t="s">
        <v>15663</v>
      </c>
    </row>
    <row r="5268" spans="1:3" x14ac:dyDescent="0.35">
      <c r="A5268" t="s">
        <v>15664</v>
      </c>
      <c r="B5268" t="s">
        <v>15665</v>
      </c>
      <c r="C5268" t="s">
        <v>15666</v>
      </c>
    </row>
    <row r="5269" spans="1:3" x14ac:dyDescent="0.35">
      <c r="A5269" t="s">
        <v>15667</v>
      </c>
      <c r="B5269" t="s">
        <v>15668</v>
      </c>
      <c r="C5269" t="s">
        <v>15669</v>
      </c>
    </row>
    <row r="5270" spans="1:3" x14ac:dyDescent="0.35">
      <c r="A5270" t="s">
        <v>15670</v>
      </c>
      <c r="B5270" t="s">
        <v>15671</v>
      </c>
      <c r="C5270" t="s">
        <v>15672</v>
      </c>
    </row>
    <row r="5271" spans="1:3" x14ac:dyDescent="0.35">
      <c r="A5271" t="s">
        <v>15673</v>
      </c>
      <c r="B5271" t="s">
        <v>15674</v>
      </c>
      <c r="C5271" t="s">
        <v>15675</v>
      </c>
    </row>
    <row r="5272" spans="1:3" x14ac:dyDescent="0.35">
      <c r="A5272" t="s">
        <v>15676</v>
      </c>
      <c r="B5272" t="s">
        <v>15677</v>
      </c>
      <c r="C5272" t="s">
        <v>15678</v>
      </c>
    </row>
    <row r="5273" spans="1:3" x14ac:dyDescent="0.35">
      <c r="A5273" t="s">
        <v>15679</v>
      </c>
      <c r="B5273" t="s">
        <v>15680</v>
      </c>
      <c r="C5273" t="s">
        <v>14987</v>
      </c>
    </row>
    <row r="5274" spans="1:3" x14ac:dyDescent="0.35">
      <c r="A5274" t="s">
        <v>15681</v>
      </c>
      <c r="B5274" t="s">
        <v>15682</v>
      </c>
      <c r="C5274" t="s">
        <v>15683</v>
      </c>
    </row>
    <row r="5275" spans="1:3" x14ac:dyDescent="0.35">
      <c r="A5275" t="s">
        <v>15684</v>
      </c>
      <c r="B5275" t="s">
        <v>15685</v>
      </c>
      <c r="C5275" t="s">
        <v>15686</v>
      </c>
    </row>
    <row r="5276" spans="1:3" x14ac:dyDescent="0.35">
      <c r="A5276" t="s">
        <v>15687</v>
      </c>
      <c r="B5276" t="s">
        <v>15688</v>
      </c>
      <c r="C5276" t="s">
        <v>15689</v>
      </c>
    </row>
    <row r="5277" spans="1:3" x14ac:dyDescent="0.35">
      <c r="A5277" t="s">
        <v>15690</v>
      </c>
      <c r="B5277" t="s">
        <v>15691</v>
      </c>
      <c r="C5277" t="s">
        <v>15692</v>
      </c>
    </row>
    <row r="5278" spans="1:3" x14ac:dyDescent="0.35">
      <c r="A5278" t="s">
        <v>15693</v>
      </c>
      <c r="B5278" t="s">
        <v>15694</v>
      </c>
      <c r="C5278" t="s">
        <v>15695</v>
      </c>
    </row>
    <row r="5279" spans="1:3" x14ac:dyDescent="0.35">
      <c r="A5279" t="s">
        <v>15696</v>
      </c>
      <c r="B5279" t="s">
        <v>15697</v>
      </c>
      <c r="C5279" t="s">
        <v>15698</v>
      </c>
    </row>
    <row r="5280" spans="1:3" x14ac:dyDescent="0.35">
      <c r="A5280" t="s">
        <v>15699</v>
      </c>
      <c r="B5280" t="s">
        <v>15700</v>
      </c>
      <c r="C5280" t="s">
        <v>15701</v>
      </c>
    </row>
    <row r="5281" spans="1:3" x14ac:dyDescent="0.35">
      <c r="A5281" t="s">
        <v>15702</v>
      </c>
      <c r="B5281" t="s">
        <v>15703</v>
      </c>
      <c r="C5281" t="s">
        <v>15704</v>
      </c>
    </row>
    <row r="5282" spans="1:3" x14ac:dyDescent="0.35">
      <c r="A5282" t="s">
        <v>15705</v>
      </c>
      <c r="B5282" t="s">
        <v>15706</v>
      </c>
      <c r="C5282" t="s">
        <v>15707</v>
      </c>
    </row>
    <row r="5283" spans="1:3" x14ac:dyDescent="0.35">
      <c r="A5283" t="s">
        <v>15708</v>
      </c>
      <c r="B5283" t="s">
        <v>15709</v>
      </c>
      <c r="C5283" t="s">
        <v>15710</v>
      </c>
    </row>
    <row r="5284" spans="1:3" x14ac:dyDescent="0.35">
      <c r="A5284" t="s">
        <v>15711</v>
      </c>
      <c r="B5284" t="s">
        <v>15712</v>
      </c>
      <c r="C5284" t="s">
        <v>15713</v>
      </c>
    </row>
    <row r="5285" spans="1:3" x14ac:dyDescent="0.35">
      <c r="A5285" t="s">
        <v>15714</v>
      </c>
      <c r="B5285" t="s">
        <v>15715</v>
      </c>
      <c r="C5285" t="s">
        <v>15716</v>
      </c>
    </row>
    <row r="5286" spans="1:3" x14ac:dyDescent="0.35">
      <c r="A5286" t="s">
        <v>15717</v>
      </c>
      <c r="B5286" t="s">
        <v>15718</v>
      </c>
      <c r="C5286" t="s">
        <v>15719</v>
      </c>
    </row>
    <row r="5287" spans="1:3" x14ac:dyDescent="0.35">
      <c r="A5287" t="s">
        <v>15720</v>
      </c>
      <c r="B5287" t="s">
        <v>15721</v>
      </c>
      <c r="C5287" t="s">
        <v>15722</v>
      </c>
    </row>
    <row r="5288" spans="1:3" x14ac:dyDescent="0.35">
      <c r="A5288" t="s">
        <v>15723</v>
      </c>
      <c r="B5288" t="s">
        <v>15724</v>
      </c>
      <c r="C5288" t="s">
        <v>15725</v>
      </c>
    </row>
    <row r="5289" spans="1:3" x14ac:dyDescent="0.35">
      <c r="A5289" t="s">
        <v>15723</v>
      </c>
      <c r="B5289" t="s">
        <v>15726</v>
      </c>
      <c r="C5289" t="s">
        <v>15727</v>
      </c>
    </row>
    <row r="5290" spans="1:3" x14ac:dyDescent="0.35">
      <c r="A5290" t="s">
        <v>15728</v>
      </c>
      <c r="B5290" t="s">
        <v>15729</v>
      </c>
      <c r="C5290" t="s">
        <v>15730</v>
      </c>
    </row>
    <row r="5291" spans="1:3" x14ac:dyDescent="0.35">
      <c r="A5291" t="s">
        <v>15731</v>
      </c>
      <c r="B5291" t="s">
        <v>15732</v>
      </c>
      <c r="C5291" t="s">
        <v>15733</v>
      </c>
    </row>
    <row r="5292" spans="1:3" x14ac:dyDescent="0.35">
      <c r="A5292" t="s">
        <v>15734</v>
      </c>
      <c r="B5292" t="s">
        <v>15735</v>
      </c>
      <c r="C5292" t="s">
        <v>15736</v>
      </c>
    </row>
    <row r="5293" spans="1:3" x14ac:dyDescent="0.35">
      <c r="A5293" t="s">
        <v>15737</v>
      </c>
      <c r="B5293" t="s">
        <v>15738</v>
      </c>
      <c r="C5293" t="s">
        <v>15739</v>
      </c>
    </row>
    <row r="5294" spans="1:3" x14ac:dyDescent="0.35">
      <c r="A5294" t="s">
        <v>15740</v>
      </c>
      <c r="B5294" t="s">
        <v>15741</v>
      </c>
      <c r="C5294" t="s">
        <v>15742</v>
      </c>
    </row>
    <row r="5295" spans="1:3" x14ac:dyDescent="0.35">
      <c r="A5295" t="s">
        <v>15743</v>
      </c>
      <c r="B5295" t="s">
        <v>15744</v>
      </c>
      <c r="C5295" t="s">
        <v>15745</v>
      </c>
    </row>
    <row r="5296" spans="1:3" x14ac:dyDescent="0.35">
      <c r="A5296" t="s">
        <v>15746</v>
      </c>
      <c r="B5296" t="s">
        <v>15747</v>
      </c>
      <c r="C5296" t="s">
        <v>15748</v>
      </c>
    </row>
    <row r="5297" spans="1:3" x14ac:dyDescent="0.35">
      <c r="A5297" t="s">
        <v>15749</v>
      </c>
      <c r="B5297" t="s">
        <v>15750</v>
      </c>
      <c r="C5297" t="s">
        <v>15751</v>
      </c>
    </row>
    <row r="5298" spans="1:3" x14ac:dyDescent="0.35">
      <c r="A5298" t="s">
        <v>15752</v>
      </c>
      <c r="B5298" t="s">
        <v>15753</v>
      </c>
      <c r="C5298" t="s">
        <v>15754</v>
      </c>
    </row>
    <row r="5299" spans="1:3" x14ac:dyDescent="0.35">
      <c r="A5299" t="s">
        <v>15755</v>
      </c>
      <c r="B5299" t="s">
        <v>15756</v>
      </c>
      <c r="C5299" t="s">
        <v>15757</v>
      </c>
    </row>
    <row r="5300" spans="1:3" x14ac:dyDescent="0.35">
      <c r="A5300" t="s">
        <v>15758</v>
      </c>
      <c r="B5300" t="s">
        <v>15759</v>
      </c>
      <c r="C5300" t="s">
        <v>15760</v>
      </c>
    </row>
    <row r="5301" spans="1:3" x14ac:dyDescent="0.35">
      <c r="A5301" t="s">
        <v>15761</v>
      </c>
      <c r="B5301" t="s">
        <v>15762</v>
      </c>
      <c r="C5301" t="s">
        <v>15763</v>
      </c>
    </row>
    <row r="5302" spans="1:3" x14ac:dyDescent="0.35">
      <c r="A5302" t="s">
        <v>15764</v>
      </c>
      <c r="B5302" t="s">
        <v>15765</v>
      </c>
      <c r="C5302" t="s">
        <v>15766</v>
      </c>
    </row>
    <row r="5303" spans="1:3" x14ac:dyDescent="0.35">
      <c r="A5303" t="s">
        <v>15767</v>
      </c>
      <c r="B5303" t="s">
        <v>15768</v>
      </c>
      <c r="C5303" t="s">
        <v>15769</v>
      </c>
    </row>
    <row r="5304" spans="1:3" x14ac:dyDescent="0.35">
      <c r="A5304" t="s">
        <v>15770</v>
      </c>
      <c r="B5304" t="s">
        <v>15771</v>
      </c>
      <c r="C5304" t="s">
        <v>15772</v>
      </c>
    </row>
    <row r="5305" spans="1:3" x14ac:dyDescent="0.35">
      <c r="A5305" t="s">
        <v>15773</v>
      </c>
      <c r="B5305" t="s">
        <v>15774</v>
      </c>
      <c r="C5305" t="s">
        <v>15775</v>
      </c>
    </row>
    <row r="5306" spans="1:3" x14ac:dyDescent="0.35">
      <c r="A5306" t="s">
        <v>15773</v>
      </c>
      <c r="B5306" t="s">
        <v>15776</v>
      </c>
      <c r="C5306" t="s">
        <v>15775</v>
      </c>
    </row>
    <row r="5307" spans="1:3" x14ac:dyDescent="0.35">
      <c r="A5307" t="s">
        <v>15777</v>
      </c>
      <c r="B5307" t="s">
        <v>15778</v>
      </c>
      <c r="C5307" t="s">
        <v>15779</v>
      </c>
    </row>
    <row r="5308" spans="1:3" x14ac:dyDescent="0.35">
      <c r="A5308" t="s">
        <v>15780</v>
      </c>
      <c r="B5308" t="s">
        <v>15781</v>
      </c>
      <c r="C5308" t="s">
        <v>15782</v>
      </c>
    </row>
    <row r="5309" spans="1:3" x14ac:dyDescent="0.35">
      <c r="A5309" t="s">
        <v>15783</v>
      </c>
      <c r="B5309" t="s">
        <v>15784</v>
      </c>
      <c r="C5309" t="s">
        <v>15785</v>
      </c>
    </row>
    <row r="5310" spans="1:3" x14ac:dyDescent="0.35">
      <c r="A5310" t="s">
        <v>15786</v>
      </c>
      <c r="B5310" t="s">
        <v>15787</v>
      </c>
      <c r="C5310" t="s">
        <v>15788</v>
      </c>
    </row>
    <row r="5311" spans="1:3" x14ac:dyDescent="0.35">
      <c r="A5311" t="s">
        <v>15789</v>
      </c>
      <c r="B5311" t="s">
        <v>15790</v>
      </c>
      <c r="C5311" t="s">
        <v>15791</v>
      </c>
    </row>
    <row r="5312" spans="1:3" x14ac:dyDescent="0.35">
      <c r="A5312" t="s">
        <v>15792</v>
      </c>
      <c r="B5312" t="s">
        <v>15793</v>
      </c>
      <c r="C5312" t="s">
        <v>15794</v>
      </c>
    </row>
    <row r="5313" spans="1:3" x14ac:dyDescent="0.35">
      <c r="A5313" t="s">
        <v>15795</v>
      </c>
      <c r="B5313" t="s">
        <v>15796</v>
      </c>
      <c r="C5313" t="s">
        <v>15797</v>
      </c>
    </row>
    <row r="5314" spans="1:3" x14ac:dyDescent="0.35">
      <c r="A5314" t="s">
        <v>15798</v>
      </c>
      <c r="B5314" t="s">
        <v>15799</v>
      </c>
      <c r="C5314" t="s">
        <v>15800</v>
      </c>
    </row>
    <row r="5315" spans="1:3" x14ac:dyDescent="0.35">
      <c r="A5315" t="s">
        <v>15801</v>
      </c>
      <c r="B5315" t="s">
        <v>15802</v>
      </c>
      <c r="C5315" t="s">
        <v>15803</v>
      </c>
    </row>
    <row r="5316" spans="1:3" x14ac:dyDescent="0.35">
      <c r="A5316" t="s">
        <v>15804</v>
      </c>
      <c r="B5316" t="s">
        <v>15805</v>
      </c>
      <c r="C5316" t="s">
        <v>15806</v>
      </c>
    </row>
    <row r="5317" spans="1:3" x14ac:dyDescent="0.35">
      <c r="A5317" t="s">
        <v>15807</v>
      </c>
      <c r="B5317" t="s">
        <v>15808</v>
      </c>
      <c r="C5317" t="s">
        <v>15809</v>
      </c>
    </row>
    <row r="5318" spans="1:3" x14ac:dyDescent="0.35">
      <c r="A5318" t="s">
        <v>15810</v>
      </c>
      <c r="B5318" t="s">
        <v>15811</v>
      </c>
      <c r="C5318" t="s">
        <v>15812</v>
      </c>
    </row>
    <row r="5319" spans="1:3" x14ac:dyDescent="0.35">
      <c r="A5319" t="s">
        <v>15813</v>
      </c>
      <c r="B5319" t="s">
        <v>15814</v>
      </c>
      <c r="C5319" t="s">
        <v>15815</v>
      </c>
    </row>
    <row r="5320" spans="1:3" x14ac:dyDescent="0.35">
      <c r="A5320" t="s">
        <v>15813</v>
      </c>
      <c r="B5320" t="s">
        <v>15816</v>
      </c>
      <c r="C5320" t="s">
        <v>15815</v>
      </c>
    </row>
    <row r="5321" spans="1:3" x14ac:dyDescent="0.35">
      <c r="A5321" t="s">
        <v>15817</v>
      </c>
      <c r="B5321" t="s">
        <v>15818</v>
      </c>
      <c r="C5321" t="s">
        <v>15819</v>
      </c>
    </row>
    <row r="5322" spans="1:3" x14ac:dyDescent="0.35">
      <c r="A5322" t="s">
        <v>15820</v>
      </c>
      <c r="B5322" t="s">
        <v>15821</v>
      </c>
      <c r="C5322" t="s">
        <v>15822</v>
      </c>
    </row>
    <row r="5323" spans="1:3" x14ac:dyDescent="0.35">
      <c r="A5323" t="s">
        <v>15823</v>
      </c>
      <c r="B5323" t="s">
        <v>15824</v>
      </c>
      <c r="C5323" t="s">
        <v>15825</v>
      </c>
    </row>
    <row r="5324" spans="1:3" x14ac:dyDescent="0.35">
      <c r="A5324" t="s">
        <v>15826</v>
      </c>
      <c r="B5324" t="s">
        <v>15827</v>
      </c>
      <c r="C5324" t="s">
        <v>15828</v>
      </c>
    </row>
    <row r="5325" spans="1:3" x14ac:dyDescent="0.35">
      <c r="A5325" t="s">
        <v>15829</v>
      </c>
      <c r="B5325" t="s">
        <v>15830</v>
      </c>
      <c r="C5325" t="s">
        <v>15831</v>
      </c>
    </row>
    <row r="5326" spans="1:3" x14ac:dyDescent="0.35">
      <c r="A5326" t="s">
        <v>15832</v>
      </c>
      <c r="B5326" t="s">
        <v>15833</v>
      </c>
      <c r="C5326" t="s">
        <v>15834</v>
      </c>
    </row>
    <row r="5327" spans="1:3" x14ac:dyDescent="0.35">
      <c r="A5327" t="s">
        <v>15835</v>
      </c>
      <c r="B5327" t="s">
        <v>15836</v>
      </c>
      <c r="C5327" t="s">
        <v>15837</v>
      </c>
    </row>
    <row r="5328" spans="1:3" x14ac:dyDescent="0.35">
      <c r="A5328" t="s">
        <v>15838</v>
      </c>
      <c r="B5328" t="s">
        <v>15839</v>
      </c>
      <c r="C5328" t="s">
        <v>15840</v>
      </c>
    </row>
    <row r="5329" spans="1:3" x14ac:dyDescent="0.35">
      <c r="A5329" t="s">
        <v>15841</v>
      </c>
      <c r="B5329" t="s">
        <v>15842</v>
      </c>
      <c r="C5329" t="s">
        <v>15843</v>
      </c>
    </row>
    <row r="5330" spans="1:3" x14ac:dyDescent="0.35">
      <c r="A5330" t="s">
        <v>15844</v>
      </c>
      <c r="B5330" t="s">
        <v>15845</v>
      </c>
      <c r="C5330" t="s">
        <v>15846</v>
      </c>
    </row>
    <row r="5331" spans="1:3" x14ac:dyDescent="0.35">
      <c r="A5331" t="s">
        <v>15847</v>
      </c>
      <c r="B5331" t="s">
        <v>15848</v>
      </c>
      <c r="C5331" t="s">
        <v>15849</v>
      </c>
    </row>
    <row r="5332" spans="1:3" x14ac:dyDescent="0.35">
      <c r="A5332" t="s">
        <v>15850</v>
      </c>
      <c r="B5332" t="s">
        <v>15851</v>
      </c>
      <c r="C5332" t="s">
        <v>15852</v>
      </c>
    </row>
    <row r="5333" spans="1:3" x14ac:dyDescent="0.35">
      <c r="A5333" t="s">
        <v>15853</v>
      </c>
      <c r="B5333" t="s">
        <v>15854</v>
      </c>
      <c r="C5333" t="s">
        <v>15855</v>
      </c>
    </row>
    <row r="5334" spans="1:3" x14ac:dyDescent="0.35">
      <c r="A5334" t="s">
        <v>15856</v>
      </c>
      <c r="B5334" t="s">
        <v>15857</v>
      </c>
      <c r="C5334" t="s">
        <v>15858</v>
      </c>
    </row>
    <row r="5335" spans="1:3" x14ac:dyDescent="0.35">
      <c r="A5335" t="s">
        <v>15859</v>
      </c>
      <c r="B5335" t="s">
        <v>15860</v>
      </c>
      <c r="C5335" t="s">
        <v>15861</v>
      </c>
    </row>
    <row r="5336" spans="1:3" x14ac:dyDescent="0.35">
      <c r="A5336" t="s">
        <v>15862</v>
      </c>
      <c r="B5336" t="s">
        <v>15863</v>
      </c>
      <c r="C5336" t="s">
        <v>15864</v>
      </c>
    </row>
    <row r="5337" spans="1:3" x14ac:dyDescent="0.35">
      <c r="A5337" t="s">
        <v>15865</v>
      </c>
      <c r="B5337" t="s">
        <v>15866</v>
      </c>
      <c r="C5337" t="s">
        <v>15867</v>
      </c>
    </row>
    <row r="5338" spans="1:3" x14ac:dyDescent="0.35">
      <c r="A5338" t="s">
        <v>15868</v>
      </c>
      <c r="B5338" t="s">
        <v>15869</v>
      </c>
      <c r="C5338" t="s">
        <v>15870</v>
      </c>
    </row>
    <row r="5339" spans="1:3" x14ac:dyDescent="0.35">
      <c r="A5339" t="s">
        <v>15871</v>
      </c>
      <c r="B5339" t="s">
        <v>15872</v>
      </c>
      <c r="C5339" t="s">
        <v>15873</v>
      </c>
    </row>
    <row r="5340" spans="1:3" x14ac:dyDescent="0.35">
      <c r="A5340" t="s">
        <v>15874</v>
      </c>
      <c r="B5340" t="s">
        <v>15875</v>
      </c>
      <c r="C5340" t="s">
        <v>15876</v>
      </c>
    </row>
    <row r="5341" spans="1:3" x14ac:dyDescent="0.35">
      <c r="A5341" t="s">
        <v>15877</v>
      </c>
      <c r="B5341" t="s">
        <v>15878</v>
      </c>
      <c r="C5341" t="s">
        <v>15879</v>
      </c>
    </row>
    <row r="5342" spans="1:3" x14ac:dyDescent="0.35">
      <c r="A5342" t="s">
        <v>15880</v>
      </c>
      <c r="B5342" t="s">
        <v>15881</v>
      </c>
      <c r="C5342" t="s">
        <v>15882</v>
      </c>
    </row>
    <row r="5343" spans="1:3" x14ac:dyDescent="0.35">
      <c r="A5343" t="s">
        <v>15883</v>
      </c>
      <c r="B5343" t="s">
        <v>15884</v>
      </c>
      <c r="C5343" t="s">
        <v>15885</v>
      </c>
    </row>
    <row r="5344" spans="1:3" x14ac:dyDescent="0.35">
      <c r="A5344" t="s">
        <v>15886</v>
      </c>
      <c r="B5344" t="s">
        <v>15887</v>
      </c>
      <c r="C5344" t="s">
        <v>15888</v>
      </c>
    </row>
    <row r="5345" spans="1:3" x14ac:dyDescent="0.35">
      <c r="A5345" t="s">
        <v>15889</v>
      </c>
      <c r="B5345" t="s">
        <v>15890</v>
      </c>
      <c r="C5345" t="s">
        <v>15891</v>
      </c>
    </row>
    <row r="5346" spans="1:3" x14ac:dyDescent="0.35">
      <c r="A5346" t="s">
        <v>15892</v>
      </c>
      <c r="B5346" t="s">
        <v>15893</v>
      </c>
      <c r="C5346" t="s">
        <v>15894</v>
      </c>
    </row>
    <row r="5347" spans="1:3" x14ac:dyDescent="0.35">
      <c r="A5347" t="s">
        <v>15895</v>
      </c>
      <c r="B5347" t="s">
        <v>15896</v>
      </c>
      <c r="C5347" t="s">
        <v>15897</v>
      </c>
    </row>
    <row r="5348" spans="1:3" x14ac:dyDescent="0.35">
      <c r="A5348" t="s">
        <v>15898</v>
      </c>
      <c r="B5348" t="s">
        <v>15899</v>
      </c>
      <c r="C5348" t="s">
        <v>15900</v>
      </c>
    </row>
    <row r="5349" spans="1:3" x14ac:dyDescent="0.35">
      <c r="A5349" t="s">
        <v>15901</v>
      </c>
      <c r="B5349" t="s">
        <v>15902</v>
      </c>
      <c r="C5349" t="s">
        <v>15903</v>
      </c>
    </row>
    <row r="5350" spans="1:3" x14ac:dyDescent="0.35">
      <c r="A5350" t="s">
        <v>15904</v>
      </c>
      <c r="B5350" t="s">
        <v>15905</v>
      </c>
      <c r="C5350" t="s">
        <v>15906</v>
      </c>
    </row>
    <row r="5351" spans="1:3" x14ac:dyDescent="0.35">
      <c r="A5351" t="s">
        <v>15907</v>
      </c>
      <c r="B5351" t="s">
        <v>15908</v>
      </c>
      <c r="C5351" t="s">
        <v>15909</v>
      </c>
    </row>
    <row r="5352" spans="1:3" x14ac:dyDescent="0.35">
      <c r="A5352" t="s">
        <v>15910</v>
      </c>
      <c r="B5352" t="s">
        <v>15911</v>
      </c>
      <c r="C5352" t="s">
        <v>15912</v>
      </c>
    </row>
    <row r="5353" spans="1:3" x14ac:dyDescent="0.35">
      <c r="A5353" t="s">
        <v>15913</v>
      </c>
      <c r="B5353" t="s">
        <v>15914</v>
      </c>
      <c r="C5353" t="s">
        <v>15915</v>
      </c>
    </row>
    <row r="5354" spans="1:3" x14ac:dyDescent="0.35">
      <c r="A5354" t="s">
        <v>15916</v>
      </c>
      <c r="B5354" t="s">
        <v>15917</v>
      </c>
      <c r="C5354" t="s">
        <v>15918</v>
      </c>
    </row>
    <row r="5355" spans="1:3" x14ac:dyDescent="0.35">
      <c r="A5355" t="s">
        <v>15919</v>
      </c>
      <c r="B5355" t="s">
        <v>15920</v>
      </c>
      <c r="C5355" t="s">
        <v>15921</v>
      </c>
    </row>
    <row r="5356" spans="1:3" x14ac:dyDescent="0.35">
      <c r="A5356" t="s">
        <v>15922</v>
      </c>
      <c r="B5356" t="s">
        <v>15923</v>
      </c>
      <c r="C5356" t="s">
        <v>15924</v>
      </c>
    </row>
    <row r="5357" spans="1:3" x14ac:dyDescent="0.35">
      <c r="A5357" t="s">
        <v>15925</v>
      </c>
      <c r="B5357" t="s">
        <v>15926</v>
      </c>
      <c r="C5357" t="s">
        <v>15927</v>
      </c>
    </row>
    <row r="5358" spans="1:3" x14ac:dyDescent="0.35">
      <c r="A5358" t="s">
        <v>15928</v>
      </c>
      <c r="B5358" t="s">
        <v>15929</v>
      </c>
      <c r="C5358" t="s">
        <v>15930</v>
      </c>
    </row>
    <row r="5359" spans="1:3" x14ac:dyDescent="0.35">
      <c r="A5359" t="s">
        <v>15931</v>
      </c>
      <c r="B5359" t="s">
        <v>15932</v>
      </c>
      <c r="C5359" t="s">
        <v>15933</v>
      </c>
    </row>
    <row r="5360" spans="1:3" x14ac:dyDescent="0.35">
      <c r="A5360" t="s">
        <v>15934</v>
      </c>
      <c r="B5360" t="s">
        <v>15935</v>
      </c>
      <c r="C5360" t="s">
        <v>15936</v>
      </c>
    </row>
    <row r="5361" spans="1:3" x14ac:dyDescent="0.35">
      <c r="A5361" t="s">
        <v>15937</v>
      </c>
      <c r="B5361" t="s">
        <v>15938</v>
      </c>
      <c r="C5361" t="s">
        <v>15939</v>
      </c>
    </row>
    <row r="5362" spans="1:3" x14ac:dyDescent="0.35">
      <c r="A5362" t="s">
        <v>15940</v>
      </c>
      <c r="B5362" t="s">
        <v>15941</v>
      </c>
      <c r="C5362" t="s">
        <v>15942</v>
      </c>
    </row>
    <row r="5363" spans="1:3" x14ac:dyDescent="0.35">
      <c r="A5363" t="s">
        <v>15943</v>
      </c>
      <c r="B5363" t="s">
        <v>15944</v>
      </c>
      <c r="C5363" t="s">
        <v>15945</v>
      </c>
    </row>
    <row r="5364" spans="1:3" x14ac:dyDescent="0.35">
      <c r="A5364" t="s">
        <v>15946</v>
      </c>
      <c r="B5364" t="s">
        <v>15947</v>
      </c>
      <c r="C5364" t="s">
        <v>15948</v>
      </c>
    </row>
    <row r="5365" spans="1:3" x14ac:dyDescent="0.35">
      <c r="A5365" t="s">
        <v>15949</v>
      </c>
      <c r="B5365" t="s">
        <v>15950</v>
      </c>
      <c r="C5365" t="s">
        <v>15368</v>
      </c>
    </row>
    <row r="5366" spans="1:3" x14ac:dyDescent="0.35">
      <c r="A5366" t="s">
        <v>15951</v>
      </c>
      <c r="B5366" t="s">
        <v>15952</v>
      </c>
      <c r="C5366" t="s">
        <v>15953</v>
      </c>
    </row>
    <row r="5367" spans="1:3" x14ac:dyDescent="0.35">
      <c r="A5367" t="s">
        <v>15954</v>
      </c>
      <c r="B5367" t="s">
        <v>15955</v>
      </c>
      <c r="C5367" t="s">
        <v>15956</v>
      </c>
    </row>
    <row r="5368" spans="1:3" x14ac:dyDescent="0.35">
      <c r="A5368" t="s">
        <v>15957</v>
      </c>
      <c r="B5368" t="s">
        <v>15958</v>
      </c>
      <c r="C5368" t="s">
        <v>15959</v>
      </c>
    </row>
    <row r="5369" spans="1:3" x14ac:dyDescent="0.35">
      <c r="A5369" t="s">
        <v>15960</v>
      </c>
      <c r="B5369" t="s">
        <v>15961</v>
      </c>
      <c r="C5369" t="s">
        <v>15962</v>
      </c>
    </row>
    <row r="5370" spans="1:3" x14ac:dyDescent="0.35">
      <c r="A5370" t="s">
        <v>15963</v>
      </c>
      <c r="B5370" t="s">
        <v>15964</v>
      </c>
      <c r="C5370" t="s">
        <v>7624</v>
      </c>
    </row>
    <row r="5371" spans="1:3" x14ac:dyDescent="0.35">
      <c r="A5371" t="s">
        <v>15965</v>
      </c>
      <c r="B5371" t="s">
        <v>15966</v>
      </c>
      <c r="C5371" t="s">
        <v>15967</v>
      </c>
    </row>
    <row r="5372" spans="1:3" x14ac:dyDescent="0.35">
      <c r="A5372" t="s">
        <v>15968</v>
      </c>
      <c r="B5372" t="s">
        <v>15969</v>
      </c>
      <c r="C5372" t="s">
        <v>15970</v>
      </c>
    </row>
    <row r="5373" spans="1:3" x14ac:dyDescent="0.35">
      <c r="A5373" t="s">
        <v>15971</v>
      </c>
      <c r="B5373" t="s">
        <v>15972</v>
      </c>
      <c r="C5373" t="s">
        <v>15973</v>
      </c>
    </row>
    <row r="5374" spans="1:3" x14ac:dyDescent="0.35">
      <c r="A5374" t="s">
        <v>15974</v>
      </c>
      <c r="B5374" t="s">
        <v>15975</v>
      </c>
      <c r="C5374" t="s">
        <v>15976</v>
      </c>
    </row>
    <row r="5375" spans="1:3" x14ac:dyDescent="0.35">
      <c r="A5375" t="s">
        <v>15977</v>
      </c>
      <c r="B5375" t="s">
        <v>15978</v>
      </c>
      <c r="C5375" t="s">
        <v>15979</v>
      </c>
    </row>
    <row r="5376" spans="1:3" x14ac:dyDescent="0.35">
      <c r="A5376" t="s">
        <v>15980</v>
      </c>
      <c r="B5376" t="s">
        <v>15981</v>
      </c>
      <c r="C5376" t="s">
        <v>15982</v>
      </c>
    </row>
    <row r="5377" spans="1:3" x14ac:dyDescent="0.35">
      <c r="A5377" t="s">
        <v>15983</v>
      </c>
      <c r="B5377" t="s">
        <v>15984</v>
      </c>
      <c r="C5377" t="s">
        <v>15985</v>
      </c>
    </row>
    <row r="5378" spans="1:3" x14ac:dyDescent="0.35">
      <c r="A5378" t="s">
        <v>15986</v>
      </c>
      <c r="B5378" t="s">
        <v>15987</v>
      </c>
      <c r="C5378" t="s">
        <v>15988</v>
      </c>
    </row>
    <row r="5379" spans="1:3" x14ac:dyDescent="0.35">
      <c r="A5379" t="s">
        <v>15989</v>
      </c>
      <c r="B5379" t="s">
        <v>15990</v>
      </c>
      <c r="C5379" t="s">
        <v>15991</v>
      </c>
    </row>
    <row r="5380" spans="1:3" x14ac:dyDescent="0.35">
      <c r="A5380" t="s">
        <v>15992</v>
      </c>
      <c r="B5380" t="s">
        <v>15993</v>
      </c>
      <c r="C5380" t="s">
        <v>15994</v>
      </c>
    </row>
    <row r="5381" spans="1:3" x14ac:dyDescent="0.35">
      <c r="A5381" t="s">
        <v>15995</v>
      </c>
      <c r="B5381" t="s">
        <v>15996</v>
      </c>
      <c r="C5381" t="s">
        <v>15997</v>
      </c>
    </row>
    <row r="5382" spans="1:3" x14ac:dyDescent="0.35">
      <c r="A5382" t="s">
        <v>15998</v>
      </c>
      <c r="B5382" t="s">
        <v>15999</v>
      </c>
      <c r="C5382" t="s">
        <v>16000</v>
      </c>
    </row>
    <row r="5383" spans="1:3" x14ac:dyDescent="0.35">
      <c r="A5383" t="s">
        <v>16001</v>
      </c>
      <c r="B5383" t="s">
        <v>16002</v>
      </c>
      <c r="C5383" t="s">
        <v>16003</v>
      </c>
    </row>
    <row r="5384" spans="1:3" x14ac:dyDescent="0.35">
      <c r="A5384" t="s">
        <v>16004</v>
      </c>
      <c r="B5384" t="s">
        <v>11916</v>
      </c>
      <c r="C5384" t="s">
        <v>11916</v>
      </c>
    </row>
    <row r="5385" spans="1:3" x14ac:dyDescent="0.35">
      <c r="A5385" t="s">
        <v>16005</v>
      </c>
      <c r="B5385" t="s">
        <v>16006</v>
      </c>
      <c r="C5385" t="s">
        <v>16007</v>
      </c>
    </row>
    <row r="5386" spans="1:3" x14ac:dyDescent="0.35">
      <c r="A5386" t="s">
        <v>16008</v>
      </c>
      <c r="B5386" t="s">
        <v>16009</v>
      </c>
      <c r="C5386" t="s">
        <v>16010</v>
      </c>
    </row>
    <row r="5387" spans="1:3" x14ac:dyDescent="0.35">
      <c r="A5387" t="s">
        <v>16011</v>
      </c>
      <c r="B5387" t="s">
        <v>16012</v>
      </c>
      <c r="C5387" t="s">
        <v>16013</v>
      </c>
    </row>
    <row r="5388" spans="1:3" x14ac:dyDescent="0.35">
      <c r="A5388" t="s">
        <v>16014</v>
      </c>
      <c r="B5388" t="s">
        <v>16015</v>
      </c>
      <c r="C5388" t="s">
        <v>16016</v>
      </c>
    </row>
    <row r="5389" spans="1:3" x14ac:dyDescent="0.35">
      <c r="A5389" t="s">
        <v>16017</v>
      </c>
      <c r="B5389" t="s">
        <v>16018</v>
      </c>
      <c r="C5389" t="s">
        <v>16019</v>
      </c>
    </row>
    <row r="5390" spans="1:3" x14ac:dyDescent="0.35">
      <c r="A5390" t="s">
        <v>16020</v>
      </c>
      <c r="B5390" t="s">
        <v>16021</v>
      </c>
      <c r="C5390" t="s">
        <v>16022</v>
      </c>
    </row>
    <row r="5391" spans="1:3" x14ac:dyDescent="0.35">
      <c r="A5391" t="s">
        <v>16023</v>
      </c>
      <c r="B5391" t="s">
        <v>16024</v>
      </c>
      <c r="C5391" t="s">
        <v>16025</v>
      </c>
    </row>
    <row r="5392" spans="1:3" x14ac:dyDescent="0.35">
      <c r="A5392" t="s">
        <v>16026</v>
      </c>
      <c r="B5392" t="s">
        <v>16027</v>
      </c>
      <c r="C5392" t="s">
        <v>16028</v>
      </c>
    </row>
    <row r="5393" spans="1:3" x14ac:dyDescent="0.35">
      <c r="A5393" t="s">
        <v>16029</v>
      </c>
      <c r="B5393" t="s">
        <v>16030</v>
      </c>
      <c r="C5393" t="s">
        <v>16031</v>
      </c>
    </row>
    <row r="5394" spans="1:3" x14ac:dyDescent="0.35">
      <c r="A5394" t="s">
        <v>16032</v>
      </c>
      <c r="B5394" t="s">
        <v>16033</v>
      </c>
      <c r="C5394" t="s">
        <v>16034</v>
      </c>
    </row>
    <row r="5395" spans="1:3" x14ac:dyDescent="0.35">
      <c r="A5395" t="s">
        <v>16035</v>
      </c>
      <c r="B5395" t="s">
        <v>16036</v>
      </c>
      <c r="C5395" t="s">
        <v>16037</v>
      </c>
    </row>
    <row r="5396" spans="1:3" x14ac:dyDescent="0.35">
      <c r="A5396" t="s">
        <v>16038</v>
      </c>
      <c r="B5396" t="s">
        <v>16039</v>
      </c>
      <c r="C5396" t="s">
        <v>16040</v>
      </c>
    </row>
    <row r="5397" spans="1:3" x14ac:dyDescent="0.35">
      <c r="A5397" t="s">
        <v>16041</v>
      </c>
      <c r="B5397" t="s">
        <v>16042</v>
      </c>
      <c r="C5397" t="s">
        <v>16043</v>
      </c>
    </row>
    <row r="5398" spans="1:3" x14ac:dyDescent="0.35">
      <c r="A5398" t="s">
        <v>16044</v>
      </c>
      <c r="B5398" t="s">
        <v>16045</v>
      </c>
      <c r="C5398" t="s">
        <v>16046</v>
      </c>
    </row>
    <row r="5399" spans="1:3" x14ac:dyDescent="0.35">
      <c r="A5399" t="s">
        <v>16047</v>
      </c>
      <c r="B5399" t="s">
        <v>16048</v>
      </c>
      <c r="C5399" t="s">
        <v>16049</v>
      </c>
    </row>
    <row r="5400" spans="1:3" x14ac:dyDescent="0.35">
      <c r="A5400" t="s">
        <v>16050</v>
      </c>
      <c r="B5400" t="s">
        <v>16051</v>
      </c>
      <c r="C5400" t="s">
        <v>16052</v>
      </c>
    </row>
    <row r="5401" spans="1:3" x14ac:dyDescent="0.35">
      <c r="A5401" t="s">
        <v>16053</v>
      </c>
      <c r="B5401" t="s">
        <v>16054</v>
      </c>
      <c r="C5401" t="s">
        <v>16055</v>
      </c>
    </row>
    <row r="5402" spans="1:3" x14ac:dyDescent="0.35">
      <c r="A5402" t="s">
        <v>16056</v>
      </c>
      <c r="B5402" t="s">
        <v>16057</v>
      </c>
      <c r="C5402" t="s">
        <v>16058</v>
      </c>
    </row>
    <row r="5403" spans="1:3" x14ac:dyDescent="0.35">
      <c r="A5403" t="s">
        <v>16059</v>
      </c>
      <c r="B5403" t="s">
        <v>16060</v>
      </c>
      <c r="C5403" t="s">
        <v>16061</v>
      </c>
    </row>
    <row r="5404" spans="1:3" x14ac:dyDescent="0.35">
      <c r="A5404" t="s">
        <v>16062</v>
      </c>
      <c r="B5404" t="s">
        <v>16063</v>
      </c>
      <c r="C5404" t="s">
        <v>16064</v>
      </c>
    </row>
    <row r="5405" spans="1:3" x14ac:dyDescent="0.35">
      <c r="A5405" t="s">
        <v>16065</v>
      </c>
      <c r="B5405" t="s">
        <v>16066</v>
      </c>
      <c r="C5405" t="s">
        <v>16067</v>
      </c>
    </row>
    <row r="5406" spans="1:3" x14ac:dyDescent="0.35">
      <c r="A5406" t="s">
        <v>16068</v>
      </c>
      <c r="B5406" t="s">
        <v>16069</v>
      </c>
      <c r="C5406" t="s">
        <v>16070</v>
      </c>
    </row>
    <row r="5407" spans="1:3" x14ac:dyDescent="0.35">
      <c r="A5407" t="s">
        <v>16071</v>
      </c>
      <c r="B5407" t="s">
        <v>16072</v>
      </c>
      <c r="C5407" t="s">
        <v>16073</v>
      </c>
    </row>
    <row r="5408" spans="1:3" x14ac:dyDescent="0.35">
      <c r="A5408" t="s">
        <v>16074</v>
      </c>
      <c r="B5408" t="s">
        <v>16075</v>
      </c>
      <c r="C5408" t="s">
        <v>16076</v>
      </c>
    </row>
    <row r="5409" spans="1:3" x14ac:dyDescent="0.35">
      <c r="A5409" t="s">
        <v>16077</v>
      </c>
      <c r="B5409" t="s">
        <v>16078</v>
      </c>
      <c r="C5409" t="s">
        <v>16079</v>
      </c>
    </row>
    <row r="5410" spans="1:3" x14ac:dyDescent="0.35">
      <c r="A5410" t="s">
        <v>16080</v>
      </c>
      <c r="B5410" t="s">
        <v>16081</v>
      </c>
      <c r="C5410" t="s">
        <v>16082</v>
      </c>
    </row>
    <row r="5411" spans="1:3" x14ac:dyDescent="0.35">
      <c r="A5411" t="s">
        <v>16083</v>
      </c>
      <c r="B5411" t="s">
        <v>16084</v>
      </c>
      <c r="C5411" t="s">
        <v>16085</v>
      </c>
    </row>
    <row r="5412" spans="1:3" x14ac:dyDescent="0.35">
      <c r="A5412" t="s">
        <v>16086</v>
      </c>
      <c r="B5412" t="s">
        <v>16087</v>
      </c>
      <c r="C5412" t="s">
        <v>16088</v>
      </c>
    </row>
    <row r="5413" spans="1:3" x14ac:dyDescent="0.35">
      <c r="A5413" t="s">
        <v>16089</v>
      </c>
      <c r="B5413" t="s">
        <v>16090</v>
      </c>
      <c r="C5413" t="s">
        <v>16091</v>
      </c>
    </row>
    <row r="5414" spans="1:3" x14ac:dyDescent="0.35">
      <c r="A5414" t="s">
        <v>16092</v>
      </c>
      <c r="B5414" t="s">
        <v>16093</v>
      </c>
      <c r="C5414" t="s">
        <v>16094</v>
      </c>
    </row>
    <row r="5415" spans="1:3" x14ac:dyDescent="0.35">
      <c r="A5415" t="s">
        <v>16095</v>
      </c>
      <c r="B5415" t="s">
        <v>16096</v>
      </c>
      <c r="C5415" t="s">
        <v>16097</v>
      </c>
    </row>
    <row r="5416" spans="1:3" x14ac:dyDescent="0.35">
      <c r="A5416" t="s">
        <v>16098</v>
      </c>
      <c r="B5416" t="s">
        <v>16099</v>
      </c>
      <c r="C5416" t="s">
        <v>16100</v>
      </c>
    </row>
    <row r="5417" spans="1:3" x14ac:dyDescent="0.35">
      <c r="A5417" t="s">
        <v>16101</v>
      </c>
      <c r="B5417" t="s">
        <v>16102</v>
      </c>
      <c r="C5417" t="s">
        <v>16103</v>
      </c>
    </row>
    <row r="5418" spans="1:3" x14ac:dyDescent="0.35">
      <c r="A5418" t="s">
        <v>16104</v>
      </c>
      <c r="B5418" t="s">
        <v>16105</v>
      </c>
      <c r="C5418" t="s">
        <v>16106</v>
      </c>
    </row>
    <row r="5419" spans="1:3" x14ac:dyDescent="0.35">
      <c r="A5419" t="s">
        <v>16107</v>
      </c>
      <c r="B5419" t="s">
        <v>16108</v>
      </c>
      <c r="C5419" t="s">
        <v>16109</v>
      </c>
    </row>
    <row r="5420" spans="1:3" x14ac:dyDescent="0.35">
      <c r="A5420" t="s">
        <v>16110</v>
      </c>
      <c r="B5420" t="s">
        <v>16111</v>
      </c>
      <c r="C5420" t="s">
        <v>16112</v>
      </c>
    </row>
    <row r="5421" spans="1:3" x14ac:dyDescent="0.35">
      <c r="A5421" t="s">
        <v>16113</v>
      </c>
      <c r="B5421" t="s">
        <v>16114</v>
      </c>
      <c r="C5421" t="s">
        <v>16115</v>
      </c>
    </row>
    <row r="5422" spans="1:3" x14ac:dyDescent="0.35">
      <c r="A5422" t="s">
        <v>16116</v>
      </c>
      <c r="B5422" t="s">
        <v>16117</v>
      </c>
      <c r="C5422" t="s">
        <v>16118</v>
      </c>
    </row>
    <row r="5423" spans="1:3" x14ac:dyDescent="0.35">
      <c r="A5423" t="s">
        <v>16119</v>
      </c>
      <c r="B5423" t="s">
        <v>16120</v>
      </c>
      <c r="C5423" t="s">
        <v>16121</v>
      </c>
    </row>
    <row r="5424" spans="1:3" x14ac:dyDescent="0.35">
      <c r="A5424" t="s">
        <v>16122</v>
      </c>
      <c r="B5424" t="s">
        <v>16123</v>
      </c>
      <c r="C5424" t="s">
        <v>16124</v>
      </c>
    </row>
    <row r="5425" spans="1:3" x14ac:dyDescent="0.35">
      <c r="A5425" t="s">
        <v>16125</v>
      </c>
      <c r="B5425" t="s">
        <v>16126</v>
      </c>
      <c r="C5425" t="s">
        <v>16127</v>
      </c>
    </row>
    <row r="5426" spans="1:3" x14ac:dyDescent="0.35">
      <c r="A5426" t="s">
        <v>16128</v>
      </c>
      <c r="B5426" t="s">
        <v>16129</v>
      </c>
      <c r="C5426" t="s">
        <v>16130</v>
      </c>
    </row>
    <row r="5427" spans="1:3" x14ac:dyDescent="0.35">
      <c r="A5427" t="s">
        <v>16131</v>
      </c>
      <c r="B5427" t="s">
        <v>16132</v>
      </c>
      <c r="C5427" t="s">
        <v>16133</v>
      </c>
    </row>
    <row r="5428" spans="1:3" x14ac:dyDescent="0.35">
      <c r="A5428" t="s">
        <v>16134</v>
      </c>
      <c r="B5428" t="s">
        <v>16135</v>
      </c>
      <c r="C5428" t="s">
        <v>16136</v>
      </c>
    </row>
    <row r="5429" spans="1:3" x14ac:dyDescent="0.35">
      <c r="A5429" t="s">
        <v>16137</v>
      </c>
      <c r="B5429" t="s">
        <v>16138</v>
      </c>
      <c r="C5429" t="s">
        <v>16139</v>
      </c>
    </row>
    <row r="5430" spans="1:3" x14ac:dyDescent="0.35">
      <c r="A5430" t="s">
        <v>16140</v>
      </c>
      <c r="B5430" t="s">
        <v>16141</v>
      </c>
      <c r="C5430" t="s">
        <v>16142</v>
      </c>
    </row>
    <row r="5431" spans="1:3" x14ac:dyDescent="0.35">
      <c r="A5431" t="s">
        <v>16143</v>
      </c>
      <c r="B5431" t="s">
        <v>16144</v>
      </c>
      <c r="C5431" t="s">
        <v>16145</v>
      </c>
    </row>
    <row r="5432" spans="1:3" x14ac:dyDescent="0.35">
      <c r="A5432" t="s">
        <v>16146</v>
      </c>
      <c r="B5432" t="s">
        <v>16147</v>
      </c>
      <c r="C5432" t="s">
        <v>16148</v>
      </c>
    </row>
    <row r="5433" spans="1:3" x14ac:dyDescent="0.35">
      <c r="A5433" t="s">
        <v>16149</v>
      </c>
      <c r="B5433" t="s">
        <v>16150</v>
      </c>
      <c r="C5433" t="s">
        <v>16151</v>
      </c>
    </row>
    <row r="5434" spans="1:3" x14ac:dyDescent="0.35">
      <c r="A5434" t="s">
        <v>16152</v>
      </c>
      <c r="B5434" t="s">
        <v>16153</v>
      </c>
      <c r="C5434" t="s">
        <v>16154</v>
      </c>
    </row>
    <row r="5435" spans="1:3" x14ac:dyDescent="0.35">
      <c r="A5435" t="s">
        <v>16155</v>
      </c>
      <c r="B5435" t="s">
        <v>16156</v>
      </c>
      <c r="C5435" t="s">
        <v>16157</v>
      </c>
    </row>
    <row r="5436" spans="1:3" x14ac:dyDescent="0.35">
      <c r="A5436" t="s">
        <v>16158</v>
      </c>
      <c r="B5436" t="s">
        <v>16159</v>
      </c>
      <c r="C5436" t="s">
        <v>16160</v>
      </c>
    </row>
    <row r="5437" spans="1:3" x14ac:dyDescent="0.35">
      <c r="A5437" t="s">
        <v>16161</v>
      </c>
      <c r="B5437" t="s">
        <v>16162</v>
      </c>
      <c r="C5437" t="s">
        <v>16163</v>
      </c>
    </row>
    <row r="5438" spans="1:3" x14ac:dyDescent="0.35">
      <c r="A5438" t="s">
        <v>16164</v>
      </c>
      <c r="B5438" t="s">
        <v>16165</v>
      </c>
      <c r="C5438" t="s">
        <v>16166</v>
      </c>
    </row>
    <row r="5439" spans="1:3" x14ac:dyDescent="0.35">
      <c r="A5439" t="s">
        <v>16167</v>
      </c>
      <c r="B5439" t="s">
        <v>16168</v>
      </c>
      <c r="C5439" t="s">
        <v>16169</v>
      </c>
    </row>
    <row r="5440" spans="1:3" x14ac:dyDescent="0.35">
      <c r="A5440" t="s">
        <v>16170</v>
      </c>
      <c r="B5440" t="s">
        <v>16171</v>
      </c>
      <c r="C5440" t="s">
        <v>16172</v>
      </c>
    </row>
    <row r="5441" spans="1:3" x14ac:dyDescent="0.35">
      <c r="A5441" t="s">
        <v>16173</v>
      </c>
      <c r="B5441" t="s">
        <v>16174</v>
      </c>
      <c r="C5441" t="s">
        <v>16175</v>
      </c>
    </row>
    <row r="5442" spans="1:3" x14ac:dyDescent="0.35">
      <c r="A5442" t="s">
        <v>16176</v>
      </c>
      <c r="B5442" t="s">
        <v>16177</v>
      </c>
      <c r="C5442" t="s">
        <v>16178</v>
      </c>
    </row>
    <row r="5443" spans="1:3" x14ac:dyDescent="0.35">
      <c r="A5443" t="s">
        <v>16179</v>
      </c>
      <c r="B5443" t="s">
        <v>16180</v>
      </c>
      <c r="C5443" t="s">
        <v>16181</v>
      </c>
    </row>
    <row r="5444" spans="1:3" x14ac:dyDescent="0.35">
      <c r="A5444" t="s">
        <v>16182</v>
      </c>
      <c r="B5444" t="s">
        <v>16183</v>
      </c>
      <c r="C5444" t="s">
        <v>16184</v>
      </c>
    </row>
    <row r="5445" spans="1:3" x14ac:dyDescent="0.35">
      <c r="A5445" t="s">
        <v>16185</v>
      </c>
      <c r="B5445" t="s">
        <v>16186</v>
      </c>
      <c r="C5445" t="s">
        <v>16187</v>
      </c>
    </row>
    <row r="5446" spans="1:3" x14ac:dyDescent="0.35">
      <c r="A5446" t="s">
        <v>16188</v>
      </c>
      <c r="B5446" t="s">
        <v>16189</v>
      </c>
      <c r="C5446" t="s">
        <v>16190</v>
      </c>
    </row>
    <row r="5447" spans="1:3" x14ac:dyDescent="0.35">
      <c r="A5447" t="s">
        <v>16191</v>
      </c>
      <c r="B5447" t="s">
        <v>16192</v>
      </c>
      <c r="C5447" t="s">
        <v>16193</v>
      </c>
    </row>
    <row r="5448" spans="1:3" x14ac:dyDescent="0.35">
      <c r="A5448" t="s">
        <v>16194</v>
      </c>
      <c r="B5448" t="s">
        <v>16195</v>
      </c>
      <c r="C5448" t="s">
        <v>16196</v>
      </c>
    </row>
    <row r="5449" spans="1:3" x14ac:dyDescent="0.35">
      <c r="A5449" t="s">
        <v>16197</v>
      </c>
      <c r="B5449" t="s">
        <v>16198</v>
      </c>
      <c r="C5449" t="s">
        <v>16199</v>
      </c>
    </row>
    <row r="5450" spans="1:3" x14ac:dyDescent="0.35">
      <c r="A5450" t="s">
        <v>16200</v>
      </c>
      <c r="B5450" t="s">
        <v>16201</v>
      </c>
      <c r="C5450" t="s">
        <v>16202</v>
      </c>
    </row>
    <row r="5451" spans="1:3" x14ac:dyDescent="0.35">
      <c r="A5451" t="s">
        <v>16203</v>
      </c>
      <c r="B5451" t="s">
        <v>16204</v>
      </c>
      <c r="C5451" t="s">
        <v>16205</v>
      </c>
    </row>
    <row r="5452" spans="1:3" x14ac:dyDescent="0.35">
      <c r="A5452" t="s">
        <v>16206</v>
      </c>
      <c r="B5452" t="s">
        <v>16207</v>
      </c>
      <c r="C5452" t="s">
        <v>16208</v>
      </c>
    </row>
    <row r="5453" spans="1:3" x14ac:dyDescent="0.35">
      <c r="A5453" t="s">
        <v>16209</v>
      </c>
      <c r="B5453" t="s">
        <v>16210</v>
      </c>
      <c r="C5453" t="s">
        <v>16211</v>
      </c>
    </row>
    <row r="5454" spans="1:3" x14ac:dyDescent="0.35">
      <c r="A5454" t="s">
        <v>16212</v>
      </c>
      <c r="B5454" t="s">
        <v>16213</v>
      </c>
      <c r="C5454" t="s">
        <v>16214</v>
      </c>
    </row>
    <row r="5455" spans="1:3" x14ac:dyDescent="0.35">
      <c r="A5455" t="s">
        <v>16215</v>
      </c>
      <c r="B5455" t="s">
        <v>16216</v>
      </c>
      <c r="C5455" t="s">
        <v>16217</v>
      </c>
    </row>
    <row r="5456" spans="1:3" x14ac:dyDescent="0.35">
      <c r="A5456" t="s">
        <v>16218</v>
      </c>
      <c r="B5456" t="s">
        <v>16219</v>
      </c>
      <c r="C5456" t="s">
        <v>16220</v>
      </c>
    </row>
    <row r="5457" spans="1:3" x14ac:dyDescent="0.35">
      <c r="A5457" t="s">
        <v>16221</v>
      </c>
      <c r="B5457" t="s">
        <v>16222</v>
      </c>
      <c r="C5457" t="s">
        <v>16223</v>
      </c>
    </row>
    <row r="5458" spans="1:3" x14ac:dyDescent="0.35">
      <c r="A5458" t="s">
        <v>16224</v>
      </c>
      <c r="B5458" t="s">
        <v>16225</v>
      </c>
      <c r="C5458" t="s">
        <v>16226</v>
      </c>
    </row>
    <row r="5459" spans="1:3" x14ac:dyDescent="0.35">
      <c r="A5459" t="s">
        <v>16227</v>
      </c>
      <c r="B5459" t="s">
        <v>16228</v>
      </c>
      <c r="C5459" t="s">
        <v>16229</v>
      </c>
    </row>
    <row r="5460" spans="1:3" x14ac:dyDescent="0.35">
      <c r="A5460" t="s">
        <v>16230</v>
      </c>
      <c r="B5460" t="s">
        <v>16231</v>
      </c>
      <c r="C5460" t="s">
        <v>16232</v>
      </c>
    </row>
    <row r="5461" spans="1:3" x14ac:dyDescent="0.35">
      <c r="A5461" t="s">
        <v>16233</v>
      </c>
      <c r="B5461" t="s">
        <v>16234</v>
      </c>
      <c r="C5461" t="s">
        <v>16235</v>
      </c>
    </row>
    <row r="5462" spans="1:3" x14ac:dyDescent="0.35">
      <c r="A5462" t="s">
        <v>109</v>
      </c>
      <c r="B5462" t="s">
        <v>16236</v>
      </c>
      <c r="C5462" t="s">
        <v>16237</v>
      </c>
    </row>
    <row r="5463" spans="1:3" x14ac:dyDescent="0.35">
      <c r="A5463" t="s">
        <v>16238</v>
      </c>
      <c r="B5463" t="s">
        <v>16239</v>
      </c>
      <c r="C5463" t="s">
        <v>16240</v>
      </c>
    </row>
    <row r="5464" spans="1:3" x14ac:dyDescent="0.35">
      <c r="A5464" t="s">
        <v>16241</v>
      </c>
      <c r="B5464" t="s">
        <v>16242</v>
      </c>
      <c r="C5464" t="s">
        <v>16243</v>
      </c>
    </row>
    <row r="5465" spans="1:3" x14ac:dyDescent="0.35">
      <c r="A5465" t="s">
        <v>16244</v>
      </c>
      <c r="B5465" t="s">
        <v>16245</v>
      </c>
      <c r="C5465" t="s">
        <v>16246</v>
      </c>
    </row>
    <row r="5466" spans="1:3" x14ac:dyDescent="0.35">
      <c r="A5466" t="s">
        <v>16247</v>
      </c>
      <c r="B5466" t="s">
        <v>16248</v>
      </c>
      <c r="C5466" t="s">
        <v>16249</v>
      </c>
    </row>
    <row r="5467" spans="1:3" x14ac:dyDescent="0.35">
      <c r="A5467" t="s">
        <v>16247</v>
      </c>
      <c r="B5467" t="s">
        <v>11916</v>
      </c>
      <c r="C5467" t="s">
        <v>11916</v>
      </c>
    </row>
    <row r="5468" spans="1:3" x14ac:dyDescent="0.35">
      <c r="A5468" t="s">
        <v>16250</v>
      </c>
      <c r="B5468" t="s">
        <v>16251</v>
      </c>
      <c r="C5468" t="s">
        <v>16252</v>
      </c>
    </row>
    <row r="5469" spans="1:3" x14ac:dyDescent="0.35">
      <c r="A5469" t="s">
        <v>16253</v>
      </c>
      <c r="B5469" t="s">
        <v>16254</v>
      </c>
      <c r="C5469" t="s">
        <v>16255</v>
      </c>
    </row>
    <row r="5470" spans="1:3" x14ac:dyDescent="0.35">
      <c r="A5470" t="s">
        <v>16256</v>
      </c>
      <c r="B5470" t="s">
        <v>16257</v>
      </c>
      <c r="C5470" t="s">
        <v>16258</v>
      </c>
    </row>
    <row r="5471" spans="1:3" x14ac:dyDescent="0.35">
      <c r="A5471" t="s">
        <v>16259</v>
      </c>
      <c r="B5471" t="s">
        <v>16260</v>
      </c>
      <c r="C5471" t="s">
        <v>16261</v>
      </c>
    </row>
    <row r="5472" spans="1:3" x14ac:dyDescent="0.35">
      <c r="A5472" t="s">
        <v>16262</v>
      </c>
      <c r="B5472" t="s">
        <v>16263</v>
      </c>
      <c r="C5472" t="s">
        <v>16264</v>
      </c>
    </row>
    <row r="5473" spans="1:3" x14ac:dyDescent="0.35">
      <c r="A5473" t="s">
        <v>16265</v>
      </c>
      <c r="B5473" t="s">
        <v>16266</v>
      </c>
      <c r="C5473" t="s">
        <v>16267</v>
      </c>
    </row>
    <row r="5474" spans="1:3" x14ac:dyDescent="0.35">
      <c r="A5474" t="s">
        <v>16268</v>
      </c>
      <c r="B5474" t="s">
        <v>16269</v>
      </c>
      <c r="C5474" t="s">
        <v>16270</v>
      </c>
    </row>
    <row r="5475" spans="1:3" x14ac:dyDescent="0.35">
      <c r="A5475" t="s">
        <v>16271</v>
      </c>
      <c r="B5475" t="s">
        <v>16272</v>
      </c>
      <c r="C5475" t="s">
        <v>16273</v>
      </c>
    </row>
    <row r="5476" spans="1:3" x14ac:dyDescent="0.35">
      <c r="A5476" t="s">
        <v>16274</v>
      </c>
      <c r="B5476" t="s">
        <v>16275</v>
      </c>
      <c r="C5476" t="s">
        <v>16276</v>
      </c>
    </row>
    <row r="5477" spans="1:3" x14ac:dyDescent="0.35">
      <c r="A5477" t="s">
        <v>16277</v>
      </c>
      <c r="B5477" t="s">
        <v>16278</v>
      </c>
      <c r="C5477" t="s">
        <v>16279</v>
      </c>
    </row>
    <row r="5478" spans="1:3" x14ac:dyDescent="0.35">
      <c r="A5478" t="s">
        <v>16280</v>
      </c>
      <c r="B5478" t="s">
        <v>16281</v>
      </c>
      <c r="C5478" t="s">
        <v>16282</v>
      </c>
    </row>
    <row r="5479" spans="1:3" x14ac:dyDescent="0.35">
      <c r="A5479" t="s">
        <v>16283</v>
      </c>
      <c r="B5479" t="s">
        <v>16284</v>
      </c>
      <c r="C5479" t="s">
        <v>16285</v>
      </c>
    </row>
    <row r="5480" spans="1:3" x14ac:dyDescent="0.35">
      <c r="A5480" t="s">
        <v>16286</v>
      </c>
      <c r="B5480" t="s">
        <v>16287</v>
      </c>
      <c r="C5480" t="s">
        <v>16288</v>
      </c>
    </row>
    <row r="5481" spans="1:3" x14ac:dyDescent="0.35">
      <c r="A5481" t="s">
        <v>16289</v>
      </c>
      <c r="B5481" t="s">
        <v>16290</v>
      </c>
      <c r="C5481" t="s">
        <v>16291</v>
      </c>
    </row>
    <row r="5482" spans="1:3" x14ac:dyDescent="0.35">
      <c r="A5482" t="s">
        <v>16292</v>
      </c>
      <c r="B5482" t="s">
        <v>16293</v>
      </c>
      <c r="C5482" t="s">
        <v>16294</v>
      </c>
    </row>
    <row r="5483" spans="1:3" x14ac:dyDescent="0.35">
      <c r="A5483" t="s">
        <v>16295</v>
      </c>
      <c r="B5483" t="s">
        <v>16296</v>
      </c>
      <c r="C5483" t="s">
        <v>16297</v>
      </c>
    </row>
    <row r="5484" spans="1:3" x14ac:dyDescent="0.35">
      <c r="A5484" t="s">
        <v>16298</v>
      </c>
      <c r="B5484" t="s">
        <v>16299</v>
      </c>
      <c r="C5484" t="s">
        <v>16300</v>
      </c>
    </row>
    <row r="5485" spans="1:3" x14ac:dyDescent="0.35">
      <c r="A5485" t="s">
        <v>16301</v>
      </c>
      <c r="B5485" t="s">
        <v>16302</v>
      </c>
      <c r="C5485" t="s">
        <v>16303</v>
      </c>
    </row>
    <row r="5486" spans="1:3" x14ac:dyDescent="0.35">
      <c r="A5486" t="s">
        <v>16304</v>
      </c>
      <c r="B5486" t="s">
        <v>16305</v>
      </c>
      <c r="C5486" t="s">
        <v>16306</v>
      </c>
    </row>
    <row r="5487" spans="1:3" x14ac:dyDescent="0.35">
      <c r="A5487" t="s">
        <v>16307</v>
      </c>
      <c r="B5487" t="s">
        <v>16308</v>
      </c>
      <c r="C5487" t="s">
        <v>16309</v>
      </c>
    </row>
    <row r="5488" spans="1:3" x14ac:dyDescent="0.35">
      <c r="A5488" t="s">
        <v>16310</v>
      </c>
      <c r="B5488" t="s">
        <v>16311</v>
      </c>
      <c r="C5488" t="s">
        <v>16312</v>
      </c>
    </row>
    <row r="5489" spans="1:3" x14ac:dyDescent="0.35">
      <c r="A5489" t="s">
        <v>16313</v>
      </c>
      <c r="B5489" t="s">
        <v>16314</v>
      </c>
      <c r="C5489" t="s">
        <v>16315</v>
      </c>
    </row>
    <row r="5490" spans="1:3" x14ac:dyDescent="0.35">
      <c r="A5490" t="s">
        <v>16316</v>
      </c>
      <c r="B5490" t="s">
        <v>16317</v>
      </c>
      <c r="C5490" t="s">
        <v>16318</v>
      </c>
    </row>
    <row r="5491" spans="1:3" x14ac:dyDescent="0.35">
      <c r="A5491" t="s">
        <v>16319</v>
      </c>
      <c r="B5491" t="s">
        <v>16320</v>
      </c>
      <c r="C5491" t="s">
        <v>16321</v>
      </c>
    </row>
    <row r="5492" spans="1:3" x14ac:dyDescent="0.35">
      <c r="A5492" t="s">
        <v>16322</v>
      </c>
      <c r="B5492" t="s">
        <v>16323</v>
      </c>
      <c r="C5492" t="s">
        <v>16324</v>
      </c>
    </row>
    <row r="5493" spans="1:3" x14ac:dyDescent="0.35">
      <c r="A5493" t="s">
        <v>16322</v>
      </c>
      <c r="B5493" t="s">
        <v>16325</v>
      </c>
      <c r="C5493" t="s">
        <v>16326</v>
      </c>
    </row>
    <row r="5494" spans="1:3" x14ac:dyDescent="0.35">
      <c r="A5494" t="s">
        <v>110</v>
      </c>
      <c r="B5494" t="s">
        <v>16327</v>
      </c>
      <c r="C5494" t="s">
        <v>16328</v>
      </c>
    </row>
    <row r="5495" spans="1:3" x14ac:dyDescent="0.35">
      <c r="A5495" t="s">
        <v>16329</v>
      </c>
      <c r="B5495" t="s">
        <v>16330</v>
      </c>
      <c r="C5495" t="s">
        <v>16331</v>
      </c>
    </row>
    <row r="5496" spans="1:3" x14ac:dyDescent="0.35">
      <c r="A5496" t="s">
        <v>16332</v>
      </c>
      <c r="B5496" t="s">
        <v>16333</v>
      </c>
      <c r="C5496" t="s">
        <v>16334</v>
      </c>
    </row>
    <row r="5497" spans="1:3" x14ac:dyDescent="0.35">
      <c r="A5497" t="s">
        <v>16335</v>
      </c>
      <c r="B5497" t="s">
        <v>16336</v>
      </c>
      <c r="C5497" t="s">
        <v>16337</v>
      </c>
    </row>
    <row r="5498" spans="1:3" x14ac:dyDescent="0.35">
      <c r="A5498" t="s">
        <v>16338</v>
      </c>
      <c r="B5498" t="s">
        <v>16339</v>
      </c>
      <c r="C5498" t="s">
        <v>16340</v>
      </c>
    </row>
    <row r="5499" spans="1:3" x14ac:dyDescent="0.35">
      <c r="A5499" t="s">
        <v>16338</v>
      </c>
      <c r="B5499" t="s">
        <v>16341</v>
      </c>
      <c r="C5499" t="s">
        <v>16340</v>
      </c>
    </row>
    <row r="5500" spans="1:3" x14ac:dyDescent="0.35">
      <c r="A5500" t="s">
        <v>16342</v>
      </c>
      <c r="B5500" t="s">
        <v>16343</v>
      </c>
      <c r="C5500" t="s">
        <v>16344</v>
      </c>
    </row>
    <row r="5501" spans="1:3" x14ac:dyDescent="0.35">
      <c r="A5501" t="s">
        <v>16345</v>
      </c>
      <c r="B5501" t="s">
        <v>16346</v>
      </c>
      <c r="C5501" t="s">
        <v>16347</v>
      </c>
    </row>
    <row r="5502" spans="1:3" x14ac:dyDescent="0.35">
      <c r="A5502" t="s">
        <v>16348</v>
      </c>
      <c r="B5502" t="s">
        <v>16349</v>
      </c>
      <c r="C5502" t="s">
        <v>16350</v>
      </c>
    </row>
    <row r="5503" spans="1:3" x14ac:dyDescent="0.35">
      <c r="A5503" t="s">
        <v>16351</v>
      </c>
      <c r="B5503" t="s">
        <v>16352</v>
      </c>
      <c r="C5503" t="s">
        <v>16353</v>
      </c>
    </row>
    <row r="5504" spans="1:3" x14ac:dyDescent="0.35">
      <c r="A5504" t="s">
        <v>16354</v>
      </c>
      <c r="B5504" t="s">
        <v>16355</v>
      </c>
      <c r="C5504" t="s">
        <v>16356</v>
      </c>
    </row>
    <row r="5505" spans="1:3" x14ac:dyDescent="0.35">
      <c r="A5505" t="s">
        <v>16357</v>
      </c>
      <c r="B5505" t="s">
        <v>16358</v>
      </c>
      <c r="C5505" t="s">
        <v>16359</v>
      </c>
    </row>
    <row r="5506" spans="1:3" x14ac:dyDescent="0.35">
      <c r="A5506" t="s">
        <v>16360</v>
      </c>
      <c r="B5506" t="s">
        <v>16361</v>
      </c>
      <c r="C5506" t="s">
        <v>16362</v>
      </c>
    </row>
    <row r="5507" spans="1:3" x14ac:dyDescent="0.35">
      <c r="A5507" t="s">
        <v>16363</v>
      </c>
      <c r="B5507" t="s">
        <v>16364</v>
      </c>
      <c r="C5507" t="s">
        <v>16365</v>
      </c>
    </row>
    <row r="5508" spans="1:3" x14ac:dyDescent="0.35">
      <c r="A5508" t="s">
        <v>16366</v>
      </c>
      <c r="B5508" t="s">
        <v>16367</v>
      </c>
      <c r="C5508" t="s">
        <v>16368</v>
      </c>
    </row>
    <row r="5509" spans="1:3" x14ac:dyDescent="0.35">
      <c r="A5509" t="s">
        <v>16366</v>
      </c>
      <c r="B5509" t="s">
        <v>16369</v>
      </c>
      <c r="C5509" t="s">
        <v>16370</v>
      </c>
    </row>
    <row r="5510" spans="1:3" x14ac:dyDescent="0.35">
      <c r="A5510" t="s">
        <v>16371</v>
      </c>
      <c r="B5510" t="s">
        <v>16372</v>
      </c>
      <c r="C5510" t="s">
        <v>16373</v>
      </c>
    </row>
    <row r="5511" spans="1:3" x14ac:dyDescent="0.35">
      <c r="A5511" t="s">
        <v>16374</v>
      </c>
      <c r="B5511" t="s">
        <v>16375</v>
      </c>
      <c r="C5511" t="s">
        <v>16376</v>
      </c>
    </row>
    <row r="5512" spans="1:3" x14ac:dyDescent="0.35">
      <c r="A5512" t="s">
        <v>16377</v>
      </c>
      <c r="B5512" t="s">
        <v>16378</v>
      </c>
      <c r="C5512" t="s">
        <v>16379</v>
      </c>
    </row>
    <row r="5513" spans="1:3" x14ac:dyDescent="0.35">
      <c r="A5513" t="s">
        <v>16380</v>
      </c>
      <c r="B5513" t="s">
        <v>16381</v>
      </c>
      <c r="C5513" t="s">
        <v>16382</v>
      </c>
    </row>
    <row r="5514" spans="1:3" x14ac:dyDescent="0.35">
      <c r="A5514" t="s">
        <v>16383</v>
      </c>
      <c r="B5514" t="s">
        <v>16384</v>
      </c>
      <c r="C5514" t="s">
        <v>16385</v>
      </c>
    </row>
    <row r="5515" spans="1:3" x14ac:dyDescent="0.35">
      <c r="A5515" t="s">
        <v>16386</v>
      </c>
      <c r="B5515" t="s">
        <v>16387</v>
      </c>
      <c r="C5515" t="s">
        <v>16388</v>
      </c>
    </row>
    <row r="5516" spans="1:3" x14ac:dyDescent="0.35">
      <c r="A5516" t="s">
        <v>16389</v>
      </c>
      <c r="B5516" t="s">
        <v>16390</v>
      </c>
      <c r="C5516" t="s">
        <v>16391</v>
      </c>
    </row>
    <row r="5517" spans="1:3" x14ac:dyDescent="0.35">
      <c r="A5517" t="s">
        <v>16392</v>
      </c>
      <c r="B5517" t="s">
        <v>16393</v>
      </c>
      <c r="C5517" t="s">
        <v>16394</v>
      </c>
    </row>
    <row r="5518" spans="1:3" x14ac:dyDescent="0.35">
      <c r="A5518" t="s">
        <v>16392</v>
      </c>
      <c r="B5518" t="s">
        <v>16395</v>
      </c>
      <c r="C5518" t="s">
        <v>16396</v>
      </c>
    </row>
    <row r="5519" spans="1:3" x14ac:dyDescent="0.35">
      <c r="A5519" t="s">
        <v>16397</v>
      </c>
      <c r="B5519" t="s">
        <v>16398</v>
      </c>
      <c r="C5519" t="s">
        <v>16399</v>
      </c>
    </row>
    <row r="5520" spans="1:3" x14ac:dyDescent="0.35">
      <c r="A5520" t="s">
        <v>16400</v>
      </c>
      <c r="B5520" t="s">
        <v>16401</v>
      </c>
      <c r="C5520" t="s">
        <v>16402</v>
      </c>
    </row>
    <row r="5521" spans="1:3" x14ac:dyDescent="0.35">
      <c r="A5521" t="s">
        <v>16403</v>
      </c>
      <c r="B5521" t="s">
        <v>16404</v>
      </c>
      <c r="C5521" t="s">
        <v>16405</v>
      </c>
    </row>
    <row r="5522" spans="1:3" x14ac:dyDescent="0.35">
      <c r="A5522" t="s">
        <v>16406</v>
      </c>
      <c r="B5522" t="s">
        <v>16407</v>
      </c>
      <c r="C5522" t="s">
        <v>16408</v>
      </c>
    </row>
    <row r="5523" spans="1:3" x14ac:dyDescent="0.35">
      <c r="A5523" t="s">
        <v>16406</v>
      </c>
      <c r="B5523" t="s">
        <v>16409</v>
      </c>
      <c r="C5523" t="s">
        <v>16410</v>
      </c>
    </row>
    <row r="5524" spans="1:3" x14ac:dyDescent="0.35">
      <c r="A5524" t="s">
        <v>16411</v>
      </c>
      <c r="B5524" t="s">
        <v>16412</v>
      </c>
      <c r="C5524" t="s">
        <v>16413</v>
      </c>
    </row>
    <row r="5525" spans="1:3" x14ac:dyDescent="0.35">
      <c r="A5525" t="s">
        <v>16411</v>
      </c>
      <c r="B5525" t="s">
        <v>16414</v>
      </c>
      <c r="C5525" t="s">
        <v>16415</v>
      </c>
    </row>
    <row r="5526" spans="1:3" x14ac:dyDescent="0.35">
      <c r="A5526" t="s">
        <v>16416</v>
      </c>
      <c r="B5526" t="s">
        <v>16417</v>
      </c>
      <c r="C5526" t="s">
        <v>16418</v>
      </c>
    </row>
    <row r="5527" spans="1:3" x14ac:dyDescent="0.35">
      <c r="A5527" t="s">
        <v>16419</v>
      </c>
      <c r="B5527" t="s">
        <v>16420</v>
      </c>
      <c r="C5527" t="s">
        <v>16421</v>
      </c>
    </row>
    <row r="5528" spans="1:3" x14ac:dyDescent="0.35">
      <c r="A5528" t="s">
        <v>16422</v>
      </c>
      <c r="B5528" t="s">
        <v>16423</v>
      </c>
      <c r="C5528" t="s">
        <v>16424</v>
      </c>
    </row>
    <row r="5529" spans="1:3" x14ac:dyDescent="0.35">
      <c r="A5529" t="s">
        <v>16425</v>
      </c>
      <c r="B5529" t="s">
        <v>16426</v>
      </c>
      <c r="C5529" t="s">
        <v>16427</v>
      </c>
    </row>
    <row r="5530" spans="1:3" x14ac:dyDescent="0.35">
      <c r="A5530" t="s">
        <v>16428</v>
      </c>
      <c r="B5530" t="s">
        <v>16429</v>
      </c>
      <c r="C5530" t="s">
        <v>16430</v>
      </c>
    </row>
    <row r="5531" spans="1:3" x14ac:dyDescent="0.35">
      <c r="A5531" t="s">
        <v>16431</v>
      </c>
      <c r="B5531" t="s">
        <v>16432</v>
      </c>
      <c r="C5531" t="s">
        <v>16433</v>
      </c>
    </row>
    <row r="5532" spans="1:3" x14ac:dyDescent="0.35">
      <c r="A5532" t="s">
        <v>16434</v>
      </c>
      <c r="B5532" t="s">
        <v>16435</v>
      </c>
      <c r="C5532" t="s">
        <v>16436</v>
      </c>
    </row>
    <row r="5533" spans="1:3" x14ac:dyDescent="0.35">
      <c r="A5533" t="s">
        <v>16437</v>
      </c>
      <c r="B5533" t="s">
        <v>16438</v>
      </c>
      <c r="C5533" t="s">
        <v>16439</v>
      </c>
    </row>
    <row r="5534" spans="1:3" x14ac:dyDescent="0.35">
      <c r="A5534" t="s">
        <v>16440</v>
      </c>
      <c r="B5534" t="s">
        <v>16441</v>
      </c>
      <c r="C5534" t="s">
        <v>16442</v>
      </c>
    </row>
    <row r="5535" spans="1:3" x14ac:dyDescent="0.35">
      <c r="A5535" t="s">
        <v>16443</v>
      </c>
      <c r="B5535" t="s">
        <v>16444</v>
      </c>
      <c r="C5535" t="s">
        <v>16445</v>
      </c>
    </row>
    <row r="5536" spans="1:3" x14ac:dyDescent="0.35">
      <c r="A5536" t="s">
        <v>16446</v>
      </c>
      <c r="B5536" t="s">
        <v>16447</v>
      </c>
      <c r="C5536" t="s">
        <v>16448</v>
      </c>
    </row>
    <row r="5537" spans="1:3" x14ac:dyDescent="0.35">
      <c r="A5537" t="s">
        <v>16449</v>
      </c>
      <c r="B5537" t="s">
        <v>16450</v>
      </c>
      <c r="C5537" t="s">
        <v>16451</v>
      </c>
    </row>
    <row r="5538" spans="1:3" x14ac:dyDescent="0.35">
      <c r="A5538" t="s">
        <v>111</v>
      </c>
      <c r="B5538" t="s">
        <v>16452</v>
      </c>
      <c r="C5538" t="s">
        <v>16453</v>
      </c>
    </row>
    <row r="5539" spans="1:3" x14ac:dyDescent="0.35">
      <c r="A5539" t="s">
        <v>112</v>
      </c>
      <c r="B5539" t="s">
        <v>16454</v>
      </c>
      <c r="C5539" t="s">
        <v>16455</v>
      </c>
    </row>
    <row r="5540" spans="1:3" x14ac:dyDescent="0.35">
      <c r="A5540" t="s">
        <v>16456</v>
      </c>
      <c r="B5540" t="s">
        <v>16457</v>
      </c>
      <c r="C5540" t="s">
        <v>16458</v>
      </c>
    </row>
    <row r="5541" spans="1:3" x14ac:dyDescent="0.35">
      <c r="A5541" t="s">
        <v>16459</v>
      </c>
      <c r="B5541" t="s">
        <v>16460</v>
      </c>
      <c r="C5541" t="s">
        <v>16461</v>
      </c>
    </row>
    <row r="5542" spans="1:3" x14ac:dyDescent="0.35">
      <c r="A5542" t="s">
        <v>16462</v>
      </c>
      <c r="B5542" t="s">
        <v>16463</v>
      </c>
      <c r="C5542" t="s">
        <v>16464</v>
      </c>
    </row>
    <row r="5543" spans="1:3" x14ac:dyDescent="0.35">
      <c r="A5543" t="s">
        <v>16465</v>
      </c>
      <c r="B5543" t="s">
        <v>16466</v>
      </c>
      <c r="C5543" t="s">
        <v>16467</v>
      </c>
    </row>
    <row r="5544" spans="1:3" x14ac:dyDescent="0.35">
      <c r="A5544" t="s">
        <v>16468</v>
      </c>
      <c r="B5544" t="s">
        <v>16469</v>
      </c>
      <c r="C5544" t="s">
        <v>16470</v>
      </c>
    </row>
    <row r="5545" spans="1:3" x14ac:dyDescent="0.35">
      <c r="A5545" t="s">
        <v>16471</v>
      </c>
      <c r="B5545" t="s">
        <v>16472</v>
      </c>
      <c r="C5545" t="s">
        <v>16473</v>
      </c>
    </row>
    <row r="5546" spans="1:3" x14ac:dyDescent="0.35">
      <c r="A5546" t="s">
        <v>113</v>
      </c>
      <c r="B5546" t="s">
        <v>16474</v>
      </c>
      <c r="C5546" t="s">
        <v>16475</v>
      </c>
    </row>
    <row r="5547" spans="1:3" x14ac:dyDescent="0.35">
      <c r="A5547" t="s">
        <v>16476</v>
      </c>
      <c r="B5547" t="s">
        <v>16477</v>
      </c>
      <c r="C5547" t="s">
        <v>16478</v>
      </c>
    </row>
    <row r="5548" spans="1:3" x14ac:dyDescent="0.35">
      <c r="A5548" t="s">
        <v>16479</v>
      </c>
      <c r="B5548" t="s">
        <v>16480</v>
      </c>
      <c r="C5548" t="s">
        <v>16481</v>
      </c>
    </row>
    <row r="5549" spans="1:3" x14ac:dyDescent="0.35">
      <c r="A5549" t="s">
        <v>16482</v>
      </c>
      <c r="B5549" t="s">
        <v>16483</v>
      </c>
      <c r="C5549" t="s">
        <v>16484</v>
      </c>
    </row>
    <row r="5550" spans="1:3" x14ac:dyDescent="0.35">
      <c r="A5550" t="s">
        <v>16485</v>
      </c>
      <c r="B5550" t="s">
        <v>16486</v>
      </c>
      <c r="C5550" t="s">
        <v>16487</v>
      </c>
    </row>
    <row r="5551" spans="1:3" x14ac:dyDescent="0.35">
      <c r="A5551" t="s">
        <v>16488</v>
      </c>
      <c r="B5551" t="s">
        <v>16489</v>
      </c>
      <c r="C5551" t="s">
        <v>16490</v>
      </c>
    </row>
    <row r="5552" spans="1:3" x14ac:dyDescent="0.35">
      <c r="A5552" t="s">
        <v>16491</v>
      </c>
      <c r="B5552" t="s">
        <v>16492</v>
      </c>
      <c r="C5552" t="s">
        <v>16493</v>
      </c>
    </row>
    <row r="5553" spans="1:3" x14ac:dyDescent="0.35">
      <c r="A5553" t="s">
        <v>16494</v>
      </c>
      <c r="B5553" t="s">
        <v>16495</v>
      </c>
      <c r="C5553" t="s">
        <v>16496</v>
      </c>
    </row>
    <row r="5554" spans="1:3" x14ac:dyDescent="0.35">
      <c r="A5554" t="s">
        <v>16497</v>
      </c>
      <c r="B5554" t="s">
        <v>16498</v>
      </c>
      <c r="C5554" t="s">
        <v>16499</v>
      </c>
    </row>
    <row r="5555" spans="1:3" x14ac:dyDescent="0.35">
      <c r="A5555" t="s">
        <v>16500</v>
      </c>
      <c r="B5555" t="s">
        <v>16501</v>
      </c>
      <c r="C5555" t="s">
        <v>16502</v>
      </c>
    </row>
    <row r="5556" spans="1:3" x14ac:dyDescent="0.35">
      <c r="A5556" t="s">
        <v>114</v>
      </c>
      <c r="B5556" t="s">
        <v>16503</v>
      </c>
      <c r="C5556" t="s">
        <v>16504</v>
      </c>
    </row>
    <row r="5557" spans="1:3" x14ac:dyDescent="0.35">
      <c r="A5557" t="s">
        <v>16505</v>
      </c>
      <c r="B5557" t="s">
        <v>16506</v>
      </c>
      <c r="C5557" t="s">
        <v>16507</v>
      </c>
    </row>
    <row r="5558" spans="1:3" x14ac:dyDescent="0.35">
      <c r="A5558" t="s">
        <v>16508</v>
      </c>
      <c r="B5558" t="s">
        <v>16509</v>
      </c>
      <c r="C5558" t="s">
        <v>16510</v>
      </c>
    </row>
    <row r="5559" spans="1:3" x14ac:dyDescent="0.35">
      <c r="A5559" t="s">
        <v>16511</v>
      </c>
      <c r="B5559" t="s">
        <v>16512</v>
      </c>
      <c r="C5559" t="s">
        <v>16513</v>
      </c>
    </row>
    <row r="5560" spans="1:3" x14ac:dyDescent="0.35">
      <c r="A5560" t="s">
        <v>16514</v>
      </c>
      <c r="B5560" t="s">
        <v>16515</v>
      </c>
      <c r="C5560" t="s">
        <v>16516</v>
      </c>
    </row>
    <row r="5561" spans="1:3" x14ac:dyDescent="0.35">
      <c r="A5561" t="s">
        <v>16517</v>
      </c>
      <c r="B5561" t="s">
        <v>16518</v>
      </c>
      <c r="C5561" t="s">
        <v>16519</v>
      </c>
    </row>
    <row r="5562" spans="1:3" x14ac:dyDescent="0.35">
      <c r="A5562" t="s">
        <v>16520</v>
      </c>
      <c r="B5562" t="s">
        <v>16521</v>
      </c>
      <c r="C5562" t="s">
        <v>16522</v>
      </c>
    </row>
    <row r="5563" spans="1:3" x14ac:dyDescent="0.35">
      <c r="A5563" t="s">
        <v>16523</v>
      </c>
      <c r="B5563" t="s">
        <v>16524</v>
      </c>
      <c r="C5563" t="s">
        <v>16525</v>
      </c>
    </row>
    <row r="5564" spans="1:3" x14ac:dyDescent="0.35">
      <c r="A5564" t="s">
        <v>16526</v>
      </c>
      <c r="B5564" t="s">
        <v>16527</v>
      </c>
      <c r="C5564" t="s">
        <v>16528</v>
      </c>
    </row>
    <row r="5565" spans="1:3" x14ac:dyDescent="0.35">
      <c r="A5565" t="s">
        <v>16529</v>
      </c>
      <c r="B5565" t="s">
        <v>16530</v>
      </c>
      <c r="C5565" t="s">
        <v>16531</v>
      </c>
    </row>
    <row r="5566" spans="1:3" x14ac:dyDescent="0.35">
      <c r="A5566" t="s">
        <v>16532</v>
      </c>
      <c r="B5566" t="s">
        <v>16533</v>
      </c>
      <c r="C5566" t="s">
        <v>16534</v>
      </c>
    </row>
    <row r="5567" spans="1:3" x14ac:dyDescent="0.35">
      <c r="A5567" t="s">
        <v>16535</v>
      </c>
      <c r="B5567" t="s">
        <v>16536</v>
      </c>
      <c r="C5567" t="s">
        <v>16537</v>
      </c>
    </row>
    <row r="5568" spans="1:3" x14ac:dyDescent="0.35">
      <c r="A5568" t="s">
        <v>16538</v>
      </c>
      <c r="B5568" t="s">
        <v>16539</v>
      </c>
      <c r="C5568" t="s">
        <v>16540</v>
      </c>
    </row>
    <row r="5569" spans="1:3" x14ac:dyDescent="0.35">
      <c r="A5569" t="s">
        <v>16541</v>
      </c>
      <c r="B5569" t="s">
        <v>16542</v>
      </c>
      <c r="C5569" t="s">
        <v>16543</v>
      </c>
    </row>
    <row r="5570" spans="1:3" x14ac:dyDescent="0.35">
      <c r="A5570" t="s">
        <v>115</v>
      </c>
      <c r="B5570" t="s">
        <v>16544</v>
      </c>
      <c r="C5570" t="s">
        <v>16545</v>
      </c>
    </row>
    <row r="5571" spans="1:3" x14ac:dyDescent="0.35">
      <c r="A5571" t="s">
        <v>16546</v>
      </c>
      <c r="B5571" t="s">
        <v>16547</v>
      </c>
      <c r="C5571" t="s">
        <v>16548</v>
      </c>
    </row>
    <row r="5572" spans="1:3" x14ac:dyDescent="0.35">
      <c r="A5572" t="s">
        <v>16549</v>
      </c>
      <c r="B5572" t="s">
        <v>16550</v>
      </c>
      <c r="C5572" t="s">
        <v>16551</v>
      </c>
    </row>
    <row r="5573" spans="1:3" x14ac:dyDescent="0.35">
      <c r="A5573" t="s">
        <v>16552</v>
      </c>
      <c r="B5573" t="s">
        <v>16553</v>
      </c>
      <c r="C5573" t="s">
        <v>16554</v>
      </c>
    </row>
    <row r="5574" spans="1:3" x14ac:dyDescent="0.35">
      <c r="A5574" t="s">
        <v>16555</v>
      </c>
      <c r="B5574" t="s">
        <v>16556</v>
      </c>
      <c r="C5574" t="s">
        <v>16557</v>
      </c>
    </row>
    <row r="5575" spans="1:3" x14ac:dyDescent="0.35">
      <c r="A5575" t="s">
        <v>116</v>
      </c>
      <c r="B5575" t="s">
        <v>16558</v>
      </c>
      <c r="C5575" t="s">
        <v>16559</v>
      </c>
    </row>
    <row r="5576" spans="1:3" x14ac:dyDescent="0.35">
      <c r="A5576" t="s">
        <v>16560</v>
      </c>
      <c r="B5576" t="s">
        <v>16561</v>
      </c>
      <c r="C5576" t="s">
        <v>16562</v>
      </c>
    </row>
    <row r="5577" spans="1:3" x14ac:dyDescent="0.35">
      <c r="A5577" t="s">
        <v>16563</v>
      </c>
      <c r="B5577" t="s">
        <v>16564</v>
      </c>
      <c r="C5577" t="s">
        <v>16565</v>
      </c>
    </row>
    <row r="5578" spans="1:3" x14ac:dyDescent="0.35">
      <c r="A5578" t="s">
        <v>16566</v>
      </c>
      <c r="B5578" t="s">
        <v>16567</v>
      </c>
      <c r="C5578" t="s">
        <v>16568</v>
      </c>
    </row>
    <row r="5579" spans="1:3" x14ac:dyDescent="0.35">
      <c r="A5579" t="s">
        <v>117</v>
      </c>
      <c r="B5579" t="s">
        <v>16569</v>
      </c>
      <c r="C5579" t="s">
        <v>16570</v>
      </c>
    </row>
    <row r="5580" spans="1:3" x14ac:dyDescent="0.35">
      <c r="A5580" t="s">
        <v>16571</v>
      </c>
      <c r="B5580" t="s">
        <v>16572</v>
      </c>
      <c r="C5580" t="s">
        <v>16573</v>
      </c>
    </row>
    <row r="5581" spans="1:3" x14ac:dyDescent="0.35">
      <c r="A5581" t="s">
        <v>16574</v>
      </c>
      <c r="B5581" t="s">
        <v>16575</v>
      </c>
      <c r="C5581" t="s">
        <v>16576</v>
      </c>
    </row>
    <row r="5582" spans="1:3" x14ac:dyDescent="0.35">
      <c r="A5582" t="s">
        <v>16577</v>
      </c>
      <c r="B5582" t="s">
        <v>16578</v>
      </c>
      <c r="C5582" t="s">
        <v>16579</v>
      </c>
    </row>
    <row r="5583" spans="1:3" x14ac:dyDescent="0.35">
      <c r="A5583" t="s">
        <v>118</v>
      </c>
      <c r="B5583" t="s">
        <v>16580</v>
      </c>
      <c r="C5583" t="s">
        <v>16581</v>
      </c>
    </row>
    <row r="5584" spans="1:3" x14ac:dyDescent="0.35">
      <c r="A5584" t="s">
        <v>16582</v>
      </c>
      <c r="B5584" t="s">
        <v>16583</v>
      </c>
      <c r="C5584" t="s">
        <v>16584</v>
      </c>
    </row>
    <row r="5585" spans="1:3" x14ac:dyDescent="0.35">
      <c r="A5585" t="s">
        <v>16585</v>
      </c>
      <c r="B5585" t="s">
        <v>16586</v>
      </c>
      <c r="C5585" t="s">
        <v>16399</v>
      </c>
    </row>
    <row r="5586" spans="1:3" x14ac:dyDescent="0.35">
      <c r="A5586" t="s">
        <v>16587</v>
      </c>
      <c r="B5586" t="s">
        <v>16588</v>
      </c>
      <c r="C5586" t="s">
        <v>16589</v>
      </c>
    </row>
    <row r="5587" spans="1:3" x14ac:dyDescent="0.35">
      <c r="A5587" t="s">
        <v>16590</v>
      </c>
      <c r="B5587" t="s">
        <v>16591</v>
      </c>
      <c r="C5587" t="s">
        <v>16592</v>
      </c>
    </row>
    <row r="5588" spans="1:3" x14ac:dyDescent="0.35">
      <c r="A5588" t="s">
        <v>16593</v>
      </c>
      <c r="B5588" t="s">
        <v>16594</v>
      </c>
      <c r="C5588" t="s">
        <v>16595</v>
      </c>
    </row>
    <row r="5589" spans="1:3" x14ac:dyDescent="0.35">
      <c r="A5589" t="s">
        <v>16596</v>
      </c>
      <c r="B5589" t="s">
        <v>16597</v>
      </c>
      <c r="C5589" t="s">
        <v>16598</v>
      </c>
    </row>
    <row r="5590" spans="1:3" x14ac:dyDescent="0.35">
      <c r="A5590" t="s">
        <v>16599</v>
      </c>
      <c r="B5590" t="s">
        <v>16600</v>
      </c>
      <c r="C5590" t="s">
        <v>16601</v>
      </c>
    </row>
    <row r="5591" spans="1:3" x14ac:dyDescent="0.35">
      <c r="A5591" t="s">
        <v>16602</v>
      </c>
      <c r="B5591" t="s">
        <v>16603</v>
      </c>
      <c r="C5591" t="s">
        <v>16604</v>
      </c>
    </row>
    <row r="5592" spans="1:3" x14ac:dyDescent="0.35">
      <c r="A5592" t="s">
        <v>16605</v>
      </c>
      <c r="B5592" t="s">
        <v>16606</v>
      </c>
      <c r="C5592" t="s">
        <v>16607</v>
      </c>
    </row>
    <row r="5593" spans="1:3" x14ac:dyDescent="0.35">
      <c r="A5593" t="s">
        <v>16608</v>
      </c>
      <c r="B5593" t="s">
        <v>16609</v>
      </c>
      <c r="C5593" t="s">
        <v>16610</v>
      </c>
    </row>
    <row r="5594" spans="1:3" x14ac:dyDescent="0.35">
      <c r="A5594" t="s">
        <v>16611</v>
      </c>
      <c r="B5594" t="s">
        <v>16612</v>
      </c>
      <c r="C5594" t="s">
        <v>16613</v>
      </c>
    </row>
    <row r="5595" spans="1:3" x14ac:dyDescent="0.35">
      <c r="A5595" t="s">
        <v>16614</v>
      </c>
      <c r="B5595" t="s">
        <v>16615</v>
      </c>
      <c r="C5595" t="s">
        <v>16616</v>
      </c>
    </row>
    <row r="5596" spans="1:3" x14ac:dyDescent="0.35">
      <c r="A5596" t="s">
        <v>16617</v>
      </c>
      <c r="B5596" t="s">
        <v>16618</v>
      </c>
      <c r="C5596" t="s">
        <v>16619</v>
      </c>
    </row>
    <row r="5597" spans="1:3" x14ac:dyDescent="0.35">
      <c r="A5597" t="s">
        <v>16620</v>
      </c>
      <c r="B5597" t="s">
        <v>16621</v>
      </c>
      <c r="C5597" t="s">
        <v>16622</v>
      </c>
    </row>
    <row r="5598" spans="1:3" x14ac:dyDescent="0.35">
      <c r="A5598" t="s">
        <v>16623</v>
      </c>
      <c r="B5598" t="s">
        <v>16624</v>
      </c>
      <c r="C5598" t="s">
        <v>16625</v>
      </c>
    </row>
    <row r="5599" spans="1:3" x14ac:dyDescent="0.35">
      <c r="A5599" t="s">
        <v>16626</v>
      </c>
      <c r="B5599" t="s">
        <v>16627</v>
      </c>
      <c r="C5599" t="s">
        <v>16628</v>
      </c>
    </row>
    <row r="5600" spans="1:3" x14ac:dyDescent="0.35">
      <c r="A5600" t="s">
        <v>16626</v>
      </c>
      <c r="B5600" t="s">
        <v>16629</v>
      </c>
      <c r="C5600" t="s">
        <v>16630</v>
      </c>
    </row>
    <row r="5601" spans="1:3" x14ac:dyDescent="0.35">
      <c r="A5601" t="s">
        <v>16631</v>
      </c>
      <c r="B5601" t="s">
        <v>16632</v>
      </c>
      <c r="C5601" t="s">
        <v>16633</v>
      </c>
    </row>
    <row r="5602" spans="1:3" x14ac:dyDescent="0.35">
      <c r="A5602" t="s">
        <v>16634</v>
      </c>
      <c r="B5602" t="s">
        <v>16635</v>
      </c>
      <c r="C5602" t="s">
        <v>665</v>
      </c>
    </row>
    <row r="5603" spans="1:3" x14ac:dyDescent="0.35">
      <c r="A5603" t="s">
        <v>16636</v>
      </c>
      <c r="B5603" t="s">
        <v>16637</v>
      </c>
      <c r="C5603" t="s">
        <v>16638</v>
      </c>
    </row>
    <row r="5604" spans="1:3" x14ac:dyDescent="0.35">
      <c r="A5604" t="s">
        <v>16639</v>
      </c>
      <c r="B5604" t="s">
        <v>16640</v>
      </c>
      <c r="C5604" t="s">
        <v>16641</v>
      </c>
    </row>
    <row r="5605" spans="1:3" x14ac:dyDescent="0.35">
      <c r="A5605" t="s">
        <v>16642</v>
      </c>
      <c r="B5605" t="s">
        <v>16643</v>
      </c>
      <c r="C5605" t="s">
        <v>16644</v>
      </c>
    </row>
    <row r="5606" spans="1:3" x14ac:dyDescent="0.35">
      <c r="A5606" t="s">
        <v>16645</v>
      </c>
      <c r="B5606" t="s">
        <v>16646</v>
      </c>
      <c r="C5606" t="s">
        <v>16647</v>
      </c>
    </row>
    <row r="5607" spans="1:3" x14ac:dyDescent="0.35">
      <c r="A5607" t="s">
        <v>16648</v>
      </c>
      <c r="B5607" t="s">
        <v>16649</v>
      </c>
      <c r="C5607" t="s">
        <v>16650</v>
      </c>
    </row>
    <row r="5608" spans="1:3" x14ac:dyDescent="0.35">
      <c r="A5608" t="s">
        <v>16651</v>
      </c>
      <c r="B5608" t="s">
        <v>16652</v>
      </c>
      <c r="C5608" t="s">
        <v>16653</v>
      </c>
    </row>
    <row r="5609" spans="1:3" x14ac:dyDescent="0.35">
      <c r="A5609" t="s">
        <v>16654</v>
      </c>
      <c r="B5609" t="s">
        <v>16655</v>
      </c>
      <c r="C5609" t="s">
        <v>16656</v>
      </c>
    </row>
    <row r="5610" spans="1:3" x14ac:dyDescent="0.35">
      <c r="A5610" t="s">
        <v>16657</v>
      </c>
      <c r="B5610" t="s">
        <v>16658</v>
      </c>
      <c r="C5610" t="s">
        <v>16659</v>
      </c>
    </row>
    <row r="5611" spans="1:3" x14ac:dyDescent="0.35">
      <c r="A5611" t="s">
        <v>16660</v>
      </c>
      <c r="B5611" t="s">
        <v>16661</v>
      </c>
      <c r="C5611" t="s">
        <v>16662</v>
      </c>
    </row>
    <row r="5612" spans="1:3" x14ac:dyDescent="0.35">
      <c r="A5612" t="s">
        <v>16663</v>
      </c>
      <c r="B5612" t="s">
        <v>16664</v>
      </c>
      <c r="C5612" t="s">
        <v>16665</v>
      </c>
    </row>
    <row r="5613" spans="1:3" x14ac:dyDescent="0.35">
      <c r="A5613" t="s">
        <v>119</v>
      </c>
      <c r="B5613" t="s">
        <v>16666</v>
      </c>
      <c r="C5613" t="s">
        <v>16667</v>
      </c>
    </row>
    <row r="5614" spans="1:3" x14ac:dyDescent="0.35">
      <c r="A5614" t="s">
        <v>16668</v>
      </c>
      <c r="B5614" t="s">
        <v>16669</v>
      </c>
      <c r="C5614" t="s">
        <v>16670</v>
      </c>
    </row>
    <row r="5615" spans="1:3" x14ac:dyDescent="0.35">
      <c r="A5615" t="s">
        <v>16671</v>
      </c>
      <c r="B5615" t="s">
        <v>16672</v>
      </c>
      <c r="C5615" t="s">
        <v>16673</v>
      </c>
    </row>
    <row r="5616" spans="1:3" x14ac:dyDescent="0.35">
      <c r="A5616" t="s">
        <v>16674</v>
      </c>
      <c r="B5616" t="s">
        <v>16675</v>
      </c>
      <c r="C5616" t="s">
        <v>16676</v>
      </c>
    </row>
    <row r="5617" spans="1:3" x14ac:dyDescent="0.35">
      <c r="A5617" t="s">
        <v>16677</v>
      </c>
      <c r="B5617" t="s">
        <v>16678</v>
      </c>
      <c r="C5617" t="s">
        <v>16679</v>
      </c>
    </row>
    <row r="5618" spans="1:3" x14ac:dyDescent="0.35">
      <c r="A5618" t="s">
        <v>16680</v>
      </c>
      <c r="B5618" t="s">
        <v>16681</v>
      </c>
      <c r="C5618" t="s">
        <v>16682</v>
      </c>
    </row>
    <row r="5619" spans="1:3" x14ac:dyDescent="0.35">
      <c r="A5619" t="s">
        <v>16683</v>
      </c>
      <c r="B5619" t="s">
        <v>16684</v>
      </c>
      <c r="C5619" t="s">
        <v>16685</v>
      </c>
    </row>
    <row r="5620" spans="1:3" x14ac:dyDescent="0.35">
      <c r="A5620" t="s">
        <v>16686</v>
      </c>
      <c r="B5620" t="s">
        <v>16687</v>
      </c>
      <c r="C5620" t="s">
        <v>16688</v>
      </c>
    </row>
    <row r="5621" spans="1:3" x14ac:dyDescent="0.35">
      <c r="A5621" t="s">
        <v>16689</v>
      </c>
      <c r="B5621" t="s">
        <v>16690</v>
      </c>
      <c r="C5621" t="s">
        <v>16691</v>
      </c>
    </row>
    <row r="5622" spans="1:3" x14ac:dyDescent="0.35">
      <c r="A5622" t="s">
        <v>16692</v>
      </c>
      <c r="B5622" t="s">
        <v>16693</v>
      </c>
      <c r="C5622" t="s">
        <v>16694</v>
      </c>
    </row>
    <row r="5623" spans="1:3" x14ac:dyDescent="0.35">
      <c r="A5623" t="s">
        <v>16695</v>
      </c>
      <c r="B5623" t="s">
        <v>16696</v>
      </c>
      <c r="C5623" t="s">
        <v>16697</v>
      </c>
    </row>
    <row r="5624" spans="1:3" x14ac:dyDescent="0.35">
      <c r="A5624" t="s">
        <v>16698</v>
      </c>
      <c r="B5624" t="s">
        <v>16699</v>
      </c>
      <c r="C5624" t="s">
        <v>16700</v>
      </c>
    </row>
    <row r="5625" spans="1:3" x14ac:dyDescent="0.35">
      <c r="A5625" t="s">
        <v>16701</v>
      </c>
      <c r="B5625" t="s">
        <v>16702</v>
      </c>
      <c r="C5625" t="s">
        <v>16703</v>
      </c>
    </row>
    <row r="5626" spans="1:3" x14ac:dyDescent="0.35">
      <c r="A5626" t="s">
        <v>16704</v>
      </c>
      <c r="B5626" t="s">
        <v>16705</v>
      </c>
      <c r="C5626" t="s">
        <v>16706</v>
      </c>
    </row>
    <row r="5627" spans="1:3" x14ac:dyDescent="0.35">
      <c r="A5627" t="s">
        <v>16707</v>
      </c>
      <c r="B5627" t="s">
        <v>16708</v>
      </c>
      <c r="C5627" t="s">
        <v>16709</v>
      </c>
    </row>
    <row r="5628" spans="1:3" x14ac:dyDescent="0.35">
      <c r="A5628" t="s">
        <v>16710</v>
      </c>
      <c r="B5628" t="s">
        <v>16711</v>
      </c>
      <c r="C5628" t="s">
        <v>16712</v>
      </c>
    </row>
    <row r="5629" spans="1:3" x14ac:dyDescent="0.35">
      <c r="A5629" t="s">
        <v>16713</v>
      </c>
      <c r="B5629" t="s">
        <v>16714</v>
      </c>
      <c r="C5629" t="s">
        <v>16715</v>
      </c>
    </row>
    <row r="5630" spans="1:3" x14ac:dyDescent="0.35">
      <c r="A5630" t="s">
        <v>16716</v>
      </c>
      <c r="B5630" t="s">
        <v>16717</v>
      </c>
      <c r="C5630" t="s">
        <v>16718</v>
      </c>
    </row>
    <row r="5631" spans="1:3" x14ac:dyDescent="0.35">
      <c r="A5631" t="s">
        <v>16719</v>
      </c>
      <c r="B5631" t="s">
        <v>16720</v>
      </c>
      <c r="C5631" t="s">
        <v>16721</v>
      </c>
    </row>
    <row r="5632" spans="1:3" x14ac:dyDescent="0.35">
      <c r="A5632" t="s">
        <v>16722</v>
      </c>
      <c r="B5632" t="s">
        <v>16723</v>
      </c>
      <c r="C5632" t="s">
        <v>16724</v>
      </c>
    </row>
    <row r="5633" spans="1:3" x14ac:dyDescent="0.35">
      <c r="A5633" t="s">
        <v>16725</v>
      </c>
      <c r="B5633" t="s">
        <v>16726</v>
      </c>
      <c r="C5633" t="s">
        <v>16727</v>
      </c>
    </row>
    <row r="5634" spans="1:3" x14ac:dyDescent="0.35">
      <c r="A5634" t="s">
        <v>16728</v>
      </c>
      <c r="B5634" t="s">
        <v>16729</v>
      </c>
      <c r="C5634" t="s">
        <v>16730</v>
      </c>
    </row>
    <row r="5635" spans="1:3" x14ac:dyDescent="0.35">
      <c r="A5635" t="s">
        <v>16731</v>
      </c>
      <c r="B5635" t="s">
        <v>16732</v>
      </c>
      <c r="C5635" t="s">
        <v>16733</v>
      </c>
    </row>
    <row r="5636" spans="1:3" x14ac:dyDescent="0.35">
      <c r="A5636" t="s">
        <v>16734</v>
      </c>
      <c r="B5636" t="s">
        <v>16735</v>
      </c>
      <c r="C5636" t="s">
        <v>16736</v>
      </c>
    </row>
    <row r="5637" spans="1:3" x14ac:dyDescent="0.35">
      <c r="A5637" t="s">
        <v>16737</v>
      </c>
      <c r="B5637" t="s">
        <v>16738</v>
      </c>
      <c r="C5637" t="s">
        <v>16739</v>
      </c>
    </row>
    <row r="5638" spans="1:3" x14ac:dyDescent="0.35">
      <c r="A5638" t="s">
        <v>16740</v>
      </c>
      <c r="B5638" t="s">
        <v>16741</v>
      </c>
      <c r="C5638" t="s">
        <v>16742</v>
      </c>
    </row>
    <row r="5639" spans="1:3" x14ac:dyDescent="0.35">
      <c r="A5639" t="s">
        <v>16743</v>
      </c>
      <c r="B5639" t="s">
        <v>16744</v>
      </c>
      <c r="C5639" t="s">
        <v>16745</v>
      </c>
    </row>
    <row r="5640" spans="1:3" x14ac:dyDescent="0.35">
      <c r="A5640" t="s">
        <v>16746</v>
      </c>
      <c r="B5640" t="s">
        <v>16747</v>
      </c>
      <c r="C5640" t="s">
        <v>16748</v>
      </c>
    </row>
    <row r="5641" spans="1:3" x14ac:dyDescent="0.35">
      <c r="A5641" t="s">
        <v>16749</v>
      </c>
      <c r="B5641" t="s">
        <v>16750</v>
      </c>
      <c r="C5641" t="s">
        <v>16751</v>
      </c>
    </row>
    <row r="5642" spans="1:3" x14ac:dyDescent="0.35">
      <c r="A5642" t="s">
        <v>16752</v>
      </c>
      <c r="B5642" t="s">
        <v>16753</v>
      </c>
      <c r="C5642" t="s">
        <v>16754</v>
      </c>
    </row>
    <row r="5643" spans="1:3" x14ac:dyDescent="0.35">
      <c r="A5643" t="s">
        <v>16755</v>
      </c>
      <c r="B5643" t="s">
        <v>16756</v>
      </c>
      <c r="C5643" t="s">
        <v>16757</v>
      </c>
    </row>
    <row r="5644" spans="1:3" x14ac:dyDescent="0.35">
      <c r="A5644" t="s">
        <v>16758</v>
      </c>
      <c r="B5644" t="s">
        <v>16759</v>
      </c>
      <c r="C5644" t="s">
        <v>16760</v>
      </c>
    </row>
    <row r="5645" spans="1:3" x14ac:dyDescent="0.35">
      <c r="A5645" t="s">
        <v>16761</v>
      </c>
      <c r="B5645" t="s">
        <v>16762</v>
      </c>
      <c r="C5645" t="s">
        <v>16763</v>
      </c>
    </row>
    <row r="5646" spans="1:3" x14ac:dyDescent="0.35">
      <c r="A5646" t="s">
        <v>16764</v>
      </c>
      <c r="B5646" t="s">
        <v>16765</v>
      </c>
      <c r="C5646" t="s">
        <v>16766</v>
      </c>
    </row>
    <row r="5647" spans="1:3" x14ac:dyDescent="0.35">
      <c r="A5647" t="s">
        <v>16767</v>
      </c>
      <c r="B5647" t="s">
        <v>16768</v>
      </c>
      <c r="C5647" t="s">
        <v>16769</v>
      </c>
    </row>
    <row r="5648" spans="1:3" x14ac:dyDescent="0.35">
      <c r="A5648" t="s">
        <v>16770</v>
      </c>
      <c r="B5648" t="s">
        <v>16771</v>
      </c>
      <c r="C5648" t="s">
        <v>16772</v>
      </c>
    </row>
    <row r="5649" spans="1:3" x14ac:dyDescent="0.35">
      <c r="A5649" t="s">
        <v>16773</v>
      </c>
      <c r="B5649" t="s">
        <v>16774</v>
      </c>
      <c r="C5649" t="s">
        <v>16775</v>
      </c>
    </row>
    <row r="5650" spans="1:3" x14ac:dyDescent="0.35">
      <c r="A5650" t="s">
        <v>16776</v>
      </c>
      <c r="B5650" t="s">
        <v>16777</v>
      </c>
      <c r="C5650" t="s">
        <v>16778</v>
      </c>
    </row>
    <row r="5651" spans="1:3" x14ac:dyDescent="0.35">
      <c r="A5651" t="s">
        <v>16779</v>
      </c>
      <c r="B5651" t="s">
        <v>16780</v>
      </c>
      <c r="C5651" t="s">
        <v>16781</v>
      </c>
    </row>
    <row r="5652" spans="1:3" x14ac:dyDescent="0.35">
      <c r="A5652" t="s">
        <v>16782</v>
      </c>
      <c r="B5652" t="s">
        <v>16783</v>
      </c>
      <c r="C5652" t="s">
        <v>16784</v>
      </c>
    </row>
    <row r="5653" spans="1:3" x14ac:dyDescent="0.35">
      <c r="A5653" t="s">
        <v>16785</v>
      </c>
      <c r="B5653" t="s">
        <v>16786</v>
      </c>
      <c r="C5653" t="s">
        <v>16787</v>
      </c>
    </row>
    <row r="5654" spans="1:3" x14ac:dyDescent="0.35">
      <c r="A5654" t="s">
        <v>16788</v>
      </c>
      <c r="B5654" t="s">
        <v>16789</v>
      </c>
      <c r="C5654" t="s">
        <v>16790</v>
      </c>
    </row>
    <row r="5655" spans="1:3" x14ac:dyDescent="0.35">
      <c r="A5655" t="s">
        <v>16791</v>
      </c>
      <c r="B5655" t="s">
        <v>16792</v>
      </c>
      <c r="C5655" t="s">
        <v>16793</v>
      </c>
    </row>
    <row r="5656" spans="1:3" x14ac:dyDescent="0.35">
      <c r="A5656" t="s">
        <v>16794</v>
      </c>
      <c r="B5656" t="s">
        <v>16795</v>
      </c>
      <c r="C5656" t="s">
        <v>16796</v>
      </c>
    </row>
    <row r="5657" spans="1:3" x14ac:dyDescent="0.35">
      <c r="A5657" t="s">
        <v>16797</v>
      </c>
      <c r="B5657" t="s">
        <v>16798</v>
      </c>
      <c r="C5657" t="s">
        <v>16799</v>
      </c>
    </row>
    <row r="5658" spans="1:3" x14ac:dyDescent="0.35">
      <c r="A5658" t="s">
        <v>16800</v>
      </c>
      <c r="B5658" t="s">
        <v>16801</v>
      </c>
      <c r="C5658" t="s">
        <v>16802</v>
      </c>
    </row>
    <row r="5659" spans="1:3" x14ac:dyDescent="0.35">
      <c r="A5659" t="s">
        <v>16803</v>
      </c>
      <c r="B5659" t="s">
        <v>16804</v>
      </c>
      <c r="C5659" t="s">
        <v>16805</v>
      </c>
    </row>
    <row r="5660" spans="1:3" x14ac:dyDescent="0.35">
      <c r="A5660" t="s">
        <v>16806</v>
      </c>
      <c r="B5660" t="s">
        <v>16807</v>
      </c>
      <c r="C5660" t="s">
        <v>16808</v>
      </c>
    </row>
    <row r="5661" spans="1:3" x14ac:dyDescent="0.35">
      <c r="A5661" t="s">
        <v>16809</v>
      </c>
      <c r="B5661" t="s">
        <v>16810</v>
      </c>
      <c r="C5661" t="s">
        <v>16811</v>
      </c>
    </row>
    <row r="5662" spans="1:3" x14ac:dyDescent="0.35">
      <c r="A5662" t="s">
        <v>16812</v>
      </c>
      <c r="B5662" t="s">
        <v>16813</v>
      </c>
      <c r="C5662" t="s">
        <v>16814</v>
      </c>
    </row>
    <row r="5663" spans="1:3" x14ac:dyDescent="0.35">
      <c r="A5663" t="s">
        <v>16815</v>
      </c>
      <c r="B5663" t="s">
        <v>16816</v>
      </c>
      <c r="C5663" t="s">
        <v>16817</v>
      </c>
    </row>
    <row r="5664" spans="1:3" x14ac:dyDescent="0.35">
      <c r="A5664" t="s">
        <v>16818</v>
      </c>
      <c r="B5664" t="s">
        <v>16819</v>
      </c>
      <c r="C5664" t="s">
        <v>16820</v>
      </c>
    </row>
    <row r="5665" spans="1:3" x14ac:dyDescent="0.35">
      <c r="A5665" t="s">
        <v>16821</v>
      </c>
      <c r="B5665" t="s">
        <v>16822</v>
      </c>
      <c r="C5665" t="s">
        <v>16823</v>
      </c>
    </row>
    <row r="5666" spans="1:3" x14ac:dyDescent="0.35">
      <c r="A5666" t="s">
        <v>16824</v>
      </c>
      <c r="B5666" t="s">
        <v>16825</v>
      </c>
      <c r="C5666" t="s">
        <v>16826</v>
      </c>
    </row>
    <row r="5667" spans="1:3" x14ac:dyDescent="0.35">
      <c r="A5667" t="s">
        <v>16827</v>
      </c>
      <c r="B5667" t="s">
        <v>16828</v>
      </c>
      <c r="C5667" t="s">
        <v>16829</v>
      </c>
    </row>
    <row r="5668" spans="1:3" x14ac:dyDescent="0.35">
      <c r="A5668" t="s">
        <v>16830</v>
      </c>
      <c r="B5668" t="s">
        <v>16831</v>
      </c>
      <c r="C5668" t="s">
        <v>16832</v>
      </c>
    </row>
    <row r="5669" spans="1:3" x14ac:dyDescent="0.35">
      <c r="A5669" t="s">
        <v>16833</v>
      </c>
      <c r="B5669" t="s">
        <v>16834</v>
      </c>
      <c r="C5669" t="s">
        <v>16835</v>
      </c>
    </row>
    <row r="5670" spans="1:3" x14ac:dyDescent="0.35">
      <c r="A5670" t="s">
        <v>16836</v>
      </c>
      <c r="B5670" t="s">
        <v>16837</v>
      </c>
      <c r="C5670" t="s">
        <v>16838</v>
      </c>
    </row>
    <row r="5671" spans="1:3" x14ac:dyDescent="0.35">
      <c r="A5671" t="s">
        <v>16839</v>
      </c>
      <c r="B5671" t="s">
        <v>16840</v>
      </c>
      <c r="C5671" t="s">
        <v>16841</v>
      </c>
    </row>
    <row r="5672" spans="1:3" x14ac:dyDescent="0.35">
      <c r="A5672" t="s">
        <v>16842</v>
      </c>
      <c r="B5672" t="s">
        <v>16843</v>
      </c>
      <c r="C5672" t="s">
        <v>16844</v>
      </c>
    </row>
    <row r="5673" spans="1:3" x14ac:dyDescent="0.35">
      <c r="A5673" t="s">
        <v>16845</v>
      </c>
      <c r="B5673" t="s">
        <v>16846</v>
      </c>
      <c r="C5673" t="s">
        <v>16847</v>
      </c>
    </row>
    <row r="5674" spans="1:3" x14ac:dyDescent="0.35">
      <c r="A5674" t="s">
        <v>16848</v>
      </c>
      <c r="B5674" t="s">
        <v>16849</v>
      </c>
      <c r="C5674" t="s">
        <v>16850</v>
      </c>
    </row>
    <row r="5675" spans="1:3" x14ac:dyDescent="0.35">
      <c r="A5675" t="s">
        <v>16851</v>
      </c>
      <c r="B5675" t="s">
        <v>16852</v>
      </c>
      <c r="C5675" t="s">
        <v>16853</v>
      </c>
    </row>
    <row r="5676" spans="1:3" x14ac:dyDescent="0.35">
      <c r="A5676" t="s">
        <v>16851</v>
      </c>
      <c r="B5676" t="s">
        <v>16854</v>
      </c>
      <c r="C5676" t="s">
        <v>16853</v>
      </c>
    </row>
    <row r="5677" spans="1:3" x14ac:dyDescent="0.35">
      <c r="A5677" t="s">
        <v>16855</v>
      </c>
      <c r="B5677" t="s">
        <v>16856</v>
      </c>
      <c r="C5677" t="s">
        <v>16857</v>
      </c>
    </row>
    <row r="5678" spans="1:3" x14ac:dyDescent="0.35">
      <c r="A5678" t="s">
        <v>120</v>
      </c>
      <c r="B5678" t="s">
        <v>16858</v>
      </c>
      <c r="C5678" t="s">
        <v>16859</v>
      </c>
    </row>
    <row r="5679" spans="1:3" x14ac:dyDescent="0.35">
      <c r="A5679" t="s">
        <v>16860</v>
      </c>
      <c r="B5679" t="s">
        <v>16861</v>
      </c>
      <c r="C5679" t="s">
        <v>16862</v>
      </c>
    </row>
    <row r="5680" spans="1:3" x14ac:dyDescent="0.35">
      <c r="A5680" t="s">
        <v>16863</v>
      </c>
      <c r="B5680" t="s">
        <v>16864</v>
      </c>
      <c r="C5680" t="s">
        <v>16865</v>
      </c>
    </row>
    <row r="5681" spans="1:3" x14ac:dyDescent="0.35">
      <c r="A5681" t="s">
        <v>16866</v>
      </c>
      <c r="B5681" t="s">
        <v>16867</v>
      </c>
      <c r="C5681" t="s">
        <v>16868</v>
      </c>
    </row>
    <row r="5682" spans="1:3" x14ac:dyDescent="0.35">
      <c r="A5682" t="s">
        <v>16869</v>
      </c>
      <c r="B5682" t="s">
        <v>16870</v>
      </c>
      <c r="C5682" t="s">
        <v>16871</v>
      </c>
    </row>
    <row r="5683" spans="1:3" x14ac:dyDescent="0.35">
      <c r="A5683" t="s">
        <v>16872</v>
      </c>
      <c r="B5683" t="s">
        <v>16873</v>
      </c>
      <c r="C5683" t="s">
        <v>16874</v>
      </c>
    </row>
    <row r="5684" spans="1:3" x14ac:dyDescent="0.35">
      <c r="A5684" t="s">
        <v>16875</v>
      </c>
      <c r="B5684" t="s">
        <v>16876</v>
      </c>
      <c r="C5684" t="s">
        <v>16877</v>
      </c>
    </row>
    <row r="5685" spans="1:3" x14ac:dyDescent="0.35">
      <c r="A5685" t="s">
        <v>121</v>
      </c>
      <c r="B5685" t="s">
        <v>16878</v>
      </c>
      <c r="C5685" t="s">
        <v>16879</v>
      </c>
    </row>
    <row r="5686" spans="1:3" x14ac:dyDescent="0.35">
      <c r="A5686" t="s">
        <v>16880</v>
      </c>
      <c r="B5686" t="s">
        <v>16881</v>
      </c>
      <c r="C5686" t="s">
        <v>16882</v>
      </c>
    </row>
    <row r="5687" spans="1:3" x14ac:dyDescent="0.35">
      <c r="A5687" t="s">
        <v>122</v>
      </c>
      <c r="B5687" t="s">
        <v>16883</v>
      </c>
      <c r="C5687" t="s">
        <v>16884</v>
      </c>
    </row>
    <row r="5688" spans="1:3" x14ac:dyDescent="0.35">
      <c r="A5688" t="s">
        <v>16885</v>
      </c>
      <c r="B5688" t="s">
        <v>16886</v>
      </c>
      <c r="C5688" t="s">
        <v>16887</v>
      </c>
    </row>
    <row r="5689" spans="1:3" x14ac:dyDescent="0.35">
      <c r="A5689" t="s">
        <v>16888</v>
      </c>
      <c r="B5689" t="s">
        <v>16889</v>
      </c>
      <c r="C5689" t="s">
        <v>16890</v>
      </c>
    </row>
    <row r="5690" spans="1:3" x14ac:dyDescent="0.35">
      <c r="A5690" t="s">
        <v>16891</v>
      </c>
      <c r="B5690" t="s">
        <v>16892</v>
      </c>
      <c r="C5690" t="s">
        <v>16893</v>
      </c>
    </row>
    <row r="5691" spans="1:3" x14ac:dyDescent="0.35">
      <c r="A5691" t="s">
        <v>16894</v>
      </c>
      <c r="B5691" t="s">
        <v>16895</v>
      </c>
      <c r="C5691" t="s">
        <v>16896</v>
      </c>
    </row>
    <row r="5692" spans="1:3" x14ac:dyDescent="0.35">
      <c r="A5692" t="s">
        <v>16897</v>
      </c>
      <c r="B5692" t="s">
        <v>16898</v>
      </c>
      <c r="C5692" t="s">
        <v>16899</v>
      </c>
    </row>
    <row r="5693" spans="1:3" x14ac:dyDescent="0.35">
      <c r="A5693" t="s">
        <v>16900</v>
      </c>
      <c r="B5693" t="s">
        <v>16901</v>
      </c>
      <c r="C5693" t="s">
        <v>16902</v>
      </c>
    </row>
    <row r="5694" spans="1:3" x14ac:dyDescent="0.35">
      <c r="A5694" t="s">
        <v>16903</v>
      </c>
      <c r="B5694" t="s">
        <v>16904</v>
      </c>
      <c r="C5694" t="s">
        <v>16905</v>
      </c>
    </row>
    <row r="5695" spans="1:3" x14ac:dyDescent="0.35">
      <c r="A5695" t="s">
        <v>16906</v>
      </c>
      <c r="B5695" t="s">
        <v>16907</v>
      </c>
      <c r="C5695" t="s">
        <v>16908</v>
      </c>
    </row>
    <row r="5696" spans="1:3" x14ac:dyDescent="0.35">
      <c r="A5696" t="s">
        <v>16909</v>
      </c>
      <c r="B5696" t="s">
        <v>16910</v>
      </c>
      <c r="C5696" t="s">
        <v>16911</v>
      </c>
    </row>
    <row r="5697" spans="1:3" x14ac:dyDescent="0.35">
      <c r="A5697" t="s">
        <v>123</v>
      </c>
      <c r="B5697" t="s">
        <v>16912</v>
      </c>
      <c r="C5697" t="s">
        <v>16913</v>
      </c>
    </row>
    <row r="5698" spans="1:3" x14ac:dyDescent="0.35">
      <c r="A5698" t="s">
        <v>16914</v>
      </c>
      <c r="B5698" t="s">
        <v>16915</v>
      </c>
      <c r="C5698" t="s">
        <v>16916</v>
      </c>
    </row>
    <row r="5699" spans="1:3" x14ac:dyDescent="0.35">
      <c r="A5699" t="s">
        <v>16917</v>
      </c>
      <c r="B5699" t="s">
        <v>16918</v>
      </c>
      <c r="C5699" t="s">
        <v>16919</v>
      </c>
    </row>
    <row r="5700" spans="1:3" x14ac:dyDescent="0.35">
      <c r="A5700" t="s">
        <v>16920</v>
      </c>
      <c r="B5700" t="s">
        <v>16921</v>
      </c>
      <c r="C5700" t="s">
        <v>16922</v>
      </c>
    </row>
    <row r="5701" spans="1:3" x14ac:dyDescent="0.35">
      <c r="A5701" t="s">
        <v>16923</v>
      </c>
      <c r="B5701" t="s">
        <v>16924</v>
      </c>
      <c r="C5701" t="s">
        <v>16925</v>
      </c>
    </row>
    <row r="5702" spans="1:3" x14ac:dyDescent="0.35">
      <c r="A5702" t="s">
        <v>16926</v>
      </c>
      <c r="B5702" t="s">
        <v>16927</v>
      </c>
      <c r="C5702" t="s">
        <v>16928</v>
      </c>
    </row>
    <row r="5703" spans="1:3" x14ac:dyDescent="0.35">
      <c r="A5703" t="s">
        <v>16929</v>
      </c>
      <c r="B5703" t="s">
        <v>16930</v>
      </c>
      <c r="C5703" t="s">
        <v>16931</v>
      </c>
    </row>
    <row r="5704" spans="1:3" x14ac:dyDescent="0.35">
      <c r="A5704" t="s">
        <v>16932</v>
      </c>
      <c r="B5704" t="s">
        <v>16933</v>
      </c>
      <c r="C5704" t="s">
        <v>16934</v>
      </c>
    </row>
    <row r="5705" spans="1:3" x14ac:dyDescent="0.35">
      <c r="A5705" t="s">
        <v>124</v>
      </c>
      <c r="B5705" t="s">
        <v>16935</v>
      </c>
      <c r="C5705" t="s">
        <v>16936</v>
      </c>
    </row>
    <row r="5706" spans="1:3" x14ac:dyDescent="0.35">
      <c r="A5706" t="s">
        <v>16937</v>
      </c>
      <c r="B5706" t="s">
        <v>16938</v>
      </c>
      <c r="C5706" t="s">
        <v>16939</v>
      </c>
    </row>
    <row r="5707" spans="1:3" x14ac:dyDescent="0.35">
      <c r="A5707" t="s">
        <v>16940</v>
      </c>
      <c r="B5707" t="s">
        <v>16941</v>
      </c>
      <c r="C5707" t="s">
        <v>16942</v>
      </c>
    </row>
    <row r="5708" spans="1:3" x14ac:dyDescent="0.35">
      <c r="A5708" t="s">
        <v>16943</v>
      </c>
      <c r="B5708" t="s">
        <v>16944</v>
      </c>
      <c r="C5708" t="s">
        <v>16945</v>
      </c>
    </row>
    <row r="5709" spans="1:3" x14ac:dyDescent="0.35">
      <c r="A5709" t="s">
        <v>16946</v>
      </c>
      <c r="B5709" t="s">
        <v>16947</v>
      </c>
      <c r="C5709" t="s">
        <v>16948</v>
      </c>
    </row>
    <row r="5710" spans="1:3" x14ac:dyDescent="0.35">
      <c r="A5710" t="s">
        <v>16949</v>
      </c>
      <c r="B5710" t="s">
        <v>16950</v>
      </c>
      <c r="C5710" t="s">
        <v>16951</v>
      </c>
    </row>
    <row r="5711" spans="1:3" x14ac:dyDescent="0.35">
      <c r="A5711" t="s">
        <v>16952</v>
      </c>
      <c r="B5711" t="s">
        <v>16953</v>
      </c>
      <c r="C5711" t="s">
        <v>16954</v>
      </c>
    </row>
    <row r="5712" spans="1:3" x14ac:dyDescent="0.35">
      <c r="A5712" t="s">
        <v>16955</v>
      </c>
      <c r="B5712" t="s">
        <v>16956</v>
      </c>
      <c r="C5712" t="s">
        <v>16957</v>
      </c>
    </row>
    <row r="5713" spans="1:3" x14ac:dyDescent="0.35">
      <c r="A5713" t="s">
        <v>16958</v>
      </c>
      <c r="B5713" t="s">
        <v>16959</v>
      </c>
      <c r="C5713" t="s">
        <v>16960</v>
      </c>
    </row>
    <row r="5714" spans="1:3" x14ac:dyDescent="0.35">
      <c r="A5714" t="s">
        <v>16961</v>
      </c>
      <c r="B5714" t="s">
        <v>16962</v>
      </c>
      <c r="C5714" t="s">
        <v>16963</v>
      </c>
    </row>
    <row r="5715" spans="1:3" x14ac:dyDescent="0.35">
      <c r="A5715" t="s">
        <v>16964</v>
      </c>
      <c r="B5715" t="s">
        <v>16965</v>
      </c>
      <c r="C5715" t="s">
        <v>16966</v>
      </c>
    </row>
    <row r="5716" spans="1:3" x14ac:dyDescent="0.35">
      <c r="A5716" t="s">
        <v>16967</v>
      </c>
      <c r="B5716" t="s">
        <v>16968</v>
      </c>
      <c r="C5716" t="s">
        <v>16969</v>
      </c>
    </row>
    <row r="5717" spans="1:3" x14ac:dyDescent="0.35">
      <c r="A5717" t="s">
        <v>16970</v>
      </c>
      <c r="B5717" t="s">
        <v>16971</v>
      </c>
      <c r="C5717" t="s">
        <v>16972</v>
      </c>
    </row>
    <row r="5718" spans="1:3" x14ac:dyDescent="0.35">
      <c r="A5718" t="s">
        <v>16973</v>
      </c>
      <c r="B5718" t="s">
        <v>16974</v>
      </c>
      <c r="C5718" t="s">
        <v>16975</v>
      </c>
    </row>
    <row r="5719" spans="1:3" x14ac:dyDescent="0.35">
      <c r="A5719" t="s">
        <v>16976</v>
      </c>
      <c r="B5719" t="s">
        <v>16977</v>
      </c>
      <c r="C5719" t="s">
        <v>16978</v>
      </c>
    </row>
    <row r="5720" spans="1:3" x14ac:dyDescent="0.35">
      <c r="A5720" t="s">
        <v>16979</v>
      </c>
      <c r="B5720" t="s">
        <v>16980</v>
      </c>
      <c r="C5720" t="s">
        <v>16981</v>
      </c>
    </row>
    <row r="5721" spans="1:3" x14ac:dyDescent="0.35">
      <c r="A5721" t="s">
        <v>16982</v>
      </c>
      <c r="B5721" t="s">
        <v>16983</v>
      </c>
      <c r="C5721" t="s">
        <v>16984</v>
      </c>
    </row>
    <row r="5722" spans="1:3" x14ac:dyDescent="0.35">
      <c r="A5722" t="s">
        <v>16985</v>
      </c>
      <c r="B5722" t="s">
        <v>16986</v>
      </c>
      <c r="C5722" t="s">
        <v>16987</v>
      </c>
    </row>
    <row r="5723" spans="1:3" x14ac:dyDescent="0.35">
      <c r="A5723" t="s">
        <v>16988</v>
      </c>
      <c r="B5723" t="s">
        <v>16989</v>
      </c>
      <c r="C5723" t="s">
        <v>16990</v>
      </c>
    </row>
    <row r="5724" spans="1:3" x14ac:dyDescent="0.35">
      <c r="A5724" t="s">
        <v>16991</v>
      </c>
      <c r="B5724" t="s">
        <v>16992</v>
      </c>
      <c r="C5724" t="s">
        <v>16993</v>
      </c>
    </row>
    <row r="5725" spans="1:3" x14ac:dyDescent="0.35">
      <c r="A5725" t="s">
        <v>16994</v>
      </c>
      <c r="B5725" t="s">
        <v>16995</v>
      </c>
      <c r="C5725" t="s">
        <v>16996</v>
      </c>
    </row>
    <row r="5726" spans="1:3" x14ac:dyDescent="0.35">
      <c r="A5726" t="s">
        <v>16997</v>
      </c>
      <c r="B5726" t="s">
        <v>16998</v>
      </c>
      <c r="C5726" t="s">
        <v>16999</v>
      </c>
    </row>
    <row r="5727" spans="1:3" x14ac:dyDescent="0.35">
      <c r="A5727" t="s">
        <v>17000</v>
      </c>
      <c r="B5727" t="s">
        <v>17001</v>
      </c>
      <c r="C5727" t="s">
        <v>17002</v>
      </c>
    </row>
    <row r="5728" spans="1:3" x14ac:dyDescent="0.35">
      <c r="A5728" t="s">
        <v>17000</v>
      </c>
      <c r="B5728" t="s">
        <v>17003</v>
      </c>
      <c r="C5728" t="s">
        <v>17004</v>
      </c>
    </row>
    <row r="5729" spans="1:3" x14ac:dyDescent="0.35">
      <c r="A5729" t="s">
        <v>17005</v>
      </c>
      <c r="B5729" t="s">
        <v>17006</v>
      </c>
      <c r="C5729" t="s">
        <v>17007</v>
      </c>
    </row>
    <row r="5730" spans="1:3" x14ac:dyDescent="0.35">
      <c r="A5730" t="s">
        <v>17008</v>
      </c>
      <c r="B5730" t="s">
        <v>17009</v>
      </c>
      <c r="C5730" t="s">
        <v>17010</v>
      </c>
    </row>
    <row r="5731" spans="1:3" x14ac:dyDescent="0.35">
      <c r="A5731" t="s">
        <v>17011</v>
      </c>
      <c r="B5731" t="s">
        <v>17012</v>
      </c>
      <c r="C5731" t="s">
        <v>17013</v>
      </c>
    </row>
    <row r="5732" spans="1:3" x14ac:dyDescent="0.35">
      <c r="A5732" t="s">
        <v>17014</v>
      </c>
      <c r="B5732" t="s">
        <v>17015</v>
      </c>
      <c r="C5732" t="s">
        <v>17016</v>
      </c>
    </row>
    <row r="5733" spans="1:3" x14ac:dyDescent="0.35">
      <c r="A5733" t="s">
        <v>17017</v>
      </c>
      <c r="B5733" t="s">
        <v>17018</v>
      </c>
      <c r="C5733" t="s">
        <v>17019</v>
      </c>
    </row>
    <row r="5734" spans="1:3" x14ac:dyDescent="0.35">
      <c r="A5734" t="s">
        <v>17020</v>
      </c>
      <c r="B5734" t="s">
        <v>17021</v>
      </c>
      <c r="C5734" t="s">
        <v>17022</v>
      </c>
    </row>
    <row r="5735" spans="1:3" x14ac:dyDescent="0.35">
      <c r="A5735" t="s">
        <v>17023</v>
      </c>
      <c r="B5735" t="s">
        <v>17024</v>
      </c>
      <c r="C5735" t="s">
        <v>17025</v>
      </c>
    </row>
    <row r="5736" spans="1:3" x14ac:dyDescent="0.35">
      <c r="A5736" t="s">
        <v>17026</v>
      </c>
      <c r="B5736" t="s">
        <v>17027</v>
      </c>
      <c r="C5736" t="s">
        <v>17028</v>
      </c>
    </row>
    <row r="5737" spans="1:3" x14ac:dyDescent="0.35">
      <c r="A5737" t="s">
        <v>17029</v>
      </c>
      <c r="B5737" t="s">
        <v>17030</v>
      </c>
      <c r="C5737" t="s">
        <v>17031</v>
      </c>
    </row>
    <row r="5738" spans="1:3" x14ac:dyDescent="0.35">
      <c r="A5738" t="s">
        <v>17032</v>
      </c>
      <c r="B5738" t="s">
        <v>17033</v>
      </c>
      <c r="C5738" t="s">
        <v>17034</v>
      </c>
    </row>
    <row r="5739" spans="1:3" x14ac:dyDescent="0.35">
      <c r="A5739" t="s">
        <v>17035</v>
      </c>
      <c r="B5739" t="s">
        <v>17036</v>
      </c>
      <c r="C5739" t="s">
        <v>17037</v>
      </c>
    </row>
    <row r="5740" spans="1:3" x14ac:dyDescent="0.35">
      <c r="A5740" t="s">
        <v>17038</v>
      </c>
      <c r="B5740" t="s">
        <v>17039</v>
      </c>
      <c r="C5740" t="s">
        <v>17040</v>
      </c>
    </row>
    <row r="5741" spans="1:3" x14ac:dyDescent="0.35">
      <c r="A5741" t="s">
        <v>17041</v>
      </c>
      <c r="B5741" t="s">
        <v>17042</v>
      </c>
      <c r="C5741" t="s">
        <v>17043</v>
      </c>
    </row>
    <row r="5742" spans="1:3" x14ac:dyDescent="0.35">
      <c r="A5742" t="s">
        <v>17044</v>
      </c>
      <c r="B5742" t="s">
        <v>17045</v>
      </c>
      <c r="C5742" t="s">
        <v>17046</v>
      </c>
    </row>
    <row r="5743" spans="1:3" x14ac:dyDescent="0.35">
      <c r="A5743" t="s">
        <v>17047</v>
      </c>
      <c r="B5743" t="s">
        <v>17048</v>
      </c>
      <c r="C5743" t="s">
        <v>17049</v>
      </c>
    </row>
    <row r="5744" spans="1:3" x14ac:dyDescent="0.35">
      <c r="A5744" t="s">
        <v>17050</v>
      </c>
      <c r="B5744" t="s">
        <v>17051</v>
      </c>
      <c r="C5744" t="s">
        <v>17052</v>
      </c>
    </row>
    <row r="5745" spans="1:3" x14ac:dyDescent="0.35">
      <c r="A5745" t="s">
        <v>17053</v>
      </c>
      <c r="B5745" t="s">
        <v>17054</v>
      </c>
      <c r="C5745" t="s">
        <v>17055</v>
      </c>
    </row>
    <row r="5746" spans="1:3" x14ac:dyDescent="0.35">
      <c r="A5746" t="s">
        <v>17056</v>
      </c>
      <c r="B5746" t="s">
        <v>17057</v>
      </c>
      <c r="C5746" t="s">
        <v>17058</v>
      </c>
    </row>
    <row r="5747" spans="1:3" x14ac:dyDescent="0.35">
      <c r="A5747" t="s">
        <v>17056</v>
      </c>
      <c r="B5747" t="s">
        <v>17059</v>
      </c>
      <c r="C5747" t="s">
        <v>17060</v>
      </c>
    </row>
    <row r="5748" spans="1:3" x14ac:dyDescent="0.35">
      <c r="A5748" t="s">
        <v>17056</v>
      </c>
      <c r="B5748" t="s">
        <v>17061</v>
      </c>
      <c r="C5748" t="s">
        <v>17062</v>
      </c>
    </row>
    <row r="5749" spans="1:3" x14ac:dyDescent="0.35">
      <c r="A5749" t="s">
        <v>17063</v>
      </c>
      <c r="B5749" t="s">
        <v>17064</v>
      </c>
      <c r="C5749" t="s">
        <v>17065</v>
      </c>
    </row>
    <row r="5750" spans="1:3" x14ac:dyDescent="0.35">
      <c r="A5750" t="s">
        <v>17066</v>
      </c>
      <c r="B5750" t="s">
        <v>17067</v>
      </c>
      <c r="C5750" t="s">
        <v>17068</v>
      </c>
    </row>
    <row r="5751" spans="1:3" x14ac:dyDescent="0.35">
      <c r="A5751" t="s">
        <v>17069</v>
      </c>
      <c r="B5751" t="s">
        <v>17070</v>
      </c>
      <c r="C5751" t="s">
        <v>17071</v>
      </c>
    </row>
    <row r="5752" spans="1:3" x14ac:dyDescent="0.35">
      <c r="A5752" t="s">
        <v>17072</v>
      </c>
      <c r="B5752" t="s">
        <v>17073</v>
      </c>
      <c r="C5752" t="s">
        <v>17074</v>
      </c>
    </row>
    <row r="5753" spans="1:3" x14ac:dyDescent="0.35">
      <c r="A5753" t="s">
        <v>17075</v>
      </c>
      <c r="B5753" t="s">
        <v>17076</v>
      </c>
      <c r="C5753" t="s">
        <v>17077</v>
      </c>
    </row>
    <row r="5754" spans="1:3" x14ac:dyDescent="0.35">
      <c r="A5754" t="s">
        <v>17078</v>
      </c>
      <c r="B5754" t="s">
        <v>17079</v>
      </c>
      <c r="C5754" t="s">
        <v>17080</v>
      </c>
    </row>
    <row r="5755" spans="1:3" x14ac:dyDescent="0.35">
      <c r="A5755" t="s">
        <v>17081</v>
      </c>
      <c r="B5755" t="s">
        <v>17082</v>
      </c>
      <c r="C5755" t="s">
        <v>17083</v>
      </c>
    </row>
    <row r="5756" spans="1:3" x14ac:dyDescent="0.35">
      <c r="A5756" t="s">
        <v>17084</v>
      </c>
      <c r="B5756" t="s">
        <v>17085</v>
      </c>
      <c r="C5756" t="s">
        <v>17086</v>
      </c>
    </row>
    <row r="5757" spans="1:3" x14ac:dyDescent="0.35">
      <c r="A5757" t="s">
        <v>17084</v>
      </c>
      <c r="B5757" t="s">
        <v>17087</v>
      </c>
      <c r="C5757" t="s">
        <v>17088</v>
      </c>
    </row>
    <row r="5758" spans="1:3" x14ac:dyDescent="0.35">
      <c r="A5758" t="s">
        <v>125</v>
      </c>
      <c r="B5758" t="s">
        <v>17089</v>
      </c>
      <c r="C5758" t="s">
        <v>17090</v>
      </c>
    </row>
    <row r="5759" spans="1:3" x14ac:dyDescent="0.35">
      <c r="A5759" t="s">
        <v>126</v>
      </c>
      <c r="B5759" t="s">
        <v>17091</v>
      </c>
      <c r="C5759" t="s">
        <v>17092</v>
      </c>
    </row>
    <row r="5760" spans="1:3" x14ac:dyDescent="0.35">
      <c r="A5760" t="s">
        <v>17093</v>
      </c>
      <c r="B5760" t="s">
        <v>17094</v>
      </c>
      <c r="C5760" t="s">
        <v>17095</v>
      </c>
    </row>
    <row r="5761" spans="1:3" x14ac:dyDescent="0.35">
      <c r="A5761" t="s">
        <v>17096</v>
      </c>
      <c r="B5761" t="s">
        <v>17097</v>
      </c>
      <c r="C5761" t="s">
        <v>17098</v>
      </c>
    </row>
    <row r="5762" spans="1:3" x14ac:dyDescent="0.35">
      <c r="A5762" t="s">
        <v>17099</v>
      </c>
      <c r="B5762" t="s">
        <v>17100</v>
      </c>
      <c r="C5762" t="s">
        <v>17101</v>
      </c>
    </row>
    <row r="5763" spans="1:3" x14ac:dyDescent="0.35">
      <c r="A5763" t="s">
        <v>17102</v>
      </c>
      <c r="B5763" t="s">
        <v>17103</v>
      </c>
      <c r="C5763" t="s">
        <v>17104</v>
      </c>
    </row>
    <row r="5764" spans="1:3" x14ac:dyDescent="0.35">
      <c r="A5764" t="s">
        <v>17105</v>
      </c>
      <c r="B5764" t="s">
        <v>17106</v>
      </c>
      <c r="C5764" t="s">
        <v>17107</v>
      </c>
    </row>
    <row r="5765" spans="1:3" x14ac:dyDescent="0.35">
      <c r="A5765" t="s">
        <v>17105</v>
      </c>
      <c r="B5765" t="s">
        <v>17108</v>
      </c>
      <c r="C5765" t="s">
        <v>17109</v>
      </c>
    </row>
    <row r="5766" spans="1:3" x14ac:dyDescent="0.35">
      <c r="A5766" t="s">
        <v>17110</v>
      </c>
      <c r="B5766" t="s">
        <v>17111</v>
      </c>
      <c r="C5766" t="s">
        <v>17112</v>
      </c>
    </row>
    <row r="5767" spans="1:3" x14ac:dyDescent="0.35">
      <c r="A5767" t="s">
        <v>17113</v>
      </c>
      <c r="B5767" t="s">
        <v>17114</v>
      </c>
      <c r="C5767" t="s">
        <v>17115</v>
      </c>
    </row>
    <row r="5768" spans="1:3" x14ac:dyDescent="0.35">
      <c r="A5768" t="s">
        <v>17116</v>
      </c>
      <c r="B5768" t="s">
        <v>17117</v>
      </c>
      <c r="C5768" t="s">
        <v>17118</v>
      </c>
    </row>
    <row r="5769" spans="1:3" x14ac:dyDescent="0.35">
      <c r="A5769" t="s">
        <v>17119</v>
      </c>
      <c r="B5769" t="s">
        <v>17120</v>
      </c>
      <c r="C5769" t="s">
        <v>17121</v>
      </c>
    </row>
    <row r="5770" spans="1:3" x14ac:dyDescent="0.35">
      <c r="A5770" t="s">
        <v>17122</v>
      </c>
      <c r="B5770" t="s">
        <v>17123</v>
      </c>
      <c r="C5770" t="s">
        <v>17124</v>
      </c>
    </row>
    <row r="5771" spans="1:3" x14ac:dyDescent="0.35">
      <c r="A5771" t="s">
        <v>17125</v>
      </c>
      <c r="B5771" t="s">
        <v>17126</v>
      </c>
      <c r="C5771" t="s">
        <v>17127</v>
      </c>
    </row>
    <row r="5772" spans="1:3" x14ac:dyDescent="0.35">
      <c r="A5772" t="s">
        <v>17128</v>
      </c>
      <c r="B5772" t="s">
        <v>17129</v>
      </c>
      <c r="C5772" t="s">
        <v>17130</v>
      </c>
    </row>
    <row r="5773" spans="1:3" x14ac:dyDescent="0.35">
      <c r="A5773" t="s">
        <v>17128</v>
      </c>
      <c r="B5773" t="s">
        <v>17131</v>
      </c>
      <c r="C5773" t="s">
        <v>17132</v>
      </c>
    </row>
    <row r="5774" spans="1:3" x14ac:dyDescent="0.35">
      <c r="A5774" t="s">
        <v>17133</v>
      </c>
      <c r="B5774" t="s">
        <v>17134</v>
      </c>
      <c r="C5774" t="s">
        <v>17135</v>
      </c>
    </row>
    <row r="5775" spans="1:3" x14ac:dyDescent="0.35">
      <c r="A5775" t="s">
        <v>17136</v>
      </c>
      <c r="B5775" t="s">
        <v>17137</v>
      </c>
      <c r="C5775" t="s">
        <v>17138</v>
      </c>
    </row>
    <row r="5776" spans="1:3" x14ac:dyDescent="0.35">
      <c r="A5776" t="s">
        <v>17139</v>
      </c>
      <c r="B5776" t="s">
        <v>17140</v>
      </c>
      <c r="C5776" t="s">
        <v>17141</v>
      </c>
    </row>
    <row r="5777" spans="1:3" x14ac:dyDescent="0.35">
      <c r="A5777" t="s">
        <v>17142</v>
      </c>
      <c r="B5777" t="s">
        <v>17143</v>
      </c>
      <c r="C5777" t="s">
        <v>17144</v>
      </c>
    </row>
    <row r="5778" spans="1:3" x14ac:dyDescent="0.35">
      <c r="A5778" t="s">
        <v>17145</v>
      </c>
      <c r="B5778" t="s">
        <v>17146</v>
      </c>
      <c r="C5778" t="s">
        <v>17147</v>
      </c>
    </row>
    <row r="5779" spans="1:3" x14ac:dyDescent="0.35">
      <c r="A5779" t="s">
        <v>17148</v>
      </c>
      <c r="B5779" t="s">
        <v>17149</v>
      </c>
      <c r="C5779" t="s">
        <v>17150</v>
      </c>
    </row>
    <row r="5780" spans="1:3" x14ac:dyDescent="0.35">
      <c r="A5780" t="s">
        <v>17151</v>
      </c>
      <c r="B5780" t="s">
        <v>17152</v>
      </c>
      <c r="C5780" t="s">
        <v>17153</v>
      </c>
    </row>
    <row r="5781" spans="1:3" x14ac:dyDescent="0.35">
      <c r="A5781" t="s">
        <v>17154</v>
      </c>
      <c r="B5781" t="s">
        <v>17155</v>
      </c>
      <c r="C5781" t="s">
        <v>17156</v>
      </c>
    </row>
    <row r="5782" spans="1:3" x14ac:dyDescent="0.35">
      <c r="A5782" t="s">
        <v>17157</v>
      </c>
      <c r="B5782" t="s">
        <v>17158</v>
      </c>
      <c r="C5782" t="s">
        <v>17159</v>
      </c>
    </row>
    <row r="5783" spans="1:3" x14ac:dyDescent="0.35">
      <c r="A5783" t="s">
        <v>17160</v>
      </c>
      <c r="B5783" t="s">
        <v>17161</v>
      </c>
      <c r="C5783" t="s">
        <v>17162</v>
      </c>
    </row>
    <row r="5784" spans="1:3" x14ac:dyDescent="0.35">
      <c r="A5784" t="s">
        <v>17163</v>
      </c>
      <c r="B5784" t="s">
        <v>17164</v>
      </c>
      <c r="C5784" t="s">
        <v>17165</v>
      </c>
    </row>
    <row r="5785" spans="1:3" x14ac:dyDescent="0.35">
      <c r="A5785" t="s">
        <v>17166</v>
      </c>
      <c r="B5785" t="s">
        <v>17167</v>
      </c>
      <c r="C5785" t="s">
        <v>17168</v>
      </c>
    </row>
    <row r="5786" spans="1:3" x14ac:dyDescent="0.35">
      <c r="A5786" t="s">
        <v>17169</v>
      </c>
      <c r="B5786" t="s">
        <v>17170</v>
      </c>
      <c r="C5786" t="s">
        <v>17171</v>
      </c>
    </row>
    <row r="5787" spans="1:3" x14ac:dyDescent="0.35">
      <c r="A5787" t="s">
        <v>17172</v>
      </c>
      <c r="B5787" t="s">
        <v>17173</v>
      </c>
      <c r="C5787" t="s">
        <v>17174</v>
      </c>
    </row>
    <row r="5788" spans="1:3" x14ac:dyDescent="0.35">
      <c r="A5788" t="s">
        <v>17175</v>
      </c>
      <c r="B5788" t="s">
        <v>17176</v>
      </c>
      <c r="C5788" t="s">
        <v>17177</v>
      </c>
    </row>
    <row r="5789" spans="1:3" x14ac:dyDescent="0.35">
      <c r="A5789" t="s">
        <v>17178</v>
      </c>
      <c r="B5789" t="s">
        <v>17179</v>
      </c>
      <c r="C5789" t="s">
        <v>17180</v>
      </c>
    </row>
    <row r="5790" spans="1:3" x14ac:dyDescent="0.35">
      <c r="A5790" t="s">
        <v>17181</v>
      </c>
      <c r="B5790" t="s">
        <v>17182</v>
      </c>
      <c r="C5790" t="s">
        <v>17183</v>
      </c>
    </row>
    <row r="5791" spans="1:3" x14ac:dyDescent="0.35">
      <c r="A5791" t="s">
        <v>17184</v>
      </c>
      <c r="B5791" t="s">
        <v>17185</v>
      </c>
      <c r="C5791" t="s">
        <v>17186</v>
      </c>
    </row>
    <row r="5792" spans="1:3" x14ac:dyDescent="0.35">
      <c r="A5792" t="s">
        <v>17187</v>
      </c>
      <c r="B5792" t="s">
        <v>17188</v>
      </c>
      <c r="C5792" t="s">
        <v>17189</v>
      </c>
    </row>
    <row r="5793" spans="1:3" x14ac:dyDescent="0.35">
      <c r="A5793" t="s">
        <v>17190</v>
      </c>
      <c r="B5793" t="s">
        <v>17191</v>
      </c>
      <c r="C5793" t="s">
        <v>17192</v>
      </c>
    </row>
    <row r="5794" spans="1:3" x14ac:dyDescent="0.35">
      <c r="A5794" t="s">
        <v>17193</v>
      </c>
      <c r="B5794" t="s">
        <v>17194</v>
      </c>
      <c r="C5794" t="s">
        <v>17195</v>
      </c>
    </row>
    <row r="5795" spans="1:3" x14ac:dyDescent="0.35">
      <c r="A5795" t="s">
        <v>17196</v>
      </c>
      <c r="B5795" t="s">
        <v>17197</v>
      </c>
      <c r="C5795" t="s">
        <v>17198</v>
      </c>
    </row>
    <row r="5796" spans="1:3" x14ac:dyDescent="0.35">
      <c r="A5796" t="s">
        <v>17199</v>
      </c>
      <c r="B5796" t="s">
        <v>17200</v>
      </c>
      <c r="C5796" t="s">
        <v>17201</v>
      </c>
    </row>
    <row r="5797" spans="1:3" x14ac:dyDescent="0.35">
      <c r="A5797" t="s">
        <v>17199</v>
      </c>
      <c r="B5797" t="s">
        <v>17202</v>
      </c>
      <c r="C5797" t="s">
        <v>17203</v>
      </c>
    </row>
    <row r="5798" spans="1:3" x14ac:dyDescent="0.35">
      <c r="A5798" t="s">
        <v>17204</v>
      </c>
      <c r="B5798" t="s">
        <v>17205</v>
      </c>
      <c r="C5798" t="s">
        <v>17206</v>
      </c>
    </row>
    <row r="5799" spans="1:3" x14ac:dyDescent="0.35">
      <c r="A5799" t="s">
        <v>17207</v>
      </c>
      <c r="B5799" t="s">
        <v>17208</v>
      </c>
      <c r="C5799" t="s">
        <v>17209</v>
      </c>
    </row>
    <row r="5800" spans="1:3" x14ac:dyDescent="0.35">
      <c r="A5800" t="s">
        <v>17210</v>
      </c>
      <c r="B5800" t="s">
        <v>17211</v>
      </c>
      <c r="C5800" t="s">
        <v>17212</v>
      </c>
    </row>
    <row r="5801" spans="1:3" x14ac:dyDescent="0.35">
      <c r="A5801" t="s">
        <v>17213</v>
      </c>
      <c r="B5801" t="s">
        <v>17214</v>
      </c>
      <c r="C5801" t="s">
        <v>17215</v>
      </c>
    </row>
    <row r="5802" spans="1:3" x14ac:dyDescent="0.35">
      <c r="A5802" t="s">
        <v>17216</v>
      </c>
      <c r="B5802" t="s">
        <v>17217</v>
      </c>
      <c r="C5802" t="s">
        <v>17218</v>
      </c>
    </row>
    <row r="5803" spans="1:3" x14ac:dyDescent="0.35">
      <c r="A5803" t="s">
        <v>17219</v>
      </c>
      <c r="B5803" t="s">
        <v>17220</v>
      </c>
      <c r="C5803" t="s">
        <v>17221</v>
      </c>
    </row>
    <row r="5804" spans="1:3" x14ac:dyDescent="0.35">
      <c r="A5804" t="s">
        <v>17222</v>
      </c>
      <c r="B5804" t="s">
        <v>17223</v>
      </c>
      <c r="C5804" t="s">
        <v>17224</v>
      </c>
    </row>
    <row r="5805" spans="1:3" x14ac:dyDescent="0.35">
      <c r="A5805" t="s">
        <v>17225</v>
      </c>
      <c r="B5805" t="s">
        <v>17226</v>
      </c>
      <c r="C5805" t="s">
        <v>17227</v>
      </c>
    </row>
    <row r="5806" spans="1:3" x14ac:dyDescent="0.35">
      <c r="A5806" t="s">
        <v>17228</v>
      </c>
      <c r="B5806" t="s">
        <v>17229</v>
      </c>
      <c r="C5806" t="s">
        <v>17230</v>
      </c>
    </row>
    <row r="5807" spans="1:3" x14ac:dyDescent="0.35">
      <c r="A5807" t="s">
        <v>17231</v>
      </c>
      <c r="B5807" t="s">
        <v>17232</v>
      </c>
      <c r="C5807" t="s">
        <v>17233</v>
      </c>
    </row>
    <row r="5808" spans="1:3" x14ac:dyDescent="0.35">
      <c r="A5808" t="s">
        <v>17234</v>
      </c>
      <c r="B5808" t="s">
        <v>17235</v>
      </c>
      <c r="C5808" t="s">
        <v>17236</v>
      </c>
    </row>
    <row r="5809" spans="1:3" x14ac:dyDescent="0.35">
      <c r="A5809" t="s">
        <v>17237</v>
      </c>
      <c r="B5809" t="s">
        <v>17238</v>
      </c>
      <c r="C5809" t="s">
        <v>17239</v>
      </c>
    </row>
    <row r="5810" spans="1:3" x14ac:dyDescent="0.35">
      <c r="A5810" t="s">
        <v>17240</v>
      </c>
      <c r="B5810" t="s">
        <v>17241</v>
      </c>
      <c r="C5810" t="s">
        <v>17242</v>
      </c>
    </row>
    <row r="5811" spans="1:3" x14ac:dyDescent="0.35">
      <c r="A5811" t="s">
        <v>17243</v>
      </c>
      <c r="B5811" t="s">
        <v>17244</v>
      </c>
      <c r="C5811" t="s">
        <v>17245</v>
      </c>
    </row>
    <row r="5812" spans="1:3" x14ac:dyDescent="0.35">
      <c r="A5812" t="s">
        <v>17246</v>
      </c>
      <c r="B5812" t="s">
        <v>17247</v>
      </c>
      <c r="C5812" t="s">
        <v>17248</v>
      </c>
    </row>
    <row r="5813" spans="1:3" x14ac:dyDescent="0.35">
      <c r="A5813" t="s">
        <v>17249</v>
      </c>
      <c r="B5813" t="s">
        <v>17250</v>
      </c>
      <c r="C5813" t="s">
        <v>17251</v>
      </c>
    </row>
    <row r="5814" spans="1:3" x14ac:dyDescent="0.35">
      <c r="A5814" t="s">
        <v>17252</v>
      </c>
      <c r="B5814" t="s">
        <v>17253</v>
      </c>
      <c r="C5814" t="s">
        <v>17254</v>
      </c>
    </row>
    <row r="5815" spans="1:3" x14ac:dyDescent="0.35">
      <c r="A5815" t="s">
        <v>17255</v>
      </c>
      <c r="B5815" t="s">
        <v>17256</v>
      </c>
      <c r="C5815" t="s">
        <v>17257</v>
      </c>
    </row>
    <row r="5816" spans="1:3" x14ac:dyDescent="0.35">
      <c r="A5816" t="s">
        <v>17255</v>
      </c>
      <c r="B5816" t="s">
        <v>17258</v>
      </c>
      <c r="C5816" t="s">
        <v>17259</v>
      </c>
    </row>
    <row r="5817" spans="1:3" x14ac:dyDescent="0.35">
      <c r="A5817" t="s">
        <v>17260</v>
      </c>
      <c r="B5817" t="s">
        <v>17261</v>
      </c>
      <c r="C5817" t="s">
        <v>17262</v>
      </c>
    </row>
    <row r="5818" spans="1:3" x14ac:dyDescent="0.35">
      <c r="A5818" t="s">
        <v>17263</v>
      </c>
      <c r="B5818" t="s">
        <v>17264</v>
      </c>
      <c r="C5818" t="s">
        <v>17265</v>
      </c>
    </row>
    <row r="5819" spans="1:3" x14ac:dyDescent="0.35">
      <c r="A5819" t="s">
        <v>17266</v>
      </c>
      <c r="B5819" t="s">
        <v>17267</v>
      </c>
      <c r="C5819" t="s">
        <v>17268</v>
      </c>
    </row>
    <row r="5820" spans="1:3" x14ac:dyDescent="0.35">
      <c r="A5820" t="s">
        <v>17269</v>
      </c>
      <c r="B5820" t="s">
        <v>17270</v>
      </c>
      <c r="C5820" t="s">
        <v>17271</v>
      </c>
    </row>
    <row r="5821" spans="1:3" x14ac:dyDescent="0.35">
      <c r="A5821" t="s">
        <v>17272</v>
      </c>
      <c r="B5821" t="s">
        <v>17273</v>
      </c>
      <c r="C5821" t="s">
        <v>17274</v>
      </c>
    </row>
    <row r="5822" spans="1:3" x14ac:dyDescent="0.35">
      <c r="A5822" t="s">
        <v>17275</v>
      </c>
      <c r="B5822" t="s">
        <v>17276</v>
      </c>
      <c r="C5822" t="s">
        <v>17277</v>
      </c>
    </row>
    <row r="5823" spans="1:3" x14ac:dyDescent="0.35">
      <c r="A5823" t="s">
        <v>17278</v>
      </c>
      <c r="B5823" t="s">
        <v>17279</v>
      </c>
      <c r="C5823" t="s">
        <v>17280</v>
      </c>
    </row>
    <row r="5824" spans="1:3" x14ac:dyDescent="0.35">
      <c r="A5824" t="s">
        <v>17281</v>
      </c>
      <c r="B5824" t="s">
        <v>17282</v>
      </c>
      <c r="C5824" t="s">
        <v>17283</v>
      </c>
    </row>
    <row r="5825" spans="1:3" x14ac:dyDescent="0.35">
      <c r="A5825" t="s">
        <v>17284</v>
      </c>
      <c r="B5825" t="s">
        <v>17285</v>
      </c>
      <c r="C5825" t="s">
        <v>17286</v>
      </c>
    </row>
    <row r="5826" spans="1:3" x14ac:dyDescent="0.35">
      <c r="A5826" t="s">
        <v>17287</v>
      </c>
      <c r="B5826" t="s">
        <v>17288</v>
      </c>
      <c r="C5826" t="s">
        <v>17289</v>
      </c>
    </row>
    <row r="5827" spans="1:3" x14ac:dyDescent="0.35">
      <c r="A5827" t="s">
        <v>17290</v>
      </c>
      <c r="B5827" t="s">
        <v>17291</v>
      </c>
      <c r="C5827" t="s">
        <v>17292</v>
      </c>
    </row>
    <row r="5828" spans="1:3" x14ac:dyDescent="0.35">
      <c r="A5828" t="s">
        <v>17293</v>
      </c>
      <c r="B5828" t="s">
        <v>17294</v>
      </c>
      <c r="C5828" t="s">
        <v>17295</v>
      </c>
    </row>
    <row r="5829" spans="1:3" x14ac:dyDescent="0.35">
      <c r="A5829" t="s">
        <v>17296</v>
      </c>
      <c r="B5829" t="s">
        <v>17297</v>
      </c>
      <c r="C5829" t="s">
        <v>17298</v>
      </c>
    </row>
    <row r="5830" spans="1:3" x14ac:dyDescent="0.35">
      <c r="A5830" t="s">
        <v>17299</v>
      </c>
      <c r="B5830" t="s">
        <v>17300</v>
      </c>
      <c r="C5830" t="s">
        <v>17301</v>
      </c>
    </row>
    <row r="5831" spans="1:3" x14ac:dyDescent="0.35">
      <c r="A5831" t="s">
        <v>17302</v>
      </c>
      <c r="B5831" t="s">
        <v>17303</v>
      </c>
      <c r="C5831" t="s">
        <v>17304</v>
      </c>
    </row>
    <row r="5832" spans="1:3" x14ac:dyDescent="0.35">
      <c r="A5832" t="s">
        <v>127</v>
      </c>
      <c r="B5832" t="s">
        <v>17305</v>
      </c>
      <c r="C5832" t="s">
        <v>17306</v>
      </c>
    </row>
    <row r="5833" spans="1:3" x14ac:dyDescent="0.35">
      <c r="A5833" t="s">
        <v>17307</v>
      </c>
      <c r="B5833" t="s">
        <v>17308</v>
      </c>
      <c r="C5833" t="s">
        <v>17309</v>
      </c>
    </row>
    <row r="5834" spans="1:3" x14ac:dyDescent="0.35">
      <c r="A5834" t="s">
        <v>17310</v>
      </c>
      <c r="B5834" t="s">
        <v>17311</v>
      </c>
      <c r="C5834" t="s">
        <v>17312</v>
      </c>
    </row>
    <row r="5835" spans="1:3" x14ac:dyDescent="0.35">
      <c r="A5835" t="s">
        <v>17313</v>
      </c>
      <c r="B5835" t="s">
        <v>17314</v>
      </c>
      <c r="C5835" t="s">
        <v>17315</v>
      </c>
    </row>
    <row r="5836" spans="1:3" x14ac:dyDescent="0.35">
      <c r="A5836" t="s">
        <v>17316</v>
      </c>
      <c r="B5836" t="s">
        <v>17317</v>
      </c>
      <c r="C5836" t="s">
        <v>17318</v>
      </c>
    </row>
    <row r="5837" spans="1:3" x14ac:dyDescent="0.35">
      <c r="A5837" t="s">
        <v>17319</v>
      </c>
      <c r="B5837" t="s">
        <v>17320</v>
      </c>
      <c r="C5837" t="s">
        <v>17321</v>
      </c>
    </row>
    <row r="5838" spans="1:3" x14ac:dyDescent="0.35">
      <c r="A5838" t="s">
        <v>17322</v>
      </c>
      <c r="B5838" t="s">
        <v>17323</v>
      </c>
      <c r="C5838" t="s">
        <v>17324</v>
      </c>
    </row>
    <row r="5839" spans="1:3" x14ac:dyDescent="0.35">
      <c r="A5839" t="s">
        <v>17325</v>
      </c>
      <c r="B5839" t="s">
        <v>17326</v>
      </c>
      <c r="C5839" t="s">
        <v>17327</v>
      </c>
    </row>
    <row r="5840" spans="1:3" x14ac:dyDescent="0.35">
      <c r="A5840" t="s">
        <v>17328</v>
      </c>
      <c r="B5840" t="s">
        <v>17329</v>
      </c>
      <c r="C5840" t="s">
        <v>17330</v>
      </c>
    </row>
    <row r="5841" spans="1:3" x14ac:dyDescent="0.35">
      <c r="A5841" t="s">
        <v>128</v>
      </c>
      <c r="B5841" t="s">
        <v>17331</v>
      </c>
      <c r="C5841" t="s">
        <v>17332</v>
      </c>
    </row>
    <row r="5842" spans="1:3" x14ac:dyDescent="0.35">
      <c r="A5842" t="s">
        <v>17333</v>
      </c>
      <c r="B5842" t="s">
        <v>17334</v>
      </c>
      <c r="C5842" t="s">
        <v>17335</v>
      </c>
    </row>
    <row r="5843" spans="1:3" x14ac:dyDescent="0.35">
      <c r="A5843" t="s">
        <v>17336</v>
      </c>
      <c r="B5843" t="s">
        <v>17337</v>
      </c>
      <c r="C5843" t="s">
        <v>17338</v>
      </c>
    </row>
    <row r="5844" spans="1:3" x14ac:dyDescent="0.35">
      <c r="A5844" t="s">
        <v>17336</v>
      </c>
      <c r="B5844" t="s">
        <v>17339</v>
      </c>
      <c r="C5844" t="s">
        <v>17340</v>
      </c>
    </row>
    <row r="5845" spans="1:3" x14ac:dyDescent="0.35">
      <c r="A5845" t="s">
        <v>17341</v>
      </c>
      <c r="B5845" t="s">
        <v>17342</v>
      </c>
      <c r="C5845" t="s">
        <v>17343</v>
      </c>
    </row>
    <row r="5846" spans="1:3" x14ac:dyDescent="0.35">
      <c r="A5846" t="s">
        <v>17344</v>
      </c>
      <c r="B5846" t="s">
        <v>17345</v>
      </c>
      <c r="C5846" t="s">
        <v>17346</v>
      </c>
    </row>
    <row r="5847" spans="1:3" x14ac:dyDescent="0.35">
      <c r="A5847" t="s">
        <v>17347</v>
      </c>
      <c r="B5847" t="s">
        <v>17348</v>
      </c>
      <c r="C5847" t="s">
        <v>17349</v>
      </c>
    </row>
    <row r="5848" spans="1:3" x14ac:dyDescent="0.35">
      <c r="A5848" t="s">
        <v>17350</v>
      </c>
      <c r="B5848" t="s">
        <v>17351</v>
      </c>
      <c r="C5848" t="s">
        <v>17352</v>
      </c>
    </row>
    <row r="5849" spans="1:3" x14ac:dyDescent="0.35">
      <c r="A5849" t="s">
        <v>17353</v>
      </c>
      <c r="B5849" t="s">
        <v>17354</v>
      </c>
      <c r="C5849" t="s">
        <v>17355</v>
      </c>
    </row>
    <row r="5850" spans="1:3" x14ac:dyDescent="0.35">
      <c r="A5850" t="s">
        <v>17356</v>
      </c>
      <c r="B5850" t="s">
        <v>17357</v>
      </c>
      <c r="C5850" t="s">
        <v>17358</v>
      </c>
    </row>
    <row r="5851" spans="1:3" x14ac:dyDescent="0.35">
      <c r="A5851" t="s">
        <v>17359</v>
      </c>
      <c r="B5851" t="s">
        <v>17360</v>
      </c>
      <c r="C5851" t="s">
        <v>17361</v>
      </c>
    </row>
    <row r="5852" spans="1:3" x14ac:dyDescent="0.35">
      <c r="A5852" t="s">
        <v>17362</v>
      </c>
      <c r="B5852" t="s">
        <v>17363</v>
      </c>
      <c r="C5852" t="s">
        <v>17364</v>
      </c>
    </row>
    <row r="5853" spans="1:3" x14ac:dyDescent="0.35">
      <c r="A5853" t="s">
        <v>17365</v>
      </c>
      <c r="B5853" t="s">
        <v>17366</v>
      </c>
      <c r="C5853" t="s">
        <v>17367</v>
      </c>
    </row>
    <row r="5854" spans="1:3" x14ac:dyDescent="0.35">
      <c r="A5854" t="s">
        <v>17368</v>
      </c>
      <c r="B5854" t="s">
        <v>17369</v>
      </c>
      <c r="C5854" t="s">
        <v>17370</v>
      </c>
    </row>
    <row r="5855" spans="1:3" x14ac:dyDescent="0.35">
      <c r="A5855" t="s">
        <v>17371</v>
      </c>
      <c r="B5855" t="s">
        <v>17372</v>
      </c>
      <c r="C5855" t="s">
        <v>17373</v>
      </c>
    </row>
    <row r="5856" spans="1:3" x14ac:dyDescent="0.35">
      <c r="A5856" t="s">
        <v>17374</v>
      </c>
      <c r="B5856" t="s">
        <v>17375</v>
      </c>
      <c r="C5856" t="s">
        <v>17376</v>
      </c>
    </row>
    <row r="5857" spans="1:3" x14ac:dyDescent="0.35">
      <c r="A5857" t="s">
        <v>17377</v>
      </c>
      <c r="B5857" t="s">
        <v>17378</v>
      </c>
      <c r="C5857" t="s">
        <v>17379</v>
      </c>
    </row>
    <row r="5858" spans="1:3" x14ac:dyDescent="0.35">
      <c r="A5858" t="s">
        <v>17380</v>
      </c>
      <c r="B5858" t="s">
        <v>17381</v>
      </c>
      <c r="C5858" t="s">
        <v>17382</v>
      </c>
    </row>
    <row r="5859" spans="1:3" x14ac:dyDescent="0.35">
      <c r="A5859" t="s">
        <v>17383</v>
      </c>
      <c r="B5859" t="s">
        <v>17384</v>
      </c>
      <c r="C5859" t="s">
        <v>17385</v>
      </c>
    </row>
    <row r="5860" spans="1:3" x14ac:dyDescent="0.35">
      <c r="A5860" t="s">
        <v>17386</v>
      </c>
      <c r="B5860" t="s">
        <v>17387</v>
      </c>
      <c r="C5860" t="s">
        <v>17388</v>
      </c>
    </row>
    <row r="5861" spans="1:3" x14ac:dyDescent="0.35">
      <c r="A5861" t="s">
        <v>17389</v>
      </c>
      <c r="B5861" t="s">
        <v>17390</v>
      </c>
      <c r="C5861" t="s">
        <v>17391</v>
      </c>
    </row>
    <row r="5862" spans="1:3" x14ac:dyDescent="0.35">
      <c r="A5862" t="s">
        <v>17392</v>
      </c>
      <c r="B5862" t="s">
        <v>17393</v>
      </c>
      <c r="C5862" t="s">
        <v>17394</v>
      </c>
    </row>
    <row r="5863" spans="1:3" x14ac:dyDescent="0.35">
      <c r="A5863" t="s">
        <v>17395</v>
      </c>
      <c r="B5863" t="s">
        <v>17396</v>
      </c>
      <c r="C5863" t="s">
        <v>17397</v>
      </c>
    </row>
    <row r="5864" spans="1:3" x14ac:dyDescent="0.35">
      <c r="A5864" t="s">
        <v>17398</v>
      </c>
      <c r="B5864" t="s">
        <v>17399</v>
      </c>
      <c r="C5864" t="s">
        <v>17400</v>
      </c>
    </row>
    <row r="5865" spans="1:3" x14ac:dyDescent="0.35">
      <c r="A5865" t="s">
        <v>17401</v>
      </c>
      <c r="B5865" t="s">
        <v>17402</v>
      </c>
      <c r="C5865" t="s">
        <v>17403</v>
      </c>
    </row>
    <row r="5866" spans="1:3" x14ac:dyDescent="0.35">
      <c r="A5866" t="s">
        <v>17404</v>
      </c>
      <c r="B5866" t="s">
        <v>17405</v>
      </c>
      <c r="C5866" t="s">
        <v>17406</v>
      </c>
    </row>
    <row r="5867" spans="1:3" x14ac:dyDescent="0.35">
      <c r="A5867" t="s">
        <v>17407</v>
      </c>
      <c r="B5867" t="s">
        <v>17408</v>
      </c>
      <c r="C5867" t="s">
        <v>17409</v>
      </c>
    </row>
    <row r="5868" spans="1:3" x14ac:dyDescent="0.35">
      <c r="A5868" t="s">
        <v>17410</v>
      </c>
      <c r="B5868" t="s">
        <v>17411</v>
      </c>
      <c r="C5868" t="s">
        <v>17412</v>
      </c>
    </row>
    <row r="5869" spans="1:3" x14ac:dyDescent="0.35">
      <c r="A5869" t="s">
        <v>17413</v>
      </c>
      <c r="B5869" t="s">
        <v>17414</v>
      </c>
      <c r="C5869" t="s">
        <v>17415</v>
      </c>
    </row>
    <row r="5870" spans="1:3" x14ac:dyDescent="0.35">
      <c r="A5870" t="s">
        <v>17416</v>
      </c>
      <c r="B5870" t="s">
        <v>17417</v>
      </c>
      <c r="C5870" t="s">
        <v>17418</v>
      </c>
    </row>
    <row r="5871" spans="1:3" x14ac:dyDescent="0.35">
      <c r="A5871" t="s">
        <v>17419</v>
      </c>
      <c r="B5871" t="s">
        <v>17420</v>
      </c>
      <c r="C5871" t="s">
        <v>17421</v>
      </c>
    </row>
    <row r="5872" spans="1:3" x14ac:dyDescent="0.35">
      <c r="A5872" t="s">
        <v>17422</v>
      </c>
      <c r="B5872" t="s">
        <v>17423</v>
      </c>
      <c r="C5872" t="s">
        <v>17424</v>
      </c>
    </row>
    <row r="5873" spans="1:3" x14ac:dyDescent="0.35">
      <c r="A5873" t="s">
        <v>17425</v>
      </c>
      <c r="B5873" t="s">
        <v>17426</v>
      </c>
      <c r="C5873" t="s">
        <v>17427</v>
      </c>
    </row>
    <row r="5874" spans="1:3" x14ac:dyDescent="0.35">
      <c r="A5874" t="s">
        <v>17428</v>
      </c>
      <c r="B5874" t="s">
        <v>17429</v>
      </c>
      <c r="C5874" t="s">
        <v>17430</v>
      </c>
    </row>
    <row r="5875" spans="1:3" x14ac:dyDescent="0.35">
      <c r="A5875" t="s">
        <v>17431</v>
      </c>
      <c r="B5875" t="s">
        <v>17432</v>
      </c>
      <c r="C5875" t="s">
        <v>17433</v>
      </c>
    </row>
    <row r="5876" spans="1:3" x14ac:dyDescent="0.35">
      <c r="A5876" t="s">
        <v>17431</v>
      </c>
      <c r="B5876" t="s">
        <v>17434</v>
      </c>
      <c r="C5876" t="s">
        <v>17435</v>
      </c>
    </row>
    <row r="5877" spans="1:3" x14ac:dyDescent="0.35">
      <c r="A5877" t="s">
        <v>17436</v>
      </c>
      <c r="B5877" t="s">
        <v>17437</v>
      </c>
      <c r="C5877" t="s">
        <v>17438</v>
      </c>
    </row>
    <row r="5878" spans="1:3" x14ac:dyDescent="0.35">
      <c r="A5878" t="s">
        <v>17439</v>
      </c>
      <c r="B5878" t="s">
        <v>17440</v>
      </c>
      <c r="C5878" t="s">
        <v>17441</v>
      </c>
    </row>
    <row r="5879" spans="1:3" x14ac:dyDescent="0.35">
      <c r="A5879" t="s">
        <v>17442</v>
      </c>
      <c r="B5879" t="s">
        <v>17443</v>
      </c>
      <c r="C5879" t="s">
        <v>17444</v>
      </c>
    </row>
    <row r="5880" spans="1:3" x14ac:dyDescent="0.35">
      <c r="A5880" t="s">
        <v>17445</v>
      </c>
      <c r="B5880" t="s">
        <v>17446</v>
      </c>
      <c r="C5880" t="s">
        <v>17447</v>
      </c>
    </row>
    <row r="5881" spans="1:3" x14ac:dyDescent="0.35">
      <c r="A5881" t="s">
        <v>17448</v>
      </c>
      <c r="B5881" t="s">
        <v>17449</v>
      </c>
      <c r="C5881" t="s">
        <v>17450</v>
      </c>
    </row>
    <row r="5882" spans="1:3" x14ac:dyDescent="0.35">
      <c r="A5882" t="s">
        <v>17451</v>
      </c>
      <c r="B5882" t="s">
        <v>17452</v>
      </c>
      <c r="C5882" t="s">
        <v>17453</v>
      </c>
    </row>
    <row r="5883" spans="1:3" x14ac:dyDescent="0.35">
      <c r="A5883" t="s">
        <v>17454</v>
      </c>
      <c r="B5883" t="s">
        <v>17455</v>
      </c>
      <c r="C5883" t="s">
        <v>17456</v>
      </c>
    </row>
    <row r="5884" spans="1:3" x14ac:dyDescent="0.35">
      <c r="A5884" t="s">
        <v>17457</v>
      </c>
      <c r="B5884" t="s">
        <v>17458</v>
      </c>
      <c r="C5884" t="s">
        <v>17459</v>
      </c>
    </row>
    <row r="5885" spans="1:3" x14ac:dyDescent="0.35">
      <c r="A5885" t="s">
        <v>17460</v>
      </c>
      <c r="B5885" t="s">
        <v>17461</v>
      </c>
      <c r="C5885" t="s">
        <v>17462</v>
      </c>
    </row>
    <row r="5886" spans="1:3" x14ac:dyDescent="0.35">
      <c r="A5886" t="s">
        <v>17463</v>
      </c>
      <c r="B5886" t="s">
        <v>17464</v>
      </c>
      <c r="C5886" t="s">
        <v>17465</v>
      </c>
    </row>
    <row r="5887" spans="1:3" x14ac:dyDescent="0.35">
      <c r="A5887" t="s">
        <v>17466</v>
      </c>
      <c r="B5887" t="s">
        <v>17467</v>
      </c>
      <c r="C5887" t="s">
        <v>17468</v>
      </c>
    </row>
    <row r="5888" spans="1:3" x14ac:dyDescent="0.35">
      <c r="A5888" t="s">
        <v>17466</v>
      </c>
      <c r="B5888" t="s">
        <v>17469</v>
      </c>
      <c r="C5888" t="s">
        <v>17470</v>
      </c>
    </row>
    <row r="5889" spans="1:3" x14ac:dyDescent="0.35">
      <c r="A5889" t="s">
        <v>17471</v>
      </c>
      <c r="B5889" t="s">
        <v>17472</v>
      </c>
      <c r="C5889" t="s">
        <v>5902</v>
      </c>
    </row>
    <row r="5890" spans="1:3" x14ac:dyDescent="0.35">
      <c r="A5890" t="s">
        <v>17473</v>
      </c>
      <c r="B5890" t="s">
        <v>17474</v>
      </c>
      <c r="C5890" t="s">
        <v>17475</v>
      </c>
    </row>
    <row r="5891" spans="1:3" x14ac:dyDescent="0.35">
      <c r="A5891" t="s">
        <v>17476</v>
      </c>
      <c r="B5891" t="s">
        <v>3140</v>
      </c>
      <c r="C5891" t="s">
        <v>17477</v>
      </c>
    </row>
    <row r="5892" spans="1:3" x14ac:dyDescent="0.35">
      <c r="A5892" t="s">
        <v>17478</v>
      </c>
      <c r="B5892" t="s">
        <v>17479</v>
      </c>
      <c r="C5892" t="s">
        <v>17480</v>
      </c>
    </row>
    <row r="5893" spans="1:3" x14ac:dyDescent="0.35">
      <c r="A5893" t="s">
        <v>17481</v>
      </c>
      <c r="B5893" t="s">
        <v>17482</v>
      </c>
      <c r="C5893" t="s">
        <v>17483</v>
      </c>
    </row>
    <row r="5894" spans="1:3" x14ac:dyDescent="0.35">
      <c r="A5894" t="s">
        <v>17484</v>
      </c>
      <c r="B5894" t="s">
        <v>17485</v>
      </c>
      <c r="C5894" t="s">
        <v>17486</v>
      </c>
    </row>
    <row r="5895" spans="1:3" x14ac:dyDescent="0.35">
      <c r="A5895" t="s">
        <v>17487</v>
      </c>
      <c r="B5895" t="s">
        <v>17488</v>
      </c>
      <c r="C5895" t="s">
        <v>17489</v>
      </c>
    </row>
    <row r="5896" spans="1:3" x14ac:dyDescent="0.35">
      <c r="A5896" t="s">
        <v>17487</v>
      </c>
      <c r="B5896" t="s">
        <v>17490</v>
      </c>
      <c r="C5896" t="s">
        <v>17491</v>
      </c>
    </row>
    <row r="5897" spans="1:3" x14ac:dyDescent="0.35">
      <c r="A5897" t="s">
        <v>17492</v>
      </c>
      <c r="B5897" t="s">
        <v>17493</v>
      </c>
      <c r="C5897" t="s">
        <v>17494</v>
      </c>
    </row>
    <row r="5898" spans="1:3" x14ac:dyDescent="0.35">
      <c r="A5898" t="s">
        <v>17495</v>
      </c>
      <c r="B5898" t="s">
        <v>17496</v>
      </c>
      <c r="C5898" t="s">
        <v>17497</v>
      </c>
    </row>
    <row r="5899" spans="1:3" x14ac:dyDescent="0.35">
      <c r="A5899" t="s">
        <v>17498</v>
      </c>
      <c r="B5899" t="s">
        <v>17499</v>
      </c>
      <c r="C5899" t="s">
        <v>17500</v>
      </c>
    </row>
    <row r="5900" spans="1:3" x14ac:dyDescent="0.35">
      <c r="A5900" t="s">
        <v>17501</v>
      </c>
      <c r="B5900" t="s">
        <v>17502</v>
      </c>
      <c r="C5900" t="s">
        <v>17503</v>
      </c>
    </row>
    <row r="5901" spans="1:3" x14ac:dyDescent="0.35">
      <c r="A5901" t="s">
        <v>17504</v>
      </c>
      <c r="B5901" t="s">
        <v>17505</v>
      </c>
      <c r="C5901" t="s">
        <v>17506</v>
      </c>
    </row>
    <row r="5902" spans="1:3" x14ac:dyDescent="0.35">
      <c r="A5902" t="s">
        <v>17504</v>
      </c>
      <c r="B5902" t="s">
        <v>17507</v>
      </c>
      <c r="C5902" t="s">
        <v>17508</v>
      </c>
    </row>
    <row r="5903" spans="1:3" x14ac:dyDescent="0.35">
      <c r="A5903" t="s">
        <v>17509</v>
      </c>
      <c r="B5903" t="s">
        <v>17510</v>
      </c>
      <c r="C5903" t="s">
        <v>17511</v>
      </c>
    </row>
    <row r="5904" spans="1:3" x14ac:dyDescent="0.35">
      <c r="A5904" t="s">
        <v>17512</v>
      </c>
      <c r="B5904" t="s">
        <v>17513</v>
      </c>
      <c r="C5904" t="s">
        <v>17514</v>
      </c>
    </row>
    <row r="5905" spans="1:3" x14ac:dyDescent="0.35">
      <c r="A5905" t="s">
        <v>17515</v>
      </c>
      <c r="B5905" t="s">
        <v>17516</v>
      </c>
      <c r="C5905" t="s">
        <v>17517</v>
      </c>
    </row>
    <row r="5906" spans="1:3" x14ac:dyDescent="0.35">
      <c r="A5906" t="s">
        <v>17518</v>
      </c>
      <c r="B5906" t="s">
        <v>17519</v>
      </c>
      <c r="C5906" t="s">
        <v>17520</v>
      </c>
    </row>
    <row r="5907" spans="1:3" x14ac:dyDescent="0.35">
      <c r="A5907" t="s">
        <v>17521</v>
      </c>
      <c r="B5907" t="s">
        <v>17522</v>
      </c>
      <c r="C5907" t="s">
        <v>17523</v>
      </c>
    </row>
    <row r="5908" spans="1:3" x14ac:dyDescent="0.35">
      <c r="A5908" t="s">
        <v>17524</v>
      </c>
      <c r="B5908" t="s">
        <v>17525</v>
      </c>
      <c r="C5908" t="s">
        <v>17526</v>
      </c>
    </row>
    <row r="5909" spans="1:3" x14ac:dyDescent="0.35">
      <c r="A5909" t="s">
        <v>17527</v>
      </c>
      <c r="B5909" t="s">
        <v>17528</v>
      </c>
      <c r="C5909" t="s">
        <v>17529</v>
      </c>
    </row>
    <row r="5910" spans="1:3" x14ac:dyDescent="0.35">
      <c r="A5910" t="s">
        <v>17530</v>
      </c>
      <c r="B5910" t="s">
        <v>17531</v>
      </c>
      <c r="C5910" t="s">
        <v>17532</v>
      </c>
    </row>
    <row r="5911" spans="1:3" x14ac:dyDescent="0.35">
      <c r="A5911" t="s">
        <v>17533</v>
      </c>
      <c r="B5911" t="s">
        <v>17534</v>
      </c>
      <c r="C5911" t="s">
        <v>17535</v>
      </c>
    </row>
    <row r="5912" spans="1:3" x14ac:dyDescent="0.35">
      <c r="A5912" t="s">
        <v>17536</v>
      </c>
      <c r="B5912" t="s">
        <v>17537</v>
      </c>
      <c r="C5912" t="s">
        <v>17538</v>
      </c>
    </row>
    <row r="5913" spans="1:3" x14ac:dyDescent="0.35">
      <c r="A5913" t="s">
        <v>17539</v>
      </c>
      <c r="B5913" t="s">
        <v>17540</v>
      </c>
      <c r="C5913" t="s">
        <v>17541</v>
      </c>
    </row>
    <row r="5914" spans="1:3" x14ac:dyDescent="0.35">
      <c r="A5914" t="s">
        <v>17542</v>
      </c>
      <c r="B5914" t="s">
        <v>17543</v>
      </c>
      <c r="C5914" t="s">
        <v>17544</v>
      </c>
    </row>
    <row r="5915" spans="1:3" x14ac:dyDescent="0.35">
      <c r="A5915" t="s">
        <v>17545</v>
      </c>
      <c r="B5915" t="s">
        <v>17546</v>
      </c>
      <c r="C5915" t="s">
        <v>17547</v>
      </c>
    </row>
    <row r="5916" spans="1:3" x14ac:dyDescent="0.35">
      <c r="A5916" t="s">
        <v>17548</v>
      </c>
      <c r="B5916" t="s">
        <v>17549</v>
      </c>
      <c r="C5916" t="s">
        <v>14867</v>
      </c>
    </row>
    <row r="5917" spans="1:3" x14ac:dyDescent="0.35">
      <c r="A5917" t="s">
        <v>17550</v>
      </c>
      <c r="B5917" t="s">
        <v>17551</v>
      </c>
      <c r="C5917" t="s">
        <v>17552</v>
      </c>
    </row>
    <row r="5918" spans="1:3" x14ac:dyDescent="0.35">
      <c r="A5918" t="s">
        <v>17553</v>
      </c>
      <c r="B5918" t="s">
        <v>17554</v>
      </c>
      <c r="C5918" t="s">
        <v>17555</v>
      </c>
    </row>
    <row r="5919" spans="1:3" x14ac:dyDescent="0.35">
      <c r="A5919" t="s">
        <v>17556</v>
      </c>
      <c r="B5919" t="s">
        <v>17557</v>
      </c>
      <c r="C5919" t="s">
        <v>17558</v>
      </c>
    </row>
    <row r="5920" spans="1:3" x14ac:dyDescent="0.35">
      <c r="A5920" t="s">
        <v>17559</v>
      </c>
      <c r="B5920" t="s">
        <v>17560</v>
      </c>
      <c r="C5920" t="s">
        <v>17561</v>
      </c>
    </row>
    <row r="5921" spans="1:3" x14ac:dyDescent="0.35">
      <c r="A5921" t="s">
        <v>17559</v>
      </c>
      <c r="B5921" t="s">
        <v>17562</v>
      </c>
      <c r="C5921" t="s">
        <v>17563</v>
      </c>
    </row>
    <row r="5922" spans="1:3" x14ac:dyDescent="0.35">
      <c r="A5922" t="s">
        <v>17564</v>
      </c>
      <c r="B5922" t="s">
        <v>17565</v>
      </c>
      <c r="C5922" t="s">
        <v>17566</v>
      </c>
    </row>
    <row r="5923" spans="1:3" x14ac:dyDescent="0.35">
      <c r="A5923" t="s">
        <v>17567</v>
      </c>
      <c r="B5923" t="s">
        <v>17568</v>
      </c>
      <c r="C5923" t="s">
        <v>17569</v>
      </c>
    </row>
    <row r="5924" spans="1:3" x14ac:dyDescent="0.35">
      <c r="A5924" t="s">
        <v>17570</v>
      </c>
      <c r="B5924" t="s">
        <v>17571</v>
      </c>
      <c r="C5924" t="s">
        <v>17572</v>
      </c>
    </row>
    <row r="5925" spans="1:3" x14ac:dyDescent="0.35">
      <c r="A5925" t="s">
        <v>17573</v>
      </c>
      <c r="B5925" t="s">
        <v>17574</v>
      </c>
      <c r="C5925" t="s">
        <v>17575</v>
      </c>
    </row>
    <row r="5926" spans="1:3" x14ac:dyDescent="0.35">
      <c r="A5926" t="s">
        <v>17576</v>
      </c>
      <c r="B5926" t="s">
        <v>17577</v>
      </c>
      <c r="C5926" t="s">
        <v>17578</v>
      </c>
    </row>
    <row r="5927" spans="1:3" x14ac:dyDescent="0.35">
      <c r="A5927" t="s">
        <v>17579</v>
      </c>
      <c r="B5927" t="s">
        <v>17580</v>
      </c>
      <c r="C5927" t="s">
        <v>17581</v>
      </c>
    </row>
    <row r="5928" spans="1:3" x14ac:dyDescent="0.35">
      <c r="A5928" t="s">
        <v>17582</v>
      </c>
      <c r="B5928" t="s">
        <v>17583</v>
      </c>
      <c r="C5928" t="s">
        <v>17584</v>
      </c>
    </row>
    <row r="5929" spans="1:3" x14ac:dyDescent="0.35">
      <c r="A5929" t="s">
        <v>17585</v>
      </c>
      <c r="B5929" t="s">
        <v>17586</v>
      </c>
      <c r="C5929" t="s">
        <v>17587</v>
      </c>
    </row>
    <row r="5930" spans="1:3" x14ac:dyDescent="0.35">
      <c r="A5930" t="s">
        <v>17588</v>
      </c>
      <c r="B5930" t="s">
        <v>17589</v>
      </c>
      <c r="C5930" t="s">
        <v>17590</v>
      </c>
    </row>
    <row r="5931" spans="1:3" x14ac:dyDescent="0.35">
      <c r="A5931" t="s">
        <v>17591</v>
      </c>
      <c r="B5931" t="s">
        <v>17592</v>
      </c>
      <c r="C5931" t="s">
        <v>17593</v>
      </c>
    </row>
    <row r="5932" spans="1:3" x14ac:dyDescent="0.35">
      <c r="A5932" t="s">
        <v>17594</v>
      </c>
      <c r="B5932" t="s">
        <v>17595</v>
      </c>
      <c r="C5932" t="s">
        <v>17596</v>
      </c>
    </row>
    <row r="5933" spans="1:3" x14ac:dyDescent="0.35">
      <c r="A5933" t="s">
        <v>17597</v>
      </c>
      <c r="B5933" t="s">
        <v>17598</v>
      </c>
      <c r="C5933" t="s">
        <v>17599</v>
      </c>
    </row>
    <row r="5934" spans="1:3" x14ac:dyDescent="0.35">
      <c r="A5934" t="s">
        <v>17600</v>
      </c>
      <c r="B5934" t="s">
        <v>17601</v>
      </c>
      <c r="C5934" t="s">
        <v>17602</v>
      </c>
    </row>
    <row r="5935" spans="1:3" x14ac:dyDescent="0.35">
      <c r="A5935" t="s">
        <v>17603</v>
      </c>
      <c r="B5935" t="s">
        <v>17604</v>
      </c>
      <c r="C5935" t="s">
        <v>17605</v>
      </c>
    </row>
    <row r="5936" spans="1:3" x14ac:dyDescent="0.35">
      <c r="A5936" t="s">
        <v>17606</v>
      </c>
      <c r="B5936" t="s">
        <v>17607</v>
      </c>
      <c r="C5936" t="s">
        <v>17608</v>
      </c>
    </row>
    <row r="5937" spans="1:3" x14ac:dyDescent="0.35">
      <c r="A5937" t="s">
        <v>129</v>
      </c>
      <c r="B5937" t="s">
        <v>17609</v>
      </c>
      <c r="C5937" t="s">
        <v>17610</v>
      </c>
    </row>
    <row r="5938" spans="1:3" x14ac:dyDescent="0.35">
      <c r="A5938" t="s">
        <v>129</v>
      </c>
      <c r="B5938" t="s">
        <v>17611</v>
      </c>
      <c r="C5938" t="s">
        <v>17612</v>
      </c>
    </row>
    <row r="5939" spans="1:3" x14ac:dyDescent="0.35">
      <c r="A5939" t="s">
        <v>17613</v>
      </c>
      <c r="B5939" t="s">
        <v>17614</v>
      </c>
      <c r="C5939" t="s">
        <v>17615</v>
      </c>
    </row>
    <row r="5940" spans="1:3" x14ac:dyDescent="0.35">
      <c r="A5940" t="s">
        <v>17616</v>
      </c>
      <c r="B5940" t="s">
        <v>17617</v>
      </c>
      <c r="C5940" t="s">
        <v>17618</v>
      </c>
    </row>
    <row r="5941" spans="1:3" x14ac:dyDescent="0.35">
      <c r="A5941" t="s">
        <v>17619</v>
      </c>
      <c r="B5941" t="s">
        <v>17620</v>
      </c>
      <c r="C5941" t="s">
        <v>17621</v>
      </c>
    </row>
    <row r="5942" spans="1:3" x14ac:dyDescent="0.35">
      <c r="A5942" t="s">
        <v>17622</v>
      </c>
      <c r="B5942" t="s">
        <v>17623</v>
      </c>
      <c r="C5942" t="s">
        <v>17624</v>
      </c>
    </row>
    <row r="5943" spans="1:3" x14ac:dyDescent="0.35">
      <c r="A5943" t="s">
        <v>17625</v>
      </c>
      <c r="B5943" t="s">
        <v>17626</v>
      </c>
      <c r="C5943" t="s">
        <v>17627</v>
      </c>
    </row>
    <row r="5944" spans="1:3" x14ac:dyDescent="0.35">
      <c r="A5944" t="s">
        <v>130</v>
      </c>
      <c r="B5944" t="s">
        <v>17628</v>
      </c>
      <c r="C5944" t="s">
        <v>17629</v>
      </c>
    </row>
    <row r="5945" spans="1:3" x14ac:dyDescent="0.35">
      <c r="A5945" t="s">
        <v>17630</v>
      </c>
      <c r="B5945" t="s">
        <v>17631</v>
      </c>
      <c r="C5945" t="s">
        <v>17632</v>
      </c>
    </row>
    <row r="5946" spans="1:3" x14ac:dyDescent="0.35">
      <c r="A5946" t="s">
        <v>17633</v>
      </c>
      <c r="B5946" t="s">
        <v>17634</v>
      </c>
      <c r="C5946" t="s">
        <v>17635</v>
      </c>
    </row>
    <row r="5947" spans="1:3" x14ac:dyDescent="0.35">
      <c r="A5947" t="s">
        <v>17636</v>
      </c>
      <c r="B5947" t="s">
        <v>17637</v>
      </c>
      <c r="C5947" t="s">
        <v>17638</v>
      </c>
    </row>
    <row r="5948" spans="1:3" x14ac:dyDescent="0.35">
      <c r="A5948" t="s">
        <v>17639</v>
      </c>
      <c r="B5948" t="s">
        <v>17640</v>
      </c>
      <c r="C5948" t="s">
        <v>17641</v>
      </c>
    </row>
    <row r="5949" spans="1:3" x14ac:dyDescent="0.35">
      <c r="A5949" t="s">
        <v>17642</v>
      </c>
      <c r="B5949" t="s">
        <v>17643</v>
      </c>
      <c r="C5949" t="s">
        <v>17644</v>
      </c>
    </row>
    <row r="5950" spans="1:3" x14ac:dyDescent="0.35">
      <c r="A5950" t="s">
        <v>17645</v>
      </c>
      <c r="B5950" t="s">
        <v>17646</v>
      </c>
      <c r="C5950" t="s">
        <v>17647</v>
      </c>
    </row>
    <row r="5951" spans="1:3" x14ac:dyDescent="0.35">
      <c r="A5951" t="s">
        <v>17648</v>
      </c>
      <c r="B5951" t="s">
        <v>17649</v>
      </c>
      <c r="C5951" t="s">
        <v>17650</v>
      </c>
    </row>
    <row r="5952" spans="1:3" x14ac:dyDescent="0.35">
      <c r="A5952" t="s">
        <v>17651</v>
      </c>
      <c r="B5952" t="s">
        <v>17652</v>
      </c>
      <c r="C5952" t="s">
        <v>17653</v>
      </c>
    </row>
    <row r="5953" spans="1:3" x14ac:dyDescent="0.35">
      <c r="A5953" t="s">
        <v>17654</v>
      </c>
      <c r="B5953" t="s">
        <v>17655</v>
      </c>
      <c r="C5953" t="s">
        <v>17656</v>
      </c>
    </row>
    <row r="5954" spans="1:3" x14ac:dyDescent="0.35">
      <c r="A5954" t="s">
        <v>17657</v>
      </c>
      <c r="B5954" t="s">
        <v>17658</v>
      </c>
      <c r="C5954" t="s">
        <v>17659</v>
      </c>
    </row>
    <row r="5955" spans="1:3" x14ac:dyDescent="0.35">
      <c r="A5955" t="s">
        <v>17660</v>
      </c>
      <c r="B5955" t="s">
        <v>17661</v>
      </c>
      <c r="C5955" t="s">
        <v>17662</v>
      </c>
    </row>
    <row r="5956" spans="1:3" x14ac:dyDescent="0.35">
      <c r="A5956" t="s">
        <v>17663</v>
      </c>
      <c r="B5956" t="s">
        <v>17664</v>
      </c>
      <c r="C5956" t="s">
        <v>17665</v>
      </c>
    </row>
    <row r="5957" spans="1:3" x14ac:dyDescent="0.35">
      <c r="A5957" t="s">
        <v>17666</v>
      </c>
      <c r="B5957" t="s">
        <v>17667</v>
      </c>
      <c r="C5957" t="s">
        <v>17668</v>
      </c>
    </row>
    <row r="5958" spans="1:3" x14ac:dyDescent="0.35">
      <c r="A5958" t="s">
        <v>17669</v>
      </c>
      <c r="B5958" t="s">
        <v>17670</v>
      </c>
      <c r="C5958" t="s">
        <v>17671</v>
      </c>
    </row>
    <row r="5959" spans="1:3" x14ac:dyDescent="0.35">
      <c r="A5959" t="s">
        <v>17672</v>
      </c>
      <c r="B5959" t="s">
        <v>17673</v>
      </c>
      <c r="C5959" t="s">
        <v>17674</v>
      </c>
    </row>
    <row r="5960" spans="1:3" x14ac:dyDescent="0.35">
      <c r="A5960" t="s">
        <v>17675</v>
      </c>
      <c r="B5960" t="s">
        <v>17676</v>
      </c>
      <c r="C5960" t="s">
        <v>17677</v>
      </c>
    </row>
    <row r="5961" spans="1:3" x14ac:dyDescent="0.35">
      <c r="A5961" t="s">
        <v>17678</v>
      </c>
      <c r="B5961" t="s">
        <v>17679</v>
      </c>
      <c r="C5961" t="s">
        <v>17680</v>
      </c>
    </row>
    <row r="5962" spans="1:3" x14ac:dyDescent="0.35">
      <c r="A5962" t="s">
        <v>17681</v>
      </c>
      <c r="B5962" t="s">
        <v>17682</v>
      </c>
      <c r="C5962" t="s">
        <v>17683</v>
      </c>
    </row>
    <row r="5963" spans="1:3" x14ac:dyDescent="0.35">
      <c r="A5963" t="s">
        <v>17684</v>
      </c>
      <c r="B5963" t="s">
        <v>17685</v>
      </c>
      <c r="C5963" t="s">
        <v>17686</v>
      </c>
    </row>
    <row r="5964" spans="1:3" x14ac:dyDescent="0.35">
      <c r="A5964" t="s">
        <v>17687</v>
      </c>
      <c r="B5964" t="s">
        <v>17688</v>
      </c>
      <c r="C5964" t="s">
        <v>17689</v>
      </c>
    </row>
    <row r="5965" spans="1:3" x14ac:dyDescent="0.35">
      <c r="A5965" t="s">
        <v>17690</v>
      </c>
      <c r="B5965" t="s">
        <v>17691</v>
      </c>
      <c r="C5965" t="s">
        <v>17692</v>
      </c>
    </row>
    <row r="5966" spans="1:3" x14ac:dyDescent="0.35">
      <c r="A5966" t="s">
        <v>17693</v>
      </c>
      <c r="B5966" t="s">
        <v>17694</v>
      </c>
      <c r="C5966" t="s">
        <v>17695</v>
      </c>
    </row>
    <row r="5967" spans="1:3" x14ac:dyDescent="0.35">
      <c r="A5967" t="s">
        <v>17696</v>
      </c>
      <c r="B5967" t="s">
        <v>17697</v>
      </c>
      <c r="C5967" t="s">
        <v>17698</v>
      </c>
    </row>
    <row r="5968" spans="1:3" x14ac:dyDescent="0.35">
      <c r="A5968" t="s">
        <v>17699</v>
      </c>
      <c r="B5968" t="s">
        <v>17700</v>
      </c>
      <c r="C5968" t="s">
        <v>17701</v>
      </c>
    </row>
    <row r="5969" spans="1:3" x14ac:dyDescent="0.35">
      <c r="A5969" t="s">
        <v>17702</v>
      </c>
      <c r="B5969" t="s">
        <v>17703</v>
      </c>
      <c r="C5969" t="s">
        <v>17704</v>
      </c>
    </row>
    <row r="5970" spans="1:3" x14ac:dyDescent="0.35">
      <c r="A5970" t="s">
        <v>17705</v>
      </c>
      <c r="B5970" t="s">
        <v>17706</v>
      </c>
      <c r="C5970" t="s">
        <v>17707</v>
      </c>
    </row>
    <row r="5971" spans="1:3" x14ac:dyDescent="0.35">
      <c r="A5971" t="s">
        <v>17708</v>
      </c>
      <c r="B5971" t="s">
        <v>17709</v>
      </c>
      <c r="C5971" t="s">
        <v>17710</v>
      </c>
    </row>
    <row r="5972" spans="1:3" x14ac:dyDescent="0.35">
      <c r="A5972" t="s">
        <v>17711</v>
      </c>
      <c r="B5972" t="s">
        <v>17712</v>
      </c>
      <c r="C5972" t="s">
        <v>17713</v>
      </c>
    </row>
    <row r="5973" spans="1:3" x14ac:dyDescent="0.35">
      <c r="A5973" t="s">
        <v>17714</v>
      </c>
      <c r="B5973" t="s">
        <v>17715</v>
      </c>
      <c r="C5973" t="s">
        <v>17716</v>
      </c>
    </row>
    <row r="5974" spans="1:3" x14ac:dyDescent="0.35">
      <c r="A5974" t="s">
        <v>17717</v>
      </c>
      <c r="B5974" t="s">
        <v>17718</v>
      </c>
      <c r="C5974" t="s">
        <v>17719</v>
      </c>
    </row>
    <row r="5975" spans="1:3" x14ac:dyDescent="0.35">
      <c r="A5975" t="s">
        <v>17720</v>
      </c>
      <c r="B5975" t="s">
        <v>17721</v>
      </c>
      <c r="C5975" t="s">
        <v>17722</v>
      </c>
    </row>
    <row r="5976" spans="1:3" x14ac:dyDescent="0.35">
      <c r="A5976" t="s">
        <v>17723</v>
      </c>
      <c r="B5976" t="s">
        <v>17724</v>
      </c>
      <c r="C5976" t="s">
        <v>17725</v>
      </c>
    </row>
    <row r="5977" spans="1:3" x14ac:dyDescent="0.35">
      <c r="A5977" t="s">
        <v>17726</v>
      </c>
      <c r="B5977" t="s">
        <v>17727</v>
      </c>
      <c r="C5977" t="s">
        <v>17728</v>
      </c>
    </row>
    <row r="5978" spans="1:3" x14ac:dyDescent="0.35">
      <c r="A5978" t="s">
        <v>17729</v>
      </c>
      <c r="B5978" t="s">
        <v>17730</v>
      </c>
      <c r="C5978" t="s">
        <v>17731</v>
      </c>
    </row>
    <row r="5979" spans="1:3" x14ac:dyDescent="0.35">
      <c r="A5979" t="s">
        <v>17732</v>
      </c>
      <c r="B5979" t="s">
        <v>17733</v>
      </c>
      <c r="C5979" t="s">
        <v>17734</v>
      </c>
    </row>
    <row r="5980" spans="1:3" x14ac:dyDescent="0.35">
      <c r="A5980" t="s">
        <v>17735</v>
      </c>
      <c r="B5980" t="s">
        <v>17736</v>
      </c>
      <c r="C5980" t="s">
        <v>17737</v>
      </c>
    </row>
    <row r="5981" spans="1:3" x14ac:dyDescent="0.35">
      <c r="A5981" t="s">
        <v>17738</v>
      </c>
      <c r="B5981" t="s">
        <v>17739</v>
      </c>
      <c r="C5981" t="s">
        <v>17740</v>
      </c>
    </row>
    <row r="5982" spans="1:3" x14ac:dyDescent="0.35">
      <c r="A5982" t="s">
        <v>17741</v>
      </c>
      <c r="B5982" t="s">
        <v>17742</v>
      </c>
      <c r="C5982" t="s">
        <v>17743</v>
      </c>
    </row>
    <row r="5983" spans="1:3" x14ac:dyDescent="0.35">
      <c r="A5983" t="s">
        <v>17744</v>
      </c>
      <c r="B5983" t="s">
        <v>17745</v>
      </c>
      <c r="C5983" t="s">
        <v>17746</v>
      </c>
    </row>
    <row r="5984" spans="1:3" x14ac:dyDescent="0.35">
      <c r="A5984" t="s">
        <v>17747</v>
      </c>
      <c r="B5984" t="s">
        <v>17748</v>
      </c>
      <c r="C5984" t="s">
        <v>17749</v>
      </c>
    </row>
    <row r="5985" spans="1:3" x14ac:dyDescent="0.35">
      <c r="A5985" t="s">
        <v>17750</v>
      </c>
      <c r="B5985" t="s">
        <v>17751</v>
      </c>
      <c r="C5985" t="s">
        <v>17752</v>
      </c>
    </row>
    <row r="5986" spans="1:3" x14ac:dyDescent="0.35">
      <c r="A5986" t="s">
        <v>17753</v>
      </c>
      <c r="B5986" t="s">
        <v>17754</v>
      </c>
      <c r="C5986" t="s">
        <v>17755</v>
      </c>
    </row>
    <row r="5987" spans="1:3" x14ac:dyDescent="0.35">
      <c r="A5987" t="s">
        <v>17756</v>
      </c>
      <c r="B5987" t="s">
        <v>17757</v>
      </c>
      <c r="C5987" t="s">
        <v>17758</v>
      </c>
    </row>
    <row r="5988" spans="1:3" x14ac:dyDescent="0.35">
      <c r="A5988" t="s">
        <v>17759</v>
      </c>
      <c r="B5988" t="s">
        <v>17760</v>
      </c>
      <c r="C5988" t="s">
        <v>17761</v>
      </c>
    </row>
    <row r="5989" spans="1:3" x14ac:dyDescent="0.35">
      <c r="A5989" t="s">
        <v>17762</v>
      </c>
      <c r="B5989" t="s">
        <v>17763</v>
      </c>
      <c r="C5989" t="s">
        <v>17764</v>
      </c>
    </row>
    <row r="5990" spans="1:3" x14ac:dyDescent="0.35">
      <c r="A5990" t="s">
        <v>17765</v>
      </c>
      <c r="B5990" t="s">
        <v>17766</v>
      </c>
      <c r="C5990" t="s">
        <v>17767</v>
      </c>
    </row>
    <row r="5991" spans="1:3" x14ac:dyDescent="0.35">
      <c r="A5991" t="s">
        <v>17768</v>
      </c>
      <c r="B5991" t="s">
        <v>17769</v>
      </c>
      <c r="C5991" t="s">
        <v>17770</v>
      </c>
    </row>
    <row r="5992" spans="1:3" x14ac:dyDescent="0.35">
      <c r="A5992" t="s">
        <v>17771</v>
      </c>
      <c r="B5992" t="s">
        <v>17772</v>
      </c>
      <c r="C5992" t="s">
        <v>17773</v>
      </c>
    </row>
    <row r="5993" spans="1:3" x14ac:dyDescent="0.35">
      <c r="A5993" t="s">
        <v>17774</v>
      </c>
      <c r="B5993" t="s">
        <v>17775</v>
      </c>
      <c r="C5993" t="s">
        <v>17776</v>
      </c>
    </row>
    <row r="5994" spans="1:3" x14ac:dyDescent="0.35">
      <c r="A5994" t="s">
        <v>17777</v>
      </c>
      <c r="B5994" t="s">
        <v>17778</v>
      </c>
      <c r="C5994" t="s">
        <v>17779</v>
      </c>
    </row>
    <row r="5995" spans="1:3" x14ac:dyDescent="0.35">
      <c r="A5995" t="s">
        <v>17780</v>
      </c>
      <c r="B5995" t="s">
        <v>17781</v>
      </c>
      <c r="C5995" t="s">
        <v>17782</v>
      </c>
    </row>
    <row r="5996" spans="1:3" x14ac:dyDescent="0.35">
      <c r="A5996" t="s">
        <v>17783</v>
      </c>
      <c r="B5996" t="s">
        <v>17784</v>
      </c>
      <c r="C5996" t="s">
        <v>17785</v>
      </c>
    </row>
    <row r="5997" spans="1:3" x14ac:dyDescent="0.35">
      <c r="A5997" t="s">
        <v>17786</v>
      </c>
      <c r="B5997" t="s">
        <v>17787</v>
      </c>
      <c r="C5997" t="s">
        <v>17788</v>
      </c>
    </row>
    <row r="5998" spans="1:3" x14ac:dyDescent="0.35">
      <c r="A5998" t="s">
        <v>17789</v>
      </c>
      <c r="B5998" t="s">
        <v>17790</v>
      </c>
      <c r="C5998" t="s">
        <v>17791</v>
      </c>
    </row>
    <row r="5999" spans="1:3" x14ac:dyDescent="0.35">
      <c r="A5999" t="s">
        <v>17792</v>
      </c>
      <c r="B5999" t="s">
        <v>17793</v>
      </c>
      <c r="C5999" t="s">
        <v>17794</v>
      </c>
    </row>
    <row r="6000" spans="1:3" x14ac:dyDescent="0.35">
      <c r="A6000" t="s">
        <v>17795</v>
      </c>
      <c r="B6000" t="s">
        <v>17796</v>
      </c>
      <c r="C6000" t="s">
        <v>17797</v>
      </c>
    </row>
    <row r="6001" spans="1:3" x14ac:dyDescent="0.35">
      <c r="A6001" t="s">
        <v>17798</v>
      </c>
      <c r="B6001" t="s">
        <v>17799</v>
      </c>
      <c r="C6001" t="s">
        <v>17800</v>
      </c>
    </row>
    <row r="6002" spans="1:3" x14ac:dyDescent="0.35">
      <c r="A6002" t="s">
        <v>17801</v>
      </c>
      <c r="B6002" t="s">
        <v>17802</v>
      </c>
      <c r="C6002" t="s">
        <v>17803</v>
      </c>
    </row>
    <row r="6003" spans="1:3" x14ac:dyDescent="0.35">
      <c r="A6003" t="s">
        <v>17804</v>
      </c>
      <c r="B6003" t="s">
        <v>17805</v>
      </c>
      <c r="C6003" t="s">
        <v>17806</v>
      </c>
    </row>
    <row r="6004" spans="1:3" x14ac:dyDescent="0.35">
      <c r="A6004" t="s">
        <v>17807</v>
      </c>
      <c r="B6004" t="s">
        <v>17808</v>
      </c>
      <c r="C6004" t="s">
        <v>17809</v>
      </c>
    </row>
    <row r="6005" spans="1:3" x14ac:dyDescent="0.35">
      <c r="A6005" t="s">
        <v>17810</v>
      </c>
      <c r="B6005" t="s">
        <v>17811</v>
      </c>
      <c r="C6005" t="s">
        <v>17812</v>
      </c>
    </row>
    <row r="6006" spans="1:3" x14ac:dyDescent="0.35">
      <c r="A6006" t="s">
        <v>17813</v>
      </c>
      <c r="B6006" t="s">
        <v>17814</v>
      </c>
      <c r="C6006" t="s">
        <v>17815</v>
      </c>
    </row>
    <row r="6007" spans="1:3" x14ac:dyDescent="0.35">
      <c r="A6007" t="s">
        <v>17816</v>
      </c>
      <c r="B6007" t="s">
        <v>17817</v>
      </c>
      <c r="C6007" t="s">
        <v>17818</v>
      </c>
    </row>
    <row r="6008" spans="1:3" x14ac:dyDescent="0.35">
      <c r="A6008" t="s">
        <v>17819</v>
      </c>
      <c r="B6008" t="s">
        <v>17820</v>
      </c>
      <c r="C6008" t="s">
        <v>17821</v>
      </c>
    </row>
    <row r="6009" spans="1:3" x14ac:dyDescent="0.35">
      <c r="A6009" t="s">
        <v>17822</v>
      </c>
      <c r="B6009" t="s">
        <v>17823</v>
      </c>
      <c r="C6009" t="s">
        <v>17824</v>
      </c>
    </row>
    <row r="6010" spans="1:3" x14ac:dyDescent="0.35">
      <c r="A6010" t="s">
        <v>17825</v>
      </c>
      <c r="B6010" t="s">
        <v>17826</v>
      </c>
      <c r="C6010" t="s">
        <v>17827</v>
      </c>
    </row>
    <row r="6011" spans="1:3" x14ac:dyDescent="0.35">
      <c r="A6011" t="s">
        <v>17828</v>
      </c>
      <c r="B6011" t="s">
        <v>17829</v>
      </c>
      <c r="C6011" t="s">
        <v>17830</v>
      </c>
    </row>
    <row r="6012" spans="1:3" x14ac:dyDescent="0.35">
      <c r="A6012" t="s">
        <v>17831</v>
      </c>
      <c r="B6012" t="s">
        <v>17832</v>
      </c>
      <c r="C6012" t="s">
        <v>17833</v>
      </c>
    </row>
    <row r="6013" spans="1:3" x14ac:dyDescent="0.35">
      <c r="A6013" t="s">
        <v>17834</v>
      </c>
      <c r="B6013" t="s">
        <v>17835</v>
      </c>
      <c r="C6013" t="s">
        <v>17836</v>
      </c>
    </row>
    <row r="6014" spans="1:3" x14ac:dyDescent="0.35">
      <c r="A6014" t="s">
        <v>17834</v>
      </c>
      <c r="B6014" t="s">
        <v>17837</v>
      </c>
      <c r="C6014" t="s">
        <v>17838</v>
      </c>
    </row>
    <row r="6015" spans="1:3" x14ac:dyDescent="0.35">
      <c r="A6015" t="s">
        <v>17839</v>
      </c>
      <c r="B6015" t="s">
        <v>17840</v>
      </c>
      <c r="C6015" t="s">
        <v>17841</v>
      </c>
    </row>
    <row r="6016" spans="1:3" x14ac:dyDescent="0.35">
      <c r="A6016" t="s">
        <v>17842</v>
      </c>
      <c r="B6016" t="s">
        <v>17843</v>
      </c>
      <c r="C6016" t="s">
        <v>17844</v>
      </c>
    </row>
    <row r="6017" spans="1:3" x14ac:dyDescent="0.35">
      <c r="A6017" t="s">
        <v>17845</v>
      </c>
      <c r="B6017" t="s">
        <v>17846</v>
      </c>
      <c r="C6017" t="s">
        <v>17847</v>
      </c>
    </row>
    <row r="6018" spans="1:3" x14ac:dyDescent="0.35">
      <c r="A6018" t="s">
        <v>17848</v>
      </c>
      <c r="B6018" t="s">
        <v>17849</v>
      </c>
      <c r="C6018" t="s">
        <v>17850</v>
      </c>
    </row>
    <row r="6019" spans="1:3" x14ac:dyDescent="0.35">
      <c r="A6019" t="s">
        <v>17851</v>
      </c>
      <c r="B6019" t="s">
        <v>17852</v>
      </c>
      <c r="C6019" t="s">
        <v>17853</v>
      </c>
    </row>
    <row r="6020" spans="1:3" x14ac:dyDescent="0.35">
      <c r="A6020" t="s">
        <v>17854</v>
      </c>
      <c r="B6020" t="s">
        <v>17855</v>
      </c>
      <c r="C6020" t="s">
        <v>17856</v>
      </c>
    </row>
    <row r="6021" spans="1:3" x14ac:dyDescent="0.35">
      <c r="A6021" t="s">
        <v>17857</v>
      </c>
      <c r="B6021" t="s">
        <v>17858</v>
      </c>
      <c r="C6021" t="s">
        <v>17859</v>
      </c>
    </row>
    <row r="6022" spans="1:3" x14ac:dyDescent="0.35">
      <c r="A6022" t="s">
        <v>17860</v>
      </c>
      <c r="B6022" t="s">
        <v>17861</v>
      </c>
      <c r="C6022" t="s">
        <v>17862</v>
      </c>
    </row>
    <row r="6023" spans="1:3" x14ac:dyDescent="0.35">
      <c r="A6023" t="s">
        <v>17863</v>
      </c>
      <c r="B6023" t="s">
        <v>17864</v>
      </c>
      <c r="C6023" t="s">
        <v>17865</v>
      </c>
    </row>
    <row r="6024" spans="1:3" x14ac:dyDescent="0.35">
      <c r="A6024" t="s">
        <v>17866</v>
      </c>
      <c r="B6024" t="s">
        <v>17867</v>
      </c>
      <c r="C6024" t="s">
        <v>17868</v>
      </c>
    </row>
    <row r="6025" spans="1:3" x14ac:dyDescent="0.35">
      <c r="A6025" t="s">
        <v>17866</v>
      </c>
      <c r="B6025" t="s">
        <v>17869</v>
      </c>
      <c r="C6025" t="s">
        <v>17870</v>
      </c>
    </row>
    <row r="6026" spans="1:3" x14ac:dyDescent="0.35">
      <c r="A6026" t="s">
        <v>17871</v>
      </c>
      <c r="B6026" t="s">
        <v>17872</v>
      </c>
      <c r="C6026" t="s">
        <v>17873</v>
      </c>
    </row>
    <row r="6027" spans="1:3" x14ac:dyDescent="0.35">
      <c r="A6027" t="s">
        <v>17871</v>
      </c>
      <c r="B6027" t="s">
        <v>17874</v>
      </c>
      <c r="C6027" t="s">
        <v>17875</v>
      </c>
    </row>
    <row r="6028" spans="1:3" x14ac:dyDescent="0.35">
      <c r="A6028" t="s">
        <v>17876</v>
      </c>
      <c r="B6028" t="s">
        <v>17877</v>
      </c>
      <c r="C6028" t="s">
        <v>17878</v>
      </c>
    </row>
    <row r="6029" spans="1:3" x14ac:dyDescent="0.35">
      <c r="A6029" t="s">
        <v>17879</v>
      </c>
      <c r="B6029" t="s">
        <v>17880</v>
      </c>
      <c r="C6029" t="s">
        <v>17881</v>
      </c>
    </row>
    <row r="6030" spans="1:3" x14ac:dyDescent="0.35">
      <c r="A6030" t="s">
        <v>17882</v>
      </c>
      <c r="B6030" t="s">
        <v>17883</v>
      </c>
      <c r="C6030" t="s">
        <v>17884</v>
      </c>
    </row>
    <row r="6031" spans="1:3" x14ac:dyDescent="0.35">
      <c r="A6031" t="s">
        <v>17885</v>
      </c>
      <c r="B6031" t="s">
        <v>17886</v>
      </c>
      <c r="C6031" t="s">
        <v>17887</v>
      </c>
    </row>
    <row r="6032" spans="1:3" x14ac:dyDescent="0.35">
      <c r="A6032" t="s">
        <v>17888</v>
      </c>
      <c r="B6032" t="s">
        <v>17889</v>
      </c>
      <c r="C6032" t="s">
        <v>17890</v>
      </c>
    </row>
    <row r="6033" spans="1:3" x14ac:dyDescent="0.35">
      <c r="A6033" t="s">
        <v>17891</v>
      </c>
      <c r="B6033" t="s">
        <v>17892</v>
      </c>
      <c r="C6033" t="s">
        <v>17893</v>
      </c>
    </row>
    <row r="6034" spans="1:3" x14ac:dyDescent="0.35">
      <c r="A6034" t="s">
        <v>17894</v>
      </c>
      <c r="B6034" t="s">
        <v>17895</v>
      </c>
      <c r="C6034" t="s">
        <v>17896</v>
      </c>
    </row>
    <row r="6035" spans="1:3" x14ac:dyDescent="0.35">
      <c r="A6035" t="s">
        <v>17897</v>
      </c>
      <c r="B6035" t="s">
        <v>17898</v>
      </c>
      <c r="C6035" t="s">
        <v>17899</v>
      </c>
    </row>
    <row r="6036" spans="1:3" x14ac:dyDescent="0.35">
      <c r="A6036" t="s">
        <v>17900</v>
      </c>
      <c r="B6036" t="s">
        <v>17901</v>
      </c>
      <c r="C6036" t="s">
        <v>17902</v>
      </c>
    </row>
    <row r="6037" spans="1:3" x14ac:dyDescent="0.35">
      <c r="A6037" t="s">
        <v>17903</v>
      </c>
      <c r="B6037" t="s">
        <v>17904</v>
      </c>
      <c r="C6037" t="s">
        <v>17905</v>
      </c>
    </row>
    <row r="6038" spans="1:3" x14ac:dyDescent="0.35">
      <c r="A6038" t="s">
        <v>17906</v>
      </c>
      <c r="B6038" t="s">
        <v>17907</v>
      </c>
      <c r="C6038" t="s">
        <v>17908</v>
      </c>
    </row>
    <row r="6039" spans="1:3" x14ac:dyDescent="0.35">
      <c r="A6039" t="s">
        <v>17909</v>
      </c>
      <c r="B6039" t="s">
        <v>17910</v>
      </c>
      <c r="C6039" t="s">
        <v>17911</v>
      </c>
    </row>
    <row r="6040" spans="1:3" x14ac:dyDescent="0.35">
      <c r="A6040" t="s">
        <v>17912</v>
      </c>
      <c r="B6040" t="s">
        <v>17913</v>
      </c>
      <c r="C6040" t="s">
        <v>17914</v>
      </c>
    </row>
    <row r="6041" spans="1:3" x14ac:dyDescent="0.35">
      <c r="A6041" t="s">
        <v>17915</v>
      </c>
      <c r="B6041" t="s">
        <v>17916</v>
      </c>
      <c r="C6041" t="s">
        <v>17917</v>
      </c>
    </row>
    <row r="6042" spans="1:3" x14ac:dyDescent="0.35">
      <c r="A6042" t="s">
        <v>17918</v>
      </c>
      <c r="B6042" t="s">
        <v>17919</v>
      </c>
      <c r="C6042" t="s">
        <v>17920</v>
      </c>
    </row>
    <row r="6043" spans="1:3" x14ac:dyDescent="0.35">
      <c r="A6043" t="s">
        <v>17921</v>
      </c>
      <c r="B6043" t="s">
        <v>17922</v>
      </c>
      <c r="C6043" t="s">
        <v>17923</v>
      </c>
    </row>
    <row r="6044" spans="1:3" x14ac:dyDescent="0.35">
      <c r="A6044" t="s">
        <v>17924</v>
      </c>
      <c r="B6044" t="s">
        <v>17925</v>
      </c>
      <c r="C6044" t="s">
        <v>17926</v>
      </c>
    </row>
    <row r="6045" spans="1:3" x14ac:dyDescent="0.35">
      <c r="A6045" t="s">
        <v>17927</v>
      </c>
      <c r="B6045" t="s">
        <v>17928</v>
      </c>
      <c r="C6045" t="s">
        <v>17929</v>
      </c>
    </row>
    <row r="6046" spans="1:3" x14ac:dyDescent="0.35">
      <c r="A6046" t="s">
        <v>17930</v>
      </c>
      <c r="B6046" t="s">
        <v>17931</v>
      </c>
      <c r="C6046" t="s">
        <v>17865</v>
      </c>
    </row>
    <row r="6047" spans="1:3" x14ac:dyDescent="0.35">
      <c r="A6047" t="s">
        <v>17932</v>
      </c>
      <c r="B6047" t="s">
        <v>17933</v>
      </c>
      <c r="C6047" t="s">
        <v>17934</v>
      </c>
    </row>
    <row r="6048" spans="1:3" x14ac:dyDescent="0.35">
      <c r="A6048" t="s">
        <v>17935</v>
      </c>
      <c r="B6048" t="s">
        <v>17936</v>
      </c>
      <c r="C6048" t="s">
        <v>17937</v>
      </c>
    </row>
    <row r="6049" spans="1:3" x14ac:dyDescent="0.35">
      <c r="A6049" t="s">
        <v>17938</v>
      </c>
      <c r="B6049" t="s">
        <v>17939</v>
      </c>
      <c r="C6049" t="s">
        <v>665</v>
      </c>
    </row>
    <row r="6050" spans="1:3" x14ac:dyDescent="0.35">
      <c r="A6050" t="s">
        <v>17940</v>
      </c>
      <c r="B6050" t="s">
        <v>17941</v>
      </c>
      <c r="C6050" t="s">
        <v>17942</v>
      </c>
    </row>
    <row r="6051" spans="1:3" x14ac:dyDescent="0.35">
      <c r="A6051" t="s">
        <v>17943</v>
      </c>
      <c r="B6051" t="s">
        <v>17944</v>
      </c>
      <c r="C6051" t="s">
        <v>17945</v>
      </c>
    </row>
    <row r="6052" spans="1:3" x14ac:dyDescent="0.35">
      <c r="A6052" t="s">
        <v>17946</v>
      </c>
      <c r="B6052" t="s">
        <v>17947</v>
      </c>
      <c r="C6052" t="s">
        <v>17948</v>
      </c>
    </row>
    <row r="6053" spans="1:3" x14ac:dyDescent="0.35">
      <c r="A6053" t="s">
        <v>17949</v>
      </c>
      <c r="B6053" t="s">
        <v>17950</v>
      </c>
      <c r="C6053" t="s">
        <v>17951</v>
      </c>
    </row>
    <row r="6054" spans="1:3" x14ac:dyDescent="0.35">
      <c r="A6054" t="s">
        <v>17952</v>
      </c>
      <c r="B6054" t="s">
        <v>17953</v>
      </c>
      <c r="C6054" t="s">
        <v>17954</v>
      </c>
    </row>
    <row r="6055" spans="1:3" x14ac:dyDescent="0.35">
      <c r="A6055" t="s">
        <v>17955</v>
      </c>
      <c r="B6055" t="s">
        <v>17956</v>
      </c>
      <c r="C6055" t="s">
        <v>17957</v>
      </c>
    </row>
    <row r="6056" spans="1:3" x14ac:dyDescent="0.35">
      <c r="A6056" t="s">
        <v>17958</v>
      </c>
      <c r="B6056" t="s">
        <v>17959</v>
      </c>
      <c r="C6056" t="s">
        <v>17960</v>
      </c>
    </row>
    <row r="6057" spans="1:3" x14ac:dyDescent="0.35">
      <c r="A6057" t="s">
        <v>17961</v>
      </c>
      <c r="B6057" t="s">
        <v>17962</v>
      </c>
      <c r="C6057" t="s">
        <v>17963</v>
      </c>
    </row>
    <row r="6058" spans="1:3" x14ac:dyDescent="0.35">
      <c r="A6058" t="s">
        <v>17961</v>
      </c>
      <c r="B6058" t="s">
        <v>17964</v>
      </c>
      <c r="C6058" t="s">
        <v>17965</v>
      </c>
    </row>
    <row r="6059" spans="1:3" x14ac:dyDescent="0.35">
      <c r="A6059" t="s">
        <v>17966</v>
      </c>
      <c r="B6059" t="s">
        <v>17967</v>
      </c>
      <c r="C6059" t="s">
        <v>17968</v>
      </c>
    </row>
    <row r="6060" spans="1:3" x14ac:dyDescent="0.35">
      <c r="A6060" t="s">
        <v>17969</v>
      </c>
      <c r="B6060" t="s">
        <v>17970</v>
      </c>
      <c r="C6060" t="s">
        <v>17971</v>
      </c>
    </row>
    <row r="6061" spans="1:3" x14ac:dyDescent="0.35">
      <c r="A6061" t="s">
        <v>17972</v>
      </c>
      <c r="B6061" t="s">
        <v>17973</v>
      </c>
      <c r="C6061" t="s">
        <v>17974</v>
      </c>
    </row>
    <row r="6062" spans="1:3" x14ac:dyDescent="0.35">
      <c r="A6062" t="s">
        <v>17975</v>
      </c>
      <c r="B6062" t="s">
        <v>17976</v>
      </c>
      <c r="C6062" t="s">
        <v>17977</v>
      </c>
    </row>
    <row r="6063" spans="1:3" x14ac:dyDescent="0.35">
      <c r="A6063" t="s">
        <v>17978</v>
      </c>
      <c r="B6063" t="s">
        <v>17979</v>
      </c>
      <c r="C6063" t="s">
        <v>17980</v>
      </c>
    </row>
    <row r="6064" spans="1:3" x14ac:dyDescent="0.35">
      <c r="A6064" t="s">
        <v>17981</v>
      </c>
      <c r="B6064" t="s">
        <v>17982</v>
      </c>
      <c r="C6064" t="s">
        <v>17983</v>
      </c>
    </row>
    <row r="6065" spans="1:3" x14ac:dyDescent="0.35">
      <c r="A6065" t="s">
        <v>17984</v>
      </c>
      <c r="B6065" t="s">
        <v>17985</v>
      </c>
      <c r="C6065" t="s">
        <v>23136</v>
      </c>
    </row>
    <row r="6066" spans="1:3" x14ac:dyDescent="0.35">
      <c r="A6066" t="s">
        <v>17986</v>
      </c>
      <c r="B6066" t="s">
        <v>17987</v>
      </c>
      <c r="C6066" t="s">
        <v>17988</v>
      </c>
    </row>
    <row r="6067" spans="1:3" x14ac:dyDescent="0.35">
      <c r="A6067" t="s">
        <v>17989</v>
      </c>
      <c r="B6067" t="s">
        <v>17990</v>
      </c>
      <c r="C6067" t="s">
        <v>17991</v>
      </c>
    </row>
    <row r="6068" spans="1:3" x14ac:dyDescent="0.35">
      <c r="A6068" t="s">
        <v>17989</v>
      </c>
      <c r="B6068" t="s">
        <v>17992</v>
      </c>
      <c r="C6068" t="s">
        <v>17993</v>
      </c>
    </row>
    <row r="6069" spans="1:3" x14ac:dyDescent="0.35">
      <c r="A6069" t="s">
        <v>17994</v>
      </c>
      <c r="B6069" t="s">
        <v>17995</v>
      </c>
      <c r="C6069" t="s">
        <v>17996</v>
      </c>
    </row>
    <row r="6070" spans="1:3" x14ac:dyDescent="0.35">
      <c r="A6070" t="s">
        <v>17997</v>
      </c>
      <c r="B6070" t="s">
        <v>17998</v>
      </c>
      <c r="C6070" t="s">
        <v>17999</v>
      </c>
    </row>
    <row r="6071" spans="1:3" x14ac:dyDescent="0.35">
      <c r="A6071" t="s">
        <v>18000</v>
      </c>
      <c r="B6071" t="s">
        <v>18001</v>
      </c>
      <c r="C6071" t="s">
        <v>18002</v>
      </c>
    </row>
    <row r="6072" spans="1:3" x14ac:dyDescent="0.35">
      <c r="A6072" t="s">
        <v>18003</v>
      </c>
      <c r="B6072" t="s">
        <v>18004</v>
      </c>
      <c r="C6072" t="s">
        <v>18005</v>
      </c>
    </row>
    <row r="6073" spans="1:3" x14ac:dyDescent="0.35">
      <c r="A6073" t="s">
        <v>18003</v>
      </c>
      <c r="B6073" t="s">
        <v>18006</v>
      </c>
      <c r="C6073" t="s">
        <v>18007</v>
      </c>
    </row>
    <row r="6074" spans="1:3" x14ac:dyDescent="0.35">
      <c r="A6074" t="s">
        <v>18008</v>
      </c>
      <c r="B6074" t="s">
        <v>18009</v>
      </c>
      <c r="C6074" t="s">
        <v>18010</v>
      </c>
    </row>
    <row r="6075" spans="1:3" x14ac:dyDescent="0.35">
      <c r="A6075" t="s">
        <v>18011</v>
      </c>
      <c r="B6075" t="s">
        <v>18012</v>
      </c>
      <c r="C6075" t="s">
        <v>18013</v>
      </c>
    </row>
    <row r="6076" spans="1:3" x14ac:dyDescent="0.35">
      <c r="A6076" t="s">
        <v>18014</v>
      </c>
      <c r="B6076" t="s">
        <v>18015</v>
      </c>
      <c r="C6076" t="s">
        <v>18016</v>
      </c>
    </row>
    <row r="6077" spans="1:3" x14ac:dyDescent="0.35">
      <c r="A6077" t="s">
        <v>18017</v>
      </c>
      <c r="B6077" t="s">
        <v>18018</v>
      </c>
      <c r="C6077" t="s">
        <v>18019</v>
      </c>
    </row>
    <row r="6078" spans="1:3" x14ac:dyDescent="0.35">
      <c r="A6078" t="s">
        <v>18020</v>
      </c>
      <c r="B6078" t="s">
        <v>18021</v>
      </c>
      <c r="C6078" t="s">
        <v>18022</v>
      </c>
    </row>
    <row r="6079" spans="1:3" x14ac:dyDescent="0.35">
      <c r="A6079" t="s">
        <v>18023</v>
      </c>
      <c r="B6079" t="s">
        <v>18024</v>
      </c>
      <c r="C6079" t="s">
        <v>18025</v>
      </c>
    </row>
    <row r="6080" spans="1:3" x14ac:dyDescent="0.35">
      <c r="A6080" t="s">
        <v>18026</v>
      </c>
      <c r="B6080" t="s">
        <v>18027</v>
      </c>
      <c r="C6080" t="s">
        <v>18028</v>
      </c>
    </row>
    <row r="6081" spans="1:3" x14ac:dyDescent="0.35">
      <c r="A6081" t="s">
        <v>18029</v>
      </c>
      <c r="B6081" t="s">
        <v>18030</v>
      </c>
      <c r="C6081" t="s">
        <v>18031</v>
      </c>
    </row>
    <row r="6082" spans="1:3" x14ac:dyDescent="0.35">
      <c r="A6082" t="s">
        <v>18032</v>
      </c>
      <c r="B6082" t="s">
        <v>18033</v>
      </c>
      <c r="C6082" t="s">
        <v>18034</v>
      </c>
    </row>
    <row r="6083" spans="1:3" x14ac:dyDescent="0.35">
      <c r="A6083" t="s">
        <v>18035</v>
      </c>
      <c r="B6083" t="s">
        <v>18036</v>
      </c>
      <c r="C6083" t="s">
        <v>18037</v>
      </c>
    </row>
    <row r="6084" spans="1:3" x14ac:dyDescent="0.35">
      <c r="A6084" t="s">
        <v>18038</v>
      </c>
      <c r="B6084" t="s">
        <v>18039</v>
      </c>
      <c r="C6084" t="s">
        <v>18040</v>
      </c>
    </row>
    <row r="6085" spans="1:3" x14ac:dyDescent="0.35">
      <c r="A6085" t="s">
        <v>18041</v>
      </c>
      <c r="B6085" t="s">
        <v>18042</v>
      </c>
      <c r="C6085" t="s">
        <v>18043</v>
      </c>
    </row>
    <row r="6086" spans="1:3" x14ac:dyDescent="0.35">
      <c r="A6086" t="s">
        <v>18044</v>
      </c>
      <c r="B6086" t="s">
        <v>18045</v>
      </c>
      <c r="C6086" t="s">
        <v>18046</v>
      </c>
    </row>
    <row r="6087" spans="1:3" x14ac:dyDescent="0.35">
      <c r="A6087" t="s">
        <v>18047</v>
      </c>
      <c r="B6087" t="s">
        <v>18048</v>
      </c>
      <c r="C6087" t="s">
        <v>18049</v>
      </c>
    </row>
    <row r="6088" spans="1:3" x14ac:dyDescent="0.35">
      <c r="A6088" t="s">
        <v>56</v>
      </c>
      <c r="B6088" t="s">
        <v>18050</v>
      </c>
      <c r="C6088" t="s">
        <v>18051</v>
      </c>
    </row>
    <row r="6089" spans="1:3" x14ac:dyDescent="0.35">
      <c r="A6089" t="s">
        <v>18052</v>
      </c>
      <c r="B6089" t="s">
        <v>18053</v>
      </c>
      <c r="C6089" t="s">
        <v>17121</v>
      </c>
    </row>
    <row r="6090" spans="1:3" x14ac:dyDescent="0.35">
      <c r="A6090" t="s">
        <v>18054</v>
      </c>
      <c r="B6090" t="s">
        <v>18055</v>
      </c>
      <c r="C6090" t="s">
        <v>18056</v>
      </c>
    </row>
    <row r="6091" spans="1:3" x14ac:dyDescent="0.35">
      <c r="A6091" t="s">
        <v>18057</v>
      </c>
      <c r="B6091" t="s">
        <v>18058</v>
      </c>
      <c r="C6091" t="s">
        <v>18059</v>
      </c>
    </row>
    <row r="6092" spans="1:3" x14ac:dyDescent="0.35">
      <c r="A6092" t="s">
        <v>18060</v>
      </c>
      <c r="B6092" t="s">
        <v>18061</v>
      </c>
      <c r="C6092" t="s">
        <v>18062</v>
      </c>
    </row>
    <row r="6093" spans="1:3" x14ac:dyDescent="0.35">
      <c r="A6093" t="s">
        <v>18063</v>
      </c>
      <c r="B6093" t="s">
        <v>18064</v>
      </c>
      <c r="C6093" t="s">
        <v>18065</v>
      </c>
    </row>
    <row r="6094" spans="1:3" x14ac:dyDescent="0.35">
      <c r="A6094" t="s">
        <v>18066</v>
      </c>
      <c r="B6094" t="s">
        <v>18067</v>
      </c>
      <c r="C6094" t="s">
        <v>18068</v>
      </c>
    </row>
    <row r="6095" spans="1:3" x14ac:dyDescent="0.35">
      <c r="A6095" t="s">
        <v>18069</v>
      </c>
      <c r="B6095" t="s">
        <v>18070</v>
      </c>
      <c r="C6095" t="s">
        <v>18071</v>
      </c>
    </row>
    <row r="6096" spans="1:3" x14ac:dyDescent="0.35">
      <c r="A6096" t="s">
        <v>18072</v>
      </c>
      <c r="B6096" t="s">
        <v>18073</v>
      </c>
      <c r="C6096" t="s">
        <v>18074</v>
      </c>
    </row>
    <row r="6097" spans="1:3" x14ac:dyDescent="0.35">
      <c r="A6097" t="s">
        <v>18075</v>
      </c>
      <c r="B6097" t="s">
        <v>18076</v>
      </c>
      <c r="C6097" t="s">
        <v>18077</v>
      </c>
    </row>
    <row r="6098" spans="1:3" x14ac:dyDescent="0.35">
      <c r="A6098" t="s">
        <v>18078</v>
      </c>
      <c r="B6098" t="s">
        <v>18079</v>
      </c>
      <c r="C6098" t="s">
        <v>18080</v>
      </c>
    </row>
    <row r="6099" spans="1:3" x14ac:dyDescent="0.35">
      <c r="A6099" t="s">
        <v>18081</v>
      </c>
      <c r="B6099" t="s">
        <v>18082</v>
      </c>
      <c r="C6099" t="s">
        <v>18083</v>
      </c>
    </row>
    <row r="6100" spans="1:3" x14ac:dyDescent="0.35">
      <c r="A6100" t="s">
        <v>18084</v>
      </c>
      <c r="B6100" t="s">
        <v>18085</v>
      </c>
      <c r="C6100" t="s">
        <v>18086</v>
      </c>
    </row>
    <row r="6101" spans="1:3" x14ac:dyDescent="0.35">
      <c r="A6101" t="s">
        <v>18087</v>
      </c>
      <c r="B6101" t="s">
        <v>18088</v>
      </c>
      <c r="C6101" t="s">
        <v>18089</v>
      </c>
    </row>
    <row r="6102" spans="1:3" x14ac:dyDescent="0.35">
      <c r="A6102" t="s">
        <v>18090</v>
      </c>
      <c r="B6102" t="s">
        <v>18091</v>
      </c>
      <c r="C6102" t="s">
        <v>18092</v>
      </c>
    </row>
    <row r="6103" spans="1:3" x14ac:dyDescent="0.35">
      <c r="A6103" t="s">
        <v>18093</v>
      </c>
      <c r="B6103" t="s">
        <v>18094</v>
      </c>
      <c r="C6103" t="s">
        <v>18095</v>
      </c>
    </row>
    <row r="6104" spans="1:3" x14ac:dyDescent="0.35">
      <c r="A6104" t="s">
        <v>18096</v>
      </c>
      <c r="B6104" t="s">
        <v>18097</v>
      </c>
      <c r="C6104" t="s">
        <v>18098</v>
      </c>
    </row>
    <row r="6105" spans="1:3" x14ac:dyDescent="0.35">
      <c r="A6105" t="s">
        <v>18099</v>
      </c>
      <c r="B6105" t="s">
        <v>18100</v>
      </c>
      <c r="C6105" t="s">
        <v>18101</v>
      </c>
    </row>
    <row r="6106" spans="1:3" x14ac:dyDescent="0.35">
      <c r="A6106" t="s">
        <v>18102</v>
      </c>
      <c r="B6106" t="s">
        <v>18103</v>
      </c>
      <c r="C6106" t="s">
        <v>18104</v>
      </c>
    </row>
    <row r="6107" spans="1:3" x14ac:dyDescent="0.35">
      <c r="A6107" t="s">
        <v>18105</v>
      </c>
      <c r="B6107" t="s">
        <v>18106</v>
      </c>
      <c r="C6107" t="s">
        <v>18107</v>
      </c>
    </row>
    <row r="6108" spans="1:3" x14ac:dyDescent="0.35">
      <c r="A6108" t="s">
        <v>18108</v>
      </c>
      <c r="B6108" t="s">
        <v>18109</v>
      </c>
      <c r="C6108" t="s">
        <v>18110</v>
      </c>
    </row>
    <row r="6109" spans="1:3" x14ac:dyDescent="0.35">
      <c r="A6109" t="s">
        <v>18111</v>
      </c>
      <c r="B6109" t="s">
        <v>18112</v>
      </c>
      <c r="C6109" t="s">
        <v>18113</v>
      </c>
    </row>
    <row r="6110" spans="1:3" x14ac:dyDescent="0.35">
      <c r="A6110" t="s">
        <v>18111</v>
      </c>
      <c r="B6110" t="s">
        <v>18114</v>
      </c>
      <c r="C6110" t="s">
        <v>18115</v>
      </c>
    </row>
    <row r="6111" spans="1:3" x14ac:dyDescent="0.35">
      <c r="A6111" t="s">
        <v>18116</v>
      </c>
      <c r="B6111" t="s">
        <v>18117</v>
      </c>
      <c r="C6111" t="s">
        <v>18118</v>
      </c>
    </row>
    <row r="6112" spans="1:3" x14ac:dyDescent="0.35">
      <c r="A6112" t="s">
        <v>18119</v>
      </c>
      <c r="B6112" t="s">
        <v>18120</v>
      </c>
      <c r="C6112" t="s">
        <v>18121</v>
      </c>
    </row>
    <row r="6113" spans="1:3" x14ac:dyDescent="0.35">
      <c r="A6113" t="s">
        <v>18122</v>
      </c>
      <c r="B6113" t="s">
        <v>18123</v>
      </c>
      <c r="C6113" t="s">
        <v>18124</v>
      </c>
    </row>
    <row r="6114" spans="1:3" x14ac:dyDescent="0.35">
      <c r="A6114" t="s">
        <v>18125</v>
      </c>
      <c r="B6114" t="s">
        <v>18126</v>
      </c>
      <c r="C6114" t="s">
        <v>18127</v>
      </c>
    </row>
    <row r="6115" spans="1:3" x14ac:dyDescent="0.35">
      <c r="A6115" t="s">
        <v>18128</v>
      </c>
      <c r="B6115" t="s">
        <v>18129</v>
      </c>
      <c r="C6115" t="s">
        <v>18130</v>
      </c>
    </row>
    <row r="6116" spans="1:3" x14ac:dyDescent="0.35">
      <c r="A6116" t="s">
        <v>131</v>
      </c>
      <c r="B6116" t="s">
        <v>18131</v>
      </c>
      <c r="C6116" t="s">
        <v>18132</v>
      </c>
    </row>
    <row r="6117" spans="1:3" x14ac:dyDescent="0.35">
      <c r="A6117" t="s">
        <v>18133</v>
      </c>
      <c r="B6117" t="s">
        <v>18134</v>
      </c>
      <c r="C6117" t="s">
        <v>18135</v>
      </c>
    </row>
    <row r="6118" spans="1:3" x14ac:dyDescent="0.35">
      <c r="A6118" t="s">
        <v>18136</v>
      </c>
      <c r="B6118" t="s">
        <v>18137</v>
      </c>
      <c r="C6118" t="s">
        <v>18138</v>
      </c>
    </row>
    <row r="6119" spans="1:3" x14ac:dyDescent="0.35">
      <c r="A6119" t="s">
        <v>18139</v>
      </c>
      <c r="B6119" t="s">
        <v>18140</v>
      </c>
      <c r="C6119" t="s">
        <v>18141</v>
      </c>
    </row>
    <row r="6120" spans="1:3" x14ac:dyDescent="0.35">
      <c r="A6120" t="s">
        <v>18142</v>
      </c>
      <c r="B6120" t="s">
        <v>18143</v>
      </c>
      <c r="C6120" t="s">
        <v>18144</v>
      </c>
    </row>
    <row r="6121" spans="1:3" x14ac:dyDescent="0.35">
      <c r="A6121" t="s">
        <v>18145</v>
      </c>
      <c r="B6121" t="s">
        <v>18146</v>
      </c>
      <c r="C6121" t="s">
        <v>18147</v>
      </c>
    </row>
    <row r="6122" spans="1:3" x14ac:dyDescent="0.35">
      <c r="A6122" t="s">
        <v>18148</v>
      </c>
      <c r="B6122" t="s">
        <v>18149</v>
      </c>
      <c r="C6122" t="s">
        <v>18150</v>
      </c>
    </row>
    <row r="6123" spans="1:3" x14ac:dyDescent="0.35">
      <c r="A6123" t="s">
        <v>18151</v>
      </c>
      <c r="B6123" t="s">
        <v>18152</v>
      </c>
      <c r="C6123" t="s">
        <v>18153</v>
      </c>
    </row>
    <row r="6124" spans="1:3" x14ac:dyDescent="0.35">
      <c r="A6124" t="s">
        <v>18154</v>
      </c>
      <c r="B6124" t="s">
        <v>18155</v>
      </c>
      <c r="C6124" t="s">
        <v>18156</v>
      </c>
    </row>
    <row r="6125" spans="1:3" x14ac:dyDescent="0.35">
      <c r="A6125" t="s">
        <v>18157</v>
      </c>
      <c r="B6125" t="s">
        <v>18158</v>
      </c>
      <c r="C6125" t="s">
        <v>18159</v>
      </c>
    </row>
    <row r="6126" spans="1:3" x14ac:dyDescent="0.35">
      <c r="A6126" t="s">
        <v>18160</v>
      </c>
      <c r="B6126" t="s">
        <v>18161</v>
      </c>
      <c r="C6126" t="s">
        <v>18162</v>
      </c>
    </row>
    <row r="6127" spans="1:3" x14ac:dyDescent="0.35">
      <c r="A6127" t="s">
        <v>18163</v>
      </c>
      <c r="B6127" t="s">
        <v>18164</v>
      </c>
      <c r="C6127" t="s">
        <v>18165</v>
      </c>
    </row>
    <row r="6128" spans="1:3" x14ac:dyDescent="0.35">
      <c r="A6128" t="s">
        <v>18166</v>
      </c>
      <c r="B6128" t="s">
        <v>18167</v>
      </c>
      <c r="C6128" t="s">
        <v>18168</v>
      </c>
    </row>
    <row r="6129" spans="1:3" x14ac:dyDescent="0.35">
      <c r="A6129" t="s">
        <v>18169</v>
      </c>
      <c r="B6129" t="s">
        <v>18170</v>
      </c>
      <c r="C6129" t="s">
        <v>18171</v>
      </c>
    </row>
    <row r="6130" spans="1:3" x14ac:dyDescent="0.35">
      <c r="A6130" t="s">
        <v>18172</v>
      </c>
      <c r="B6130" t="s">
        <v>18173</v>
      </c>
      <c r="C6130" t="s">
        <v>18174</v>
      </c>
    </row>
    <row r="6131" spans="1:3" x14ac:dyDescent="0.35">
      <c r="A6131" t="s">
        <v>18175</v>
      </c>
      <c r="B6131" t="s">
        <v>18176</v>
      </c>
      <c r="C6131" t="s">
        <v>18177</v>
      </c>
    </row>
    <row r="6132" spans="1:3" x14ac:dyDescent="0.35">
      <c r="A6132" t="s">
        <v>18178</v>
      </c>
      <c r="B6132" t="s">
        <v>18179</v>
      </c>
      <c r="C6132" t="s">
        <v>18180</v>
      </c>
    </row>
    <row r="6133" spans="1:3" x14ac:dyDescent="0.35">
      <c r="A6133" t="s">
        <v>18181</v>
      </c>
      <c r="B6133" t="s">
        <v>18182</v>
      </c>
      <c r="C6133" t="s">
        <v>18183</v>
      </c>
    </row>
    <row r="6134" spans="1:3" x14ac:dyDescent="0.35">
      <c r="A6134" t="s">
        <v>18184</v>
      </c>
      <c r="B6134" t="s">
        <v>18185</v>
      </c>
      <c r="C6134" t="s">
        <v>18186</v>
      </c>
    </row>
    <row r="6135" spans="1:3" x14ac:dyDescent="0.35">
      <c r="A6135" t="s">
        <v>18187</v>
      </c>
      <c r="B6135" t="s">
        <v>18188</v>
      </c>
      <c r="C6135" t="s">
        <v>18189</v>
      </c>
    </row>
    <row r="6136" spans="1:3" x14ac:dyDescent="0.35">
      <c r="A6136" t="s">
        <v>18190</v>
      </c>
      <c r="B6136" t="s">
        <v>18191</v>
      </c>
      <c r="C6136" t="s">
        <v>18192</v>
      </c>
    </row>
    <row r="6137" spans="1:3" x14ac:dyDescent="0.35">
      <c r="A6137" t="s">
        <v>18193</v>
      </c>
      <c r="B6137" t="s">
        <v>18194</v>
      </c>
      <c r="C6137" t="s">
        <v>18195</v>
      </c>
    </row>
    <row r="6138" spans="1:3" x14ac:dyDescent="0.35">
      <c r="A6138" t="s">
        <v>18196</v>
      </c>
      <c r="B6138" t="s">
        <v>18197</v>
      </c>
      <c r="C6138" t="s">
        <v>18198</v>
      </c>
    </row>
    <row r="6139" spans="1:3" x14ac:dyDescent="0.35">
      <c r="A6139" t="s">
        <v>18199</v>
      </c>
      <c r="B6139" t="s">
        <v>18200</v>
      </c>
      <c r="C6139" t="s">
        <v>18201</v>
      </c>
    </row>
    <row r="6140" spans="1:3" x14ac:dyDescent="0.35">
      <c r="A6140" t="s">
        <v>18202</v>
      </c>
      <c r="B6140" t="s">
        <v>18203</v>
      </c>
      <c r="C6140" t="s">
        <v>18204</v>
      </c>
    </row>
    <row r="6141" spans="1:3" x14ac:dyDescent="0.35">
      <c r="A6141" t="s">
        <v>18205</v>
      </c>
      <c r="B6141" t="s">
        <v>18206</v>
      </c>
      <c r="C6141" t="s">
        <v>18207</v>
      </c>
    </row>
    <row r="6142" spans="1:3" x14ac:dyDescent="0.35">
      <c r="A6142" t="s">
        <v>18208</v>
      </c>
      <c r="B6142" t="s">
        <v>18209</v>
      </c>
      <c r="C6142" t="s">
        <v>18210</v>
      </c>
    </row>
    <row r="6143" spans="1:3" x14ac:dyDescent="0.35">
      <c r="A6143" t="s">
        <v>18211</v>
      </c>
      <c r="B6143" t="s">
        <v>18212</v>
      </c>
      <c r="C6143" t="s">
        <v>18213</v>
      </c>
    </row>
    <row r="6144" spans="1:3" x14ac:dyDescent="0.35">
      <c r="A6144" t="s">
        <v>18214</v>
      </c>
      <c r="B6144" t="s">
        <v>18215</v>
      </c>
      <c r="C6144" t="s">
        <v>18216</v>
      </c>
    </row>
    <row r="6145" spans="1:3" x14ac:dyDescent="0.35">
      <c r="A6145" t="s">
        <v>18217</v>
      </c>
      <c r="B6145" t="s">
        <v>18218</v>
      </c>
      <c r="C6145" t="s">
        <v>16934</v>
      </c>
    </row>
    <row r="6146" spans="1:3" x14ac:dyDescent="0.35">
      <c r="A6146" t="s">
        <v>18219</v>
      </c>
      <c r="B6146" t="s">
        <v>18220</v>
      </c>
      <c r="C6146" t="s">
        <v>18221</v>
      </c>
    </row>
    <row r="6147" spans="1:3" x14ac:dyDescent="0.35">
      <c r="A6147" t="s">
        <v>18219</v>
      </c>
      <c r="B6147" t="s">
        <v>18222</v>
      </c>
      <c r="C6147" t="s">
        <v>18223</v>
      </c>
    </row>
    <row r="6148" spans="1:3" x14ac:dyDescent="0.35">
      <c r="A6148" t="s">
        <v>18224</v>
      </c>
      <c r="B6148" t="s">
        <v>18225</v>
      </c>
      <c r="C6148" t="s">
        <v>18226</v>
      </c>
    </row>
    <row r="6149" spans="1:3" x14ac:dyDescent="0.35">
      <c r="A6149" t="s">
        <v>18227</v>
      </c>
      <c r="B6149" t="s">
        <v>18228</v>
      </c>
      <c r="C6149" t="s">
        <v>18229</v>
      </c>
    </row>
    <row r="6150" spans="1:3" x14ac:dyDescent="0.35">
      <c r="A6150" t="s">
        <v>18230</v>
      </c>
      <c r="B6150" t="s">
        <v>18231</v>
      </c>
      <c r="C6150" t="s">
        <v>18232</v>
      </c>
    </row>
    <row r="6151" spans="1:3" x14ac:dyDescent="0.35">
      <c r="A6151" t="s">
        <v>18230</v>
      </c>
      <c r="B6151" t="s">
        <v>18233</v>
      </c>
      <c r="C6151" t="s">
        <v>18234</v>
      </c>
    </row>
    <row r="6152" spans="1:3" x14ac:dyDescent="0.35">
      <c r="A6152" t="s">
        <v>18235</v>
      </c>
      <c r="B6152" t="s">
        <v>18236</v>
      </c>
      <c r="C6152" t="s">
        <v>18237</v>
      </c>
    </row>
    <row r="6153" spans="1:3" x14ac:dyDescent="0.35">
      <c r="A6153" t="s">
        <v>18238</v>
      </c>
      <c r="B6153" t="s">
        <v>18239</v>
      </c>
      <c r="C6153" t="s">
        <v>18240</v>
      </c>
    </row>
    <row r="6154" spans="1:3" x14ac:dyDescent="0.35">
      <c r="A6154" t="s">
        <v>18241</v>
      </c>
      <c r="B6154" t="s">
        <v>18242</v>
      </c>
      <c r="C6154" t="s">
        <v>18243</v>
      </c>
    </row>
    <row r="6155" spans="1:3" x14ac:dyDescent="0.35">
      <c r="A6155" t="s">
        <v>18244</v>
      </c>
      <c r="B6155" t="s">
        <v>18245</v>
      </c>
      <c r="C6155" t="s">
        <v>18246</v>
      </c>
    </row>
    <row r="6156" spans="1:3" x14ac:dyDescent="0.35">
      <c r="A6156" t="s">
        <v>18247</v>
      </c>
      <c r="B6156" t="s">
        <v>18248</v>
      </c>
      <c r="C6156" t="s">
        <v>18249</v>
      </c>
    </row>
    <row r="6157" spans="1:3" x14ac:dyDescent="0.35">
      <c r="A6157" t="s">
        <v>18250</v>
      </c>
      <c r="B6157" t="s">
        <v>18251</v>
      </c>
      <c r="C6157" t="s">
        <v>18252</v>
      </c>
    </row>
    <row r="6158" spans="1:3" x14ac:dyDescent="0.35">
      <c r="A6158" t="s">
        <v>18250</v>
      </c>
      <c r="B6158" t="s">
        <v>18253</v>
      </c>
      <c r="C6158" t="s">
        <v>18254</v>
      </c>
    </row>
    <row r="6159" spans="1:3" x14ac:dyDescent="0.35">
      <c r="A6159" t="s">
        <v>18255</v>
      </c>
      <c r="B6159" t="s">
        <v>18256</v>
      </c>
      <c r="C6159" t="s">
        <v>18257</v>
      </c>
    </row>
    <row r="6160" spans="1:3" x14ac:dyDescent="0.35">
      <c r="A6160" t="s">
        <v>18258</v>
      </c>
      <c r="B6160" t="s">
        <v>18259</v>
      </c>
      <c r="C6160" t="s">
        <v>18260</v>
      </c>
    </row>
    <row r="6161" spans="1:3" x14ac:dyDescent="0.35">
      <c r="A6161" t="s">
        <v>18261</v>
      </c>
      <c r="B6161" t="s">
        <v>18262</v>
      </c>
      <c r="C6161" t="s">
        <v>18263</v>
      </c>
    </row>
    <row r="6162" spans="1:3" x14ac:dyDescent="0.35">
      <c r="A6162" t="s">
        <v>18264</v>
      </c>
      <c r="B6162" t="s">
        <v>18265</v>
      </c>
      <c r="C6162" t="s">
        <v>18266</v>
      </c>
    </row>
    <row r="6163" spans="1:3" x14ac:dyDescent="0.35">
      <c r="A6163" t="s">
        <v>18267</v>
      </c>
      <c r="B6163" t="s">
        <v>18268</v>
      </c>
      <c r="C6163" t="s">
        <v>18269</v>
      </c>
    </row>
    <row r="6164" spans="1:3" x14ac:dyDescent="0.35">
      <c r="A6164" t="s">
        <v>18270</v>
      </c>
      <c r="B6164" t="s">
        <v>18271</v>
      </c>
      <c r="C6164" t="s">
        <v>18272</v>
      </c>
    </row>
    <row r="6165" spans="1:3" x14ac:dyDescent="0.35">
      <c r="A6165" t="s">
        <v>18273</v>
      </c>
      <c r="B6165" t="s">
        <v>18274</v>
      </c>
      <c r="C6165" t="s">
        <v>18275</v>
      </c>
    </row>
    <row r="6166" spans="1:3" x14ac:dyDescent="0.35">
      <c r="A6166" t="s">
        <v>18276</v>
      </c>
      <c r="B6166" t="s">
        <v>18277</v>
      </c>
      <c r="C6166" t="s">
        <v>18278</v>
      </c>
    </row>
    <row r="6167" spans="1:3" x14ac:dyDescent="0.35">
      <c r="A6167" t="s">
        <v>18279</v>
      </c>
      <c r="B6167" t="s">
        <v>18280</v>
      </c>
      <c r="C6167" t="s">
        <v>18281</v>
      </c>
    </row>
    <row r="6168" spans="1:3" x14ac:dyDescent="0.35">
      <c r="A6168" t="s">
        <v>18282</v>
      </c>
      <c r="B6168" t="s">
        <v>18283</v>
      </c>
      <c r="C6168" t="s">
        <v>18284</v>
      </c>
    </row>
    <row r="6169" spans="1:3" x14ac:dyDescent="0.35">
      <c r="A6169" t="s">
        <v>18285</v>
      </c>
      <c r="B6169" t="s">
        <v>18286</v>
      </c>
      <c r="C6169" t="s">
        <v>18287</v>
      </c>
    </row>
    <row r="6170" spans="1:3" x14ac:dyDescent="0.35">
      <c r="A6170" t="s">
        <v>18288</v>
      </c>
      <c r="B6170" t="s">
        <v>18289</v>
      </c>
      <c r="C6170" t="s">
        <v>18290</v>
      </c>
    </row>
    <row r="6171" spans="1:3" x14ac:dyDescent="0.35">
      <c r="A6171" t="s">
        <v>18291</v>
      </c>
      <c r="B6171" t="s">
        <v>18292</v>
      </c>
      <c r="C6171" t="s">
        <v>18293</v>
      </c>
    </row>
    <row r="6172" spans="1:3" x14ac:dyDescent="0.35">
      <c r="A6172" t="s">
        <v>18294</v>
      </c>
      <c r="B6172" t="s">
        <v>18295</v>
      </c>
      <c r="C6172" t="s">
        <v>18296</v>
      </c>
    </row>
    <row r="6173" spans="1:3" x14ac:dyDescent="0.35">
      <c r="A6173" t="s">
        <v>18297</v>
      </c>
      <c r="B6173" t="s">
        <v>18298</v>
      </c>
      <c r="C6173" t="s">
        <v>18299</v>
      </c>
    </row>
    <row r="6174" spans="1:3" x14ac:dyDescent="0.35">
      <c r="A6174" t="s">
        <v>18300</v>
      </c>
      <c r="B6174" t="s">
        <v>18301</v>
      </c>
      <c r="C6174" t="s">
        <v>18302</v>
      </c>
    </row>
    <row r="6175" spans="1:3" x14ac:dyDescent="0.35">
      <c r="A6175" t="s">
        <v>18303</v>
      </c>
      <c r="B6175" t="s">
        <v>18304</v>
      </c>
      <c r="C6175" t="s">
        <v>18305</v>
      </c>
    </row>
    <row r="6176" spans="1:3" x14ac:dyDescent="0.35">
      <c r="A6176" t="s">
        <v>18306</v>
      </c>
      <c r="B6176" t="s">
        <v>18307</v>
      </c>
      <c r="C6176" t="s">
        <v>18308</v>
      </c>
    </row>
    <row r="6177" spans="1:3" x14ac:dyDescent="0.35">
      <c r="A6177" t="s">
        <v>18306</v>
      </c>
      <c r="B6177" t="s">
        <v>18309</v>
      </c>
      <c r="C6177" t="s">
        <v>18310</v>
      </c>
    </row>
    <row r="6178" spans="1:3" x14ac:dyDescent="0.35">
      <c r="A6178" t="s">
        <v>18311</v>
      </c>
      <c r="B6178" t="s">
        <v>18312</v>
      </c>
      <c r="C6178" t="s">
        <v>18313</v>
      </c>
    </row>
    <row r="6179" spans="1:3" x14ac:dyDescent="0.35">
      <c r="A6179" t="s">
        <v>18314</v>
      </c>
      <c r="B6179" t="s">
        <v>18315</v>
      </c>
      <c r="C6179" t="s">
        <v>18316</v>
      </c>
    </row>
    <row r="6180" spans="1:3" x14ac:dyDescent="0.35">
      <c r="A6180" t="s">
        <v>18317</v>
      </c>
      <c r="B6180" t="s">
        <v>18318</v>
      </c>
      <c r="C6180" t="s">
        <v>18319</v>
      </c>
    </row>
    <row r="6181" spans="1:3" x14ac:dyDescent="0.35">
      <c r="A6181" t="s">
        <v>18320</v>
      </c>
      <c r="B6181" t="s">
        <v>18321</v>
      </c>
      <c r="C6181" t="s">
        <v>18322</v>
      </c>
    </row>
    <row r="6182" spans="1:3" x14ac:dyDescent="0.35">
      <c r="A6182" t="s">
        <v>18323</v>
      </c>
      <c r="B6182" t="s">
        <v>18324</v>
      </c>
      <c r="C6182" t="s">
        <v>18325</v>
      </c>
    </row>
    <row r="6183" spans="1:3" x14ac:dyDescent="0.35">
      <c r="A6183" t="s">
        <v>18326</v>
      </c>
      <c r="B6183" t="s">
        <v>18327</v>
      </c>
      <c r="C6183" t="s">
        <v>18328</v>
      </c>
    </row>
    <row r="6184" spans="1:3" x14ac:dyDescent="0.35">
      <c r="A6184" t="s">
        <v>18329</v>
      </c>
      <c r="B6184" t="s">
        <v>18330</v>
      </c>
      <c r="C6184" t="s">
        <v>18331</v>
      </c>
    </row>
    <row r="6185" spans="1:3" x14ac:dyDescent="0.35">
      <c r="A6185" t="s">
        <v>18332</v>
      </c>
      <c r="B6185" t="s">
        <v>18333</v>
      </c>
      <c r="C6185" t="s">
        <v>18334</v>
      </c>
    </row>
    <row r="6186" spans="1:3" x14ac:dyDescent="0.35">
      <c r="A6186" t="s">
        <v>18335</v>
      </c>
      <c r="B6186" t="s">
        <v>18336</v>
      </c>
      <c r="C6186" t="s">
        <v>18337</v>
      </c>
    </row>
    <row r="6187" spans="1:3" x14ac:dyDescent="0.35">
      <c r="A6187" t="s">
        <v>18338</v>
      </c>
      <c r="B6187" t="s">
        <v>18339</v>
      </c>
      <c r="C6187" t="s">
        <v>18340</v>
      </c>
    </row>
    <row r="6188" spans="1:3" x14ac:dyDescent="0.35">
      <c r="A6188" t="s">
        <v>18341</v>
      </c>
      <c r="B6188" t="s">
        <v>14866</v>
      </c>
      <c r="C6188" t="s">
        <v>18342</v>
      </c>
    </row>
    <row r="6189" spans="1:3" x14ac:dyDescent="0.35">
      <c r="A6189" t="s">
        <v>18343</v>
      </c>
      <c r="B6189" t="s">
        <v>18344</v>
      </c>
      <c r="C6189" t="s">
        <v>18345</v>
      </c>
    </row>
    <row r="6190" spans="1:3" x14ac:dyDescent="0.35">
      <c r="A6190" t="s">
        <v>18346</v>
      </c>
      <c r="B6190" t="s">
        <v>18347</v>
      </c>
      <c r="C6190" t="s">
        <v>18348</v>
      </c>
    </row>
    <row r="6191" spans="1:3" x14ac:dyDescent="0.35">
      <c r="A6191" t="s">
        <v>18349</v>
      </c>
      <c r="B6191" t="s">
        <v>18350</v>
      </c>
      <c r="C6191" t="s">
        <v>18351</v>
      </c>
    </row>
    <row r="6192" spans="1:3" x14ac:dyDescent="0.35">
      <c r="A6192" t="s">
        <v>18352</v>
      </c>
      <c r="B6192" t="s">
        <v>18353</v>
      </c>
      <c r="C6192" t="s">
        <v>18354</v>
      </c>
    </row>
    <row r="6193" spans="1:3" x14ac:dyDescent="0.35">
      <c r="A6193" t="s">
        <v>18355</v>
      </c>
      <c r="B6193" t="s">
        <v>18356</v>
      </c>
      <c r="C6193" t="s">
        <v>18357</v>
      </c>
    </row>
    <row r="6194" spans="1:3" x14ac:dyDescent="0.35">
      <c r="A6194" t="s">
        <v>18358</v>
      </c>
      <c r="B6194" t="s">
        <v>18359</v>
      </c>
      <c r="C6194" t="s">
        <v>18360</v>
      </c>
    </row>
    <row r="6195" spans="1:3" x14ac:dyDescent="0.35">
      <c r="A6195" t="s">
        <v>18361</v>
      </c>
      <c r="B6195" t="s">
        <v>18362</v>
      </c>
      <c r="C6195" t="s">
        <v>18363</v>
      </c>
    </row>
    <row r="6196" spans="1:3" x14ac:dyDescent="0.35">
      <c r="A6196" t="s">
        <v>18364</v>
      </c>
      <c r="B6196" t="s">
        <v>18365</v>
      </c>
      <c r="C6196" t="s">
        <v>18366</v>
      </c>
    </row>
    <row r="6197" spans="1:3" x14ac:dyDescent="0.35">
      <c r="A6197" t="s">
        <v>18367</v>
      </c>
      <c r="B6197" t="s">
        <v>18368</v>
      </c>
      <c r="C6197" t="s">
        <v>18369</v>
      </c>
    </row>
    <row r="6198" spans="1:3" x14ac:dyDescent="0.35">
      <c r="A6198" t="s">
        <v>18370</v>
      </c>
      <c r="B6198" t="s">
        <v>18371</v>
      </c>
      <c r="C6198" t="s">
        <v>18372</v>
      </c>
    </row>
    <row r="6199" spans="1:3" x14ac:dyDescent="0.35">
      <c r="A6199" t="s">
        <v>18373</v>
      </c>
      <c r="B6199" t="s">
        <v>18374</v>
      </c>
      <c r="C6199" t="s">
        <v>18375</v>
      </c>
    </row>
    <row r="6200" spans="1:3" x14ac:dyDescent="0.35">
      <c r="A6200" t="s">
        <v>18376</v>
      </c>
      <c r="B6200" t="s">
        <v>18377</v>
      </c>
      <c r="C6200" t="s">
        <v>18378</v>
      </c>
    </row>
    <row r="6201" spans="1:3" x14ac:dyDescent="0.35">
      <c r="A6201" t="s">
        <v>18379</v>
      </c>
      <c r="B6201" t="s">
        <v>18380</v>
      </c>
      <c r="C6201" t="s">
        <v>18381</v>
      </c>
    </row>
    <row r="6202" spans="1:3" x14ac:dyDescent="0.35">
      <c r="A6202" t="s">
        <v>18382</v>
      </c>
      <c r="B6202" t="s">
        <v>18383</v>
      </c>
      <c r="C6202" t="s">
        <v>18384</v>
      </c>
    </row>
    <row r="6203" spans="1:3" x14ac:dyDescent="0.35">
      <c r="A6203" t="s">
        <v>18385</v>
      </c>
      <c r="B6203" t="s">
        <v>18386</v>
      </c>
      <c r="C6203" t="s">
        <v>18387</v>
      </c>
    </row>
    <row r="6204" spans="1:3" x14ac:dyDescent="0.35">
      <c r="A6204" t="s">
        <v>18388</v>
      </c>
      <c r="B6204" t="s">
        <v>18389</v>
      </c>
      <c r="C6204" t="s">
        <v>18390</v>
      </c>
    </row>
    <row r="6205" spans="1:3" x14ac:dyDescent="0.35">
      <c r="A6205" t="s">
        <v>18391</v>
      </c>
      <c r="B6205" t="s">
        <v>18392</v>
      </c>
      <c r="C6205" t="s">
        <v>9008</v>
      </c>
    </row>
    <row r="6206" spans="1:3" x14ac:dyDescent="0.35">
      <c r="A6206" t="s">
        <v>18393</v>
      </c>
      <c r="B6206" t="s">
        <v>18394</v>
      </c>
      <c r="C6206" t="s">
        <v>18395</v>
      </c>
    </row>
    <row r="6207" spans="1:3" x14ac:dyDescent="0.35">
      <c r="A6207" t="s">
        <v>18396</v>
      </c>
      <c r="B6207" t="s">
        <v>18397</v>
      </c>
      <c r="C6207" t="s">
        <v>18398</v>
      </c>
    </row>
    <row r="6208" spans="1:3" x14ac:dyDescent="0.35">
      <c r="A6208" t="s">
        <v>18399</v>
      </c>
      <c r="B6208" t="s">
        <v>18400</v>
      </c>
      <c r="C6208" t="s">
        <v>18401</v>
      </c>
    </row>
    <row r="6209" spans="1:3" x14ac:dyDescent="0.35">
      <c r="A6209" t="s">
        <v>18402</v>
      </c>
      <c r="B6209" t="s">
        <v>18403</v>
      </c>
      <c r="C6209" t="s">
        <v>18404</v>
      </c>
    </row>
    <row r="6210" spans="1:3" x14ac:dyDescent="0.35">
      <c r="A6210" t="s">
        <v>18405</v>
      </c>
      <c r="B6210" t="s">
        <v>18406</v>
      </c>
      <c r="C6210" t="s">
        <v>18407</v>
      </c>
    </row>
    <row r="6211" spans="1:3" x14ac:dyDescent="0.35">
      <c r="A6211" t="s">
        <v>18408</v>
      </c>
      <c r="B6211" t="s">
        <v>18409</v>
      </c>
      <c r="C6211" t="s">
        <v>18410</v>
      </c>
    </row>
    <row r="6212" spans="1:3" x14ac:dyDescent="0.35">
      <c r="A6212" t="s">
        <v>18411</v>
      </c>
      <c r="B6212" t="s">
        <v>18412</v>
      </c>
      <c r="C6212" t="s">
        <v>18413</v>
      </c>
    </row>
    <row r="6213" spans="1:3" x14ac:dyDescent="0.35">
      <c r="A6213" t="s">
        <v>18414</v>
      </c>
      <c r="B6213" t="s">
        <v>18415</v>
      </c>
      <c r="C6213" t="s">
        <v>18416</v>
      </c>
    </row>
    <row r="6214" spans="1:3" x14ac:dyDescent="0.35">
      <c r="A6214" t="s">
        <v>18417</v>
      </c>
      <c r="B6214" t="s">
        <v>18418</v>
      </c>
      <c r="C6214" t="s">
        <v>18419</v>
      </c>
    </row>
    <row r="6215" spans="1:3" x14ac:dyDescent="0.35">
      <c r="A6215" t="s">
        <v>18420</v>
      </c>
      <c r="B6215" t="s">
        <v>18421</v>
      </c>
      <c r="C6215" t="s">
        <v>18422</v>
      </c>
    </row>
    <row r="6216" spans="1:3" x14ac:dyDescent="0.35">
      <c r="A6216" t="s">
        <v>18423</v>
      </c>
      <c r="B6216" t="s">
        <v>18424</v>
      </c>
      <c r="C6216" t="s">
        <v>18425</v>
      </c>
    </row>
    <row r="6217" spans="1:3" x14ac:dyDescent="0.35">
      <c r="A6217" t="s">
        <v>18426</v>
      </c>
      <c r="B6217" t="s">
        <v>18427</v>
      </c>
      <c r="C6217" t="s">
        <v>18428</v>
      </c>
    </row>
    <row r="6218" spans="1:3" x14ac:dyDescent="0.35">
      <c r="A6218" t="s">
        <v>18429</v>
      </c>
      <c r="B6218" t="s">
        <v>18430</v>
      </c>
      <c r="C6218" t="s">
        <v>18431</v>
      </c>
    </row>
    <row r="6219" spans="1:3" x14ac:dyDescent="0.35">
      <c r="A6219" t="s">
        <v>132</v>
      </c>
      <c r="B6219" t="s">
        <v>18432</v>
      </c>
      <c r="C6219" t="s">
        <v>18433</v>
      </c>
    </row>
    <row r="6220" spans="1:3" x14ac:dyDescent="0.35">
      <c r="A6220" t="s">
        <v>18434</v>
      </c>
      <c r="B6220" t="s">
        <v>18435</v>
      </c>
      <c r="C6220" t="s">
        <v>18436</v>
      </c>
    </row>
    <row r="6221" spans="1:3" x14ac:dyDescent="0.35">
      <c r="A6221" t="s">
        <v>18437</v>
      </c>
      <c r="B6221" t="s">
        <v>18438</v>
      </c>
      <c r="C6221" t="s">
        <v>18439</v>
      </c>
    </row>
    <row r="6222" spans="1:3" x14ac:dyDescent="0.35">
      <c r="A6222" t="s">
        <v>18437</v>
      </c>
      <c r="B6222" t="s">
        <v>18440</v>
      </c>
      <c r="C6222" t="s">
        <v>18441</v>
      </c>
    </row>
    <row r="6223" spans="1:3" x14ac:dyDescent="0.35">
      <c r="A6223" t="s">
        <v>18442</v>
      </c>
      <c r="B6223" t="s">
        <v>18443</v>
      </c>
      <c r="C6223" t="s">
        <v>18444</v>
      </c>
    </row>
    <row r="6224" spans="1:3" x14ac:dyDescent="0.35">
      <c r="A6224" t="s">
        <v>18445</v>
      </c>
      <c r="B6224" t="s">
        <v>18446</v>
      </c>
      <c r="C6224" t="s">
        <v>18447</v>
      </c>
    </row>
    <row r="6225" spans="1:3" x14ac:dyDescent="0.35">
      <c r="A6225" t="s">
        <v>18448</v>
      </c>
      <c r="B6225" t="s">
        <v>18449</v>
      </c>
      <c r="C6225" t="s">
        <v>18450</v>
      </c>
    </row>
    <row r="6226" spans="1:3" x14ac:dyDescent="0.35">
      <c r="A6226" t="s">
        <v>18451</v>
      </c>
      <c r="B6226" t="s">
        <v>18452</v>
      </c>
      <c r="C6226" t="s">
        <v>18453</v>
      </c>
    </row>
    <row r="6227" spans="1:3" x14ac:dyDescent="0.35">
      <c r="A6227" t="s">
        <v>18454</v>
      </c>
      <c r="B6227" t="s">
        <v>18455</v>
      </c>
      <c r="C6227" t="s">
        <v>18456</v>
      </c>
    </row>
    <row r="6228" spans="1:3" x14ac:dyDescent="0.35">
      <c r="A6228" t="s">
        <v>18457</v>
      </c>
      <c r="B6228" t="s">
        <v>18458</v>
      </c>
      <c r="C6228" t="s">
        <v>18459</v>
      </c>
    </row>
    <row r="6229" spans="1:3" x14ac:dyDescent="0.35">
      <c r="A6229" t="s">
        <v>18460</v>
      </c>
      <c r="B6229" t="s">
        <v>18461</v>
      </c>
      <c r="C6229" t="s">
        <v>18462</v>
      </c>
    </row>
    <row r="6230" spans="1:3" x14ac:dyDescent="0.35">
      <c r="A6230" t="s">
        <v>18463</v>
      </c>
      <c r="B6230" t="s">
        <v>18464</v>
      </c>
      <c r="C6230" t="s">
        <v>18465</v>
      </c>
    </row>
    <row r="6231" spans="1:3" x14ac:dyDescent="0.35">
      <c r="A6231" t="s">
        <v>18466</v>
      </c>
      <c r="B6231" t="s">
        <v>18467</v>
      </c>
      <c r="C6231" t="s">
        <v>18468</v>
      </c>
    </row>
    <row r="6232" spans="1:3" x14ac:dyDescent="0.35">
      <c r="A6232" t="s">
        <v>18469</v>
      </c>
      <c r="B6232" t="s">
        <v>18470</v>
      </c>
      <c r="C6232" t="s">
        <v>18471</v>
      </c>
    </row>
    <row r="6233" spans="1:3" x14ac:dyDescent="0.35">
      <c r="A6233" t="s">
        <v>18472</v>
      </c>
      <c r="B6233" t="s">
        <v>18473</v>
      </c>
      <c r="C6233" t="s">
        <v>18474</v>
      </c>
    </row>
    <row r="6234" spans="1:3" x14ac:dyDescent="0.35">
      <c r="A6234" t="s">
        <v>18475</v>
      </c>
      <c r="B6234" t="s">
        <v>18476</v>
      </c>
      <c r="C6234" t="s">
        <v>18477</v>
      </c>
    </row>
    <row r="6235" spans="1:3" x14ac:dyDescent="0.35">
      <c r="A6235" t="s">
        <v>18478</v>
      </c>
      <c r="B6235" t="s">
        <v>18479</v>
      </c>
      <c r="C6235" t="s">
        <v>18480</v>
      </c>
    </row>
    <row r="6236" spans="1:3" x14ac:dyDescent="0.35">
      <c r="A6236" t="s">
        <v>18481</v>
      </c>
      <c r="B6236" t="s">
        <v>18482</v>
      </c>
      <c r="C6236" t="s">
        <v>18483</v>
      </c>
    </row>
    <row r="6237" spans="1:3" x14ac:dyDescent="0.35">
      <c r="A6237" t="s">
        <v>18484</v>
      </c>
      <c r="B6237" t="s">
        <v>18485</v>
      </c>
      <c r="C6237" t="s">
        <v>18486</v>
      </c>
    </row>
    <row r="6238" spans="1:3" x14ac:dyDescent="0.35">
      <c r="A6238" t="s">
        <v>18487</v>
      </c>
      <c r="B6238" t="s">
        <v>18488</v>
      </c>
      <c r="C6238" t="s">
        <v>18489</v>
      </c>
    </row>
    <row r="6239" spans="1:3" x14ac:dyDescent="0.35">
      <c r="A6239" t="s">
        <v>18490</v>
      </c>
      <c r="B6239" t="s">
        <v>18491</v>
      </c>
      <c r="C6239" t="s">
        <v>18492</v>
      </c>
    </row>
    <row r="6240" spans="1:3" x14ac:dyDescent="0.35">
      <c r="A6240" t="s">
        <v>18493</v>
      </c>
      <c r="B6240" t="s">
        <v>18494</v>
      </c>
      <c r="C6240" t="s">
        <v>18495</v>
      </c>
    </row>
    <row r="6241" spans="1:3" x14ac:dyDescent="0.35">
      <c r="A6241" t="s">
        <v>18496</v>
      </c>
      <c r="B6241" t="s">
        <v>18497</v>
      </c>
      <c r="C6241" t="s">
        <v>18498</v>
      </c>
    </row>
    <row r="6242" spans="1:3" x14ac:dyDescent="0.35">
      <c r="A6242" t="s">
        <v>18499</v>
      </c>
      <c r="B6242" t="s">
        <v>18500</v>
      </c>
      <c r="C6242" t="s">
        <v>18501</v>
      </c>
    </row>
    <row r="6243" spans="1:3" x14ac:dyDescent="0.35">
      <c r="A6243" t="s">
        <v>18502</v>
      </c>
      <c r="B6243" t="s">
        <v>18503</v>
      </c>
      <c r="C6243" t="s">
        <v>18504</v>
      </c>
    </row>
    <row r="6244" spans="1:3" x14ac:dyDescent="0.35">
      <c r="A6244" t="s">
        <v>18505</v>
      </c>
      <c r="B6244" t="s">
        <v>18506</v>
      </c>
      <c r="C6244" t="s">
        <v>18507</v>
      </c>
    </row>
    <row r="6245" spans="1:3" x14ac:dyDescent="0.35">
      <c r="A6245" t="s">
        <v>18508</v>
      </c>
      <c r="B6245" t="s">
        <v>18509</v>
      </c>
      <c r="C6245" t="s">
        <v>18510</v>
      </c>
    </row>
    <row r="6246" spans="1:3" x14ac:dyDescent="0.35">
      <c r="A6246" t="s">
        <v>18511</v>
      </c>
      <c r="B6246" t="s">
        <v>18512</v>
      </c>
      <c r="C6246" t="s">
        <v>18513</v>
      </c>
    </row>
    <row r="6247" spans="1:3" x14ac:dyDescent="0.35">
      <c r="A6247" t="s">
        <v>18514</v>
      </c>
      <c r="B6247" t="s">
        <v>18515</v>
      </c>
      <c r="C6247" t="s">
        <v>18516</v>
      </c>
    </row>
    <row r="6248" spans="1:3" x14ac:dyDescent="0.35">
      <c r="A6248" t="s">
        <v>18517</v>
      </c>
      <c r="B6248" t="s">
        <v>18518</v>
      </c>
      <c r="C6248" t="s">
        <v>18519</v>
      </c>
    </row>
    <row r="6249" spans="1:3" x14ac:dyDescent="0.35">
      <c r="A6249" t="s">
        <v>18520</v>
      </c>
      <c r="B6249" t="s">
        <v>18521</v>
      </c>
      <c r="C6249" t="s">
        <v>18522</v>
      </c>
    </row>
    <row r="6250" spans="1:3" x14ac:dyDescent="0.35">
      <c r="A6250" t="s">
        <v>18523</v>
      </c>
      <c r="B6250" t="s">
        <v>18524</v>
      </c>
      <c r="C6250" t="s">
        <v>18525</v>
      </c>
    </row>
    <row r="6251" spans="1:3" x14ac:dyDescent="0.35">
      <c r="A6251" t="s">
        <v>18526</v>
      </c>
      <c r="B6251" t="s">
        <v>18527</v>
      </c>
      <c r="C6251" t="s">
        <v>18528</v>
      </c>
    </row>
    <row r="6252" spans="1:3" x14ac:dyDescent="0.35">
      <c r="A6252" t="s">
        <v>18529</v>
      </c>
      <c r="B6252" t="s">
        <v>18530</v>
      </c>
      <c r="C6252" t="s">
        <v>18531</v>
      </c>
    </row>
    <row r="6253" spans="1:3" x14ac:dyDescent="0.35">
      <c r="A6253" t="s">
        <v>18532</v>
      </c>
      <c r="B6253" t="s">
        <v>18533</v>
      </c>
      <c r="C6253" t="s">
        <v>18534</v>
      </c>
    </row>
    <row r="6254" spans="1:3" x14ac:dyDescent="0.35">
      <c r="A6254" t="s">
        <v>18535</v>
      </c>
      <c r="B6254" t="s">
        <v>18536</v>
      </c>
      <c r="C6254" t="s">
        <v>18537</v>
      </c>
    </row>
    <row r="6255" spans="1:3" x14ac:dyDescent="0.35">
      <c r="A6255" t="s">
        <v>133</v>
      </c>
      <c r="B6255" t="s">
        <v>18538</v>
      </c>
      <c r="C6255" t="s">
        <v>18539</v>
      </c>
    </row>
    <row r="6256" spans="1:3" x14ac:dyDescent="0.35">
      <c r="A6256" t="s">
        <v>18540</v>
      </c>
      <c r="B6256" t="s">
        <v>18541</v>
      </c>
      <c r="C6256" t="s">
        <v>18542</v>
      </c>
    </row>
    <row r="6257" spans="1:3" x14ac:dyDescent="0.35">
      <c r="A6257" t="s">
        <v>18543</v>
      </c>
      <c r="B6257" t="s">
        <v>18544</v>
      </c>
      <c r="C6257" t="s">
        <v>18545</v>
      </c>
    </row>
    <row r="6258" spans="1:3" x14ac:dyDescent="0.35">
      <c r="A6258" t="s">
        <v>18546</v>
      </c>
      <c r="B6258" t="s">
        <v>18547</v>
      </c>
      <c r="C6258" t="s">
        <v>18548</v>
      </c>
    </row>
    <row r="6259" spans="1:3" x14ac:dyDescent="0.35">
      <c r="A6259" t="s">
        <v>18549</v>
      </c>
      <c r="B6259" t="s">
        <v>18550</v>
      </c>
      <c r="C6259" t="s">
        <v>18551</v>
      </c>
    </row>
    <row r="6260" spans="1:3" x14ac:dyDescent="0.35">
      <c r="A6260" t="s">
        <v>18552</v>
      </c>
      <c r="B6260" t="s">
        <v>18553</v>
      </c>
      <c r="C6260" t="s">
        <v>18554</v>
      </c>
    </row>
    <row r="6261" spans="1:3" x14ac:dyDescent="0.35">
      <c r="A6261" t="s">
        <v>18555</v>
      </c>
      <c r="B6261" t="s">
        <v>18556</v>
      </c>
      <c r="C6261" t="s">
        <v>18557</v>
      </c>
    </row>
    <row r="6262" spans="1:3" x14ac:dyDescent="0.35">
      <c r="A6262" t="s">
        <v>18558</v>
      </c>
      <c r="B6262" t="s">
        <v>18559</v>
      </c>
      <c r="C6262" t="s">
        <v>18560</v>
      </c>
    </row>
    <row r="6263" spans="1:3" x14ac:dyDescent="0.35">
      <c r="A6263" t="s">
        <v>18561</v>
      </c>
      <c r="B6263" t="s">
        <v>18562</v>
      </c>
      <c r="C6263" t="s">
        <v>18563</v>
      </c>
    </row>
    <row r="6264" spans="1:3" x14ac:dyDescent="0.35">
      <c r="A6264" t="s">
        <v>18564</v>
      </c>
      <c r="B6264" t="s">
        <v>18565</v>
      </c>
      <c r="C6264" t="s">
        <v>18566</v>
      </c>
    </row>
    <row r="6265" spans="1:3" x14ac:dyDescent="0.35">
      <c r="A6265" t="s">
        <v>18567</v>
      </c>
      <c r="B6265" t="s">
        <v>18568</v>
      </c>
      <c r="C6265" t="s">
        <v>18569</v>
      </c>
    </row>
    <row r="6266" spans="1:3" x14ac:dyDescent="0.35">
      <c r="A6266" t="s">
        <v>18570</v>
      </c>
      <c r="B6266" t="s">
        <v>18571</v>
      </c>
      <c r="C6266" t="s">
        <v>18572</v>
      </c>
    </row>
    <row r="6267" spans="1:3" x14ac:dyDescent="0.35">
      <c r="A6267" t="s">
        <v>18573</v>
      </c>
      <c r="B6267" t="s">
        <v>18574</v>
      </c>
      <c r="C6267" t="s">
        <v>18575</v>
      </c>
    </row>
    <row r="6268" spans="1:3" x14ac:dyDescent="0.35">
      <c r="A6268" t="s">
        <v>18576</v>
      </c>
      <c r="B6268" t="s">
        <v>18577</v>
      </c>
      <c r="C6268" t="s">
        <v>18578</v>
      </c>
    </row>
    <row r="6269" spans="1:3" x14ac:dyDescent="0.35">
      <c r="A6269" t="s">
        <v>18579</v>
      </c>
      <c r="B6269" t="s">
        <v>18580</v>
      </c>
      <c r="C6269" t="s">
        <v>18581</v>
      </c>
    </row>
    <row r="6270" spans="1:3" x14ac:dyDescent="0.35">
      <c r="A6270" t="s">
        <v>18582</v>
      </c>
      <c r="B6270" t="s">
        <v>18583</v>
      </c>
      <c r="C6270" t="s">
        <v>18584</v>
      </c>
    </row>
    <row r="6271" spans="1:3" x14ac:dyDescent="0.35">
      <c r="A6271" t="s">
        <v>18585</v>
      </c>
      <c r="B6271" t="s">
        <v>18586</v>
      </c>
      <c r="C6271" t="s">
        <v>18587</v>
      </c>
    </row>
    <row r="6272" spans="1:3" x14ac:dyDescent="0.35">
      <c r="A6272" t="s">
        <v>18588</v>
      </c>
      <c r="B6272" t="s">
        <v>18589</v>
      </c>
      <c r="C6272" t="s">
        <v>18590</v>
      </c>
    </row>
    <row r="6273" spans="1:3" x14ac:dyDescent="0.35">
      <c r="A6273" t="s">
        <v>18591</v>
      </c>
      <c r="B6273" t="s">
        <v>18592</v>
      </c>
      <c r="C6273" t="s">
        <v>18593</v>
      </c>
    </row>
    <row r="6274" spans="1:3" x14ac:dyDescent="0.35">
      <c r="A6274" t="s">
        <v>18594</v>
      </c>
      <c r="B6274" t="s">
        <v>18595</v>
      </c>
      <c r="C6274" t="s">
        <v>18596</v>
      </c>
    </row>
    <row r="6275" spans="1:3" x14ac:dyDescent="0.35">
      <c r="A6275" t="s">
        <v>18597</v>
      </c>
      <c r="B6275" t="s">
        <v>18598</v>
      </c>
      <c r="C6275" t="s">
        <v>18599</v>
      </c>
    </row>
    <row r="6276" spans="1:3" x14ac:dyDescent="0.35">
      <c r="A6276" t="s">
        <v>18600</v>
      </c>
      <c r="B6276" t="s">
        <v>18601</v>
      </c>
      <c r="C6276" t="s">
        <v>18602</v>
      </c>
    </row>
    <row r="6277" spans="1:3" x14ac:dyDescent="0.35">
      <c r="A6277" t="s">
        <v>18603</v>
      </c>
      <c r="B6277" t="s">
        <v>18604</v>
      </c>
      <c r="C6277" t="s">
        <v>18605</v>
      </c>
    </row>
    <row r="6278" spans="1:3" x14ac:dyDescent="0.35">
      <c r="A6278" t="s">
        <v>18606</v>
      </c>
      <c r="B6278" t="s">
        <v>18607</v>
      </c>
      <c r="C6278" t="s">
        <v>18608</v>
      </c>
    </row>
    <row r="6279" spans="1:3" x14ac:dyDescent="0.35">
      <c r="A6279" t="s">
        <v>18609</v>
      </c>
      <c r="B6279" t="s">
        <v>18610</v>
      </c>
      <c r="C6279" t="s">
        <v>18611</v>
      </c>
    </row>
    <row r="6280" spans="1:3" x14ac:dyDescent="0.35">
      <c r="A6280" t="s">
        <v>18612</v>
      </c>
      <c r="B6280" t="s">
        <v>18613</v>
      </c>
      <c r="C6280" t="s">
        <v>18614</v>
      </c>
    </row>
    <row r="6281" spans="1:3" x14ac:dyDescent="0.35">
      <c r="A6281" t="s">
        <v>18615</v>
      </c>
      <c r="B6281" t="s">
        <v>18616</v>
      </c>
      <c r="C6281" t="s">
        <v>18617</v>
      </c>
    </row>
    <row r="6282" spans="1:3" x14ac:dyDescent="0.35">
      <c r="A6282" t="s">
        <v>18618</v>
      </c>
      <c r="B6282" t="s">
        <v>18619</v>
      </c>
      <c r="C6282" t="s">
        <v>18620</v>
      </c>
    </row>
    <row r="6283" spans="1:3" x14ac:dyDescent="0.35">
      <c r="A6283" t="s">
        <v>18621</v>
      </c>
      <c r="B6283" t="s">
        <v>18622</v>
      </c>
      <c r="C6283" t="s">
        <v>18623</v>
      </c>
    </row>
    <row r="6284" spans="1:3" x14ac:dyDescent="0.35">
      <c r="A6284" t="s">
        <v>18621</v>
      </c>
      <c r="B6284" t="s">
        <v>18624</v>
      </c>
      <c r="C6284" t="s">
        <v>18625</v>
      </c>
    </row>
    <row r="6285" spans="1:3" x14ac:dyDescent="0.35">
      <c r="A6285" t="s">
        <v>18626</v>
      </c>
      <c r="B6285" t="s">
        <v>18627</v>
      </c>
      <c r="C6285" t="s">
        <v>18628</v>
      </c>
    </row>
    <row r="6286" spans="1:3" x14ac:dyDescent="0.35">
      <c r="A6286" t="s">
        <v>18629</v>
      </c>
      <c r="B6286" t="s">
        <v>18630</v>
      </c>
      <c r="C6286" t="s">
        <v>18631</v>
      </c>
    </row>
    <row r="6287" spans="1:3" x14ac:dyDescent="0.35">
      <c r="A6287" t="s">
        <v>18632</v>
      </c>
      <c r="B6287" t="s">
        <v>18633</v>
      </c>
      <c r="C6287" t="s">
        <v>18634</v>
      </c>
    </row>
    <row r="6288" spans="1:3" x14ac:dyDescent="0.35">
      <c r="A6288" t="s">
        <v>18635</v>
      </c>
      <c r="B6288" t="s">
        <v>18636</v>
      </c>
      <c r="C6288" t="s">
        <v>18637</v>
      </c>
    </row>
    <row r="6289" spans="1:3" x14ac:dyDescent="0.35">
      <c r="A6289" t="s">
        <v>18638</v>
      </c>
      <c r="B6289" t="s">
        <v>18639</v>
      </c>
      <c r="C6289" t="s">
        <v>18640</v>
      </c>
    </row>
    <row r="6290" spans="1:3" x14ac:dyDescent="0.35">
      <c r="A6290" t="s">
        <v>18641</v>
      </c>
      <c r="B6290" t="s">
        <v>18642</v>
      </c>
      <c r="C6290" t="s">
        <v>18643</v>
      </c>
    </row>
    <row r="6291" spans="1:3" x14ac:dyDescent="0.35">
      <c r="A6291" t="s">
        <v>18644</v>
      </c>
      <c r="B6291" t="s">
        <v>18645</v>
      </c>
      <c r="C6291" t="s">
        <v>18646</v>
      </c>
    </row>
    <row r="6292" spans="1:3" x14ac:dyDescent="0.35">
      <c r="A6292" t="s">
        <v>18647</v>
      </c>
      <c r="B6292" t="s">
        <v>18648</v>
      </c>
      <c r="C6292" t="s">
        <v>18649</v>
      </c>
    </row>
    <row r="6293" spans="1:3" x14ac:dyDescent="0.35">
      <c r="A6293" t="s">
        <v>18650</v>
      </c>
      <c r="B6293" t="s">
        <v>18651</v>
      </c>
      <c r="C6293" t="s">
        <v>18652</v>
      </c>
    </row>
    <row r="6294" spans="1:3" x14ac:dyDescent="0.35">
      <c r="A6294" t="s">
        <v>18653</v>
      </c>
      <c r="B6294" t="s">
        <v>18654</v>
      </c>
      <c r="C6294" t="s">
        <v>18655</v>
      </c>
    </row>
    <row r="6295" spans="1:3" x14ac:dyDescent="0.35">
      <c r="A6295" t="s">
        <v>18656</v>
      </c>
      <c r="B6295" t="s">
        <v>18657</v>
      </c>
      <c r="C6295" t="s">
        <v>18658</v>
      </c>
    </row>
    <row r="6296" spans="1:3" x14ac:dyDescent="0.35">
      <c r="A6296" t="s">
        <v>18659</v>
      </c>
      <c r="B6296" t="s">
        <v>18660</v>
      </c>
      <c r="C6296" t="s">
        <v>18661</v>
      </c>
    </row>
    <row r="6297" spans="1:3" x14ac:dyDescent="0.35">
      <c r="A6297" t="s">
        <v>18662</v>
      </c>
      <c r="B6297" t="s">
        <v>18663</v>
      </c>
      <c r="C6297" t="s">
        <v>18664</v>
      </c>
    </row>
    <row r="6298" spans="1:3" x14ac:dyDescent="0.35">
      <c r="A6298" t="s">
        <v>18665</v>
      </c>
      <c r="B6298" t="s">
        <v>18666</v>
      </c>
      <c r="C6298" t="s">
        <v>18667</v>
      </c>
    </row>
    <row r="6299" spans="1:3" x14ac:dyDescent="0.35">
      <c r="A6299" t="s">
        <v>18668</v>
      </c>
      <c r="B6299" t="s">
        <v>18669</v>
      </c>
      <c r="C6299" t="s">
        <v>18670</v>
      </c>
    </row>
    <row r="6300" spans="1:3" x14ac:dyDescent="0.35">
      <c r="A6300" t="s">
        <v>18671</v>
      </c>
      <c r="B6300" t="s">
        <v>18672</v>
      </c>
      <c r="C6300" t="s">
        <v>18673</v>
      </c>
    </row>
    <row r="6301" spans="1:3" x14ac:dyDescent="0.35">
      <c r="A6301" t="s">
        <v>18674</v>
      </c>
      <c r="B6301" t="s">
        <v>18675</v>
      </c>
      <c r="C6301" t="s">
        <v>18676</v>
      </c>
    </row>
    <row r="6302" spans="1:3" x14ac:dyDescent="0.35">
      <c r="A6302" t="s">
        <v>18677</v>
      </c>
      <c r="B6302" t="s">
        <v>18678</v>
      </c>
      <c r="C6302" t="s">
        <v>18679</v>
      </c>
    </row>
    <row r="6303" spans="1:3" x14ac:dyDescent="0.35">
      <c r="A6303" t="s">
        <v>18680</v>
      </c>
      <c r="B6303" t="s">
        <v>18681</v>
      </c>
      <c r="C6303" t="s">
        <v>18682</v>
      </c>
    </row>
    <row r="6304" spans="1:3" x14ac:dyDescent="0.35">
      <c r="A6304" t="s">
        <v>18683</v>
      </c>
      <c r="B6304" t="s">
        <v>18684</v>
      </c>
      <c r="C6304" t="s">
        <v>18685</v>
      </c>
    </row>
    <row r="6305" spans="1:3" x14ac:dyDescent="0.35">
      <c r="A6305" t="s">
        <v>18686</v>
      </c>
      <c r="B6305" t="s">
        <v>18687</v>
      </c>
      <c r="C6305" t="s">
        <v>18688</v>
      </c>
    </row>
    <row r="6306" spans="1:3" x14ac:dyDescent="0.35">
      <c r="A6306" t="s">
        <v>18689</v>
      </c>
      <c r="B6306" t="s">
        <v>18690</v>
      </c>
      <c r="C6306" t="s">
        <v>18691</v>
      </c>
    </row>
    <row r="6307" spans="1:3" x14ac:dyDescent="0.35">
      <c r="A6307" t="s">
        <v>18692</v>
      </c>
      <c r="B6307" t="s">
        <v>18693</v>
      </c>
      <c r="C6307" t="s">
        <v>18694</v>
      </c>
    </row>
    <row r="6308" spans="1:3" x14ac:dyDescent="0.35">
      <c r="A6308" t="s">
        <v>18695</v>
      </c>
      <c r="B6308" t="s">
        <v>18696</v>
      </c>
      <c r="C6308" t="s">
        <v>18697</v>
      </c>
    </row>
    <row r="6309" spans="1:3" x14ac:dyDescent="0.35">
      <c r="A6309" t="s">
        <v>18698</v>
      </c>
      <c r="B6309" t="s">
        <v>18699</v>
      </c>
      <c r="C6309" t="s">
        <v>18700</v>
      </c>
    </row>
    <row r="6310" spans="1:3" x14ac:dyDescent="0.35">
      <c r="A6310" t="s">
        <v>18701</v>
      </c>
      <c r="B6310" t="s">
        <v>18702</v>
      </c>
      <c r="C6310" t="s">
        <v>18703</v>
      </c>
    </row>
    <row r="6311" spans="1:3" x14ac:dyDescent="0.35">
      <c r="A6311" t="s">
        <v>18704</v>
      </c>
      <c r="B6311" t="s">
        <v>18705</v>
      </c>
      <c r="C6311" t="s">
        <v>18706</v>
      </c>
    </row>
    <row r="6312" spans="1:3" x14ac:dyDescent="0.35">
      <c r="A6312" t="s">
        <v>18707</v>
      </c>
      <c r="B6312" t="s">
        <v>18708</v>
      </c>
      <c r="C6312" t="s">
        <v>18709</v>
      </c>
    </row>
    <row r="6313" spans="1:3" x14ac:dyDescent="0.35">
      <c r="A6313" t="s">
        <v>18710</v>
      </c>
      <c r="B6313" t="s">
        <v>18711</v>
      </c>
      <c r="C6313" t="s">
        <v>18712</v>
      </c>
    </row>
    <row r="6314" spans="1:3" x14ac:dyDescent="0.35">
      <c r="A6314" t="s">
        <v>18713</v>
      </c>
      <c r="B6314" t="s">
        <v>18714</v>
      </c>
      <c r="C6314" t="s">
        <v>18715</v>
      </c>
    </row>
    <row r="6315" spans="1:3" x14ac:dyDescent="0.35">
      <c r="A6315" t="s">
        <v>18716</v>
      </c>
      <c r="B6315" t="s">
        <v>18717</v>
      </c>
      <c r="C6315" t="s">
        <v>18718</v>
      </c>
    </row>
    <row r="6316" spans="1:3" x14ac:dyDescent="0.35">
      <c r="A6316" t="s">
        <v>18719</v>
      </c>
      <c r="B6316" t="s">
        <v>18720</v>
      </c>
      <c r="C6316" t="s">
        <v>18721</v>
      </c>
    </row>
    <row r="6317" spans="1:3" x14ac:dyDescent="0.35">
      <c r="A6317" t="s">
        <v>18722</v>
      </c>
      <c r="B6317" t="s">
        <v>18723</v>
      </c>
      <c r="C6317" t="s">
        <v>18724</v>
      </c>
    </row>
    <row r="6318" spans="1:3" x14ac:dyDescent="0.35">
      <c r="A6318" t="s">
        <v>18722</v>
      </c>
      <c r="B6318" t="s">
        <v>18725</v>
      </c>
      <c r="C6318" t="s">
        <v>18726</v>
      </c>
    </row>
    <row r="6319" spans="1:3" x14ac:dyDescent="0.35">
      <c r="A6319" t="s">
        <v>18727</v>
      </c>
      <c r="B6319" t="s">
        <v>18728</v>
      </c>
      <c r="C6319" t="s">
        <v>18729</v>
      </c>
    </row>
    <row r="6320" spans="1:3" x14ac:dyDescent="0.35">
      <c r="A6320" t="s">
        <v>18730</v>
      </c>
      <c r="B6320" t="s">
        <v>18731</v>
      </c>
      <c r="C6320" t="s">
        <v>18732</v>
      </c>
    </row>
    <row r="6321" spans="1:3" x14ac:dyDescent="0.35">
      <c r="A6321" t="s">
        <v>18733</v>
      </c>
      <c r="B6321" t="s">
        <v>18734</v>
      </c>
      <c r="C6321" t="s">
        <v>18735</v>
      </c>
    </row>
    <row r="6322" spans="1:3" x14ac:dyDescent="0.35">
      <c r="A6322" t="s">
        <v>18736</v>
      </c>
      <c r="B6322" t="s">
        <v>18737</v>
      </c>
      <c r="C6322" t="s">
        <v>18738</v>
      </c>
    </row>
    <row r="6323" spans="1:3" x14ac:dyDescent="0.35">
      <c r="A6323" t="s">
        <v>18736</v>
      </c>
      <c r="B6323" t="s">
        <v>18739</v>
      </c>
      <c r="C6323" t="s">
        <v>18740</v>
      </c>
    </row>
    <row r="6324" spans="1:3" x14ac:dyDescent="0.35">
      <c r="A6324" t="s">
        <v>18741</v>
      </c>
      <c r="B6324" t="s">
        <v>18742</v>
      </c>
      <c r="C6324" t="s">
        <v>18743</v>
      </c>
    </row>
    <row r="6325" spans="1:3" x14ac:dyDescent="0.35">
      <c r="A6325" t="s">
        <v>18744</v>
      </c>
      <c r="B6325" t="s">
        <v>18745</v>
      </c>
      <c r="C6325" t="s">
        <v>18746</v>
      </c>
    </row>
    <row r="6326" spans="1:3" x14ac:dyDescent="0.35">
      <c r="A6326" t="s">
        <v>18747</v>
      </c>
      <c r="B6326" t="s">
        <v>18748</v>
      </c>
      <c r="C6326" t="s">
        <v>18749</v>
      </c>
    </row>
    <row r="6327" spans="1:3" x14ac:dyDescent="0.35">
      <c r="A6327" t="s">
        <v>18750</v>
      </c>
      <c r="B6327" t="s">
        <v>18751</v>
      </c>
      <c r="C6327" t="s">
        <v>18752</v>
      </c>
    </row>
    <row r="6328" spans="1:3" x14ac:dyDescent="0.35">
      <c r="A6328" t="s">
        <v>18753</v>
      </c>
      <c r="B6328" t="s">
        <v>18754</v>
      </c>
      <c r="C6328" t="s">
        <v>18755</v>
      </c>
    </row>
    <row r="6329" spans="1:3" x14ac:dyDescent="0.35">
      <c r="A6329" t="s">
        <v>18756</v>
      </c>
      <c r="B6329" t="s">
        <v>18757</v>
      </c>
      <c r="C6329" t="s">
        <v>18758</v>
      </c>
    </row>
    <row r="6330" spans="1:3" x14ac:dyDescent="0.35">
      <c r="A6330" t="s">
        <v>18759</v>
      </c>
      <c r="B6330" t="s">
        <v>18760</v>
      </c>
      <c r="C6330" t="s">
        <v>18761</v>
      </c>
    </row>
    <row r="6331" spans="1:3" x14ac:dyDescent="0.35">
      <c r="A6331" t="s">
        <v>18762</v>
      </c>
      <c r="B6331" t="s">
        <v>18763</v>
      </c>
      <c r="C6331" t="s">
        <v>18764</v>
      </c>
    </row>
    <row r="6332" spans="1:3" x14ac:dyDescent="0.35">
      <c r="A6332" t="s">
        <v>18765</v>
      </c>
      <c r="B6332" t="s">
        <v>18766</v>
      </c>
      <c r="C6332" t="s">
        <v>18767</v>
      </c>
    </row>
    <row r="6333" spans="1:3" x14ac:dyDescent="0.35">
      <c r="A6333" t="s">
        <v>18768</v>
      </c>
      <c r="B6333" t="s">
        <v>18769</v>
      </c>
      <c r="C6333" t="s">
        <v>18770</v>
      </c>
    </row>
    <row r="6334" spans="1:3" x14ac:dyDescent="0.35">
      <c r="A6334" t="s">
        <v>18771</v>
      </c>
      <c r="B6334" t="s">
        <v>18772</v>
      </c>
      <c r="C6334" t="s">
        <v>18773</v>
      </c>
    </row>
    <row r="6335" spans="1:3" x14ac:dyDescent="0.35">
      <c r="A6335" t="s">
        <v>18774</v>
      </c>
      <c r="B6335" t="s">
        <v>18775</v>
      </c>
      <c r="C6335" t="s">
        <v>18776</v>
      </c>
    </row>
    <row r="6336" spans="1:3" x14ac:dyDescent="0.35">
      <c r="A6336" t="s">
        <v>18777</v>
      </c>
      <c r="B6336" t="s">
        <v>18778</v>
      </c>
      <c r="C6336" t="s">
        <v>18779</v>
      </c>
    </row>
    <row r="6337" spans="1:3" x14ac:dyDescent="0.35">
      <c r="A6337" t="s">
        <v>18777</v>
      </c>
      <c r="B6337" t="s">
        <v>18780</v>
      </c>
      <c r="C6337" t="s">
        <v>18781</v>
      </c>
    </row>
    <row r="6338" spans="1:3" x14ac:dyDescent="0.35">
      <c r="A6338" t="s">
        <v>18782</v>
      </c>
      <c r="B6338" t="s">
        <v>18783</v>
      </c>
      <c r="C6338" t="s">
        <v>18784</v>
      </c>
    </row>
    <row r="6339" spans="1:3" x14ac:dyDescent="0.35">
      <c r="A6339" t="s">
        <v>18785</v>
      </c>
      <c r="B6339" t="s">
        <v>18786</v>
      </c>
      <c r="C6339" t="s">
        <v>18787</v>
      </c>
    </row>
    <row r="6340" spans="1:3" x14ac:dyDescent="0.35">
      <c r="A6340" t="s">
        <v>18788</v>
      </c>
      <c r="B6340" t="s">
        <v>18789</v>
      </c>
      <c r="C6340" t="s">
        <v>18790</v>
      </c>
    </row>
    <row r="6341" spans="1:3" x14ac:dyDescent="0.35">
      <c r="A6341" t="s">
        <v>18791</v>
      </c>
      <c r="B6341" t="s">
        <v>18792</v>
      </c>
      <c r="C6341" t="s">
        <v>18793</v>
      </c>
    </row>
    <row r="6342" spans="1:3" x14ac:dyDescent="0.35">
      <c r="A6342" t="s">
        <v>18794</v>
      </c>
      <c r="B6342" t="s">
        <v>18795</v>
      </c>
      <c r="C6342" t="s">
        <v>18796</v>
      </c>
    </row>
    <row r="6343" spans="1:3" x14ac:dyDescent="0.35">
      <c r="A6343" t="s">
        <v>18797</v>
      </c>
      <c r="B6343" t="s">
        <v>18798</v>
      </c>
      <c r="C6343" t="s">
        <v>18799</v>
      </c>
    </row>
    <row r="6344" spans="1:3" x14ac:dyDescent="0.35">
      <c r="A6344" t="s">
        <v>18800</v>
      </c>
      <c r="B6344" t="s">
        <v>18801</v>
      </c>
      <c r="C6344" t="s">
        <v>18802</v>
      </c>
    </row>
    <row r="6345" spans="1:3" x14ac:dyDescent="0.35">
      <c r="A6345" t="s">
        <v>18803</v>
      </c>
      <c r="B6345" t="s">
        <v>18804</v>
      </c>
      <c r="C6345" t="s">
        <v>18805</v>
      </c>
    </row>
    <row r="6346" spans="1:3" x14ac:dyDescent="0.35">
      <c r="A6346" t="s">
        <v>18806</v>
      </c>
      <c r="B6346" t="s">
        <v>18807</v>
      </c>
      <c r="C6346" t="s">
        <v>18808</v>
      </c>
    </row>
    <row r="6347" spans="1:3" x14ac:dyDescent="0.35">
      <c r="A6347" t="s">
        <v>18809</v>
      </c>
      <c r="B6347" t="s">
        <v>18810</v>
      </c>
      <c r="C6347" t="s">
        <v>18811</v>
      </c>
    </row>
    <row r="6348" spans="1:3" x14ac:dyDescent="0.35">
      <c r="A6348" t="s">
        <v>18809</v>
      </c>
      <c r="B6348" t="s">
        <v>18812</v>
      </c>
      <c r="C6348" t="s">
        <v>18813</v>
      </c>
    </row>
    <row r="6349" spans="1:3" x14ac:dyDescent="0.35">
      <c r="A6349" t="s">
        <v>18814</v>
      </c>
      <c r="B6349" t="s">
        <v>18815</v>
      </c>
      <c r="C6349" t="s">
        <v>18816</v>
      </c>
    </row>
    <row r="6350" spans="1:3" x14ac:dyDescent="0.35">
      <c r="A6350" t="s">
        <v>18817</v>
      </c>
      <c r="B6350" t="s">
        <v>18818</v>
      </c>
      <c r="C6350" t="s">
        <v>18819</v>
      </c>
    </row>
    <row r="6351" spans="1:3" x14ac:dyDescent="0.35">
      <c r="A6351" t="s">
        <v>18820</v>
      </c>
      <c r="B6351" t="s">
        <v>18821</v>
      </c>
      <c r="C6351" t="s">
        <v>18822</v>
      </c>
    </row>
    <row r="6352" spans="1:3" x14ac:dyDescent="0.35">
      <c r="A6352" t="s">
        <v>18823</v>
      </c>
      <c r="B6352" t="s">
        <v>18824</v>
      </c>
      <c r="C6352" t="s">
        <v>18825</v>
      </c>
    </row>
    <row r="6353" spans="1:3" x14ac:dyDescent="0.35">
      <c r="A6353" t="s">
        <v>18826</v>
      </c>
      <c r="B6353" t="s">
        <v>18827</v>
      </c>
      <c r="C6353" t="s">
        <v>18828</v>
      </c>
    </row>
    <row r="6354" spans="1:3" x14ac:dyDescent="0.35">
      <c r="A6354" t="s">
        <v>18829</v>
      </c>
      <c r="B6354" t="s">
        <v>18830</v>
      </c>
      <c r="C6354" t="s">
        <v>18831</v>
      </c>
    </row>
    <row r="6355" spans="1:3" x14ac:dyDescent="0.35">
      <c r="A6355" t="s">
        <v>18832</v>
      </c>
      <c r="B6355" t="s">
        <v>18833</v>
      </c>
      <c r="C6355" t="s">
        <v>18834</v>
      </c>
    </row>
    <row r="6356" spans="1:3" x14ac:dyDescent="0.35">
      <c r="A6356" t="s">
        <v>18835</v>
      </c>
      <c r="B6356" t="s">
        <v>18836</v>
      </c>
      <c r="C6356" t="s">
        <v>18837</v>
      </c>
    </row>
    <row r="6357" spans="1:3" x14ac:dyDescent="0.35">
      <c r="A6357" t="s">
        <v>18838</v>
      </c>
      <c r="B6357" t="s">
        <v>18839</v>
      </c>
      <c r="C6357" t="s">
        <v>18840</v>
      </c>
    </row>
    <row r="6358" spans="1:3" x14ac:dyDescent="0.35">
      <c r="A6358" t="s">
        <v>18841</v>
      </c>
      <c r="B6358" t="s">
        <v>18842</v>
      </c>
      <c r="C6358" t="s">
        <v>18843</v>
      </c>
    </row>
    <row r="6359" spans="1:3" x14ac:dyDescent="0.35">
      <c r="A6359" t="s">
        <v>18844</v>
      </c>
      <c r="B6359" t="s">
        <v>18845</v>
      </c>
      <c r="C6359" t="s">
        <v>18846</v>
      </c>
    </row>
    <row r="6360" spans="1:3" x14ac:dyDescent="0.35">
      <c r="A6360" t="s">
        <v>18847</v>
      </c>
      <c r="B6360" t="s">
        <v>18848</v>
      </c>
      <c r="C6360" t="s">
        <v>18849</v>
      </c>
    </row>
    <row r="6361" spans="1:3" x14ac:dyDescent="0.35">
      <c r="A6361" t="s">
        <v>18850</v>
      </c>
      <c r="B6361" t="s">
        <v>18851</v>
      </c>
      <c r="C6361" t="s">
        <v>18852</v>
      </c>
    </row>
    <row r="6362" spans="1:3" x14ac:dyDescent="0.35">
      <c r="A6362" t="s">
        <v>18853</v>
      </c>
      <c r="B6362" t="s">
        <v>18854</v>
      </c>
      <c r="C6362" t="s">
        <v>18855</v>
      </c>
    </row>
    <row r="6363" spans="1:3" x14ac:dyDescent="0.35">
      <c r="A6363" t="s">
        <v>18853</v>
      </c>
      <c r="B6363" t="s">
        <v>18856</v>
      </c>
      <c r="C6363" t="s">
        <v>18857</v>
      </c>
    </row>
    <row r="6364" spans="1:3" x14ac:dyDescent="0.35">
      <c r="A6364" t="s">
        <v>18858</v>
      </c>
      <c r="B6364" t="s">
        <v>18859</v>
      </c>
      <c r="C6364" t="s">
        <v>18860</v>
      </c>
    </row>
    <row r="6365" spans="1:3" x14ac:dyDescent="0.35">
      <c r="A6365" t="s">
        <v>18861</v>
      </c>
      <c r="B6365" t="s">
        <v>18862</v>
      </c>
      <c r="C6365" t="s">
        <v>18863</v>
      </c>
    </row>
    <row r="6366" spans="1:3" x14ac:dyDescent="0.35">
      <c r="A6366" t="s">
        <v>18864</v>
      </c>
      <c r="B6366" t="s">
        <v>18865</v>
      </c>
      <c r="C6366" t="s">
        <v>18866</v>
      </c>
    </row>
    <row r="6367" spans="1:3" x14ac:dyDescent="0.35">
      <c r="A6367" t="s">
        <v>18867</v>
      </c>
      <c r="B6367" t="s">
        <v>18868</v>
      </c>
      <c r="C6367" t="s">
        <v>18869</v>
      </c>
    </row>
    <row r="6368" spans="1:3" x14ac:dyDescent="0.35">
      <c r="A6368" t="s">
        <v>18870</v>
      </c>
      <c r="B6368" t="s">
        <v>18871</v>
      </c>
      <c r="C6368" t="s">
        <v>18872</v>
      </c>
    </row>
    <row r="6369" spans="1:3" x14ac:dyDescent="0.35">
      <c r="A6369" t="s">
        <v>18873</v>
      </c>
      <c r="B6369" t="s">
        <v>18874</v>
      </c>
      <c r="C6369" t="s">
        <v>18875</v>
      </c>
    </row>
    <row r="6370" spans="1:3" x14ac:dyDescent="0.35">
      <c r="A6370" t="s">
        <v>18876</v>
      </c>
      <c r="B6370" t="s">
        <v>18877</v>
      </c>
      <c r="C6370" t="s">
        <v>18878</v>
      </c>
    </row>
    <row r="6371" spans="1:3" x14ac:dyDescent="0.35">
      <c r="A6371" t="s">
        <v>18879</v>
      </c>
      <c r="B6371" t="s">
        <v>18880</v>
      </c>
      <c r="C6371" t="s">
        <v>18881</v>
      </c>
    </row>
    <row r="6372" spans="1:3" x14ac:dyDescent="0.35">
      <c r="A6372" t="s">
        <v>18879</v>
      </c>
      <c r="B6372" t="s">
        <v>18882</v>
      </c>
      <c r="C6372" t="s">
        <v>18883</v>
      </c>
    </row>
    <row r="6373" spans="1:3" x14ac:dyDescent="0.35">
      <c r="A6373" t="s">
        <v>18884</v>
      </c>
      <c r="B6373" t="s">
        <v>18885</v>
      </c>
      <c r="C6373" t="s">
        <v>18886</v>
      </c>
    </row>
    <row r="6374" spans="1:3" x14ac:dyDescent="0.35">
      <c r="A6374" t="s">
        <v>18887</v>
      </c>
      <c r="B6374" t="s">
        <v>18888</v>
      </c>
      <c r="C6374" t="s">
        <v>18889</v>
      </c>
    </row>
    <row r="6375" spans="1:3" x14ac:dyDescent="0.35">
      <c r="A6375" t="s">
        <v>18890</v>
      </c>
      <c r="B6375" t="s">
        <v>18891</v>
      </c>
      <c r="C6375" t="s">
        <v>18892</v>
      </c>
    </row>
    <row r="6376" spans="1:3" x14ac:dyDescent="0.35">
      <c r="A6376" t="s">
        <v>18893</v>
      </c>
      <c r="B6376" t="s">
        <v>18894</v>
      </c>
      <c r="C6376" t="s">
        <v>18895</v>
      </c>
    </row>
    <row r="6377" spans="1:3" x14ac:dyDescent="0.35">
      <c r="A6377" t="s">
        <v>18896</v>
      </c>
      <c r="B6377" t="s">
        <v>18897</v>
      </c>
      <c r="C6377" t="s">
        <v>11147</v>
      </c>
    </row>
    <row r="6378" spans="1:3" x14ac:dyDescent="0.35">
      <c r="A6378" t="s">
        <v>18898</v>
      </c>
      <c r="B6378" t="s">
        <v>18899</v>
      </c>
      <c r="C6378" t="s">
        <v>18900</v>
      </c>
    </row>
    <row r="6379" spans="1:3" x14ac:dyDescent="0.35">
      <c r="A6379" t="s">
        <v>18901</v>
      </c>
      <c r="B6379" t="s">
        <v>18902</v>
      </c>
      <c r="C6379" t="s">
        <v>18903</v>
      </c>
    </row>
    <row r="6380" spans="1:3" x14ac:dyDescent="0.35">
      <c r="A6380" t="s">
        <v>18904</v>
      </c>
      <c r="B6380" t="s">
        <v>18905</v>
      </c>
      <c r="C6380" t="s">
        <v>18906</v>
      </c>
    </row>
    <row r="6381" spans="1:3" x14ac:dyDescent="0.35">
      <c r="A6381" t="s">
        <v>18907</v>
      </c>
      <c r="B6381" t="s">
        <v>18908</v>
      </c>
      <c r="C6381" t="s">
        <v>18909</v>
      </c>
    </row>
    <row r="6382" spans="1:3" x14ac:dyDescent="0.35">
      <c r="A6382" t="s">
        <v>18910</v>
      </c>
      <c r="B6382" t="s">
        <v>18911</v>
      </c>
      <c r="C6382" t="s">
        <v>18912</v>
      </c>
    </row>
    <row r="6383" spans="1:3" x14ac:dyDescent="0.35">
      <c r="A6383" t="s">
        <v>18913</v>
      </c>
      <c r="B6383" t="s">
        <v>18914</v>
      </c>
      <c r="C6383" t="s">
        <v>18915</v>
      </c>
    </row>
    <row r="6384" spans="1:3" x14ac:dyDescent="0.35">
      <c r="A6384" t="s">
        <v>18916</v>
      </c>
      <c r="B6384" t="s">
        <v>18917</v>
      </c>
      <c r="C6384" t="s">
        <v>18918</v>
      </c>
    </row>
    <row r="6385" spans="1:3" x14ac:dyDescent="0.35">
      <c r="A6385" t="s">
        <v>18919</v>
      </c>
      <c r="B6385" t="s">
        <v>18920</v>
      </c>
      <c r="C6385" t="s">
        <v>18921</v>
      </c>
    </row>
    <row r="6386" spans="1:3" x14ac:dyDescent="0.35">
      <c r="A6386" t="s">
        <v>18922</v>
      </c>
      <c r="B6386" t="s">
        <v>18923</v>
      </c>
      <c r="C6386" t="s">
        <v>18924</v>
      </c>
    </row>
    <row r="6387" spans="1:3" x14ac:dyDescent="0.35">
      <c r="A6387" t="s">
        <v>18925</v>
      </c>
      <c r="B6387" t="s">
        <v>18926</v>
      </c>
      <c r="C6387" t="s">
        <v>18927</v>
      </c>
    </row>
    <row r="6388" spans="1:3" x14ac:dyDescent="0.35">
      <c r="A6388" t="s">
        <v>18928</v>
      </c>
      <c r="B6388" t="s">
        <v>18929</v>
      </c>
      <c r="C6388" t="s">
        <v>18930</v>
      </c>
    </row>
    <row r="6389" spans="1:3" x14ac:dyDescent="0.35">
      <c r="A6389" t="s">
        <v>18931</v>
      </c>
      <c r="B6389" t="s">
        <v>18932</v>
      </c>
      <c r="C6389" t="s">
        <v>18933</v>
      </c>
    </row>
    <row r="6390" spans="1:3" x14ac:dyDescent="0.35">
      <c r="A6390" t="s">
        <v>18934</v>
      </c>
      <c r="B6390" t="s">
        <v>18935</v>
      </c>
      <c r="C6390" t="s">
        <v>18936</v>
      </c>
    </row>
    <row r="6391" spans="1:3" x14ac:dyDescent="0.35">
      <c r="A6391" t="s">
        <v>18937</v>
      </c>
      <c r="B6391" t="s">
        <v>18938</v>
      </c>
      <c r="C6391" t="s">
        <v>18939</v>
      </c>
    </row>
    <row r="6392" spans="1:3" x14ac:dyDescent="0.35">
      <c r="A6392" t="s">
        <v>18940</v>
      </c>
      <c r="B6392" t="s">
        <v>18941</v>
      </c>
      <c r="C6392" t="s">
        <v>18942</v>
      </c>
    </row>
    <row r="6393" spans="1:3" x14ac:dyDescent="0.35">
      <c r="A6393" t="s">
        <v>18943</v>
      </c>
      <c r="B6393" t="s">
        <v>18944</v>
      </c>
      <c r="C6393" t="s">
        <v>18945</v>
      </c>
    </row>
    <row r="6394" spans="1:3" x14ac:dyDescent="0.35">
      <c r="A6394" t="s">
        <v>18946</v>
      </c>
      <c r="B6394" t="s">
        <v>18947</v>
      </c>
      <c r="C6394" t="s">
        <v>18948</v>
      </c>
    </row>
    <row r="6395" spans="1:3" x14ac:dyDescent="0.35">
      <c r="A6395" t="s">
        <v>18949</v>
      </c>
      <c r="B6395" t="s">
        <v>18950</v>
      </c>
      <c r="C6395" t="s">
        <v>18951</v>
      </c>
    </row>
    <row r="6396" spans="1:3" x14ac:dyDescent="0.35">
      <c r="A6396" t="s">
        <v>18952</v>
      </c>
      <c r="B6396" t="s">
        <v>18953</v>
      </c>
      <c r="C6396" t="s">
        <v>18954</v>
      </c>
    </row>
    <row r="6397" spans="1:3" x14ac:dyDescent="0.35">
      <c r="A6397" t="s">
        <v>18955</v>
      </c>
      <c r="B6397" t="s">
        <v>18956</v>
      </c>
      <c r="C6397" t="s">
        <v>18957</v>
      </c>
    </row>
    <row r="6398" spans="1:3" x14ac:dyDescent="0.35">
      <c r="A6398" t="s">
        <v>18958</v>
      </c>
      <c r="B6398" t="s">
        <v>18959</v>
      </c>
      <c r="C6398" t="s">
        <v>18960</v>
      </c>
    </row>
    <row r="6399" spans="1:3" x14ac:dyDescent="0.35">
      <c r="A6399" t="s">
        <v>18961</v>
      </c>
      <c r="B6399" t="s">
        <v>18962</v>
      </c>
      <c r="C6399" t="s">
        <v>18963</v>
      </c>
    </row>
    <row r="6400" spans="1:3" x14ac:dyDescent="0.35">
      <c r="A6400" t="s">
        <v>18964</v>
      </c>
      <c r="B6400" t="s">
        <v>18965</v>
      </c>
      <c r="C6400" t="s">
        <v>18966</v>
      </c>
    </row>
    <row r="6401" spans="1:3" x14ac:dyDescent="0.35">
      <c r="A6401" t="s">
        <v>18967</v>
      </c>
      <c r="B6401" t="s">
        <v>18968</v>
      </c>
      <c r="C6401" t="s">
        <v>18969</v>
      </c>
    </row>
    <row r="6402" spans="1:3" x14ac:dyDescent="0.35">
      <c r="A6402" t="s">
        <v>18970</v>
      </c>
      <c r="B6402" t="s">
        <v>18971</v>
      </c>
      <c r="C6402" t="s">
        <v>18972</v>
      </c>
    </row>
    <row r="6403" spans="1:3" x14ac:dyDescent="0.35">
      <c r="A6403" t="s">
        <v>18973</v>
      </c>
      <c r="B6403" t="s">
        <v>18974</v>
      </c>
      <c r="C6403" t="s">
        <v>18975</v>
      </c>
    </row>
    <row r="6404" spans="1:3" x14ac:dyDescent="0.35">
      <c r="A6404" t="s">
        <v>18976</v>
      </c>
      <c r="B6404" t="s">
        <v>18977</v>
      </c>
      <c r="C6404" t="s">
        <v>18978</v>
      </c>
    </row>
    <row r="6405" spans="1:3" x14ac:dyDescent="0.35">
      <c r="A6405" t="s">
        <v>18979</v>
      </c>
      <c r="B6405" t="s">
        <v>18980</v>
      </c>
      <c r="C6405" t="s">
        <v>18981</v>
      </c>
    </row>
    <row r="6406" spans="1:3" x14ac:dyDescent="0.35">
      <c r="A6406" t="s">
        <v>18982</v>
      </c>
      <c r="B6406" t="s">
        <v>18983</v>
      </c>
      <c r="C6406" t="s">
        <v>18984</v>
      </c>
    </row>
    <row r="6407" spans="1:3" x14ac:dyDescent="0.35">
      <c r="A6407" t="s">
        <v>18985</v>
      </c>
      <c r="B6407" t="s">
        <v>18986</v>
      </c>
      <c r="C6407" t="s">
        <v>18987</v>
      </c>
    </row>
    <row r="6408" spans="1:3" x14ac:dyDescent="0.35">
      <c r="A6408" t="s">
        <v>18985</v>
      </c>
      <c r="B6408" t="s">
        <v>18988</v>
      </c>
      <c r="C6408" t="s">
        <v>18989</v>
      </c>
    </row>
    <row r="6409" spans="1:3" x14ac:dyDescent="0.35">
      <c r="A6409" t="s">
        <v>18990</v>
      </c>
      <c r="B6409" t="s">
        <v>18991</v>
      </c>
      <c r="C6409" t="s">
        <v>18992</v>
      </c>
    </row>
    <row r="6410" spans="1:3" x14ac:dyDescent="0.35">
      <c r="A6410" t="s">
        <v>18993</v>
      </c>
      <c r="B6410" t="s">
        <v>18994</v>
      </c>
      <c r="C6410" t="s">
        <v>18995</v>
      </c>
    </row>
    <row r="6411" spans="1:3" x14ac:dyDescent="0.35">
      <c r="A6411" t="s">
        <v>18996</v>
      </c>
      <c r="B6411" t="s">
        <v>18997</v>
      </c>
      <c r="C6411" t="s">
        <v>18998</v>
      </c>
    </row>
    <row r="6412" spans="1:3" x14ac:dyDescent="0.35">
      <c r="A6412" t="s">
        <v>18999</v>
      </c>
      <c r="B6412" t="s">
        <v>19000</v>
      </c>
      <c r="C6412" t="s">
        <v>19001</v>
      </c>
    </row>
    <row r="6413" spans="1:3" x14ac:dyDescent="0.35">
      <c r="A6413" t="s">
        <v>19002</v>
      </c>
      <c r="B6413" t="s">
        <v>19003</v>
      </c>
      <c r="C6413" t="s">
        <v>19004</v>
      </c>
    </row>
    <row r="6414" spans="1:3" x14ac:dyDescent="0.35">
      <c r="A6414" t="s">
        <v>19005</v>
      </c>
      <c r="B6414" t="s">
        <v>19006</v>
      </c>
      <c r="C6414" t="s">
        <v>19007</v>
      </c>
    </row>
    <row r="6415" spans="1:3" x14ac:dyDescent="0.35">
      <c r="A6415" t="s">
        <v>19008</v>
      </c>
      <c r="B6415" t="s">
        <v>19009</v>
      </c>
      <c r="C6415" t="s">
        <v>19010</v>
      </c>
    </row>
    <row r="6416" spans="1:3" x14ac:dyDescent="0.35">
      <c r="A6416" t="s">
        <v>19011</v>
      </c>
      <c r="B6416" t="s">
        <v>19012</v>
      </c>
      <c r="C6416" t="s">
        <v>19013</v>
      </c>
    </row>
    <row r="6417" spans="1:3" x14ac:dyDescent="0.35">
      <c r="A6417" t="s">
        <v>19014</v>
      </c>
      <c r="B6417" t="s">
        <v>19015</v>
      </c>
      <c r="C6417" t="s">
        <v>19016</v>
      </c>
    </row>
    <row r="6418" spans="1:3" x14ac:dyDescent="0.35">
      <c r="A6418" t="s">
        <v>19017</v>
      </c>
      <c r="B6418" t="s">
        <v>19018</v>
      </c>
      <c r="C6418" t="s">
        <v>19019</v>
      </c>
    </row>
    <row r="6419" spans="1:3" x14ac:dyDescent="0.35">
      <c r="A6419" t="s">
        <v>19020</v>
      </c>
      <c r="B6419" t="s">
        <v>19021</v>
      </c>
      <c r="C6419" t="s">
        <v>19022</v>
      </c>
    </row>
    <row r="6420" spans="1:3" x14ac:dyDescent="0.35">
      <c r="A6420" t="s">
        <v>19023</v>
      </c>
      <c r="B6420" t="s">
        <v>19024</v>
      </c>
      <c r="C6420" t="s">
        <v>19025</v>
      </c>
    </row>
    <row r="6421" spans="1:3" x14ac:dyDescent="0.35">
      <c r="A6421" t="s">
        <v>19026</v>
      </c>
      <c r="B6421" t="s">
        <v>19027</v>
      </c>
      <c r="C6421" t="s">
        <v>19028</v>
      </c>
    </row>
    <row r="6422" spans="1:3" x14ac:dyDescent="0.35">
      <c r="A6422" t="s">
        <v>19029</v>
      </c>
      <c r="B6422" t="s">
        <v>19030</v>
      </c>
      <c r="C6422" t="s">
        <v>19031</v>
      </c>
    </row>
    <row r="6423" spans="1:3" x14ac:dyDescent="0.35">
      <c r="A6423" t="s">
        <v>19032</v>
      </c>
      <c r="B6423" t="s">
        <v>19033</v>
      </c>
      <c r="C6423" t="s">
        <v>19034</v>
      </c>
    </row>
    <row r="6424" spans="1:3" x14ac:dyDescent="0.35">
      <c r="A6424" t="s">
        <v>19035</v>
      </c>
      <c r="B6424" t="s">
        <v>19036</v>
      </c>
      <c r="C6424" t="s">
        <v>19037</v>
      </c>
    </row>
    <row r="6425" spans="1:3" x14ac:dyDescent="0.35">
      <c r="A6425" t="s">
        <v>19038</v>
      </c>
      <c r="B6425" t="s">
        <v>19039</v>
      </c>
      <c r="C6425" t="s">
        <v>19040</v>
      </c>
    </row>
    <row r="6426" spans="1:3" x14ac:dyDescent="0.35">
      <c r="A6426" t="s">
        <v>19041</v>
      </c>
      <c r="B6426" t="s">
        <v>19042</v>
      </c>
      <c r="C6426" t="s">
        <v>19043</v>
      </c>
    </row>
    <row r="6427" spans="1:3" x14ac:dyDescent="0.35">
      <c r="A6427" t="s">
        <v>19041</v>
      </c>
      <c r="B6427" t="s">
        <v>19044</v>
      </c>
      <c r="C6427" t="s">
        <v>19045</v>
      </c>
    </row>
    <row r="6428" spans="1:3" x14ac:dyDescent="0.35">
      <c r="A6428" t="s">
        <v>19046</v>
      </c>
      <c r="B6428" t="s">
        <v>19047</v>
      </c>
      <c r="C6428" t="s">
        <v>19048</v>
      </c>
    </row>
    <row r="6429" spans="1:3" x14ac:dyDescent="0.35">
      <c r="A6429" t="s">
        <v>19049</v>
      </c>
      <c r="B6429" t="s">
        <v>19050</v>
      </c>
      <c r="C6429" t="s">
        <v>19051</v>
      </c>
    </row>
    <row r="6430" spans="1:3" x14ac:dyDescent="0.35">
      <c r="A6430" t="s">
        <v>19052</v>
      </c>
      <c r="B6430" t="s">
        <v>19053</v>
      </c>
      <c r="C6430" t="s">
        <v>19054</v>
      </c>
    </row>
    <row r="6431" spans="1:3" x14ac:dyDescent="0.35">
      <c r="A6431" t="s">
        <v>19055</v>
      </c>
      <c r="B6431" t="s">
        <v>19056</v>
      </c>
      <c r="C6431" t="s">
        <v>19057</v>
      </c>
    </row>
    <row r="6432" spans="1:3" x14ac:dyDescent="0.35">
      <c r="A6432" t="s">
        <v>19055</v>
      </c>
      <c r="B6432" t="s">
        <v>19058</v>
      </c>
      <c r="C6432" t="s">
        <v>19059</v>
      </c>
    </row>
    <row r="6433" spans="1:3" x14ac:dyDescent="0.35">
      <c r="A6433" t="s">
        <v>19060</v>
      </c>
      <c r="B6433" t="s">
        <v>19061</v>
      </c>
      <c r="C6433" t="s">
        <v>19062</v>
      </c>
    </row>
    <row r="6434" spans="1:3" x14ac:dyDescent="0.35">
      <c r="A6434" t="s">
        <v>19063</v>
      </c>
      <c r="B6434" t="s">
        <v>19064</v>
      </c>
      <c r="C6434" t="s">
        <v>19065</v>
      </c>
    </row>
    <row r="6435" spans="1:3" x14ac:dyDescent="0.35">
      <c r="A6435" t="s">
        <v>19063</v>
      </c>
      <c r="B6435" t="s">
        <v>19066</v>
      </c>
      <c r="C6435" t="s">
        <v>19067</v>
      </c>
    </row>
    <row r="6436" spans="1:3" x14ac:dyDescent="0.35">
      <c r="A6436" t="s">
        <v>19068</v>
      </c>
      <c r="B6436" t="s">
        <v>19069</v>
      </c>
      <c r="C6436" t="s">
        <v>19070</v>
      </c>
    </row>
    <row r="6437" spans="1:3" x14ac:dyDescent="0.35">
      <c r="A6437" t="s">
        <v>19071</v>
      </c>
      <c r="B6437" t="s">
        <v>19072</v>
      </c>
      <c r="C6437" t="s">
        <v>19073</v>
      </c>
    </row>
    <row r="6438" spans="1:3" x14ac:dyDescent="0.35">
      <c r="A6438" t="s">
        <v>19074</v>
      </c>
      <c r="B6438" t="s">
        <v>19075</v>
      </c>
      <c r="C6438" t="s">
        <v>19076</v>
      </c>
    </row>
    <row r="6439" spans="1:3" x14ac:dyDescent="0.35">
      <c r="A6439" t="s">
        <v>19077</v>
      </c>
      <c r="B6439" t="s">
        <v>19078</v>
      </c>
      <c r="C6439" t="s">
        <v>19079</v>
      </c>
    </row>
    <row r="6440" spans="1:3" x14ac:dyDescent="0.35">
      <c r="A6440" t="s">
        <v>19080</v>
      </c>
      <c r="B6440" t="s">
        <v>19081</v>
      </c>
      <c r="C6440" t="s">
        <v>19082</v>
      </c>
    </row>
    <row r="6441" spans="1:3" x14ac:dyDescent="0.35">
      <c r="A6441" t="s">
        <v>19083</v>
      </c>
      <c r="B6441" t="s">
        <v>19084</v>
      </c>
      <c r="C6441" t="s">
        <v>19085</v>
      </c>
    </row>
    <row r="6442" spans="1:3" x14ac:dyDescent="0.35">
      <c r="A6442" t="s">
        <v>19086</v>
      </c>
      <c r="B6442" t="s">
        <v>19087</v>
      </c>
      <c r="C6442" t="s">
        <v>19088</v>
      </c>
    </row>
    <row r="6443" spans="1:3" x14ac:dyDescent="0.35">
      <c r="A6443" t="s">
        <v>19089</v>
      </c>
      <c r="B6443" t="s">
        <v>19090</v>
      </c>
      <c r="C6443" t="s">
        <v>19091</v>
      </c>
    </row>
    <row r="6444" spans="1:3" x14ac:dyDescent="0.35">
      <c r="A6444" t="s">
        <v>19092</v>
      </c>
      <c r="B6444" t="s">
        <v>19093</v>
      </c>
      <c r="C6444" t="s">
        <v>19094</v>
      </c>
    </row>
    <row r="6445" spans="1:3" x14ac:dyDescent="0.35">
      <c r="A6445" t="s">
        <v>19095</v>
      </c>
      <c r="B6445" t="s">
        <v>19096</v>
      </c>
      <c r="C6445" t="s">
        <v>19097</v>
      </c>
    </row>
    <row r="6446" spans="1:3" x14ac:dyDescent="0.35">
      <c r="A6446" t="s">
        <v>19098</v>
      </c>
      <c r="B6446" t="s">
        <v>19099</v>
      </c>
      <c r="C6446" t="s">
        <v>19100</v>
      </c>
    </row>
    <row r="6447" spans="1:3" x14ac:dyDescent="0.35">
      <c r="A6447" t="s">
        <v>19101</v>
      </c>
      <c r="B6447" t="s">
        <v>19102</v>
      </c>
      <c r="C6447" t="s">
        <v>19103</v>
      </c>
    </row>
    <row r="6448" spans="1:3" x14ac:dyDescent="0.35">
      <c r="A6448" t="s">
        <v>19104</v>
      </c>
      <c r="B6448" t="s">
        <v>19105</v>
      </c>
      <c r="C6448" t="s">
        <v>19106</v>
      </c>
    </row>
    <row r="6449" spans="1:3" x14ac:dyDescent="0.35">
      <c r="A6449" t="s">
        <v>19107</v>
      </c>
      <c r="B6449" t="s">
        <v>19108</v>
      </c>
      <c r="C6449" t="s">
        <v>19109</v>
      </c>
    </row>
    <row r="6450" spans="1:3" x14ac:dyDescent="0.35">
      <c r="A6450" t="s">
        <v>19110</v>
      </c>
      <c r="B6450" t="s">
        <v>19111</v>
      </c>
      <c r="C6450" t="s">
        <v>19112</v>
      </c>
    </row>
    <row r="6451" spans="1:3" x14ac:dyDescent="0.35">
      <c r="A6451" t="s">
        <v>19113</v>
      </c>
      <c r="B6451" t="s">
        <v>19114</v>
      </c>
      <c r="C6451" t="s">
        <v>19115</v>
      </c>
    </row>
    <row r="6452" spans="1:3" x14ac:dyDescent="0.35">
      <c r="A6452" t="s">
        <v>19116</v>
      </c>
      <c r="B6452" t="s">
        <v>19117</v>
      </c>
      <c r="C6452" t="s">
        <v>19118</v>
      </c>
    </row>
    <row r="6453" spans="1:3" x14ac:dyDescent="0.35">
      <c r="A6453" t="s">
        <v>19119</v>
      </c>
      <c r="B6453" t="s">
        <v>19120</v>
      </c>
      <c r="C6453" t="s">
        <v>19121</v>
      </c>
    </row>
    <row r="6454" spans="1:3" x14ac:dyDescent="0.35">
      <c r="A6454" t="s">
        <v>19122</v>
      </c>
      <c r="B6454" t="s">
        <v>19123</v>
      </c>
      <c r="C6454" t="s">
        <v>19124</v>
      </c>
    </row>
    <row r="6455" spans="1:3" x14ac:dyDescent="0.35">
      <c r="A6455" t="s">
        <v>19125</v>
      </c>
      <c r="B6455" t="s">
        <v>19126</v>
      </c>
      <c r="C6455" t="s">
        <v>19127</v>
      </c>
    </row>
    <row r="6456" spans="1:3" x14ac:dyDescent="0.35">
      <c r="A6456" t="s">
        <v>19128</v>
      </c>
      <c r="B6456" t="s">
        <v>19129</v>
      </c>
      <c r="C6456" t="s">
        <v>19130</v>
      </c>
    </row>
    <row r="6457" spans="1:3" x14ac:dyDescent="0.35">
      <c r="A6457" t="s">
        <v>19131</v>
      </c>
      <c r="B6457" t="s">
        <v>19132</v>
      </c>
      <c r="C6457" t="s">
        <v>19133</v>
      </c>
    </row>
    <row r="6458" spans="1:3" x14ac:dyDescent="0.35">
      <c r="A6458" t="s">
        <v>19134</v>
      </c>
      <c r="B6458" t="s">
        <v>19135</v>
      </c>
      <c r="C6458" t="s">
        <v>19136</v>
      </c>
    </row>
    <row r="6459" spans="1:3" x14ac:dyDescent="0.35">
      <c r="A6459" t="s">
        <v>19137</v>
      </c>
      <c r="B6459" t="s">
        <v>19138</v>
      </c>
      <c r="C6459" t="s">
        <v>19139</v>
      </c>
    </row>
    <row r="6460" spans="1:3" x14ac:dyDescent="0.35">
      <c r="A6460" t="s">
        <v>19140</v>
      </c>
      <c r="B6460" t="s">
        <v>19141</v>
      </c>
      <c r="C6460" t="s">
        <v>19142</v>
      </c>
    </row>
    <row r="6461" spans="1:3" x14ac:dyDescent="0.35">
      <c r="A6461" t="s">
        <v>19143</v>
      </c>
      <c r="B6461" t="s">
        <v>19144</v>
      </c>
      <c r="C6461" t="s">
        <v>19145</v>
      </c>
    </row>
    <row r="6462" spans="1:3" x14ac:dyDescent="0.35">
      <c r="A6462" t="s">
        <v>19146</v>
      </c>
      <c r="B6462" t="s">
        <v>19147</v>
      </c>
      <c r="C6462" t="s">
        <v>19148</v>
      </c>
    </row>
    <row r="6463" spans="1:3" x14ac:dyDescent="0.35">
      <c r="A6463" t="s">
        <v>19149</v>
      </c>
      <c r="B6463" t="s">
        <v>19150</v>
      </c>
      <c r="C6463" t="s">
        <v>19151</v>
      </c>
    </row>
    <row r="6464" spans="1:3" x14ac:dyDescent="0.35">
      <c r="A6464" t="s">
        <v>19152</v>
      </c>
      <c r="B6464" t="s">
        <v>19153</v>
      </c>
      <c r="C6464" t="s">
        <v>19154</v>
      </c>
    </row>
    <row r="6465" spans="1:3" x14ac:dyDescent="0.35">
      <c r="A6465" t="s">
        <v>19155</v>
      </c>
      <c r="B6465" t="s">
        <v>19156</v>
      </c>
      <c r="C6465" t="s">
        <v>19157</v>
      </c>
    </row>
    <row r="6466" spans="1:3" x14ac:dyDescent="0.35">
      <c r="A6466" t="s">
        <v>19158</v>
      </c>
      <c r="B6466" t="s">
        <v>19159</v>
      </c>
      <c r="C6466" t="s">
        <v>19160</v>
      </c>
    </row>
    <row r="6467" spans="1:3" x14ac:dyDescent="0.35">
      <c r="A6467" t="s">
        <v>19161</v>
      </c>
      <c r="B6467" t="s">
        <v>19162</v>
      </c>
      <c r="C6467" t="s">
        <v>19163</v>
      </c>
    </row>
    <row r="6468" spans="1:3" x14ac:dyDescent="0.35">
      <c r="A6468" t="s">
        <v>19164</v>
      </c>
      <c r="B6468" t="s">
        <v>19165</v>
      </c>
      <c r="C6468" t="s">
        <v>19166</v>
      </c>
    </row>
    <row r="6469" spans="1:3" x14ac:dyDescent="0.35">
      <c r="A6469" t="s">
        <v>19167</v>
      </c>
      <c r="B6469" t="s">
        <v>19168</v>
      </c>
      <c r="C6469" t="s">
        <v>19169</v>
      </c>
    </row>
    <row r="6470" spans="1:3" x14ac:dyDescent="0.35">
      <c r="A6470" t="s">
        <v>19170</v>
      </c>
      <c r="B6470" t="s">
        <v>19171</v>
      </c>
      <c r="C6470" t="s">
        <v>19172</v>
      </c>
    </row>
    <row r="6471" spans="1:3" x14ac:dyDescent="0.35">
      <c r="A6471" t="s">
        <v>19173</v>
      </c>
      <c r="B6471" t="s">
        <v>19174</v>
      </c>
      <c r="C6471" t="s">
        <v>19175</v>
      </c>
    </row>
    <row r="6472" spans="1:3" x14ac:dyDescent="0.35">
      <c r="A6472" t="s">
        <v>19176</v>
      </c>
      <c r="B6472" t="s">
        <v>19177</v>
      </c>
      <c r="C6472" t="s">
        <v>19178</v>
      </c>
    </row>
    <row r="6473" spans="1:3" x14ac:dyDescent="0.35">
      <c r="A6473" t="s">
        <v>19179</v>
      </c>
      <c r="B6473" t="s">
        <v>19180</v>
      </c>
      <c r="C6473" t="s">
        <v>19181</v>
      </c>
    </row>
    <row r="6474" spans="1:3" x14ac:dyDescent="0.35">
      <c r="A6474" t="s">
        <v>19182</v>
      </c>
      <c r="B6474" t="s">
        <v>19183</v>
      </c>
      <c r="C6474" t="s">
        <v>19184</v>
      </c>
    </row>
    <row r="6475" spans="1:3" x14ac:dyDescent="0.35">
      <c r="A6475" t="s">
        <v>19182</v>
      </c>
      <c r="B6475" t="s">
        <v>19185</v>
      </c>
      <c r="C6475" t="s">
        <v>19186</v>
      </c>
    </row>
    <row r="6476" spans="1:3" x14ac:dyDescent="0.35">
      <c r="A6476" t="s">
        <v>19187</v>
      </c>
      <c r="B6476" t="s">
        <v>19188</v>
      </c>
      <c r="C6476" t="s">
        <v>19189</v>
      </c>
    </row>
    <row r="6477" spans="1:3" x14ac:dyDescent="0.35">
      <c r="A6477" t="s">
        <v>19190</v>
      </c>
      <c r="B6477" t="s">
        <v>19191</v>
      </c>
      <c r="C6477" t="s">
        <v>19192</v>
      </c>
    </row>
    <row r="6478" spans="1:3" x14ac:dyDescent="0.35">
      <c r="A6478" t="s">
        <v>19193</v>
      </c>
      <c r="B6478" t="s">
        <v>19194</v>
      </c>
      <c r="C6478" t="s">
        <v>19195</v>
      </c>
    </row>
    <row r="6479" spans="1:3" x14ac:dyDescent="0.35">
      <c r="A6479" t="s">
        <v>19196</v>
      </c>
      <c r="B6479" t="s">
        <v>19197</v>
      </c>
      <c r="C6479" t="s">
        <v>19198</v>
      </c>
    </row>
    <row r="6480" spans="1:3" x14ac:dyDescent="0.35">
      <c r="A6480" t="s">
        <v>19199</v>
      </c>
      <c r="B6480" t="s">
        <v>19200</v>
      </c>
      <c r="C6480" t="s">
        <v>19201</v>
      </c>
    </row>
    <row r="6481" spans="1:3" x14ac:dyDescent="0.35">
      <c r="A6481" t="s">
        <v>19202</v>
      </c>
      <c r="B6481" t="s">
        <v>19203</v>
      </c>
      <c r="C6481" t="s">
        <v>19204</v>
      </c>
    </row>
    <row r="6482" spans="1:3" x14ac:dyDescent="0.35">
      <c r="A6482" t="s">
        <v>19205</v>
      </c>
      <c r="B6482" t="s">
        <v>19206</v>
      </c>
      <c r="C6482" t="s">
        <v>19207</v>
      </c>
    </row>
    <row r="6483" spans="1:3" x14ac:dyDescent="0.35">
      <c r="A6483" t="s">
        <v>19208</v>
      </c>
      <c r="B6483" t="s">
        <v>19209</v>
      </c>
      <c r="C6483" t="s">
        <v>19210</v>
      </c>
    </row>
    <row r="6484" spans="1:3" x14ac:dyDescent="0.35">
      <c r="A6484" t="s">
        <v>19211</v>
      </c>
      <c r="B6484" t="s">
        <v>19212</v>
      </c>
      <c r="C6484" t="s">
        <v>19213</v>
      </c>
    </row>
    <row r="6485" spans="1:3" x14ac:dyDescent="0.35">
      <c r="A6485" t="s">
        <v>19214</v>
      </c>
      <c r="B6485" t="s">
        <v>19215</v>
      </c>
      <c r="C6485" t="s">
        <v>19216</v>
      </c>
    </row>
    <row r="6486" spans="1:3" x14ac:dyDescent="0.35">
      <c r="A6486" t="s">
        <v>19217</v>
      </c>
      <c r="B6486" t="s">
        <v>19218</v>
      </c>
      <c r="C6486" t="s">
        <v>19219</v>
      </c>
    </row>
    <row r="6487" spans="1:3" x14ac:dyDescent="0.35">
      <c r="A6487" t="s">
        <v>19220</v>
      </c>
      <c r="B6487" t="s">
        <v>19221</v>
      </c>
      <c r="C6487" t="s">
        <v>19222</v>
      </c>
    </row>
    <row r="6488" spans="1:3" x14ac:dyDescent="0.35">
      <c r="A6488" t="s">
        <v>19223</v>
      </c>
      <c r="B6488" t="s">
        <v>19224</v>
      </c>
      <c r="C6488" t="s">
        <v>19225</v>
      </c>
    </row>
    <row r="6489" spans="1:3" x14ac:dyDescent="0.35">
      <c r="A6489" t="s">
        <v>19226</v>
      </c>
      <c r="B6489" t="s">
        <v>19227</v>
      </c>
      <c r="C6489" t="s">
        <v>19228</v>
      </c>
    </row>
    <row r="6490" spans="1:3" x14ac:dyDescent="0.35">
      <c r="A6490" t="s">
        <v>19229</v>
      </c>
      <c r="B6490" t="s">
        <v>19230</v>
      </c>
      <c r="C6490" t="s">
        <v>19231</v>
      </c>
    </row>
    <row r="6491" spans="1:3" x14ac:dyDescent="0.35">
      <c r="A6491" t="s">
        <v>19232</v>
      </c>
      <c r="B6491" t="s">
        <v>19212</v>
      </c>
      <c r="C6491" t="s">
        <v>19233</v>
      </c>
    </row>
    <row r="6492" spans="1:3" x14ac:dyDescent="0.35">
      <c r="A6492" t="s">
        <v>19234</v>
      </c>
      <c r="B6492" t="s">
        <v>19235</v>
      </c>
      <c r="C6492" t="s">
        <v>19236</v>
      </c>
    </row>
    <row r="6493" spans="1:3" x14ac:dyDescent="0.35">
      <c r="A6493" t="s">
        <v>19234</v>
      </c>
      <c r="B6493" t="s">
        <v>19237</v>
      </c>
      <c r="C6493" t="s">
        <v>19238</v>
      </c>
    </row>
    <row r="6494" spans="1:3" x14ac:dyDescent="0.35">
      <c r="A6494" t="s">
        <v>19239</v>
      </c>
      <c r="B6494" t="s">
        <v>19240</v>
      </c>
      <c r="C6494" t="s">
        <v>19241</v>
      </c>
    </row>
    <row r="6495" spans="1:3" x14ac:dyDescent="0.35">
      <c r="A6495" t="s">
        <v>19242</v>
      </c>
      <c r="B6495" t="s">
        <v>19243</v>
      </c>
      <c r="C6495" t="s">
        <v>19244</v>
      </c>
    </row>
    <row r="6496" spans="1:3" x14ac:dyDescent="0.35">
      <c r="A6496" t="s">
        <v>19245</v>
      </c>
      <c r="B6496" t="s">
        <v>19246</v>
      </c>
      <c r="C6496" t="s">
        <v>19247</v>
      </c>
    </row>
    <row r="6497" spans="1:3" x14ac:dyDescent="0.35">
      <c r="A6497" t="s">
        <v>19248</v>
      </c>
      <c r="B6497" t="s">
        <v>19249</v>
      </c>
      <c r="C6497" t="s">
        <v>19250</v>
      </c>
    </row>
    <row r="6498" spans="1:3" x14ac:dyDescent="0.35">
      <c r="A6498" t="s">
        <v>19251</v>
      </c>
      <c r="B6498" t="s">
        <v>19252</v>
      </c>
      <c r="C6498" t="s">
        <v>19253</v>
      </c>
    </row>
    <row r="6499" spans="1:3" x14ac:dyDescent="0.35">
      <c r="A6499" t="s">
        <v>19251</v>
      </c>
      <c r="B6499" t="s">
        <v>19254</v>
      </c>
      <c r="C6499" t="s">
        <v>18918</v>
      </c>
    </row>
    <row r="6500" spans="1:3" x14ac:dyDescent="0.35">
      <c r="A6500" t="s">
        <v>19255</v>
      </c>
      <c r="B6500" t="s">
        <v>19256</v>
      </c>
      <c r="C6500" t="s">
        <v>19257</v>
      </c>
    </row>
    <row r="6501" spans="1:3" x14ac:dyDescent="0.35">
      <c r="A6501" t="s">
        <v>19258</v>
      </c>
      <c r="B6501" t="s">
        <v>19259</v>
      </c>
      <c r="C6501" t="s">
        <v>19260</v>
      </c>
    </row>
    <row r="6502" spans="1:3" x14ac:dyDescent="0.35">
      <c r="A6502" t="s">
        <v>19261</v>
      </c>
      <c r="B6502" t="s">
        <v>19262</v>
      </c>
      <c r="C6502" t="s">
        <v>19263</v>
      </c>
    </row>
    <row r="6503" spans="1:3" x14ac:dyDescent="0.35">
      <c r="A6503" t="s">
        <v>19264</v>
      </c>
      <c r="B6503" t="s">
        <v>19265</v>
      </c>
      <c r="C6503" t="s">
        <v>19266</v>
      </c>
    </row>
    <row r="6504" spans="1:3" x14ac:dyDescent="0.35">
      <c r="A6504" t="s">
        <v>19267</v>
      </c>
      <c r="B6504" t="s">
        <v>19268</v>
      </c>
      <c r="C6504" t="s">
        <v>19269</v>
      </c>
    </row>
    <row r="6505" spans="1:3" x14ac:dyDescent="0.35">
      <c r="A6505" t="s">
        <v>19270</v>
      </c>
      <c r="B6505" t="s">
        <v>19271</v>
      </c>
      <c r="C6505" t="s">
        <v>19272</v>
      </c>
    </row>
    <row r="6506" spans="1:3" x14ac:dyDescent="0.35">
      <c r="A6506" t="s">
        <v>19273</v>
      </c>
      <c r="B6506" t="s">
        <v>19274</v>
      </c>
      <c r="C6506" t="s">
        <v>19275</v>
      </c>
    </row>
    <row r="6507" spans="1:3" x14ac:dyDescent="0.35">
      <c r="A6507" t="s">
        <v>19276</v>
      </c>
      <c r="B6507" t="s">
        <v>19277</v>
      </c>
      <c r="C6507" t="s">
        <v>19278</v>
      </c>
    </row>
    <row r="6508" spans="1:3" x14ac:dyDescent="0.35">
      <c r="A6508" t="s">
        <v>19276</v>
      </c>
      <c r="B6508" t="s">
        <v>19279</v>
      </c>
      <c r="C6508" t="s">
        <v>19280</v>
      </c>
    </row>
    <row r="6509" spans="1:3" x14ac:dyDescent="0.35">
      <c r="A6509" t="s">
        <v>19281</v>
      </c>
      <c r="B6509" t="s">
        <v>19282</v>
      </c>
      <c r="C6509" t="s">
        <v>19283</v>
      </c>
    </row>
    <row r="6510" spans="1:3" x14ac:dyDescent="0.35">
      <c r="A6510" t="s">
        <v>19284</v>
      </c>
      <c r="B6510" t="s">
        <v>19285</v>
      </c>
      <c r="C6510" t="s">
        <v>19286</v>
      </c>
    </row>
    <row r="6511" spans="1:3" x14ac:dyDescent="0.35">
      <c r="A6511" t="s">
        <v>19287</v>
      </c>
      <c r="B6511" t="s">
        <v>19288</v>
      </c>
      <c r="C6511" t="s">
        <v>19289</v>
      </c>
    </row>
    <row r="6512" spans="1:3" x14ac:dyDescent="0.35">
      <c r="A6512" t="s">
        <v>19290</v>
      </c>
      <c r="B6512" t="s">
        <v>19291</v>
      </c>
      <c r="C6512" t="s">
        <v>19292</v>
      </c>
    </row>
    <row r="6513" spans="1:3" x14ac:dyDescent="0.35">
      <c r="A6513" t="s">
        <v>19293</v>
      </c>
      <c r="B6513" t="s">
        <v>19294</v>
      </c>
      <c r="C6513" t="s">
        <v>19295</v>
      </c>
    </row>
    <row r="6514" spans="1:3" x14ac:dyDescent="0.35">
      <c r="A6514" t="s">
        <v>19296</v>
      </c>
      <c r="B6514" t="s">
        <v>19297</v>
      </c>
      <c r="C6514" t="s">
        <v>19298</v>
      </c>
    </row>
    <row r="6515" spans="1:3" x14ac:dyDescent="0.35">
      <c r="A6515" t="s">
        <v>19299</v>
      </c>
      <c r="B6515" t="s">
        <v>19300</v>
      </c>
      <c r="C6515" t="s">
        <v>19301</v>
      </c>
    </row>
    <row r="6516" spans="1:3" x14ac:dyDescent="0.35">
      <c r="A6516" t="s">
        <v>19299</v>
      </c>
      <c r="B6516" t="s">
        <v>19302</v>
      </c>
      <c r="C6516" t="s">
        <v>19303</v>
      </c>
    </row>
    <row r="6517" spans="1:3" x14ac:dyDescent="0.35">
      <c r="A6517" t="s">
        <v>19304</v>
      </c>
      <c r="B6517" t="s">
        <v>19305</v>
      </c>
      <c r="C6517" t="s">
        <v>19306</v>
      </c>
    </row>
    <row r="6518" spans="1:3" x14ac:dyDescent="0.35">
      <c r="A6518" t="s">
        <v>19304</v>
      </c>
      <c r="B6518" t="s">
        <v>19307</v>
      </c>
      <c r="C6518" t="s">
        <v>19308</v>
      </c>
    </row>
    <row r="6519" spans="1:3" x14ac:dyDescent="0.35">
      <c r="A6519" t="s">
        <v>19309</v>
      </c>
      <c r="B6519" t="s">
        <v>19310</v>
      </c>
      <c r="C6519" t="s">
        <v>19311</v>
      </c>
    </row>
    <row r="6520" spans="1:3" x14ac:dyDescent="0.35">
      <c r="A6520" t="s">
        <v>19312</v>
      </c>
      <c r="B6520" t="s">
        <v>19313</v>
      </c>
      <c r="C6520" t="s">
        <v>19314</v>
      </c>
    </row>
    <row r="6521" spans="1:3" x14ac:dyDescent="0.35">
      <c r="A6521" t="s">
        <v>19315</v>
      </c>
      <c r="B6521" t="s">
        <v>19316</v>
      </c>
      <c r="C6521" t="s">
        <v>19317</v>
      </c>
    </row>
    <row r="6522" spans="1:3" x14ac:dyDescent="0.35">
      <c r="A6522" t="s">
        <v>19318</v>
      </c>
      <c r="B6522" t="s">
        <v>19319</v>
      </c>
      <c r="C6522" t="s">
        <v>19320</v>
      </c>
    </row>
    <row r="6523" spans="1:3" x14ac:dyDescent="0.35">
      <c r="A6523" t="s">
        <v>19321</v>
      </c>
      <c r="B6523" t="s">
        <v>19322</v>
      </c>
      <c r="C6523" t="s">
        <v>19323</v>
      </c>
    </row>
    <row r="6524" spans="1:3" x14ac:dyDescent="0.35">
      <c r="A6524" t="s">
        <v>19324</v>
      </c>
      <c r="B6524" t="s">
        <v>19325</v>
      </c>
      <c r="C6524" t="s">
        <v>19326</v>
      </c>
    </row>
    <row r="6525" spans="1:3" x14ac:dyDescent="0.35">
      <c r="A6525" t="s">
        <v>19327</v>
      </c>
      <c r="B6525" t="s">
        <v>19328</v>
      </c>
      <c r="C6525" t="s">
        <v>19329</v>
      </c>
    </row>
    <row r="6526" spans="1:3" x14ac:dyDescent="0.35">
      <c r="A6526" t="s">
        <v>19330</v>
      </c>
      <c r="B6526" t="s">
        <v>19331</v>
      </c>
      <c r="C6526" t="s">
        <v>19332</v>
      </c>
    </row>
    <row r="6527" spans="1:3" x14ac:dyDescent="0.35">
      <c r="A6527" t="s">
        <v>19333</v>
      </c>
      <c r="B6527" t="s">
        <v>19334</v>
      </c>
      <c r="C6527" t="s">
        <v>19335</v>
      </c>
    </row>
    <row r="6528" spans="1:3" x14ac:dyDescent="0.35">
      <c r="A6528" t="s">
        <v>19336</v>
      </c>
      <c r="B6528" t="s">
        <v>19337</v>
      </c>
      <c r="C6528" t="s">
        <v>19338</v>
      </c>
    </row>
    <row r="6529" spans="1:3" x14ac:dyDescent="0.35">
      <c r="A6529" t="s">
        <v>19339</v>
      </c>
      <c r="B6529" t="s">
        <v>19340</v>
      </c>
      <c r="C6529" t="s">
        <v>19341</v>
      </c>
    </row>
    <row r="6530" spans="1:3" x14ac:dyDescent="0.35">
      <c r="A6530" t="s">
        <v>19342</v>
      </c>
      <c r="B6530" t="s">
        <v>19343</v>
      </c>
      <c r="C6530" t="s">
        <v>19344</v>
      </c>
    </row>
    <row r="6531" spans="1:3" x14ac:dyDescent="0.35">
      <c r="A6531" t="s">
        <v>19345</v>
      </c>
      <c r="B6531" t="s">
        <v>19346</v>
      </c>
      <c r="C6531" t="s">
        <v>19347</v>
      </c>
    </row>
    <row r="6532" spans="1:3" x14ac:dyDescent="0.35">
      <c r="A6532" t="s">
        <v>19348</v>
      </c>
      <c r="B6532" t="s">
        <v>19349</v>
      </c>
      <c r="C6532" t="s">
        <v>19350</v>
      </c>
    </row>
    <row r="6533" spans="1:3" x14ac:dyDescent="0.35">
      <c r="A6533" t="s">
        <v>19351</v>
      </c>
      <c r="B6533" t="s">
        <v>19352</v>
      </c>
      <c r="C6533" t="s">
        <v>19353</v>
      </c>
    </row>
    <row r="6534" spans="1:3" x14ac:dyDescent="0.35">
      <c r="A6534" t="s">
        <v>19354</v>
      </c>
      <c r="B6534" t="s">
        <v>19355</v>
      </c>
      <c r="C6534" t="s">
        <v>19356</v>
      </c>
    </row>
    <row r="6535" spans="1:3" x14ac:dyDescent="0.35">
      <c r="A6535" t="s">
        <v>19357</v>
      </c>
      <c r="B6535" t="s">
        <v>19358</v>
      </c>
      <c r="C6535" t="s">
        <v>19359</v>
      </c>
    </row>
    <row r="6536" spans="1:3" x14ac:dyDescent="0.35">
      <c r="A6536" t="s">
        <v>19360</v>
      </c>
      <c r="B6536" t="s">
        <v>19361</v>
      </c>
      <c r="C6536" t="s">
        <v>19362</v>
      </c>
    </row>
    <row r="6537" spans="1:3" x14ac:dyDescent="0.35">
      <c r="A6537" t="s">
        <v>19363</v>
      </c>
      <c r="B6537" t="s">
        <v>19364</v>
      </c>
      <c r="C6537" t="s">
        <v>19365</v>
      </c>
    </row>
    <row r="6538" spans="1:3" x14ac:dyDescent="0.35">
      <c r="A6538" t="s">
        <v>19366</v>
      </c>
      <c r="B6538" t="s">
        <v>19367</v>
      </c>
      <c r="C6538" t="s">
        <v>19368</v>
      </c>
    </row>
    <row r="6539" spans="1:3" x14ac:dyDescent="0.35">
      <c r="A6539" t="s">
        <v>19369</v>
      </c>
      <c r="B6539" t="s">
        <v>19370</v>
      </c>
      <c r="C6539" t="s">
        <v>19371</v>
      </c>
    </row>
    <row r="6540" spans="1:3" x14ac:dyDescent="0.35">
      <c r="A6540" t="s">
        <v>19372</v>
      </c>
      <c r="B6540" t="s">
        <v>19373</v>
      </c>
      <c r="C6540" t="s">
        <v>19374</v>
      </c>
    </row>
    <row r="6541" spans="1:3" x14ac:dyDescent="0.35">
      <c r="A6541" t="s">
        <v>19375</v>
      </c>
      <c r="B6541" t="s">
        <v>19376</v>
      </c>
      <c r="C6541" t="s">
        <v>19377</v>
      </c>
    </row>
    <row r="6542" spans="1:3" x14ac:dyDescent="0.35">
      <c r="A6542" t="s">
        <v>19378</v>
      </c>
      <c r="B6542" t="s">
        <v>19379</v>
      </c>
      <c r="C6542" t="s">
        <v>19380</v>
      </c>
    </row>
    <row r="6543" spans="1:3" x14ac:dyDescent="0.35">
      <c r="A6543" t="s">
        <v>19381</v>
      </c>
      <c r="B6543" t="s">
        <v>19382</v>
      </c>
      <c r="C6543" t="s">
        <v>19383</v>
      </c>
    </row>
    <row r="6544" spans="1:3" x14ac:dyDescent="0.35">
      <c r="A6544" t="s">
        <v>19384</v>
      </c>
      <c r="B6544" t="s">
        <v>19385</v>
      </c>
      <c r="C6544" t="s">
        <v>19386</v>
      </c>
    </row>
    <row r="6545" spans="1:3" x14ac:dyDescent="0.35">
      <c r="A6545" t="s">
        <v>19387</v>
      </c>
      <c r="B6545" t="s">
        <v>19388</v>
      </c>
      <c r="C6545" t="s">
        <v>19389</v>
      </c>
    </row>
    <row r="6546" spans="1:3" x14ac:dyDescent="0.35">
      <c r="A6546" t="s">
        <v>19390</v>
      </c>
      <c r="B6546" t="s">
        <v>19391</v>
      </c>
      <c r="C6546" t="s">
        <v>19392</v>
      </c>
    </row>
    <row r="6547" spans="1:3" x14ac:dyDescent="0.35">
      <c r="A6547" t="s">
        <v>19393</v>
      </c>
      <c r="B6547" t="s">
        <v>19394</v>
      </c>
      <c r="C6547" t="s">
        <v>19395</v>
      </c>
    </row>
    <row r="6548" spans="1:3" x14ac:dyDescent="0.35">
      <c r="A6548" t="s">
        <v>19396</v>
      </c>
      <c r="B6548" t="s">
        <v>19397</v>
      </c>
      <c r="C6548" t="s">
        <v>19398</v>
      </c>
    </row>
    <row r="6549" spans="1:3" x14ac:dyDescent="0.35">
      <c r="A6549" t="s">
        <v>19399</v>
      </c>
      <c r="B6549" t="s">
        <v>19400</v>
      </c>
      <c r="C6549" t="s">
        <v>19401</v>
      </c>
    </row>
    <row r="6550" spans="1:3" x14ac:dyDescent="0.35">
      <c r="A6550" t="s">
        <v>19402</v>
      </c>
      <c r="B6550" t="s">
        <v>19403</v>
      </c>
      <c r="C6550" t="s">
        <v>19404</v>
      </c>
    </row>
    <row r="6551" spans="1:3" x14ac:dyDescent="0.35">
      <c r="A6551" t="s">
        <v>19405</v>
      </c>
      <c r="B6551" t="s">
        <v>19406</v>
      </c>
      <c r="C6551" t="s">
        <v>19407</v>
      </c>
    </row>
    <row r="6552" spans="1:3" x14ac:dyDescent="0.35">
      <c r="A6552" t="s">
        <v>19408</v>
      </c>
      <c r="B6552" t="s">
        <v>19409</v>
      </c>
      <c r="C6552" t="s">
        <v>19410</v>
      </c>
    </row>
    <row r="6553" spans="1:3" x14ac:dyDescent="0.35">
      <c r="A6553" t="s">
        <v>19411</v>
      </c>
      <c r="B6553" t="s">
        <v>19412</v>
      </c>
      <c r="C6553" t="s">
        <v>19413</v>
      </c>
    </row>
    <row r="6554" spans="1:3" x14ac:dyDescent="0.35">
      <c r="A6554" t="s">
        <v>19414</v>
      </c>
      <c r="B6554" t="s">
        <v>19415</v>
      </c>
      <c r="C6554" t="s">
        <v>19416</v>
      </c>
    </row>
    <row r="6555" spans="1:3" x14ac:dyDescent="0.35">
      <c r="A6555" t="s">
        <v>19417</v>
      </c>
      <c r="B6555" t="s">
        <v>19418</v>
      </c>
      <c r="C6555" t="s">
        <v>19419</v>
      </c>
    </row>
    <row r="6556" spans="1:3" x14ac:dyDescent="0.35">
      <c r="A6556" t="s">
        <v>19420</v>
      </c>
      <c r="B6556" t="s">
        <v>19421</v>
      </c>
      <c r="C6556" t="s">
        <v>19422</v>
      </c>
    </row>
    <row r="6557" spans="1:3" x14ac:dyDescent="0.35">
      <c r="A6557" t="s">
        <v>19423</v>
      </c>
      <c r="B6557" t="s">
        <v>19424</v>
      </c>
      <c r="C6557" t="s">
        <v>19425</v>
      </c>
    </row>
    <row r="6558" spans="1:3" x14ac:dyDescent="0.35">
      <c r="A6558" t="s">
        <v>19426</v>
      </c>
      <c r="B6558" t="s">
        <v>19427</v>
      </c>
      <c r="C6558" t="s">
        <v>19428</v>
      </c>
    </row>
    <row r="6559" spans="1:3" x14ac:dyDescent="0.35">
      <c r="A6559" t="s">
        <v>19429</v>
      </c>
      <c r="B6559" t="s">
        <v>19430</v>
      </c>
      <c r="C6559" t="s">
        <v>19431</v>
      </c>
    </row>
    <row r="6560" spans="1:3" x14ac:dyDescent="0.35">
      <c r="A6560" t="s">
        <v>19432</v>
      </c>
      <c r="B6560" t="s">
        <v>19433</v>
      </c>
      <c r="C6560" t="s">
        <v>19434</v>
      </c>
    </row>
    <row r="6561" spans="1:3" x14ac:dyDescent="0.35">
      <c r="A6561" t="s">
        <v>19435</v>
      </c>
      <c r="B6561" t="s">
        <v>19436</v>
      </c>
      <c r="C6561" t="s">
        <v>19437</v>
      </c>
    </row>
    <row r="6562" spans="1:3" x14ac:dyDescent="0.35">
      <c r="A6562" t="s">
        <v>19438</v>
      </c>
      <c r="B6562" t="s">
        <v>19439</v>
      </c>
      <c r="C6562" t="s">
        <v>19440</v>
      </c>
    </row>
    <row r="6563" spans="1:3" x14ac:dyDescent="0.35">
      <c r="A6563" t="s">
        <v>19441</v>
      </c>
      <c r="B6563" t="s">
        <v>19442</v>
      </c>
      <c r="C6563" t="s">
        <v>19443</v>
      </c>
    </row>
    <row r="6564" spans="1:3" x14ac:dyDescent="0.35">
      <c r="A6564" t="s">
        <v>19444</v>
      </c>
      <c r="B6564" t="s">
        <v>19445</v>
      </c>
      <c r="C6564" t="s">
        <v>19446</v>
      </c>
    </row>
    <row r="6565" spans="1:3" x14ac:dyDescent="0.35">
      <c r="A6565" t="s">
        <v>19447</v>
      </c>
      <c r="B6565" t="s">
        <v>19448</v>
      </c>
      <c r="C6565" t="s">
        <v>19449</v>
      </c>
    </row>
    <row r="6566" spans="1:3" x14ac:dyDescent="0.35">
      <c r="A6566" t="s">
        <v>19450</v>
      </c>
      <c r="B6566" t="s">
        <v>19451</v>
      </c>
      <c r="C6566" t="s">
        <v>19452</v>
      </c>
    </row>
    <row r="6567" spans="1:3" x14ac:dyDescent="0.35">
      <c r="A6567" t="s">
        <v>19453</v>
      </c>
      <c r="B6567" t="s">
        <v>19454</v>
      </c>
      <c r="C6567" t="s">
        <v>19455</v>
      </c>
    </row>
    <row r="6568" spans="1:3" x14ac:dyDescent="0.35">
      <c r="A6568" t="s">
        <v>19453</v>
      </c>
      <c r="B6568" t="s">
        <v>19188</v>
      </c>
      <c r="C6568" t="s">
        <v>19189</v>
      </c>
    </row>
    <row r="6569" spans="1:3" x14ac:dyDescent="0.35">
      <c r="A6569" t="s">
        <v>19456</v>
      </c>
      <c r="B6569" t="s">
        <v>19457</v>
      </c>
      <c r="C6569" t="s">
        <v>19458</v>
      </c>
    </row>
    <row r="6570" spans="1:3" x14ac:dyDescent="0.35">
      <c r="A6570" t="s">
        <v>19459</v>
      </c>
      <c r="B6570" t="s">
        <v>19460</v>
      </c>
      <c r="C6570" t="s">
        <v>19461</v>
      </c>
    </row>
    <row r="6571" spans="1:3" x14ac:dyDescent="0.35">
      <c r="A6571" t="s">
        <v>19462</v>
      </c>
      <c r="B6571" t="s">
        <v>19463</v>
      </c>
      <c r="C6571" t="s">
        <v>19464</v>
      </c>
    </row>
    <row r="6572" spans="1:3" x14ac:dyDescent="0.35">
      <c r="A6572" t="s">
        <v>19465</v>
      </c>
      <c r="B6572" t="s">
        <v>19466</v>
      </c>
      <c r="C6572" t="s">
        <v>19467</v>
      </c>
    </row>
    <row r="6573" spans="1:3" x14ac:dyDescent="0.35">
      <c r="A6573" t="s">
        <v>19465</v>
      </c>
      <c r="B6573" t="s">
        <v>19468</v>
      </c>
      <c r="C6573" t="s">
        <v>19469</v>
      </c>
    </row>
    <row r="6574" spans="1:3" x14ac:dyDescent="0.35">
      <c r="A6574" t="s">
        <v>19470</v>
      </c>
      <c r="B6574" t="s">
        <v>19471</v>
      </c>
      <c r="C6574" t="s">
        <v>19472</v>
      </c>
    </row>
    <row r="6575" spans="1:3" x14ac:dyDescent="0.35">
      <c r="A6575" t="s">
        <v>19473</v>
      </c>
      <c r="B6575" t="s">
        <v>19474</v>
      </c>
      <c r="C6575" t="s">
        <v>19475</v>
      </c>
    </row>
    <row r="6576" spans="1:3" x14ac:dyDescent="0.35">
      <c r="A6576" t="s">
        <v>19476</v>
      </c>
      <c r="B6576" t="s">
        <v>19477</v>
      </c>
      <c r="C6576" t="s">
        <v>19478</v>
      </c>
    </row>
    <row r="6577" spans="1:3" x14ac:dyDescent="0.35">
      <c r="A6577" t="s">
        <v>19479</v>
      </c>
      <c r="B6577" t="s">
        <v>19480</v>
      </c>
      <c r="C6577" t="s">
        <v>19481</v>
      </c>
    </row>
    <row r="6578" spans="1:3" x14ac:dyDescent="0.35">
      <c r="A6578" t="s">
        <v>19482</v>
      </c>
      <c r="B6578" t="s">
        <v>19483</v>
      </c>
      <c r="C6578" t="s">
        <v>19484</v>
      </c>
    </row>
    <row r="6579" spans="1:3" x14ac:dyDescent="0.35">
      <c r="A6579" t="s">
        <v>19485</v>
      </c>
      <c r="B6579" t="s">
        <v>19486</v>
      </c>
      <c r="C6579" t="s">
        <v>19487</v>
      </c>
    </row>
    <row r="6580" spans="1:3" x14ac:dyDescent="0.35">
      <c r="A6580" t="s">
        <v>19488</v>
      </c>
      <c r="B6580" t="s">
        <v>19489</v>
      </c>
      <c r="C6580" t="s">
        <v>19490</v>
      </c>
    </row>
    <row r="6581" spans="1:3" x14ac:dyDescent="0.35">
      <c r="A6581" t="s">
        <v>19491</v>
      </c>
      <c r="B6581" t="s">
        <v>19492</v>
      </c>
      <c r="C6581" t="s">
        <v>19493</v>
      </c>
    </row>
    <row r="6582" spans="1:3" x14ac:dyDescent="0.35">
      <c r="A6582" t="s">
        <v>19494</v>
      </c>
      <c r="B6582" t="s">
        <v>19495</v>
      </c>
      <c r="C6582" t="s">
        <v>19496</v>
      </c>
    </row>
    <row r="6583" spans="1:3" x14ac:dyDescent="0.35">
      <c r="A6583" t="s">
        <v>19494</v>
      </c>
      <c r="B6583" t="s">
        <v>19497</v>
      </c>
      <c r="C6583" t="s">
        <v>19498</v>
      </c>
    </row>
    <row r="6584" spans="1:3" x14ac:dyDescent="0.35">
      <c r="A6584" t="s">
        <v>19499</v>
      </c>
      <c r="B6584" t="s">
        <v>19500</v>
      </c>
      <c r="C6584" t="s">
        <v>19501</v>
      </c>
    </row>
    <row r="6585" spans="1:3" x14ac:dyDescent="0.35">
      <c r="A6585" t="s">
        <v>19502</v>
      </c>
      <c r="B6585" t="s">
        <v>19503</v>
      </c>
      <c r="C6585" t="s">
        <v>19504</v>
      </c>
    </row>
    <row r="6586" spans="1:3" x14ac:dyDescent="0.35">
      <c r="A6586" t="s">
        <v>19505</v>
      </c>
      <c r="B6586" t="s">
        <v>19506</v>
      </c>
      <c r="C6586" t="s">
        <v>19507</v>
      </c>
    </row>
    <row r="6587" spans="1:3" x14ac:dyDescent="0.35">
      <c r="A6587" t="s">
        <v>19508</v>
      </c>
      <c r="B6587" t="s">
        <v>19509</v>
      </c>
      <c r="C6587" t="s">
        <v>19510</v>
      </c>
    </row>
    <row r="6588" spans="1:3" x14ac:dyDescent="0.35">
      <c r="A6588" t="s">
        <v>19511</v>
      </c>
      <c r="B6588" t="s">
        <v>19512</v>
      </c>
      <c r="C6588" t="s">
        <v>19513</v>
      </c>
    </row>
    <row r="6589" spans="1:3" x14ac:dyDescent="0.35">
      <c r="A6589" t="s">
        <v>19514</v>
      </c>
      <c r="B6589" t="s">
        <v>19515</v>
      </c>
      <c r="C6589" t="s">
        <v>19516</v>
      </c>
    </row>
    <row r="6590" spans="1:3" x14ac:dyDescent="0.35">
      <c r="A6590" t="s">
        <v>19517</v>
      </c>
      <c r="B6590" t="s">
        <v>19518</v>
      </c>
      <c r="C6590" t="s">
        <v>19519</v>
      </c>
    </row>
    <row r="6591" spans="1:3" x14ac:dyDescent="0.35">
      <c r="A6591" t="s">
        <v>19520</v>
      </c>
      <c r="B6591" t="s">
        <v>19521</v>
      </c>
      <c r="C6591" t="s">
        <v>19522</v>
      </c>
    </row>
    <row r="6592" spans="1:3" x14ac:dyDescent="0.35">
      <c r="A6592" t="s">
        <v>19523</v>
      </c>
      <c r="B6592" t="s">
        <v>19524</v>
      </c>
      <c r="C6592" t="s">
        <v>19525</v>
      </c>
    </row>
    <row r="6593" spans="1:3" x14ac:dyDescent="0.35">
      <c r="A6593" t="s">
        <v>19526</v>
      </c>
      <c r="B6593" t="s">
        <v>19527</v>
      </c>
      <c r="C6593" t="s">
        <v>19528</v>
      </c>
    </row>
    <row r="6594" spans="1:3" x14ac:dyDescent="0.35">
      <c r="A6594" t="s">
        <v>19529</v>
      </c>
      <c r="B6594" t="s">
        <v>19530</v>
      </c>
      <c r="C6594" t="s">
        <v>19531</v>
      </c>
    </row>
    <row r="6595" spans="1:3" x14ac:dyDescent="0.35">
      <c r="A6595" t="s">
        <v>19532</v>
      </c>
      <c r="B6595" t="s">
        <v>19533</v>
      </c>
      <c r="C6595" t="s">
        <v>19534</v>
      </c>
    </row>
    <row r="6596" spans="1:3" x14ac:dyDescent="0.35">
      <c r="A6596" t="s">
        <v>19535</v>
      </c>
      <c r="B6596" t="s">
        <v>19536</v>
      </c>
      <c r="C6596" t="s">
        <v>19537</v>
      </c>
    </row>
    <row r="6597" spans="1:3" x14ac:dyDescent="0.35">
      <c r="A6597" t="s">
        <v>19538</v>
      </c>
      <c r="B6597" t="s">
        <v>19539</v>
      </c>
      <c r="C6597" t="s">
        <v>19540</v>
      </c>
    </row>
    <row r="6598" spans="1:3" x14ac:dyDescent="0.35">
      <c r="A6598" t="s">
        <v>19541</v>
      </c>
      <c r="B6598" t="s">
        <v>19542</v>
      </c>
      <c r="C6598" t="s">
        <v>19543</v>
      </c>
    </row>
    <row r="6599" spans="1:3" x14ac:dyDescent="0.35">
      <c r="A6599" t="s">
        <v>19544</v>
      </c>
      <c r="B6599" t="s">
        <v>19545</v>
      </c>
      <c r="C6599" t="s">
        <v>19546</v>
      </c>
    </row>
    <row r="6600" spans="1:3" x14ac:dyDescent="0.35">
      <c r="A6600" t="s">
        <v>19544</v>
      </c>
      <c r="B6600" t="s">
        <v>19547</v>
      </c>
      <c r="C6600" t="s">
        <v>19548</v>
      </c>
    </row>
    <row r="6601" spans="1:3" x14ac:dyDescent="0.35">
      <c r="A6601" t="s">
        <v>19549</v>
      </c>
      <c r="B6601" t="s">
        <v>19550</v>
      </c>
      <c r="C6601" t="s">
        <v>19551</v>
      </c>
    </row>
    <row r="6602" spans="1:3" x14ac:dyDescent="0.35">
      <c r="A6602" t="s">
        <v>49</v>
      </c>
      <c r="B6602" t="s">
        <v>19552</v>
      </c>
      <c r="C6602" t="s">
        <v>19553</v>
      </c>
    </row>
    <row r="6603" spans="1:3" x14ac:dyDescent="0.35">
      <c r="A6603" t="s">
        <v>19554</v>
      </c>
      <c r="B6603" t="s">
        <v>19555</v>
      </c>
      <c r="C6603" t="s">
        <v>19556</v>
      </c>
    </row>
    <row r="6604" spans="1:3" x14ac:dyDescent="0.35">
      <c r="A6604" t="s">
        <v>19557</v>
      </c>
      <c r="B6604" t="s">
        <v>19558</v>
      </c>
      <c r="C6604" t="s">
        <v>19559</v>
      </c>
    </row>
    <row r="6605" spans="1:3" x14ac:dyDescent="0.35">
      <c r="A6605" t="s">
        <v>19560</v>
      </c>
      <c r="B6605" t="s">
        <v>19561</v>
      </c>
      <c r="C6605" t="s">
        <v>19562</v>
      </c>
    </row>
    <row r="6606" spans="1:3" x14ac:dyDescent="0.35">
      <c r="A6606" t="s">
        <v>19563</v>
      </c>
      <c r="B6606" t="s">
        <v>19564</v>
      </c>
      <c r="C6606" t="s">
        <v>19565</v>
      </c>
    </row>
    <row r="6607" spans="1:3" x14ac:dyDescent="0.35">
      <c r="A6607" t="s">
        <v>19566</v>
      </c>
      <c r="B6607" t="s">
        <v>19567</v>
      </c>
      <c r="C6607" t="s">
        <v>19568</v>
      </c>
    </row>
    <row r="6608" spans="1:3" x14ac:dyDescent="0.35">
      <c r="A6608" t="s">
        <v>19569</v>
      </c>
      <c r="B6608" t="s">
        <v>19570</v>
      </c>
      <c r="C6608" t="s">
        <v>19571</v>
      </c>
    </row>
    <row r="6609" spans="1:3" x14ac:dyDescent="0.35">
      <c r="A6609" t="s">
        <v>19572</v>
      </c>
      <c r="B6609" t="s">
        <v>19573</v>
      </c>
      <c r="C6609" t="s">
        <v>19574</v>
      </c>
    </row>
    <row r="6610" spans="1:3" x14ac:dyDescent="0.35">
      <c r="A6610" t="s">
        <v>19575</v>
      </c>
      <c r="B6610" t="s">
        <v>19576</v>
      </c>
      <c r="C6610" t="s">
        <v>19577</v>
      </c>
    </row>
    <row r="6611" spans="1:3" x14ac:dyDescent="0.35">
      <c r="A6611" t="s">
        <v>19578</v>
      </c>
      <c r="B6611" t="s">
        <v>19579</v>
      </c>
      <c r="C6611" t="s">
        <v>19580</v>
      </c>
    </row>
    <row r="6612" spans="1:3" x14ac:dyDescent="0.35">
      <c r="A6612" t="s">
        <v>19581</v>
      </c>
      <c r="B6612" t="s">
        <v>19582</v>
      </c>
      <c r="C6612" t="s">
        <v>19583</v>
      </c>
    </row>
    <row r="6613" spans="1:3" x14ac:dyDescent="0.35">
      <c r="A6613" t="s">
        <v>19584</v>
      </c>
      <c r="B6613" t="s">
        <v>19585</v>
      </c>
      <c r="C6613" t="s">
        <v>19586</v>
      </c>
    </row>
    <row r="6614" spans="1:3" x14ac:dyDescent="0.35">
      <c r="A6614" t="s">
        <v>19587</v>
      </c>
      <c r="B6614" t="s">
        <v>19588</v>
      </c>
      <c r="C6614" t="s">
        <v>19589</v>
      </c>
    </row>
    <row r="6615" spans="1:3" x14ac:dyDescent="0.35">
      <c r="A6615" t="s">
        <v>19590</v>
      </c>
      <c r="B6615" t="s">
        <v>19591</v>
      </c>
      <c r="C6615" t="s">
        <v>19592</v>
      </c>
    </row>
    <row r="6616" spans="1:3" x14ac:dyDescent="0.35">
      <c r="A6616" t="s">
        <v>19593</v>
      </c>
      <c r="B6616" t="s">
        <v>19594</v>
      </c>
      <c r="C6616" t="s">
        <v>19595</v>
      </c>
    </row>
    <row r="6617" spans="1:3" x14ac:dyDescent="0.35">
      <c r="A6617" t="s">
        <v>19596</v>
      </c>
      <c r="B6617" t="s">
        <v>19597</v>
      </c>
      <c r="C6617" t="s">
        <v>19598</v>
      </c>
    </row>
    <row r="6618" spans="1:3" x14ac:dyDescent="0.35">
      <c r="A6618" t="s">
        <v>19599</v>
      </c>
      <c r="B6618" t="s">
        <v>19600</v>
      </c>
      <c r="C6618" t="s">
        <v>19601</v>
      </c>
    </row>
    <row r="6619" spans="1:3" x14ac:dyDescent="0.35">
      <c r="A6619" t="s">
        <v>19602</v>
      </c>
      <c r="B6619" t="s">
        <v>19603</v>
      </c>
      <c r="C6619" t="s">
        <v>19604</v>
      </c>
    </row>
    <row r="6620" spans="1:3" x14ac:dyDescent="0.35">
      <c r="A6620" t="s">
        <v>19605</v>
      </c>
      <c r="B6620" t="s">
        <v>19606</v>
      </c>
      <c r="C6620" t="s">
        <v>19607</v>
      </c>
    </row>
    <row r="6621" spans="1:3" x14ac:dyDescent="0.35">
      <c r="A6621" t="s">
        <v>19608</v>
      </c>
      <c r="B6621" t="s">
        <v>19609</v>
      </c>
      <c r="C6621" t="s">
        <v>19610</v>
      </c>
    </row>
    <row r="6622" spans="1:3" x14ac:dyDescent="0.35">
      <c r="A6622" t="s">
        <v>19611</v>
      </c>
      <c r="B6622" t="s">
        <v>19612</v>
      </c>
      <c r="C6622" t="s">
        <v>19613</v>
      </c>
    </row>
    <row r="6623" spans="1:3" x14ac:dyDescent="0.35">
      <c r="A6623" t="s">
        <v>19614</v>
      </c>
      <c r="B6623" t="s">
        <v>19615</v>
      </c>
      <c r="C6623" t="s">
        <v>19616</v>
      </c>
    </row>
    <row r="6624" spans="1:3" x14ac:dyDescent="0.35">
      <c r="A6624" t="s">
        <v>19617</v>
      </c>
      <c r="B6624" t="s">
        <v>19618</v>
      </c>
      <c r="C6624" t="s">
        <v>19619</v>
      </c>
    </row>
    <row r="6625" spans="1:3" x14ac:dyDescent="0.35">
      <c r="A6625" t="s">
        <v>19620</v>
      </c>
      <c r="B6625" t="s">
        <v>19621</v>
      </c>
      <c r="C6625" t="s">
        <v>19622</v>
      </c>
    </row>
    <row r="6626" spans="1:3" x14ac:dyDescent="0.35">
      <c r="A6626" t="s">
        <v>19623</v>
      </c>
      <c r="B6626" t="s">
        <v>19624</v>
      </c>
      <c r="C6626" t="s">
        <v>19625</v>
      </c>
    </row>
    <row r="6627" spans="1:3" x14ac:dyDescent="0.35">
      <c r="A6627" t="s">
        <v>19626</v>
      </c>
      <c r="B6627" t="s">
        <v>19627</v>
      </c>
      <c r="C6627" t="s">
        <v>19628</v>
      </c>
    </row>
    <row r="6628" spans="1:3" x14ac:dyDescent="0.35">
      <c r="A6628" t="s">
        <v>19629</v>
      </c>
      <c r="B6628" t="s">
        <v>19630</v>
      </c>
      <c r="C6628" t="s">
        <v>19631</v>
      </c>
    </row>
    <row r="6629" spans="1:3" x14ac:dyDescent="0.35">
      <c r="A6629" t="s">
        <v>19632</v>
      </c>
      <c r="B6629" t="s">
        <v>19633</v>
      </c>
      <c r="C6629" t="s">
        <v>19634</v>
      </c>
    </row>
    <row r="6630" spans="1:3" x14ac:dyDescent="0.35">
      <c r="A6630" t="s">
        <v>19635</v>
      </c>
      <c r="B6630" t="s">
        <v>19636</v>
      </c>
      <c r="C6630" t="s">
        <v>19637</v>
      </c>
    </row>
    <row r="6631" spans="1:3" x14ac:dyDescent="0.35">
      <c r="A6631" t="s">
        <v>19638</v>
      </c>
      <c r="B6631" t="s">
        <v>19639</v>
      </c>
      <c r="C6631" t="s">
        <v>19640</v>
      </c>
    </row>
    <row r="6632" spans="1:3" x14ac:dyDescent="0.35">
      <c r="A6632" t="s">
        <v>19641</v>
      </c>
      <c r="B6632" t="s">
        <v>19642</v>
      </c>
      <c r="C6632" t="s">
        <v>19643</v>
      </c>
    </row>
    <row r="6633" spans="1:3" x14ac:dyDescent="0.35">
      <c r="A6633" t="s">
        <v>19644</v>
      </c>
      <c r="B6633" t="s">
        <v>19645</v>
      </c>
      <c r="C6633" t="s">
        <v>19646</v>
      </c>
    </row>
    <row r="6634" spans="1:3" x14ac:dyDescent="0.35">
      <c r="A6634" t="s">
        <v>19644</v>
      </c>
      <c r="B6634" t="s">
        <v>19647</v>
      </c>
      <c r="C6634" t="s">
        <v>19648</v>
      </c>
    </row>
    <row r="6635" spans="1:3" x14ac:dyDescent="0.35">
      <c r="A6635" t="s">
        <v>19649</v>
      </c>
      <c r="B6635" t="s">
        <v>19650</v>
      </c>
      <c r="C6635" t="s">
        <v>19651</v>
      </c>
    </row>
    <row r="6636" spans="1:3" x14ac:dyDescent="0.35">
      <c r="A6636" t="s">
        <v>19652</v>
      </c>
      <c r="B6636" t="s">
        <v>19653</v>
      </c>
      <c r="C6636" t="s">
        <v>19654</v>
      </c>
    </row>
    <row r="6637" spans="1:3" x14ac:dyDescent="0.35">
      <c r="A6637" t="s">
        <v>19655</v>
      </c>
      <c r="B6637" t="s">
        <v>19656</v>
      </c>
      <c r="C6637" t="s">
        <v>19657</v>
      </c>
    </row>
    <row r="6638" spans="1:3" x14ac:dyDescent="0.35">
      <c r="A6638" t="s">
        <v>19658</v>
      </c>
      <c r="B6638" t="s">
        <v>19659</v>
      </c>
      <c r="C6638" t="s">
        <v>19660</v>
      </c>
    </row>
    <row r="6639" spans="1:3" x14ac:dyDescent="0.35">
      <c r="A6639" t="s">
        <v>19661</v>
      </c>
      <c r="B6639" t="s">
        <v>19662</v>
      </c>
      <c r="C6639" t="s">
        <v>19663</v>
      </c>
    </row>
    <row r="6640" spans="1:3" x14ac:dyDescent="0.35">
      <c r="A6640" t="s">
        <v>19664</v>
      </c>
      <c r="B6640" t="s">
        <v>19665</v>
      </c>
      <c r="C6640" t="s">
        <v>19666</v>
      </c>
    </row>
    <row r="6641" spans="1:3" x14ac:dyDescent="0.35">
      <c r="A6641" t="s">
        <v>19667</v>
      </c>
      <c r="B6641" t="s">
        <v>19668</v>
      </c>
      <c r="C6641" t="s">
        <v>19669</v>
      </c>
    </row>
    <row r="6642" spans="1:3" x14ac:dyDescent="0.35">
      <c r="A6642" t="s">
        <v>19670</v>
      </c>
      <c r="B6642" t="s">
        <v>19671</v>
      </c>
      <c r="C6642" t="s">
        <v>19672</v>
      </c>
    </row>
    <row r="6643" spans="1:3" x14ac:dyDescent="0.35">
      <c r="A6643" t="s">
        <v>19673</v>
      </c>
      <c r="B6643" t="s">
        <v>19674</v>
      </c>
      <c r="C6643" t="s">
        <v>19675</v>
      </c>
    </row>
    <row r="6644" spans="1:3" x14ac:dyDescent="0.35">
      <c r="A6644" t="s">
        <v>19676</v>
      </c>
      <c r="B6644" t="s">
        <v>19677</v>
      </c>
      <c r="C6644" t="s">
        <v>19678</v>
      </c>
    </row>
    <row r="6645" spans="1:3" x14ac:dyDescent="0.35">
      <c r="A6645" t="s">
        <v>19679</v>
      </c>
      <c r="B6645" t="s">
        <v>19680</v>
      </c>
      <c r="C6645" t="s">
        <v>19681</v>
      </c>
    </row>
    <row r="6646" spans="1:3" x14ac:dyDescent="0.35">
      <c r="A6646" t="s">
        <v>19682</v>
      </c>
      <c r="B6646" t="s">
        <v>19683</v>
      </c>
      <c r="C6646" t="s">
        <v>19684</v>
      </c>
    </row>
    <row r="6647" spans="1:3" x14ac:dyDescent="0.35">
      <c r="A6647" t="s">
        <v>19685</v>
      </c>
      <c r="B6647" t="s">
        <v>19686</v>
      </c>
      <c r="C6647" t="s">
        <v>19687</v>
      </c>
    </row>
    <row r="6648" spans="1:3" x14ac:dyDescent="0.35">
      <c r="A6648" t="s">
        <v>19688</v>
      </c>
      <c r="B6648" t="s">
        <v>19689</v>
      </c>
      <c r="C6648" t="s">
        <v>19690</v>
      </c>
    </row>
    <row r="6649" spans="1:3" x14ac:dyDescent="0.35">
      <c r="A6649" t="s">
        <v>19691</v>
      </c>
      <c r="B6649" t="s">
        <v>19692</v>
      </c>
      <c r="C6649" t="s">
        <v>19693</v>
      </c>
    </row>
    <row r="6650" spans="1:3" x14ac:dyDescent="0.35">
      <c r="A6650" t="s">
        <v>19694</v>
      </c>
      <c r="B6650" t="s">
        <v>19695</v>
      </c>
      <c r="C6650" t="s">
        <v>19696</v>
      </c>
    </row>
    <row r="6651" spans="1:3" x14ac:dyDescent="0.35">
      <c r="A6651" t="s">
        <v>19697</v>
      </c>
      <c r="B6651" t="s">
        <v>19698</v>
      </c>
      <c r="C6651" t="s">
        <v>19699</v>
      </c>
    </row>
    <row r="6652" spans="1:3" x14ac:dyDescent="0.35">
      <c r="A6652" t="s">
        <v>19700</v>
      </c>
      <c r="B6652" t="s">
        <v>19701</v>
      </c>
      <c r="C6652" t="s">
        <v>19702</v>
      </c>
    </row>
    <row r="6653" spans="1:3" x14ac:dyDescent="0.35">
      <c r="A6653" t="s">
        <v>19703</v>
      </c>
      <c r="B6653" t="s">
        <v>19704</v>
      </c>
      <c r="C6653" t="s">
        <v>19705</v>
      </c>
    </row>
    <row r="6654" spans="1:3" x14ac:dyDescent="0.35">
      <c r="A6654" t="s">
        <v>19706</v>
      </c>
      <c r="B6654" t="s">
        <v>19707</v>
      </c>
      <c r="C6654" t="s">
        <v>19708</v>
      </c>
    </row>
    <row r="6655" spans="1:3" x14ac:dyDescent="0.35">
      <c r="A6655" t="s">
        <v>19709</v>
      </c>
      <c r="B6655" t="s">
        <v>19710</v>
      </c>
      <c r="C6655" t="s">
        <v>19711</v>
      </c>
    </row>
    <row r="6656" spans="1:3" x14ac:dyDescent="0.35">
      <c r="A6656" t="s">
        <v>19712</v>
      </c>
      <c r="B6656" t="s">
        <v>19713</v>
      </c>
      <c r="C6656" t="s">
        <v>19714</v>
      </c>
    </row>
    <row r="6657" spans="1:3" x14ac:dyDescent="0.35">
      <c r="A6657" t="s">
        <v>19715</v>
      </c>
      <c r="B6657" t="s">
        <v>19716</v>
      </c>
      <c r="C6657" t="s">
        <v>19717</v>
      </c>
    </row>
    <row r="6658" spans="1:3" x14ac:dyDescent="0.35">
      <c r="A6658" t="s">
        <v>19718</v>
      </c>
      <c r="B6658" t="s">
        <v>19719</v>
      </c>
      <c r="C6658" t="s">
        <v>19720</v>
      </c>
    </row>
    <row r="6659" spans="1:3" x14ac:dyDescent="0.35">
      <c r="A6659" t="s">
        <v>19721</v>
      </c>
      <c r="B6659" t="s">
        <v>19722</v>
      </c>
      <c r="C6659" t="s">
        <v>19723</v>
      </c>
    </row>
    <row r="6660" spans="1:3" x14ac:dyDescent="0.35">
      <c r="A6660" t="s">
        <v>19724</v>
      </c>
      <c r="B6660" t="s">
        <v>19725</v>
      </c>
      <c r="C6660" t="s">
        <v>19726</v>
      </c>
    </row>
    <row r="6661" spans="1:3" x14ac:dyDescent="0.35">
      <c r="A6661" t="s">
        <v>19727</v>
      </c>
      <c r="B6661" t="s">
        <v>19728</v>
      </c>
      <c r="C6661" t="s">
        <v>19729</v>
      </c>
    </row>
    <row r="6662" spans="1:3" x14ac:dyDescent="0.35">
      <c r="A6662" t="s">
        <v>19730</v>
      </c>
      <c r="B6662" t="s">
        <v>19731</v>
      </c>
      <c r="C6662" t="s">
        <v>19732</v>
      </c>
    </row>
    <row r="6663" spans="1:3" x14ac:dyDescent="0.35">
      <c r="A6663" t="s">
        <v>19733</v>
      </c>
      <c r="B6663" t="s">
        <v>19734</v>
      </c>
      <c r="C6663" t="s">
        <v>19735</v>
      </c>
    </row>
    <row r="6664" spans="1:3" x14ac:dyDescent="0.35">
      <c r="A6664" t="s">
        <v>19736</v>
      </c>
      <c r="B6664" t="s">
        <v>19737</v>
      </c>
      <c r="C6664" t="s">
        <v>19738</v>
      </c>
    </row>
    <row r="6665" spans="1:3" x14ac:dyDescent="0.35">
      <c r="A6665" t="s">
        <v>19736</v>
      </c>
      <c r="B6665" t="s">
        <v>10282</v>
      </c>
      <c r="C6665" t="s">
        <v>19739</v>
      </c>
    </row>
    <row r="6666" spans="1:3" x14ac:dyDescent="0.35">
      <c r="A6666" t="s">
        <v>19740</v>
      </c>
      <c r="B6666" t="s">
        <v>19741</v>
      </c>
      <c r="C6666" t="s">
        <v>19742</v>
      </c>
    </row>
    <row r="6667" spans="1:3" x14ac:dyDescent="0.35">
      <c r="A6667" t="s">
        <v>19743</v>
      </c>
      <c r="B6667" t="s">
        <v>19744</v>
      </c>
      <c r="C6667" t="s">
        <v>19745</v>
      </c>
    </row>
    <row r="6668" spans="1:3" x14ac:dyDescent="0.35">
      <c r="A6668" t="s">
        <v>19746</v>
      </c>
      <c r="B6668" t="s">
        <v>19747</v>
      </c>
      <c r="C6668" t="s">
        <v>19748</v>
      </c>
    </row>
    <row r="6669" spans="1:3" x14ac:dyDescent="0.35">
      <c r="A6669" t="s">
        <v>19749</v>
      </c>
      <c r="B6669" t="s">
        <v>19750</v>
      </c>
      <c r="C6669" t="s">
        <v>19751</v>
      </c>
    </row>
    <row r="6670" spans="1:3" x14ac:dyDescent="0.35">
      <c r="A6670" t="s">
        <v>19752</v>
      </c>
      <c r="B6670" t="s">
        <v>19753</v>
      </c>
      <c r="C6670" t="s">
        <v>19754</v>
      </c>
    </row>
    <row r="6671" spans="1:3" x14ac:dyDescent="0.35">
      <c r="A6671" t="s">
        <v>19755</v>
      </c>
      <c r="B6671" t="s">
        <v>19756</v>
      </c>
      <c r="C6671" t="s">
        <v>19757</v>
      </c>
    </row>
    <row r="6672" spans="1:3" x14ac:dyDescent="0.35">
      <c r="A6672" t="s">
        <v>19758</v>
      </c>
      <c r="B6672" t="s">
        <v>19759</v>
      </c>
      <c r="C6672" t="s">
        <v>19760</v>
      </c>
    </row>
    <row r="6673" spans="1:3" x14ac:dyDescent="0.35">
      <c r="A6673" t="s">
        <v>19761</v>
      </c>
      <c r="B6673" t="s">
        <v>19762</v>
      </c>
      <c r="C6673" t="s">
        <v>19763</v>
      </c>
    </row>
    <row r="6674" spans="1:3" x14ac:dyDescent="0.35">
      <c r="A6674" t="s">
        <v>19764</v>
      </c>
      <c r="B6674" t="s">
        <v>19765</v>
      </c>
      <c r="C6674" t="s">
        <v>19766</v>
      </c>
    </row>
    <row r="6675" spans="1:3" x14ac:dyDescent="0.35">
      <c r="A6675" t="s">
        <v>19767</v>
      </c>
      <c r="B6675" t="s">
        <v>19768</v>
      </c>
      <c r="C6675" t="s">
        <v>19769</v>
      </c>
    </row>
    <row r="6676" spans="1:3" x14ac:dyDescent="0.35">
      <c r="A6676" t="s">
        <v>19770</v>
      </c>
      <c r="B6676" t="s">
        <v>19771</v>
      </c>
      <c r="C6676" t="s">
        <v>19772</v>
      </c>
    </row>
    <row r="6677" spans="1:3" x14ac:dyDescent="0.35">
      <c r="A6677" t="s">
        <v>19773</v>
      </c>
      <c r="B6677" t="s">
        <v>19774</v>
      </c>
      <c r="C6677" t="s">
        <v>19775</v>
      </c>
    </row>
    <row r="6678" spans="1:3" x14ac:dyDescent="0.35">
      <c r="A6678" t="s">
        <v>19776</v>
      </c>
      <c r="B6678" t="s">
        <v>19777</v>
      </c>
      <c r="C6678" t="s">
        <v>19778</v>
      </c>
    </row>
    <row r="6679" spans="1:3" x14ac:dyDescent="0.35">
      <c r="A6679" t="s">
        <v>19779</v>
      </c>
      <c r="B6679" t="s">
        <v>19780</v>
      </c>
      <c r="C6679" t="s">
        <v>19781</v>
      </c>
    </row>
    <row r="6680" spans="1:3" x14ac:dyDescent="0.35">
      <c r="A6680" t="s">
        <v>19782</v>
      </c>
      <c r="B6680" t="s">
        <v>19783</v>
      </c>
      <c r="C6680" t="s">
        <v>19784</v>
      </c>
    </row>
    <row r="6681" spans="1:3" x14ac:dyDescent="0.35">
      <c r="A6681" t="s">
        <v>19785</v>
      </c>
      <c r="B6681" t="s">
        <v>19786</v>
      </c>
      <c r="C6681" t="s">
        <v>19787</v>
      </c>
    </row>
    <row r="6682" spans="1:3" x14ac:dyDescent="0.35">
      <c r="A6682" t="s">
        <v>19788</v>
      </c>
      <c r="B6682" t="s">
        <v>19789</v>
      </c>
      <c r="C6682" t="s">
        <v>19790</v>
      </c>
    </row>
    <row r="6683" spans="1:3" x14ac:dyDescent="0.35">
      <c r="A6683" t="s">
        <v>19791</v>
      </c>
      <c r="B6683" t="s">
        <v>19792</v>
      </c>
      <c r="C6683" t="s">
        <v>19793</v>
      </c>
    </row>
    <row r="6684" spans="1:3" x14ac:dyDescent="0.35">
      <c r="A6684" t="s">
        <v>19794</v>
      </c>
      <c r="B6684" t="s">
        <v>19795</v>
      </c>
      <c r="C6684" t="s">
        <v>19796</v>
      </c>
    </row>
    <row r="6685" spans="1:3" x14ac:dyDescent="0.35">
      <c r="A6685" t="s">
        <v>19797</v>
      </c>
      <c r="B6685" t="s">
        <v>19798</v>
      </c>
      <c r="C6685" t="s">
        <v>19799</v>
      </c>
    </row>
    <row r="6686" spans="1:3" x14ac:dyDescent="0.35">
      <c r="A6686" t="s">
        <v>19800</v>
      </c>
      <c r="B6686" t="s">
        <v>19801</v>
      </c>
      <c r="C6686" t="s">
        <v>19802</v>
      </c>
    </row>
    <row r="6687" spans="1:3" x14ac:dyDescent="0.35">
      <c r="A6687" t="s">
        <v>19803</v>
      </c>
      <c r="B6687" t="s">
        <v>19804</v>
      </c>
      <c r="C6687" t="s">
        <v>19805</v>
      </c>
    </row>
    <row r="6688" spans="1:3" x14ac:dyDescent="0.35">
      <c r="A6688" t="s">
        <v>19806</v>
      </c>
      <c r="B6688" t="s">
        <v>19807</v>
      </c>
      <c r="C6688" t="s">
        <v>19808</v>
      </c>
    </row>
    <row r="6689" spans="1:3" x14ac:dyDescent="0.35">
      <c r="A6689" t="s">
        <v>19809</v>
      </c>
      <c r="B6689" t="s">
        <v>19810</v>
      </c>
      <c r="C6689" t="s">
        <v>19811</v>
      </c>
    </row>
    <row r="6690" spans="1:3" x14ac:dyDescent="0.35">
      <c r="A6690" t="s">
        <v>19812</v>
      </c>
      <c r="B6690" t="s">
        <v>19813</v>
      </c>
      <c r="C6690" t="s">
        <v>19814</v>
      </c>
    </row>
    <row r="6691" spans="1:3" x14ac:dyDescent="0.35">
      <c r="A6691" t="s">
        <v>19815</v>
      </c>
      <c r="B6691" t="s">
        <v>19816</v>
      </c>
      <c r="C6691" t="s">
        <v>19817</v>
      </c>
    </row>
    <row r="6692" spans="1:3" x14ac:dyDescent="0.35">
      <c r="A6692" t="s">
        <v>19818</v>
      </c>
      <c r="B6692" t="s">
        <v>19819</v>
      </c>
      <c r="C6692" t="s">
        <v>19820</v>
      </c>
    </row>
    <row r="6693" spans="1:3" x14ac:dyDescent="0.35">
      <c r="A6693" t="s">
        <v>19821</v>
      </c>
      <c r="B6693" t="s">
        <v>19822</v>
      </c>
      <c r="C6693" t="s">
        <v>19823</v>
      </c>
    </row>
    <row r="6694" spans="1:3" x14ac:dyDescent="0.35">
      <c r="A6694" t="s">
        <v>19824</v>
      </c>
      <c r="B6694" t="s">
        <v>19825</v>
      </c>
      <c r="C6694" t="s">
        <v>19826</v>
      </c>
    </row>
    <row r="6695" spans="1:3" x14ac:dyDescent="0.35">
      <c r="A6695" t="s">
        <v>19827</v>
      </c>
      <c r="B6695" t="s">
        <v>19828</v>
      </c>
      <c r="C6695" t="s">
        <v>19829</v>
      </c>
    </row>
    <row r="6696" spans="1:3" x14ac:dyDescent="0.35">
      <c r="A6696" t="s">
        <v>19830</v>
      </c>
      <c r="B6696" t="s">
        <v>19831</v>
      </c>
      <c r="C6696" t="s">
        <v>19832</v>
      </c>
    </row>
    <row r="6697" spans="1:3" x14ac:dyDescent="0.35">
      <c r="A6697" t="s">
        <v>19833</v>
      </c>
      <c r="B6697" t="s">
        <v>19834</v>
      </c>
      <c r="C6697" t="s">
        <v>19835</v>
      </c>
    </row>
    <row r="6698" spans="1:3" x14ac:dyDescent="0.35">
      <c r="A6698" t="s">
        <v>19836</v>
      </c>
      <c r="B6698" t="s">
        <v>19837</v>
      </c>
      <c r="C6698" t="s">
        <v>19838</v>
      </c>
    </row>
    <row r="6699" spans="1:3" x14ac:dyDescent="0.35">
      <c r="A6699" t="s">
        <v>19839</v>
      </c>
      <c r="B6699" t="s">
        <v>19840</v>
      </c>
      <c r="C6699" t="s">
        <v>19841</v>
      </c>
    </row>
    <row r="6700" spans="1:3" x14ac:dyDescent="0.35">
      <c r="A6700" t="s">
        <v>19842</v>
      </c>
      <c r="B6700" t="s">
        <v>19843</v>
      </c>
      <c r="C6700" t="s">
        <v>19844</v>
      </c>
    </row>
    <row r="6701" spans="1:3" x14ac:dyDescent="0.35">
      <c r="A6701" t="s">
        <v>19845</v>
      </c>
      <c r="B6701" t="s">
        <v>19846</v>
      </c>
      <c r="C6701" t="s">
        <v>19847</v>
      </c>
    </row>
    <row r="6702" spans="1:3" x14ac:dyDescent="0.35">
      <c r="A6702" t="s">
        <v>19848</v>
      </c>
      <c r="B6702" t="s">
        <v>19849</v>
      </c>
      <c r="C6702" t="s">
        <v>19850</v>
      </c>
    </row>
    <row r="6703" spans="1:3" x14ac:dyDescent="0.35">
      <c r="A6703" t="s">
        <v>19851</v>
      </c>
      <c r="B6703" t="s">
        <v>19852</v>
      </c>
      <c r="C6703" t="s">
        <v>19853</v>
      </c>
    </row>
    <row r="6704" spans="1:3" x14ac:dyDescent="0.35">
      <c r="A6704" t="s">
        <v>19854</v>
      </c>
      <c r="B6704" t="s">
        <v>19855</v>
      </c>
      <c r="C6704" t="s">
        <v>19856</v>
      </c>
    </row>
    <row r="6705" spans="1:3" x14ac:dyDescent="0.35">
      <c r="A6705" t="s">
        <v>19857</v>
      </c>
      <c r="B6705" t="s">
        <v>19858</v>
      </c>
      <c r="C6705" t="s">
        <v>19859</v>
      </c>
    </row>
    <row r="6706" spans="1:3" x14ac:dyDescent="0.35">
      <c r="A6706" t="s">
        <v>19860</v>
      </c>
      <c r="B6706" t="s">
        <v>19861</v>
      </c>
      <c r="C6706" t="s">
        <v>19862</v>
      </c>
    </row>
    <row r="6707" spans="1:3" x14ac:dyDescent="0.35">
      <c r="A6707" t="s">
        <v>19863</v>
      </c>
      <c r="B6707" t="s">
        <v>19864</v>
      </c>
      <c r="C6707" t="s">
        <v>6743</v>
      </c>
    </row>
    <row r="6708" spans="1:3" x14ac:dyDescent="0.35">
      <c r="A6708" t="s">
        <v>19865</v>
      </c>
      <c r="B6708" t="s">
        <v>19866</v>
      </c>
      <c r="C6708" t="s">
        <v>19867</v>
      </c>
    </row>
    <row r="6709" spans="1:3" x14ac:dyDescent="0.35">
      <c r="A6709" t="s">
        <v>19868</v>
      </c>
      <c r="B6709" t="s">
        <v>19869</v>
      </c>
      <c r="C6709" t="s">
        <v>19870</v>
      </c>
    </row>
    <row r="6710" spans="1:3" x14ac:dyDescent="0.35">
      <c r="A6710" t="s">
        <v>19871</v>
      </c>
      <c r="B6710" t="s">
        <v>19872</v>
      </c>
      <c r="C6710" t="s">
        <v>19873</v>
      </c>
    </row>
    <row r="6711" spans="1:3" x14ac:dyDescent="0.35">
      <c r="A6711" t="s">
        <v>19874</v>
      </c>
      <c r="B6711" t="s">
        <v>19875</v>
      </c>
      <c r="C6711" t="s">
        <v>19876</v>
      </c>
    </row>
    <row r="6712" spans="1:3" x14ac:dyDescent="0.35">
      <c r="A6712" t="s">
        <v>19874</v>
      </c>
      <c r="B6712" t="s">
        <v>19877</v>
      </c>
      <c r="C6712" t="s">
        <v>19878</v>
      </c>
    </row>
    <row r="6713" spans="1:3" x14ac:dyDescent="0.35">
      <c r="A6713" t="s">
        <v>19879</v>
      </c>
      <c r="B6713" t="s">
        <v>19880</v>
      </c>
      <c r="C6713" t="s">
        <v>19881</v>
      </c>
    </row>
    <row r="6714" spans="1:3" x14ac:dyDescent="0.35">
      <c r="A6714" t="s">
        <v>19882</v>
      </c>
      <c r="B6714" t="s">
        <v>19883</v>
      </c>
      <c r="C6714" t="s">
        <v>19884</v>
      </c>
    </row>
    <row r="6715" spans="1:3" x14ac:dyDescent="0.35">
      <c r="A6715" t="s">
        <v>19885</v>
      </c>
      <c r="B6715" t="s">
        <v>19886</v>
      </c>
      <c r="C6715" t="s">
        <v>19887</v>
      </c>
    </row>
    <row r="6716" spans="1:3" x14ac:dyDescent="0.35">
      <c r="A6716" t="s">
        <v>19888</v>
      </c>
      <c r="B6716" t="s">
        <v>19889</v>
      </c>
      <c r="C6716" t="s">
        <v>19890</v>
      </c>
    </row>
    <row r="6717" spans="1:3" x14ac:dyDescent="0.35">
      <c r="A6717" t="s">
        <v>19891</v>
      </c>
      <c r="B6717" t="s">
        <v>19892</v>
      </c>
      <c r="C6717" t="s">
        <v>19893</v>
      </c>
    </row>
    <row r="6718" spans="1:3" x14ac:dyDescent="0.35">
      <c r="A6718" t="s">
        <v>19894</v>
      </c>
      <c r="B6718" t="s">
        <v>19895</v>
      </c>
      <c r="C6718" t="s">
        <v>19896</v>
      </c>
    </row>
    <row r="6719" spans="1:3" x14ac:dyDescent="0.35">
      <c r="A6719" t="s">
        <v>19897</v>
      </c>
      <c r="B6719" t="s">
        <v>19898</v>
      </c>
      <c r="C6719" t="s">
        <v>19899</v>
      </c>
    </row>
    <row r="6720" spans="1:3" x14ac:dyDescent="0.35">
      <c r="A6720" t="s">
        <v>19900</v>
      </c>
      <c r="B6720" t="s">
        <v>19901</v>
      </c>
      <c r="C6720" t="s">
        <v>19902</v>
      </c>
    </row>
    <row r="6721" spans="1:3" x14ac:dyDescent="0.35">
      <c r="A6721" t="s">
        <v>19903</v>
      </c>
      <c r="B6721" t="s">
        <v>19904</v>
      </c>
      <c r="C6721" t="s">
        <v>19905</v>
      </c>
    </row>
    <row r="6722" spans="1:3" x14ac:dyDescent="0.35">
      <c r="A6722" t="s">
        <v>19906</v>
      </c>
      <c r="B6722" t="s">
        <v>19907</v>
      </c>
      <c r="C6722" t="s">
        <v>19908</v>
      </c>
    </row>
    <row r="6723" spans="1:3" x14ac:dyDescent="0.35">
      <c r="A6723" t="s">
        <v>19909</v>
      </c>
      <c r="B6723" t="s">
        <v>19910</v>
      </c>
      <c r="C6723" t="s">
        <v>19911</v>
      </c>
    </row>
    <row r="6724" spans="1:3" x14ac:dyDescent="0.35">
      <c r="A6724" t="s">
        <v>19912</v>
      </c>
      <c r="B6724" t="s">
        <v>19913</v>
      </c>
      <c r="C6724" t="s">
        <v>19914</v>
      </c>
    </row>
    <row r="6725" spans="1:3" x14ac:dyDescent="0.35">
      <c r="A6725" t="s">
        <v>19915</v>
      </c>
      <c r="B6725" t="s">
        <v>19916</v>
      </c>
      <c r="C6725" t="s">
        <v>19917</v>
      </c>
    </row>
    <row r="6726" spans="1:3" x14ac:dyDescent="0.35">
      <c r="A6726" t="s">
        <v>19918</v>
      </c>
      <c r="B6726" t="s">
        <v>19919</v>
      </c>
      <c r="C6726" t="s">
        <v>19920</v>
      </c>
    </row>
    <row r="6727" spans="1:3" x14ac:dyDescent="0.35">
      <c r="A6727" t="s">
        <v>19921</v>
      </c>
      <c r="B6727" t="s">
        <v>19922</v>
      </c>
      <c r="C6727" t="s">
        <v>19923</v>
      </c>
    </row>
    <row r="6728" spans="1:3" x14ac:dyDescent="0.35">
      <c r="A6728" t="s">
        <v>19924</v>
      </c>
      <c r="B6728" t="s">
        <v>19925</v>
      </c>
      <c r="C6728" t="s">
        <v>19926</v>
      </c>
    </row>
    <row r="6729" spans="1:3" x14ac:dyDescent="0.35">
      <c r="A6729" t="s">
        <v>19924</v>
      </c>
      <c r="B6729" t="s">
        <v>19927</v>
      </c>
      <c r="C6729" t="s">
        <v>19928</v>
      </c>
    </row>
    <row r="6730" spans="1:3" x14ac:dyDescent="0.35">
      <c r="A6730" t="s">
        <v>19929</v>
      </c>
      <c r="B6730" t="s">
        <v>19930</v>
      </c>
      <c r="C6730" t="s">
        <v>19931</v>
      </c>
    </row>
    <row r="6731" spans="1:3" x14ac:dyDescent="0.35">
      <c r="A6731" t="s">
        <v>19932</v>
      </c>
      <c r="B6731" t="s">
        <v>19933</v>
      </c>
      <c r="C6731" t="s">
        <v>19934</v>
      </c>
    </row>
    <row r="6732" spans="1:3" x14ac:dyDescent="0.35">
      <c r="A6732" t="s">
        <v>19935</v>
      </c>
      <c r="B6732" t="s">
        <v>19936</v>
      </c>
      <c r="C6732" t="s">
        <v>19937</v>
      </c>
    </row>
    <row r="6733" spans="1:3" x14ac:dyDescent="0.35">
      <c r="A6733" t="s">
        <v>19938</v>
      </c>
      <c r="B6733" t="s">
        <v>19939</v>
      </c>
      <c r="C6733" t="s">
        <v>19940</v>
      </c>
    </row>
    <row r="6734" spans="1:3" x14ac:dyDescent="0.35">
      <c r="A6734" t="s">
        <v>19941</v>
      </c>
      <c r="B6734" t="s">
        <v>19942</v>
      </c>
      <c r="C6734" t="s">
        <v>19943</v>
      </c>
    </row>
    <row r="6735" spans="1:3" x14ac:dyDescent="0.35">
      <c r="A6735" t="s">
        <v>19944</v>
      </c>
      <c r="B6735" t="s">
        <v>19945</v>
      </c>
      <c r="C6735" t="s">
        <v>19946</v>
      </c>
    </row>
    <row r="6736" spans="1:3" x14ac:dyDescent="0.35">
      <c r="A6736" t="s">
        <v>19947</v>
      </c>
      <c r="B6736" t="s">
        <v>19948</v>
      </c>
      <c r="C6736" t="s">
        <v>19949</v>
      </c>
    </row>
    <row r="6737" spans="1:3" x14ac:dyDescent="0.35">
      <c r="A6737" t="s">
        <v>19950</v>
      </c>
      <c r="B6737" t="s">
        <v>19951</v>
      </c>
      <c r="C6737" t="s">
        <v>19952</v>
      </c>
    </row>
    <row r="6738" spans="1:3" x14ac:dyDescent="0.35">
      <c r="A6738" t="s">
        <v>19950</v>
      </c>
      <c r="B6738" t="s">
        <v>19953</v>
      </c>
      <c r="C6738" t="s">
        <v>19954</v>
      </c>
    </row>
    <row r="6739" spans="1:3" x14ac:dyDescent="0.35">
      <c r="A6739" t="s">
        <v>19955</v>
      </c>
      <c r="B6739" t="s">
        <v>19956</v>
      </c>
      <c r="C6739" t="s">
        <v>19957</v>
      </c>
    </row>
    <row r="6740" spans="1:3" x14ac:dyDescent="0.35">
      <c r="A6740" t="s">
        <v>19958</v>
      </c>
      <c r="B6740" t="s">
        <v>19959</v>
      </c>
      <c r="C6740" t="s">
        <v>19960</v>
      </c>
    </row>
    <row r="6741" spans="1:3" x14ac:dyDescent="0.35">
      <c r="A6741" t="s">
        <v>19961</v>
      </c>
      <c r="B6741" t="s">
        <v>19962</v>
      </c>
      <c r="C6741" t="s">
        <v>19963</v>
      </c>
    </row>
    <row r="6742" spans="1:3" x14ac:dyDescent="0.35">
      <c r="A6742" t="s">
        <v>19964</v>
      </c>
      <c r="B6742" t="s">
        <v>19965</v>
      </c>
      <c r="C6742" t="s">
        <v>19966</v>
      </c>
    </row>
    <row r="6743" spans="1:3" x14ac:dyDescent="0.35">
      <c r="A6743" t="s">
        <v>19967</v>
      </c>
      <c r="B6743" t="s">
        <v>19968</v>
      </c>
      <c r="C6743" t="s">
        <v>19969</v>
      </c>
    </row>
    <row r="6744" spans="1:3" x14ac:dyDescent="0.35">
      <c r="A6744" t="s">
        <v>19970</v>
      </c>
      <c r="B6744" t="s">
        <v>19971</v>
      </c>
      <c r="C6744" t="s">
        <v>19972</v>
      </c>
    </row>
    <row r="6745" spans="1:3" x14ac:dyDescent="0.35">
      <c r="A6745" t="s">
        <v>19973</v>
      </c>
      <c r="B6745" t="s">
        <v>19974</v>
      </c>
      <c r="C6745" t="s">
        <v>19975</v>
      </c>
    </row>
    <row r="6746" spans="1:3" x14ac:dyDescent="0.35">
      <c r="A6746" t="s">
        <v>19976</v>
      </c>
      <c r="B6746" t="s">
        <v>19977</v>
      </c>
      <c r="C6746" t="s">
        <v>19978</v>
      </c>
    </row>
    <row r="6747" spans="1:3" x14ac:dyDescent="0.35">
      <c r="A6747" t="s">
        <v>19979</v>
      </c>
      <c r="B6747" t="s">
        <v>19980</v>
      </c>
      <c r="C6747" t="s">
        <v>19981</v>
      </c>
    </row>
    <row r="6748" spans="1:3" x14ac:dyDescent="0.35">
      <c r="A6748" t="s">
        <v>19982</v>
      </c>
      <c r="B6748" t="s">
        <v>19983</v>
      </c>
      <c r="C6748" t="s">
        <v>19984</v>
      </c>
    </row>
    <row r="6749" spans="1:3" x14ac:dyDescent="0.35">
      <c r="A6749" t="s">
        <v>19985</v>
      </c>
      <c r="B6749" t="s">
        <v>19986</v>
      </c>
      <c r="C6749" t="s">
        <v>19987</v>
      </c>
    </row>
    <row r="6750" spans="1:3" x14ac:dyDescent="0.35">
      <c r="A6750" t="s">
        <v>19988</v>
      </c>
      <c r="B6750" t="s">
        <v>19989</v>
      </c>
      <c r="C6750" t="s">
        <v>19990</v>
      </c>
    </row>
    <row r="6751" spans="1:3" x14ac:dyDescent="0.35">
      <c r="A6751" t="s">
        <v>19991</v>
      </c>
      <c r="B6751" t="s">
        <v>19992</v>
      </c>
      <c r="C6751" t="s">
        <v>19993</v>
      </c>
    </row>
    <row r="6752" spans="1:3" x14ac:dyDescent="0.35">
      <c r="A6752" t="s">
        <v>19994</v>
      </c>
      <c r="B6752" t="s">
        <v>19995</v>
      </c>
      <c r="C6752" t="s">
        <v>19996</v>
      </c>
    </row>
    <row r="6753" spans="1:3" x14ac:dyDescent="0.35">
      <c r="A6753" t="s">
        <v>19997</v>
      </c>
      <c r="B6753" t="s">
        <v>19998</v>
      </c>
      <c r="C6753" t="s">
        <v>19999</v>
      </c>
    </row>
    <row r="6754" spans="1:3" x14ac:dyDescent="0.35">
      <c r="A6754" t="s">
        <v>20000</v>
      </c>
      <c r="B6754" t="s">
        <v>20001</v>
      </c>
      <c r="C6754" t="s">
        <v>20002</v>
      </c>
    </row>
    <row r="6755" spans="1:3" x14ac:dyDescent="0.35">
      <c r="A6755" t="s">
        <v>20003</v>
      </c>
      <c r="B6755" t="s">
        <v>20004</v>
      </c>
      <c r="C6755" t="s">
        <v>20005</v>
      </c>
    </row>
    <row r="6756" spans="1:3" x14ac:dyDescent="0.35">
      <c r="A6756" t="s">
        <v>20006</v>
      </c>
      <c r="B6756" t="s">
        <v>20007</v>
      </c>
      <c r="C6756" t="s">
        <v>20008</v>
      </c>
    </row>
    <row r="6757" spans="1:3" x14ac:dyDescent="0.35">
      <c r="A6757" t="s">
        <v>20009</v>
      </c>
      <c r="B6757" t="s">
        <v>20010</v>
      </c>
      <c r="C6757" t="s">
        <v>20011</v>
      </c>
    </row>
    <row r="6758" spans="1:3" x14ac:dyDescent="0.35">
      <c r="A6758" t="s">
        <v>20012</v>
      </c>
      <c r="B6758" t="s">
        <v>20013</v>
      </c>
      <c r="C6758" t="s">
        <v>20014</v>
      </c>
    </row>
    <row r="6759" spans="1:3" x14ac:dyDescent="0.35">
      <c r="A6759" t="s">
        <v>20015</v>
      </c>
      <c r="B6759" t="s">
        <v>20016</v>
      </c>
      <c r="C6759" t="s">
        <v>20017</v>
      </c>
    </row>
    <row r="6760" spans="1:3" x14ac:dyDescent="0.35">
      <c r="A6760" t="s">
        <v>20018</v>
      </c>
      <c r="B6760" t="s">
        <v>20019</v>
      </c>
      <c r="C6760" t="s">
        <v>20020</v>
      </c>
    </row>
    <row r="6761" spans="1:3" x14ac:dyDescent="0.35">
      <c r="A6761" t="s">
        <v>20021</v>
      </c>
      <c r="B6761" t="s">
        <v>20022</v>
      </c>
      <c r="C6761" t="s">
        <v>20023</v>
      </c>
    </row>
    <row r="6762" spans="1:3" x14ac:dyDescent="0.35">
      <c r="A6762" t="s">
        <v>20024</v>
      </c>
      <c r="B6762" t="s">
        <v>20025</v>
      </c>
      <c r="C6762" t="s">
        <v>20026</v>
      </c>
    </row>
    <row r="6763" spans="1:3" x14ac:dyDescent="0.35">
      <c r="A6763" t="s">
        <v>20027</v>
      </c>
      <c r="B6763" t="s">
        <v>20028</v>
      </c>
      <c r="C6763" t="s">
        <v>20029</v>
      </c>
    </row>
    <row r="6764" spans="1:3" x14ac:dyDescent="0.35">
      <c r="A6764" t="s">
        <v>20030</v>
      </c>
      <c r="B6764" t="s">
        <v>20031</v>
      </c>
      <c r="C6764" t="s">
        <v>20032</v>
      </c>
    </row>
    <row r="6765" spans="1:3" x14ac:dyDescent="0.35">
      <c r="A6765" t="s">
        <v>20033</v>
      </c>
      <c r="B6765" t="s">
        <v>20034</v>
      </c>
      <c r="C6765" t="s">
        <v>20035</v>
      </c>
    </row>
    <row r="6766" spans="1:3" x14ac:dyDescent="0.35">
      <c r="A6766" t="s">
        <v>20036</v>
      </c>
      <c r="B6766" t="s">
        <v>20037</v>
      </c>
      <c r="C6766" t="s">
        <v>20038</v>
      </c>
    </row>
    <row r="6767" spans="1:3" x14ac:dyDescent="0.35">
      <c r="A6767" t="s">
        <v>20039</v>
      </c>
      <c r="B6767" t="s">
        <v>20040</v>
      </c>
      <c r="C6767" t="s">
        <v>20041</v>
      </c>
    </row>
    <row r="6768" spans="1:3" x14ac:dyDescent="0.35">
      <c r="A6768" t="s">
        <v>20039</v>
      </c>
      <c r="B6768" t="s">
        <v>20042</v>
      </c>
      <c r="C6768" t="s">
        <v>20043</v>
      </c>
    </row>
    <row r="6769" spans="1:3" x14ac:dyDescent="0.35">
      <c r="A6769" t="s">
        <v>20044</v>
      </c>
      <c r="B6769" t="s">
        <v>20045</v>
      </c>
      <c r="C6769" t="s">
        <v>20046</v>
      </c>
    </row>
    <row r="6770" spans="1:3" x14ac:dyDescent="0.35">
      <c r="A6770" t="s">
        <v>20047</v>
      </c>
      <c r="B6770" t="s">
        <v>20048</v>
      </c>
      <c r="C6770" t="s">
        <v>20049</v>
      </c>
    </row>
    <row r="6771" spans="1:3" x14ac:dyDescent="0.35">
      <c r="A6771" t="s">
        <v>20050</v>
      </c>
      <c r="B6771" t="s">
        <v>20051</v>
      </c>
      <c r="C6771" t="s">
        <v>20052</v>
      </c>
    </row>
    <row r="6772" spans="1:3" x14ac:dyDescent="0.35">
      <c r="A6772" t="s">
        <v>20053</v>
      </c>
      <c r="B6772" t="s">
        <v>20054</v>
      </c>
      <c r="C6772" t="s">
        <v>20055</v>
      </c>
    </row>
    <row r="6773" spans="1:3" x14ac:dyDescent="0.35">
      <c r="A6773" t="s">
        <v>20056</v>
      </c>
      <c r="B6773" t="s">
        <v>20057</v>
      </c>
      <c r="C6773" t="s">
        <v>20058</v>
      </c>
    </row>
    <row r="6774" spans="1:3" x14ac:dyDescent="0.35">
      <c r="A6774" t="s">
        <v>20059</v>
      </c>
      <c r="B6774" t="s">
        <v>20060</v>
      </c>
      <c r="C6774" t="s">
        <v>20061</v>
      </c>
    </row>
    <row r="6775" spans="1:3" x14ac:dyDescent="0.35">
      <c r="A6775" t="s">
        <v>20062</v>
      </c>
      <c r="B6775" t="s">
        <v>20063</v>
      </c>
      <c r="C6775" t="s">
        <v>20064</v>
      </c>
    </row>
    <row r="6776" spans="1:3" x14ac:dyDescent="0.35">
      <c r="A6776" t="s">
        <v>20065</v>
      </c>
      <c r="B6776" t="s">
        <v>20066</v>
      </c>
      <c r="C6776" t="s">
        <v>20067</v>
      </c>
    </row>
    <row r="6777" spans="1:3" x14ac:dyDescent="0.35">
      <c r="A6777" t="s">
        <v>20068</v>
      </c>
      <c r="B6777" t="s">
        <v>20069</v>
      </c>
      <c r="C6777" t="s">
        <v>20070</v>
      </c>
    </row>
    <row r="6778" spans="1:3" x14ac:dyDescent="0.35">
      <c r="A6778" t="s">
        <v>20071</v>
      </c>
      <c r="B6778" t="s">
        <v>20072</v>
      </c>
      <c r="C6778" t="s">
        <v>20073</v>
      </c>
    </row>
    <row r="6779" spans="1:3" x14ac:dyDescent="0.35">
      <c r="A6779" t="s">
        <v>20074</v>
      </c>
      <c r="B6779" t="s">
        <v>20075</v>
      </c>
      <c r="C6779" t="s">
        <v>20076</v>
      </c>
    </row>
    <row r="6780" spans="1:3" x14ac:dyDescent="0.35">
      <c r="A6780" t="s">
        <v>20077</v>
      </c>
      <c r="B6780" t="s">
        <v>20078</v>
      </c>
      <c r="C6780" t="s">
        <v>20079</v>
      </c>
    </row>
    <row r="6781" spans="1:3" x14ac:dyDescent="0.35">
      <c r="A6781" t="s">
        <v>20080</v>
      </c>
      <c r="B6781" t="s">
        <v>20081</v>
      </c>
      <c r="C6781" t="s">
        <v>20082</v>
      </c>
    </row>
    <row r="6782" spans="1:3" x14ac:dyDescent="0.35">
      <c r="A6782" t="s">
        <v>20083</v>
      </c>
      <c r="B6782" t="s">
        <v>20084</v>
      </c>
      <c r="C6782" t="s">
        <v>20085</v>
      </c>
    </row>
    <row r="6783" spans="1:3" x14ac:dyDescent="0.35">
      <c r="A6783" t="s">
        <v>20086</v>
      </c>
      <c r="B6783" t="s">
        <v>20087</v>
      </c>
      <c r="C6783" t="s">
        <v>20088</v>
      </c>
    </row>
    <row r="6784" spans="1:3" x14ac:dyDescent="0.35">
      <c r="A6784" t="s">
        <v>20089</v>
      </c>
      <c r="B6784" t="s">
        <v>20090</v>
      </c>
      <c r="C6784" t="s">
        <v>20091</v>
      </c>
    </row>
    <row r="6785" spans="1:3" x14ac:dyDescent="0.35">
      <c r="A6785" t="s">
        <v>20092</v>
      </c>
      <c r="B6785" t="s">
        <v>20093</v>
      </c>
      <c r="C6785" t="s">
        <v>20094</v>
      </c>
    </row>
    <row r="6786" spans="1:3" x14ac:dyDescent="0.35">
      <c r="A6786" t="s">
        <v>20095</v>
      </c>
      <c r="B6786" t="s">
        <v>20096</v>
      </c>
      <c r="C6786" t="s">
        <v>20097</v>
      </c>
    </row>
    <row r="6787" spans="1:3" x14ac:dyDescent="0.35">
      <c r="A6787" t="s">
        <v>20098</v>
      </c>
      <c r="B6787" t="s">
        <v>20099</v>
      </c>
      <c r="C6787" t="s">
        <v>20100</v>
      </c>
    </row>
    <row r="6788" spans="1:3" x14ac:dyDescent="0.35">
      <c r="A6788" t="s">
        <v>20101</v>
      </c>
      <c r="B6788" t="s">
        <v>20102</v>
      </c>
      <c r="C6788" t="s">
        <v>20103</v>
      </c>
    </row>
    <row r="6789" spans="1:3" x14ac:dyDescent="0.35">
      <c r="A6789" t="s">
        <v>20104</v>
      </c>
      <c r="B6789" t="s">
        <v>20104</v>
      </c>
      <c r="C6789" t="s">
        <v>20105</v>
      </c>
    </row>
    <row r="6790" spans="1:3" x14ac:dyDescent="0.35">
      <c r="A6790" t="s">
        <v>20106</v>
      </c>
      <c r="B6790" t="s">
        <v>20107</v>
      </c>
      <c r="C6790" t="s">
        <v>20108</v>
      </c>
    </row>
    <row r="6791" spans="1:3" x14ac:dyDescent="0.35">
      <c r="A6791" t="s">
        <v>20109</v>
      </c>
      <c r="B6791" t="s">
        <v>20110</v>
      </c>
      <c r="C6791" t="s">
        <v>20111</v>
      </c>
    </row>
    <row r="6792" spans="1:3" x14ac:dyDescent="0.35">
      <c r="A6792" t="s">
        <v>20112</v>
      </c>
      <c r="B6792" t="s">
        <v>20113</v>
      </c>
      <c r="C6792" t="s">
        <v>20114</v>
      </c>
    </row>
    <row r="6793" spans="1:3" x14ac:dyDescent="0.35">
      <c r="A6793" t="s">
        <v>20115</v>
      </c>
      <c r="B6793" t="s">
        <v>20116</v>
      </c>
      <c r="C6793" t="s">
        <v>20117</v>
      </c>
    </row>
    <row r="6794" spans="1:3" x14ac:dyDescent="0.35">
      <c r="A6794" t="s">
        <v>20118</v>
      </c>
      <c r="B6794" t="s">
        <v>20119</v>
      </c>
      <c r="C6794" t="s">
        <v>20120</v>
      </c>
    </row>
    <row r="6795" spans="1:3" x14ac:dyDescent="0.35">
      <c r="A6795" t="s">
        <v>20121</v>
      </c>
      <c r="B6795" t="s">
        <v>20122</v>
      </c>
      <c r="C6795" t="s">
        <v>20123</v>
      </c>
    </row>
    <row r="6796" spans="1:3" x14ac:dyDescent="0.35">
      <c r="A6796" t="s">
        <v>20124</v>
      </c>
      <c r="B6796" t="s">
        <v>20125</v>
      </c>
      <c r="C6796" t="s">
        <v>20126</v>
      </c>
    </row>
    <row r="6797" spans="1:3" x14ac:dyDescent="0.35">
      <c r="A6797" t="s">
        <v>20127</v>
      </c>
      <c r="B6797" t="s">
        <v>20128</v>
      </c>
      <c r="C6797" t="s">
        <v>20129</v>
      </c>
    </row>
    <row r="6798" spans="1:3" x14ac:dyDescent="0.35">
      <c r="A6798" t="s">
        <v>20130</v>
      </c>
      <c r="B6798" t="s">
        <v>20131</v>
      </c>
      <c r="C6798" t="s">
        <v>20132</v>
      </c>
    </row>
    <row r="6799" spans="1:3" x14ac:dyDescent="0.35">
      <c r="A6799" t="s">
        <v>20133</v>
      </c>
      <c r="B6799" t="s">
        <v>20134</v>
      </c>
      <c r="C6799" t="s">
        <v>20135</v>
      </c>
    </row>
    <row r="6800" spans="1:3" x14ac:dyDescent="0.35">
      <c r="A6800" t="s">
        <v>20136</v>
      </c>
      <c r="B6800" t="s">
        <v>20137</v>
      </c>
      <c r="C6800" t="s">
        <v>20138</v>
      </c>
    </row>
    <row r="6801" spans="1:3" x14ac:dyDescent="0.35">
      <c r="A6801" t="s">
        <v>20139</v>
      </c>
      <c r="B6801" t="s">
        <v>20140</v>
      </c>
      <c r="C6801" t="s">
        <v>20141</v>
      </c>
    </row>
    <row r="6802" spans="1:3" x14ac:dyDescent="0.35">
      <c r="A6802" t="s">
        <v>20142</v>
      </c>
      <c r="B6802" t="s">
        <v>20143</v>
      </c>
      <c r="C6802" t="s">
        <v>20144</v>
      </c>
    </row>
    <row r="6803" spans="1:3" x14ac:dyDescent="0.35">
      <c r="A6803" t="s">
        <v>20145</v>
      </c>
      <c r="B6803" t="s">
        <v>20146</v>
      </c>
      <c r="C6803" t="s">
        <v>20147</v>
      </c>
    </row>
    <row r="6804" spans="1:3" x14ac:dyDescent="0.35">
      <c r="A6804" t="s">
        <v>20148</v>
      </c>
      <c r="B6804" t="s">
        <v>20149</v>
      </c>
      <c r="C6804" t="s">
        <v>20150</v>
      </c>
    </row>
    <row r="6805" spans="1:3" x14ac:dyDescent="0.35">
      <c r="A6805" t="s">
        <v>20151</v>
      </c>
      <c r="B6805" t="s">
        <v>20152</v>
      </c>
      <c r="C6805" t="s">
        <v>20153</v>
      </c>
    </row>
    <row r="6806" spans="1:3" x14ac:dyDescent="0.35">
      <c r="A6806" t="s">
        <v>20154</v>
      </c>
      <c r="B6806" t="s">
        <v>20155</v>
      </c>
      <c r="C6806" t="s">
        <v>20156</v>
      </c>
    </row>
    <row r="6807" spans="1:3" x14ac:dyDescent="0.35">
      <c r="A6807" t="s">
        <v>20157</v>
      </c>
      <c r="B6807" t="s">
        <v>20158</v>
      </c>
      <c r="C6807" t="s">
        <v>20159</v>
      </c>
    </row>
    <row r="6808" spans="1:3" x14ac:dyDescent="0.35">
      <c r="A6808" t="s">
        <v>20160</v>
      </c>
      <c r="B6808" t="s">
        <v>20161</v>
      </c>
      <c r="C6808" t="s">
        <v>20162</v>
      </c>
    </row>
    <row r="6809" spans="1:3" x14ac:dyDescent="0.35">
      <c r="A6809" t="s">
        <v>20163</v>
      </c>
      <c r="B6809" t="s">
        <v>20164</v>
      </c>
      <c r="C6809" t="s">
        <v>20165</v>
      </c>
    </row>
    <row r="6810" spans="1:3" x14ac:dyDescent="0.35">
      <c r="A6810" t="s">
        <v>20166</v>
      </c>
      <c r="B6810" t="s">
        <v>20167</v>
      </c>
      <c r="C6810" t="s">
        <v>20168</v>
      </c>
    </row>
    <row r="6811" spans="1:3" x14ac:dyDescent="0.35">
      <c r="A6811" t="s">
        <v>20169</v>
      </c>
      <c r="B6811" t="s">
        <v>20170</v>
      </c>
      <c r="C6811" t="s">
        <v>20171</v>
      </c>
    </row>
    <row r="6812" spans="1:3" x14ac:dyDescent="0.35">
      <c r="A6812" t="s">
        <v>20172</v>
      </c>
      <c r="B6812" t="s">
        <v>20173</v>
      </c>
      <c r="C6812" t="s">
        <v>20174</v>
      </c>
    </row>
    <row r="6813" spans="1:3" x14ac:dyDescent="0.35">
      <c r="A6813" t="s">
        <v>20175</v>
      </c>
      <c r="B6813" t="s">
        <v>20176</v>
      </c>
      <c r="C6813" t="s">
        <v>20177</v>
      </c>
    </row>
    <row r="6814" spans="1:3" x14ac:dyDescent="0.35">
      <c r="A6814" t="s">
        <v>20178</v>
      </c>
      <c r="B6814" t="s">
        <v>20179</v>
      </c>
      <c r="C6814" t="s">
        <v>20180</v>
      </c>
    </row>
    <row r="6815" spans="1:3" x14ac:dyDescent="0.35">
      <c r="A6815" t="s">
        <v>20181</v>
      </c>
      <c r="B6815" t="s">
        <v>20182</v>
      </c>
      <c r="C6815" t="s">
        <v>20183</v>
      </c>
    </row>
    <row r="6816" spans="1:3" x14ac:dyDescent="0.35">
      <c r="A6816" t="s">
        <v>20184</v>
      </c>
      <c r="B6816" t="s">
        <v>20185</v>
      </c>
      <c r="C6816" t="s">
        <v>20186</v>
      </c>
    </row>
    <row r="6817" spans="1:3" x14ac:dyDescent="0.35">
      <c r="A6817" t="s">
        <v>20187</v>
      </c>
      <c r="B6817" t="s">
        <v>20188</v>
      </c>
      <c r="C6817" t="s">
        <v>20189</v>
      </c>
    </row>
    <row r="6818" spans="1:3" x14ac:dyDescent="0.35">
      <c r="A6818" t="s">
        <v>20190</v>
      </c>
      <c r="B6818" t="s">
        <v>20191</v>
      </c>
      <c r="C6818" t="s">
        <v>20192</v>
      </c>
    </row>
    <row r="6819" spans="1:3" x14ac:dyDescent="0.35">
      <c r="A6819" t="s">
        <v>20193</v>
      </c>
      <c r="B6819" t="s">
        <v>20194</v>
      </c>
      <c r="C6819" t="s">
        <v>20195</v>
      </c>
    </row>
    <row r="6820" spans="1:3" x14ac:dyDescent="0.35">
      <c r="A6820" t="s">
        <v>20196</v>
      </c>
      <c r="B6820" t="s">
        <v>20197</v>
      </c>
      <c r="C6820" t="s">
        <v>20198</v>
      </c>
    </row>
    <row r="6821" spans="1:3" x14ac:dyDescent="0.35">
      <c r="A6821" t="s">
        <v>20199</v>
      </c>
      <c r="B6821" t="s">
        <v>20200</v>
      </c>
      <c r="C6821" t="s">
        <v>20201</v>
      </c>
    </row>
    <row r="6822" spans="1:3" x14ac:dyDescent="0.35">
      <c r="A6822" t="s">
        <v>20202</v>
      </c>
      <c r="B6822" t="s">
        <v>20203</v>
      </c>
      <c r="C6822" t="s">
        <v>20204</v>
      </c>
    </row>
    <row r="6823" spans="1:3" x14ac:dyDescent="0.35">
      <c r="A6823" t="s">
        <v>20205</v>
      </c>
      <c r="B6823" t="s">
        <v>20206</v>
      </c>
      <c r="C6823" t="s">
        <v>20207</v>
      </c>
    </row>
    <row r="6824" spans="1:3" x14ac:dyDescent="0.35">
      <c r="A6824" t="s">
        <v>20208</v>
      </c>
      <c r="B6824" t="s">
        <v>20209</v>
      </c>
      <c r="C6824" t="s">
        <v>20210</v>
      </c>
    </row>
    <row r="6825" spans="1:3" x14ac:dyDescent="0.35">
      <c r="A6825" t="s">
        <v>20211</v>
      </c>
      <c r="B6825" t="s">
        <v>20212</v>
      </c>
      <c r="C6825" t="s">
        <v>20213</v>
      </c>
    </row>
    <row r="6826" spans="1:3" x14ac:dyDescent="0.35">
      <c r="A6826" t="s">
        <v>20214</v>
      </c>
      <c r="B6826" t="s">
        <v>20215</v>
      </c>
      <c r="C6826" t="s">
        <v>20216</v>
      </c>
    </row>
    <row r="6827" spans="1:3" x14ac:dyDescent="0.35">
      <c r="A6827" t="s">
        <v>20217</v>
      </c>
      <c r="B6827" t="s">
        <v>20218</v>
      </c>
      <c r="C6827" t="s">
        <v>20219</v>
      </c>
    </row>
    <row r="6828" spans="1:3" x14ac:dyDescent="0.35">
      <c r="A6828" t="s">
        <v>20220</v>
      </c>
      <c r="B6828" t="s">
        <v>20221</v>
      </c>
      <c r="C6828" t="s">
        <v>20222</v>
      </c>
    </row>
    <row r="6829" spans="1:3" x14ac:dyDescent="0.35">
      <c r="A6829" t="s">
        <v>20223</v>
      </c>
      <c r="B6829" t="s">
        <v>20224</v>
      </c>
      <c r="C6829" t="s">
        <v>20225</v>
      </c>
    </row>
    <row r="6830" spans="1:3" x14ac:dyDescent="0.35">
      <c r="A6830" t="s">
        <v>20226</v>
      </c>
      <c r="B6830" t="s">
        <v>20227</v>
      </c>
      <c r="C6830" t="s">
        <v>20228</v>
      </c>
    </row>
    <row r="6831" spans="1:3" x14ac:dyDescent="0.35">
      <c r="A6831" t="s">
        <v>20229</v>
      </c>
      <c r="B6831" t="s">
        <v>20230</v>
      </c>
      <c r="C6831" t="s">
        <v>20231</v>
      </c>
    </row>
    <row r="6832" spans="1:3" x14ac:dyDescent="0.35">
      <c r="A6832" t="s">
        <v>20232</v>
      </c>
      <c r="B6832" t="s">
        <v>20233</v>
      </c>
      <c r="C6832" t="s">
        <v>20234</v>
      </c>
    </row>
    <row r="6833" spans="1:3" x14ac:dyDescent="0.35">
      <c r="A6833" t="s">
        <v>20235</v>
      </c>
      <c r="B6833" t="s">
        <v>20236</v>
      </c>
      <c r="C6833" t="s">
        <v>20237</v>
      </c>
    </row>
    <row r="6834" spans="1:3" x14ac:dyDescent="0.35">
      <c r="A6834" t="s">
        <v>20238</v>
      </c>
      <c r="B6834" t="s">
        <v>20239</v>
      </c>
      <c r="C6834" t="s">
        <v>20240</v>
      </c>
    </row>
    <row r="6835" spans="1:3" x14ac:dyDescent="0.35">
      <c r="A6835" t="s">
        <v>20241</v>
      </c>
      <c r="B6835" t="s">
        <v>20242</v>
      </c>
      <c r="C6835" t="s">
        <v>20243</v>
      </c>
    </row>
    <row r="6836" spans="1:3" x14ac:dyDescent="0.35">
      <c r="A6836" t="s">
        <v>20244</v>
      </c>
      <c r="B6836" t="s">
        <v>20245</v>
      </c>
      <c r="C6836" t="s">
        <v>20246</v>
      </c>
    </row>
    <row r="6837" spans="1:3" x14ac:dyDescent="0.35">
      <c r="A6837" t="s">
        <v>20247</v>
      </c>
      <c r="B6837" t="s">
        <v>20248</v>
      </c>
      <c r="C6837" t="s">
        <v>20249</v>
      </c>
    </row>
    <row r="6838" spans="1:3" x14ac:dyDescent="0.35">
      <c r="A6838" t="s">
        <v>20250</v>
      </c>
      <c r="B6838" t="s">
        <v>20251</v>
      </c>
      <c r="C6838" t="s">
        <v>20252</v>
      </c>
    </row>
    <row r="6839" spans="1:3" x14ac:dyDescent="0.35">
      <c r="A6839" t="s">
        <v>20253</v>
      </c>
      <c r="B6839" t="s">
        <v>20254</v>
      </c>
      <c r="C6839" t="s">
        <v>20255</v>
      </c>
    </row>
    <row r="6840" spans="1:3" x14ac:dyDescent="0.35">
      <c r="A6840" t="s">
        <v>20256</v>
      </c>
      <c r="B6840" t="s">
        <v>20257</v>
      </c>
      <c r="C6840" t="s">
        <v>20258</v>
      </c>
    </row>
    <row r="6841" spans="1:3" x14ac:dyDescent="0.35">
      <c r="A6841" t="s">
        <v>20259</v>
      </c>
      <c r="B6841" t="s">
        <v>20260</v>
      </c>
      <c r="C6841" t="s">
        <v>20261</v>
      </c>
    </row>
    <row r="6842" spans="1:3" x14ac:dyDescent="0.35">
      <c r="A6842" t="s">
        <v>20262</v>
      </c>
      <c r="B6842" t="s">
        <v>20263</v>
      </c>
      <c r="C6842" t="s">
        <v>20264</v>
      </c>
    </row>
    <row r="6843" spans="1:3" x14ac:dyDescent="0.35">
      <c r="A6843" t="s">
        <v>20265</v>
      </c>
      <c r="B6843" t="s">
        <v>20266</v>
      </c>
      <c r="C6843" t="s">
        <v>20267</v>
      </c>
    </row>
    <row r="6844" spans="1:3" x14ac:dyDescent="0.35">
      <c r="A6844" t="s">
        <v>20268</v>
      </c>
      <c r="B6844" t="s">
        <v>20269</v>
      </c>
      <c r="C6844" t="s">
        <v>20270</v>
      </c>
    </row>
    <row r="6845" spans="1:3" x14ac:dyDescent="0.35">
      <c r="A6845" t="s">
        <v>20271</v>
      </c>
      <c r="B6845" t="s">
        <v>20272</v>
      </c>
      <c r="C6845" t="s">
        <v>20273</v>
      </c>
    </row>
    <row r="6846" spans="1:3" x14ac:dyDescent="0.35">
      <c r="A6846" t="s">
        <v>20274</v>
      </c>
      <c r="B6846" t="s">
        <v>20275</v>
      </c>
      <c r="C6846" t="s">
        <v>20276</v>
      </c>
    </row>
    <row r="6847" spans="1:3" x14ac:dyDescent="0.35">
      <c r="A6847" t="s">
        <v>20277</v>
      </c>
      <c r="B6847" t="s">
        <v>20278</v>
      </c>
      <c r="C6847" t="s">
        <v>20279</v>
      </c>
    </row>
    <row r="6848" spans="1:3" x14ac:dyDescent="0.35">
      <c r="A6848" t="s">
        <v>20280</v>
      </c>
      <c r="B6848" t="s">
        <v>20281</v>
      </c>
      <c r="C6848" t="s">
        <v>20282</v>
      </c>
    </row>
    <row r="6849" spans="1:3" x14ac:dyDescent="0.35">
      <c r="A6849" t="s">
        <v>20283</v>
      </c>
      <c r="B6849" t="s">
        <v>20284</v>
      </c>
      <c r="C6849" t="s">
        <v>20285</v>
      </c>
    </row>
    <row r="6850" spans="1:3" x14ac:dyDescent="0.35">
      <c r="A6850" t="s">
        <v>20286</v>
      </c>
      <c r="B6850" t="s">
        <v>20287</v>
      </c>
      <c r="C6850" t="s">
        <v>10764</v>
      </c>
    </row>
    <row r="6851" spans="1:3" x14ac:dyDescent="0.35">
      <c r="A6851" t="s">
        <v>20288</v>
      </c>
      <c r="B6851" t="s">
        <v>20289</v>
      </c>
      <c r="C6851" t="s">
        <v>20290</v>
      </c>
    </row>
    <row r="6852" spans="1:3" x14ac:dyDescent="0.35">
      <c r="A6852" t="s">
        <v>20291</v>
      </c>
      <c r="B6852" t="s">
        <v>20292</v>
      </c>
      <c r="C6852" t="s">
        <v>20293</v>
      </c>
    </row>
    <row r="6853" spans="1:3" x14ac:dyDescent="0.35">
      <c r="A6853" t="s">
        <v>20294</v>
      </c>
      <c r="B6853" t="s">
        <v>20295</v>
      </c>
      <c r="C6853" t="s">
        <v>20296</v>
      </c>
    </row>
    <row r="6854" spans="1:3" x14ac:dyDescent="0.35">
      <c r="A6854" t="s">
        <v>20297</v>
      </c>
      <c r="B6854" t="s">
        <v>20298</v>
      </c>
      <c r="C6854" t="s">
        <v>20299</v>
      </c>
    </row>
    <row r="6855" spans="1:3" x14ac:dyDescent="0.35">
      <c r="A6855" t="s">
        <v>20300</v>
      </c>
      <c r="B6855" t="s">
        <v>20301</v>
      </c>
      <c r="C6855" t="s">
        <v>20302</v>
      </c>
    </row>
    <row r="6856" spans="1:3" x14ac:dyDescent="0.35">
      <c r="A6856" t="s">
        <v>20303</v>
      </c>
      <c r="B6856" t="s">
        <v>20304</v>
      </c>
      <c r="C6856" t="s">
        <v>20305</v>
      </c>
    </row>
    <row r="6857" spans="1:3" x14ac:dyDescent="0.35">
      <c r="A6857" t="s">
        <v>20306</v>
      </c>
      <c r="B6857" t="s">
        <v>20307</v>
      </c>
      <c r="C6857" t="s">
        <v>20308</v>
      </c>
    </row>
    <row r="6858" spans="1:3" x14ac:dyDescent="0.35">
      <c r="A6858" t="s">
        <v>20309</v>
      </c>
      <c r="B6858" t="s">
        <v>20310</v>
      </c>
      <c r="C6858" t="s">
        <v>20311</v>
      </c>
    </row>
    <row r="6859" spans="1:3" x14ac:dyDescent="0.35">
      <c r="A6859" t="s">
        <v>20312</v>
      </c>
      <c r="B6859" t="s">
        <v>20313</v>
      </c>
      <c r="C6859" t="s">
        <v>20314</v>
      </c>
    </row>
    <row r="6860" spans="1:3" x14ac:dyDescent="0.35">
      <c r="A6860" t="s">
        <v>20315</v>
      </c>
      <c r="B6860" t="s">
        <v>20316</v>
      </c>
      <c r="C6860" t="s">
        <v>20317</v>
      </c>
    </row>
    <row r="6861" spans="1:3" x14ac:dyDescent="0.35">
      <c r="A6861" t="s">
        <v>20318</v>
      </c>
      <c r="B6861" t="s">
        <v>20319</v>
      </c>
      <c r="C6861" t="s">
        <v>20320</v>
      </c>
    </row>
    <row r="6862" spans="1:3" x14ac:dyDescent="0.35">
      <c r="A6862" t="s">
        <v>20321</v>
      </c>
      <c r="B6862" t="s">
        <v>20322</v>
      </c>
      <c r="C6862" t="s">
        <v>20323</v>
      </c>
    </row>
    <row r="6863" spans="1:3" x14ac:dyDescent="0.35">
      <c r="A6863" t="s">
        <v>20324</v>
      </c>
      <c r="B6863" t="s">
        <v>20325</v>
      </c>
      <c r="C6863" t="s">
        <v>20326</v>
      </c>
    </row>
    <row r="6864" spans="1:3" x14ac:dyDescent="0.35">
      <c r="A6864" t="s">
        <v>20327</v>
      </c>
      <c r="B6864" t="s">
        <v>20328</v>
      </c>
      <c r="C6864" t="s">
        <v>20329</v>
      </c>
    </row>
    <row r="6865" spans="1:3" x14ac:dyDescent="0.35">
      <c r="A6865" t="s">
        <v>20330</v>
      </c>
      <c r="B6865" t="s">
        <v>20331</v>
      </c>
      <c r="C6865" t="s">
        <v>20332</v>
      </c>
    </row>
    <row r="6866" spans="1:3" x14ac:dyDescent="0.35">
      <c r="A6866" t="s">
        <v>20333</v>
      </c>
      <c r="B6866" t="s">
        <v>20334</v>
      </c>
      <c r="C6866" t="s">
        <v>20335</v>
      </c>
    </row>
    <row r="6867" spans="1:3" x14ac:dyDescent="0.35">
      <c r="A6867" t="s">
        <v>20336</v>
      </c>
      <c r="B6867" t="s">
        <v>20337</v>
      </c>
      <c r="C6867" t="s">
        <v>20338</v>
      </c>
    </row>
    <row r="6868" spans="1:3" x14ac:dyDescent="0.35">
      <c r="A6868" t="s">
        <v>20339</v>
      </c>
      <c r="B6868" t="s">
        <v>20340</v>
      </c>
      <c r="C6868" t="s">
        <v>16464</v>
      </c>
    </row>
    <row r="6869" spans="1:3" x14ac:dyDescent="0.35">
      <c r="A6869" t="s">
        <v>20341</v>
      </c>
      <c r="B6869" t="s">
        <v>20342</v>
      </c>
      <c r="C6869" t="s">
        <v>20343</v>
      </c>
    </row>
    <row r="6870" spans="1:3" x14ac:dyDescent="0.35">
      <c r="A6870" t="s">
        <v>20344</v>
      </c>
      <c r="B6870" t="s">
        <v>20345</v>
      </c>
      <c r="C6870" t="s">
        <v>20346</v>
      </c>
    </row>
    <row r="6871" spans="1:3" x14ac:dyDescent="0.35">
      <c r="A6871" t="s">
        <v>20347</v>
      </c>
      <c r="B6871" t="s">
        <v>20348</v>
      </c>
      <c r="C6871" t="s">
        <v>20349</v>
      </c>
    </row>
    <row r="6872" spans="1:3" x14ac:dyDescent="0.35">
      <c r="A6872" t="s">
        <v>20350</v>
      </c>
      <c r="B6872" t="s">
        <v>20351</v>
      </c>
      <c r="C6872" t="s">
        <v>20352</v>
      </c>
    </row>
    <row r="6873" spans="1:3" x14ac:dyDescent="0.35">
      <c r="A6873" t="s">
        <v>20353</v>
      </c>
      <c r="B6873" t="s">
        <v>20354</v>
      </c>
      <c r="C6873" t="s">
        <v>20355</v>
      </c>
    </row>
    <row r="6874" spans="1:3" x14ac:dyDescent="0.35">
      <c r="A6874" t="s">
        <v>20356</v>
      </c>
      <c r="B6874" t="s">
        <v>20357</v>
      </c>
      <c r="C6874" t="s">
        <v>20358</v>
      </c>
    </row>
    <row r="6875" spans="1:3" x14ac:dyDescent="0.35">
      <c r="A6875" t="s">
        <v>20359</v>
      </c>
      <c r="B6875" t="s">
        <v>20360</v>
      </c>
      <c r="C6875" t="s">
        <v>20361</v>
      </c>
    </row>
    <row r="6876" spans="1:3" x14ac:dyDescent="0.35">
      <c r="A6876" t="s">
        <v>20362</v>
      </c>
      <c r="B6876" t="s">
        <v>20363</v>
      </c>
      <c r="C6876" t="s">
        <v>20364</v>
      </c>
    </row>
    <row r="6877" spans="1:3" x14ac:dyDescent="0.35">
      <c r="A6877" t="s">
        <v>20365</v>
      </c>
      <c r="B6877" t="s">
        <v>20366</v>
      </c>
      <c r="C6877" t="s">
        <v>20367</v>
      </c>
    </row>
    <row r="6878" spans="1:3" x14ac:dyDescent="0.35">
      <c r="A6878" t="s">
        <v>20368</v>
      </c>
      <c r="B6878" t="s">
        <v>20369</v>
      </c>
      <c r="C6878" t="s">
        <v>20370</v>
      </c>
    </row>
    <row r="6879" spans="1:3" x14ac:dyDescent="0.35">
      <c r="A6879" t="s">
        <v>20371</v>
      </c>
      <c r="B6879" t="s">
        <v>20372</v>
      </c>
      <c r="C6879" t="s">
        <v>20373</v>
      </c>
    </row>
    <row r="6880" spans="1:3" x14ac:dyDescent="0.35">
      <c r="A6880" t="s">
        <v>20371</v>
      </c>
      <c r="B6880" t="s">
        <v>20374</v>
      </c>
      <c r="C6880" t="s">
        <v>20375</v>
      </c>
    </row>
    <row r="6881" spans="1:3" x14ac:dyDescent="0.35">
      <c r="A6881" t="s">
        <v>20376</v>
      </c>
      <c r="B6881" t="s">
        <v>20377</v>
      </c>
      <c r="C6881" t="s">
        <v>20378</v>
      </c>
    </row>
    <row r="6882" spans="1:3" x14ac:dyDescent="0.35">
      <c r="A6882" t="s">
        <v>20379</v>
      </c>
      <c r="B6882" t="s">
        <v>20380</v>
      </c>
      <c r="C6882" t="s">
        <v>20381</v>
      </c>
    </row>
    <row r="6883" spans="1:3" x14ac:dyDescent="0.35">
      <c r="A6883" t="s">
        <v>20382</v>
      </c>
      <c r="B6883" t="s">
        <v>20383</v>
      </c>
      <c r="C6883" t="s">
        <v>20384</v>
      </c>
    </row>
    <row r="6884" spans="1:3" x14ac:dyDescent="0.35">
      <c r="A6884" t="s">
        <v>20385</v>
      </c>
      <c r="B6884" t="s">
        <v>20386</v>
      </c>
      <c r="C6884" t="s">
        <v>20387</v>
      </c>
    </row>
    <row r="6885" spans="1:3" x14ac:dyDescent="0.35">
      <c r="A6885" t="s">
        <v>20388</v>
      </c>
      <c r="B6885" t="s">
        <v>20389</v>
      </c>
      <c r="C6885" t="s">
        <v>20390</v>
      </c>
    </row>
    <row r="6886" spans="1:3" x14ac:dyDescent="0.35">
      <c r="A6886" t="s">
        <v>20391</v>
      </c>
      <c r="B6886" t="s">
        <v>20392</v>
      </c>
      <c r="C6886" t="s">
        <v>20393</v>
      </c>
    </row>
    <row r="6887" spans="1:3" x14ac:dyDescent="0.35">
      <c r="A6887" t="s">
        <v>20394</v>
      </c>
      <c r="B6887" t="s">
        <v>20395</v>
      </c>
      <c r="C6887" t="s">
        <v>20396</v>
      </c>
    </row>
    <row r="6888" spans="1:3" x14ac:dyDescent="0.35">
      <c r="A6888" t="s">
        <v>20397</v>
      </c>
      <c r="B6888" t="s">
        <v>20398</v>
      </c>
      <c r="C6888" t="s">
        <v>20399</v>
      </c>
    </row>
    <row r="6889" spans="1:3" x14ac:dyDescent="0.35">
      <c r="A6889" t="s">
        <v>20400</v>
      </c>
      <c r="B6889" t="s">
        <v>20401</v>
      </c>
      <c r="C6889" t="s">
        <v>20402</v>
      </c>
    </row>
    <row r="6890" spans="1:3" x14ac:dyDescent="0.35">
      <c r="A6890" t="s">
        <v>20403</v>
      </c>
      <c r="B6890" t="s">
        <v>20404</v>
      </c>
      <c r="C6890" t="s">
        <v>20405</v>
      </c>
    </row>
    <row r="6891" spans="1:3" x14ac:dyDescent="0.35">
      <c r="A6891" t="s">
        <v>20406</v>
      </c>
      <c r="B6891" t="s">
        <v>20407</v>
      </c>
      <c r="C6891" t="s">
        <v>20408</v>
      </c>
    </row>
    <row r="6892" spans="1:3" x14ac:dyDescent="0.35">
      <c r="A6892" t="s">
        <v>20406</v>
      </c>
      <c r="B6892" t="s">
        <v>20409</v>
      </c>
      <c r="C6892" t="s">
        <v>20410</v>
      </c>
    </row>
    <row r="6893" spans="1:3" x14ac:dyDescent="0.35">
      <c r="A6893" t="s">
        <v>20411</v>
      </c>
      <c r="B6893" t="s">
        <v>20412</v>
      </c>
      <c r="C6893" t="s">
        <v>20413</v>
      </c>
    </row>
    <row r="6894" spans="1:3" x14ac:dyDescent="0.35">
      <c r="A6894" t="s">
        <v>20414</v>
      </c>
      <c r="B6894" t="s">
        <v>20415</v>
      </c>
      <c r="C6894" t="s">
        <v>20082</v>
      </c>
    </row>
    <row r="6895" spans="1:3" x14ac:dyDescent="0.35">
      <c r="A6895" t="s">
        <v>20416</v>
      </c>
      <c r="B6895" t="s">
        <v>20417</v>
      </c>
      <c r="C6895" t="s">
        <v>20418</v>
      </c>
    </row>
    <row r="6896" spans="1:3" x14ac:dyDescent="0.35">
      <c r="A6896" t="s">
        <v>20419</v>
      </c>
      <c r="B6896" t="s">
        <v>20420</v>
      </c>
      <c r="C6896" t="s">
        <v>20421</v>
      </c>
    </row>
    <row r="6897" spans="1:3" x14ac:dyDescent="0.35">
      <c r="A6897" t="s">
        <v>20422</v>
      </c>
      <c r="B6897" t="s">
        <v>20423</v>
      </c>
      <c r="C6897" t="s">
        <v>20424</v>
      </c>
    </row>
    <row r="6898" spans="1:3" x14ac:dyDescent="0.35">
      <c r="A6898" t="s">
        <v>20425</v>
      </c>
      <c r="B6898" t="s">
        <v>20426</v>
      </c>
      <c r="C6898" t="s">
        <v>20427</v>
      </c>
    </row>
    <row r="6899" spans="1:3" x14ac:dyDescent="0.35">
      <c r="A6899" t="s">
        <v>20428</v>
      </c>
      <c r="B6899" t="s">
        <v>20429</v>
      </c>
      <c r="C6899" t="s">
        <v>20430</v>
      </c>
    </row>
    <row r="6900" spans="1:3" x14ac:dyDescent="0.35">
      <c r="A6900" t="s">
        <v>20431</v>
      </c>
      <c r="B6900" t="s">
        <v>20432</v>
      </c>
      <c r="C6900" t="s">
        <v>20433</v>
      </c>
    </row>
    <row r="6901" spans="1:3" x14ac:dyDescent="0.35">
      <c r="A6901" t="s">
        <v>20434</v>
      </c>
      <c r="B6901" t="s">
        <v>20435</v>
      </c>
      <c r="C6901" t="s">
        <v>20436</v>
      </c>
    </row>
    <row r="6902" spans="1:3" x14ac:dyDescent="0.35">
      <c r="A6902" t="s">
        <v>20437</v>
      </c>
      <c r="B6902" t="s">
        <v>20438</v>
      </c>
      <c r="C6902" t="s">
        <v>20439</v>
      </c>
    </row>
    <row r="6903" spans="1:3" x14ac:dyDescent="0.35">
      <c r="A6903" t="s">
        <v>20440</v>
      </c>
      <c r="B6903" t="s">
        <v>20441</v>
      </c>
      <c r="C6903" t="s">
        <v>20442</v>
      </c>
    </row>
    <row r="6904" spans="1:3" x14ac:dyDescent="0.35">
      <c r="A6904" t="s">
        <v>20443</v>
      </c>
      <c r="B6904" t="s">
        <v>20444</v>
      </c>
      <c r="C6904" t="s">
        <v>20445</v>
      </c>
    </row>
    <row r="6905" spans="1:3" x14ac:dyDescent="0.35">
      <c r="A6905" t="s">
        <v>20446</v>
      </c>
      <c r="B6905" t="s">
        <v>20447</v>
      </c>
      <c r="C6905" t="s">
        <v>20448</v>
      </c>
    </row>
    <row r="6906" spans="1:3" x14ac:dyDescent="0.35">
      <c r="A6906" t="s">
        <v>20449</v>
      </c>
      <c r="B6906" t="s">
        <v>20450</v>
      </c>
      <c r="C6906" t="s">
        <v>20451</v>
      </c>
    </row>
    <row r="6907" spans="1:3" x14ac:dyDescent="0.35">
      <c r="A6907" t="s">
        <v>20452</v>
      </c>
      <c r="B6907" t="s">
        <v>20453</v>
      </c>
      <c r="C6907" t="s">
        <v>20454</v>
      </c>
    </row>
    <row r="6908" spans="1:3" x14ac:dyDescent="0.35">
      <c r="A6908" t="s">
        <v>20455</v>
      </c>
      <c r="B6908" t="s">
        <v>20456</v>
      </c>
      <c r="C6908" t="s">
        <v>20457</v>
      </c>
    </row>
    <row r="6909" spans="1:3" x14ac:dyDescent="0.35">
      <c r="A6909" t="s">
        <v>20458</v>
      </c>
      <c r="B6909" t="s">
        <v>20459</v>
      </c>
      <c r="C6909" t="s">
        <v>20460</v>
      </c>
    </row>
    <row r="6910" spans="1:3" x14ac:dyDescent="0.35">
      <c r="A6910" t="s">
        <v>20461</v>
      </c>
      <c r="B6910" t="s">
        <v>20462</v>
      </c>
      <c r="C6910" t="s">
        <v>20463</v>
      </c>
    </row>
    <row r="6911" spans="1:3" x14ac:dyDescent="0.35">
      <c r="A6911" t="s">
        <v>20464</v>
      </c>
      <c r="B6911" t="s">
        <v>20465</v>
      </c>
      <c r="C6911" t="s">
        <v>20466</v>
      </c>
    </row>
    <row r="6912" spans="1:3" x14ac:dyDescent="0.35">
      <c r="A6912" t="s">
        <v>20467</v>
      </c>
      <c r="B6912" t="s">
        <v>20468</v>
      </c>
      <c r="C6912" t="s">
        <v>20469</v>
      </c>
    </row>
    <row r="6913" spans="1:3" x14ac:dyDescent="0.35">
      <c r="A6913" t="s">
        <v>20467</v>
      </c>
      <c r="B6913" t="s">
        <v>20470</v>
      </c>
      <c r="C6913" t="s">
        <v>20471</v>
      </c>
    </row>
    <row r="6914" spans="1:3" x14ac:dyDescent="0.35">
      <c r="A6914" t="s">
        <v>20472</v>
      </c>
      <c r="B6914" t="s">
        <v>20473</v>
      </c>
      <c r="C6914" t="s">
        <v>20474</v>
      </c>
    </row>
    <row r="6915" spans="1:3" x14ac:dyDescent="0.35">
      <c r="A6915" t="s">
        <v>20475</v>
      </c>
      <c r="B6915" t="s">
        <v>20476</v>
      </c>
      <c r="C6915" t="s">
        <v>20477</v>
      </c>
    </row>
    <row r="6916" spans="1:3" x14ac:dyDescent="0.35">
      <c r="A6916" t="s">
        <v>20478</v>
      </c>
      <c r="B6916" t="s">
        <v>20479</v>
      </c>
      <c r="C6916" t="s">
        <v>20480</v>
      </c>
    </row>
    <row r="6917" spans="1:3" x14ac:dyDescent="0.35">
      <c r="A6917" t="s">
        <v>20481</v>
      </c>
      <c r="B6917" t="s">
        <v>20482</v>
      </c>
      <c r="C6917" t="s">
        <v>20483</v>
      </c>
    </row>
    <row r="6918" spans="1:3" x14ac:dyDescent="0.35">
      <c r="A6918" t="s">
        <v>20484</v>
      </c>
      <c r="B6918" t="s">
        <v>20485</v>
      </c>
      <c r="C6918" t="s">
        <v>20486</v>
      </c>
    </row>
    <row r="6919" spans="1:3" x14ac:dyDescent="0.35">
      <c r="A6919" t="s">
        <v>20487</v>
      </c>
      <c r="B6919" t="s">
        <v>20488</v>
      </c>
      <c r="C6919" t="s">
        <v>20489</v>
      </c>
    </row>
    <row r="6920" spans="1:3" x14ac:dyDescent="0.35">
      <c r="A6920" t="s">
        <v>20490</v>
      </c>
      <c r="B6920" t="s">
        <v>20491</v>
      </c>
      <c r="C6920" t="s">
        <v>20492</v>
      </c>
    </row>
    <row r="6921" spans="1:3" x14ac:dyDescent="0.35">
      <c r="A6921" t="s">
        <v>20493</v>
      </c>
      <c r="B6921" t="s">
        <v>20494</v>
      </c>
      <c r="C6921" t="s">
        <v>20495</v>
      </c>
    </row>
    <row r="6922" spans="1:3" x14ac:dyDescent="0.35">
      <c r="A6922" t="s">
        <v>20496</v>
      </c>
      <c r="B6922" t="s">
        <v>20497</v>
      </c>
      <c r="C6922" t="s">
        <v>20498</v>
      </c>
    </row>
    <row r="6923" spans="1:3" x14ac:dyDescent="0.35">
      <c r="A6923" t="s">
        <v>134</v>
      </c>
      <c r="B6923" t="s">
        <v>20499</v>
      </c>
      <c r="C6923" t="s">
        <v>20500</v>
      </c>
    </row>
    <row r="6924" spans="1:3" x14ac:dyDescent="0.35">
      <c r="A6924" t="s">
        <v>20501</v>
      </c>
      <c r="B6924" t="s">
        <v>20502</v>
      </c>
      <c r="C6924" t="s">
        <v>20503</v>
      </c>
    </row>
    <row r="6925" spans="1:3" x14ac:dyDescent="0.35">
      <c r="A6925" t="s">
        <v>20504</v>
      </c>
      <c r="B6925" t="s">
        <v>20505</v>
      </c>
      <c r="C6925" t="s">
        <v>20506</v>
      </c>
    </row>
    <row r="6926" spans="1:3" x14ac:dyDescent="0.35">
      <c r="A6926" t="s">
        <v>20507</v>
      </c>
      <c r="B6926" t="s">
        <v>20508</v>
      </c>
      <c r="C6926" t="s">
        <v>20509</v>
      </c>
    </row>
    <row r="6927" spans="1:3" x14ac:dyDescent="0.35">
      <c r="A6927" t="s">
        <v>20510</v>
      </c>
      <c r="B6927" t="s">
        <v>20511</v>
      </c>
      <c r="C6927" t="s">
        <v>20512</v>
      </c>
    </row>
    <row r="6928" spans="1:3" x14ac:dyDescent="0.35">
      <c r="A6928" t="s">
        <v>20513</v>
      </c>
      <c r="B6928" t="s">
        <v>20514</v>
      </c>
      <c r="C6928" t="s">
        <v>20515</v>
      </c>
    </row>
    <row r="6929" spans="1:3" x14ac:dyDescent="0.35">
      <c r="A6929" t="s">
        <v>20516</v>
      </c>
      <c r="B6929" t="s">
        <v>20517</v>
      </c>
      <c r="C6929" t="s">
        <v>20518</v>
      </c>
    </row>
    <row r="6930" spans="1:3" x14ac:dyDescent="0.35">
      <c r="A6930" t="s">
        <v>20519</v>
      </c>
      <c r="B6930" t="s">
        <v>20520</v>
      </c>
      <c r="C6930" t="s">
        <v>20521</v>
      </c>
    </row>
    <row r="6931" spans="1:3" x14ac:dyDescent="0.35">
      <c r="A6931" t="s">
        <v>20522</v>
      </c>
      <c r="B6931" t="s">
        <v>20523</v>
      </c>
      <c r="C6931" t="s">
        <v>20524</v>
      </c>
    </row>
    <row r="6932" spans="1:3" x14ac:dyDescent="0.35">
      <c r="A6932" t="s">
        <v>20525</v>
      </c>
      <c r="B6932" t="s">
        <v>20526</v>
      </c>
      <c r="C6932" t="s">
        <v>20527</v>
      </c>
    </row>
    <row r="6933" spans="1:3" x14ac:dyDescent="0.35">
      <c r="A6933" t="s">
        <v>20528</v>
      </c>
      <c r="B6933" t="s">
        <v>20529</v>
      </c>
      <c r="C6933" t="s">
        <v>20530</v>
      </c>
    </row>
    <row r="6934" spans="1:3" x14ac:dyDescent="0.35">
      <c r="A6934" t="s">
        <v>20531</v>
      </c>
      <c r="B6934" t="s">
        <v>20532</v>
      </c>
      <c r="C6934" t="s">
        <v>20533</v>
      </c>
    </row>
    <row r="6935" spans="1:3" x14ac:dyDescent="0.35">
      <c r="A6935" t="s">
        <v>20534</v>
      </c>
      <c r="B6935" t="s">
        <v>20535</v>
      </c>
      <c r="C6935" t="s">
        <v>20536</v>
      </c>
    </row>
    <row r="6936" spans="1:3" x14ac:dyDescent="0.35">
      <c r="A6936" t="s">
        <v>20537</v>
      </c>
      <c r="B6936" t="s">
        <v>20538</v>
      </c>
      <c r="C6936" t="s">
        <v>20539</v>
      </c>
    </row>
    <row r="6937" spans="1:3" x14ac:dyDescent="0.35">
      <c r="A6937" t="s">
        <v>20540</v>
      </c>
      <c r="B6937" t="s">
        <v>20541</v>
      </c>
      <c r="C6937" t="s">
        <v>20542</v>
      </c>
    </row>
    <row r="6938" spans="1:3" x14ac:dyDescent="0.35">
      <c r="A6938" t="s">
        <v>20543</v>
      </c>
      <c r="B6938" t="s">
        <v>20544</v>
      </c>
      <c r="C6938" t="s">
        <v>20545</v>
      </c>
    </row>
    <row r="6939" spans="1:3" x14ac:dyDescent="0.35">
      <c r="A6939" t="s">
        <v>20546</v>
      </c>
      <c r="B6939" t="s">
        <v>20547</v>
      </c>
      <c r="C6939" t="s">
        <v>20548</v>
      </c>
    </row>
    <row r="6940" spans="1:3" x14ac:dyDescent="0.35">
      <c r="A6940" t="s">
        <v>20549</v>
      </c>
      <c r="B6940" t="s">
        <v>20550</v>
      </c>
      <c r="C6940" t="s">
        <v>20551</v>
      </c>
    </row>
    <row r="6941" spans="1:3" x14ac:dyDescent="0.35">
      <c r="A6941" t="s">
        <v>20552</v>
      </c>
      <c r="B6941" t="s">
        <v>20553</v>
      </c>
      <c r="C6941" t="s">
        <v>20554</v>
      </c>
    </row>
    <row r="6942" spans="1:3" x14ac:dyDescent="0.35">
      <c r="A6942" t="s">
        <v>20555</v>
      </c>
      <c r="B6942" t="s">
        <v>20556</v>
      </c>
      <c r="C6942" t="s">
        <v>20557</v>
      </c>
    </row>
    <row r="6943" spans="1:3" x14ac:dyDescent="0.35">
      <c r="A6943" t="s">
        <v>20558</v>
      </c>
      <c r="B6943" t="s">
        <v>20559</v>
      </c>
      <c r="C6943" t="s">
        <v>20560</v>
      </c>
    </row>
    <row r="6944" spans="1:3" x14ac:dyDescent="0.35">
      <c r="A6944" t="s">
        <v>20561</v>
      </c>
      <c r="B6944" t="s">
        <v>20562</v>
      </c>
      <c r="C6944" t="s">
        <v>20563</v>
      </c>
    </row>
    <row r="6945" spans="1:3" x14ac:dyDescent="0.35">
      <c r="A6945" t="s">
        <v>20564</v>
      </c>
      <c r="B6945" t="s">
        <v>20565</v>
      </c>
      <c r="C6945" t="s">
        <v>20566</v>
      </c>
    </row>
    <row r="6946" spans="1:3" x14ac:dyDescent="0.35">
      <c r="A6946" t="s">
        <v>20567</v>
      </c>
      <c r="B6946" t="s">
        <v>20568</v>
      </c>
      <c r="C6946" t="s">
        <v>20569</v>
      </c>
    </row>
    <row r="6947" spans="1:3" x14ac:dyDescent="0.35">
      <c r="A6947" t="s">
        <v>20570</v>
      </c>
      <c r="B6947" t="s">
        <v>20571</v>
      </c>
      <c r="C6947" t="s">
        <v>20572</v>
      </c>
    </row>
    <row r="6948" spans="1:3" x14ac:dyDescent="0.35">
      <c r="A6948" t="s">
        <v>20573</v>
      </c>
      <c r="B6948" t="s">
        <v>20574</v>
      </c>
      <c r="C6948" t="s">
        <v>20575</v>
      </c>
    </row>
    <row r="6949" spans="1:3" x14ac:dyDescent="0.35">
      <c r="A6949" t="s">
        <v>20576</v>
      </c>
      <c r="B6949" t="s">
        <v>20577</v>
      </c>
      <c r="C6949" t="s">
        <v>20578</v>
      </c>
    </row>
    <row r="6950" spans="1:3" x14ac:dyDescent="0.35">
      <c r="A6950" t="s">
        <v>20579</v>
      </c>
      <c r="B6950" t="s">
        <v>20580</v>
      </c>
      <c r="C6950" t="s">
        <v>20581</v>
      </c>
    </row>
    <row r="6951" spans="1:3" x14ac:dyDescent="0.35">
      <c r="A6951" t="s">
        <v>20582</v>
      </c>
      <c r="B6951" t="s">
        <v>20583</v>
      </c>
      <c r="C6951" t="s">
        <v>20584</v>
      </c>
    </row>
    <row r="6952" spans="1:3" x14ac:dyDescent="0.35">
      <c r="A6952" t="s">
        <v>20585</v>
      </c>
      <c r="B6952" t="s">
        <v>20586</v>
      </c>
      <c r="C6952" t="s">
        <v>20587</v>
      </c>
    </row>
    <row r="6953" spans="1:3" x14ac:dyDescent="0.35">
      <c r="A6953" t="s">
        <v>20588</v>
      </c>
      <c r="B6953" t="s">
        <v>20589</v>
      </c>
      <c r="C6953" t="s">
        <v>20590</v>
      </c>
    </row>
    <row r="6954" spans="1:3" x14ac:dyDescent="0.35">
      <c r="A6954" t="s">
        <v>20591</v>
      </c>
      <c r="B6954" t="s">
        <v>20592</v>
      </c>
      <c r="C6954" t="s">
        <v>20593</v>
      </c>
    </row>
    <row r="6955" spans="1:3" x14ac:dyDescent="0.35">
      <c r="A6955" t="s">
        <v>20594</v>
      </c>
      <c r="B6955" t="s">
        <v>20595</v>
      </c>
      <c r="C6955" t="s">
        <v>20596</v>
      </c>
    </row>
    <row r="6956" spans="1:3" x14ac:dyDescent="0.35">
      <c r="A6956" t="s">
        <v>20597</v>
      </c>
      <c r="B6956" t="s">
        <v>20598</v>
      </c>
      <c r="C6956" t="s">
        <v>20599</v>
      </c>
    </row>
    <row r="6957" spans="1:3" x14ac:dyDescent="0.35">
      <c r="A6957" t="s">
        <v>20600</v>
      </c>
      <c r="B6957" t="s">
        <v>20601</v>
      </c>
      <c r="C6957" t="s">
        <v>20602</v>
      </c>
    </row>
    <row r="6958" spans="1:3" x14ac:dyDescent="0.35">
      <c r="A6958" t="s">
        <v>20600</v>
      </c>
      <c r="B6958" t="s">
        <v>20603</v>
      </c>
      <c r="C6958" t="s">
        <v>20604</v>
      </c>
    </row>
    <row r="6959" spans="1:3" x14ac:dyDescent="0.35">
      <c r="A6959" t="s">
        <v>20605</v>
      </c>
      <c r="B6959" t="s">
        <v>20606</v>
      </c>
      <c r="C6959" t="s">
        <v>20607</v>
      </c>
    </row>
    <row r="6960" spans="1:3" x14ac:dyDescent="0.35">
      <c r="A6960" t="s">
        <v>20608</v>
      </c>
      <c r="B6960" t="s">
        <v>20609</v>
      </c>
      <c r="C6960" t="s">
        <v>20610</v>
      </c>
    </row>
    <row r="6961" spans="1:3" x14ac:dyDescent="0.35">
      <c r="A6961" t="s">
        <v>20611</v>
      </c>
      <c r="B6961" t="s">
        <v>20612</v>
      </c>
      <c r="C6961" t="s">
        <v>20613</v>
      </c>
    </row>
    <row r="6962" spans="1:3" x14ac:dyDescent="0.35">
      <c r="A6962" t="s">
        <v>20614</v>
      </c>
      <c r="B6962" t="s">
        <v>20615</v>
      </c>
      <c r="C6962" t="s">
        <v>20616</v>
      </c>
    </row>
    <row r="6963" spans="1:3" x14ac:dyDescent="0.35">
      <c r="A6963" t="s">
        <v>20617</v>
      </c>
      <c r="B6963" t="s">
        <v>20618</v>
      </c>
      <c r="C6963" t="s">
        <v>20619</v>
      </c>
    </row>
    <row r="6964" spans="1:3" x14ac:dyDescent="0.35">
      <c r="A6964" t="s">
        <v>20620</v>
      </c>
      <c r="B6964" t="s">
        <v>20621</v>
      </c>
      <c r="C6964" t="s">
        <v>20622</v>
      </c>
    </row>
    <row r="6965" spans="1:3" x14ac:dyDescent="0.35">
      <c r="A6965" t="s">
        <v>20623</v>
      </c>
      <c r="B6965" t="s">
        <v>20624</v>
      </c>
      <c r="C6965" t="s">
        <v>20625</v>
      </c>
    </row>
    <row r="6966" spans="1:3" x14ac:dyDescent="0.35">
      <c r="A6966" t="s">
        <v>20626</v>
      </c>
      <c r="B6966" t="s">
        <v>20627</v>
      </c>
      <c r="C6966" t="s">
        <v>20628</v>
      </c>
    </row>
    <row r="6967" spans="1:3" x14ac:dyDescent="0.35">
      <c r="A6967" t="s">
        <v>20629</v>
      </c>
      <c r="B6967" t="s">
        <v>20630</v>
      </c>
      <c r="C6967" t="s">
        <v>20631</v>
      </c>
    </row>
    <row r="6968" spans="1:3" x14ac:dyDescent="0.35">
      <c r="A6968" t="s">
        <v>20632</v>
      </c>
      <c r="B6968" t="s">
        <v>20633</v>
      </c>
      <c r="C6968" t="s">
        <v>20634</v>
      </c>
    </row>
    <row r="6969" spans="1:3" x14ac:dyDescent="0.35">
      <c r="A6969" t="s">
        <v>20635</v>
      </c>
      <c r="B6969" t="s">
        <v>20636</v>
      </c>
      <c r="C6969" t="s">
        <v>20637</v>
      </c>
    </row>
    <row r="6970" spans="1:3" x14ac:dyDescent="0.35">
      <c r="A6970" t="s">
        <v>20638</v>
      </c>
      <c r="B6970" t="s">
        <v>20639</v>
      </c>
      <c r="C6970" t="s">
        <v>20640</v>
      </c>
    </row>
    <row r="6971" spans="1:3" x14ac:dyDescent="0.35">
      <c r="A6971" t="s">
        <v>20641</v>
      </c>
      <c r="B6971" t="s">
        <v>20642</v>
      </c>
      <c r="C6971" t="s">
        <v>20643</v>
      </c>
    </row>
    <row r="6972" spans="1:3" x14ac:dyDescent="0.35">
      <c r="A6972" t="s">
        <v>20644</v>
      </c>
      <c r="B6972" t="s">
        <v>20645</v>
      </c>
      <c r="C6972" t="s">
        <v>20646</v>
      </c>
    </row>
    <row r="6973" spans="1:3" x14ac:dyDescent="0.35">
      <c r="A6973" t="s">
        <v>20647</v>
      </c>
      <c r="B6973" t="s">
        <v>20648</v>
      </c>
      <c r="C6973" t="s">
        <v>20649</v>
      </c>
    </row>
    <row r="6974" spans="1:3" x14ac:dyDescent="0.35">
      <c r="A6974" t="s">
        <v>20650</v>
      </c>
      <c r="B6974" t="s">
        <v>20651</v>
      </c>
      <c r="C6974" t="s">
        <v>20652</v>
      </c>
    </row>
    <row r="6975" spans="1:3" x14ac:dyDescent="0.35">
      <c r="A6975" t="s">
        <v>20653</v>
      </c>
      <c r="B6975" t="s">
        <v>20654</v>
      </c>
      <c r="C6975" t="s">
        <v>20655</v>
      </c>
    </row>
    <row r="6976" spans="1:3" x14ac:dyDescent="0.35">
      <c r="A6976" t="s">
        <v>20656</v>
      </c>
      <c r="B6976" t="s">
        <v>20657</v>
      </c>
      <c r="C6976" t="s">
        <v>20658</v>
      </c>
    </row>
    <row r="6977" spans="1:3" x14ac:dyDescent="0.35">
      <c r="A6977" t="s">
        <v>20659</v>
      </c>
      <c r="B6977" t="s">
        <v>20660</v>
      </c>
      <c r="C6977" t="s">
        <v>20661</v>
      </c>
    </row>
    <row r="6978" spans="1:3" x14ac:dyDescent="0.35">
      <c r="A6978" t="s">
        <v>20662</v>
      </c>
      <c r="B6978" t="s">
        <v>20663</v>
      </c>
      <c r="C6978" t="s">
        <v>20664</v>
      </c>
    </row>
    <row r="6979" spans="1:3" x14ac:dyDescent="0.35">
      <c r="A6979" t="s">
        <v>20665</v>
      </c>
      <c r="B6979" t="s">
        <v>20666</v>
      </c>
      <c r="C6979" t="s">
        <v>20667</v>
      </c>
    </row>
    <row r="6980" spans="1:3" x14ac:dyDescent="0.35">
      <c r="A6980" t="s">
        <v>20668</v>
      </c>
      <c r="B6980" t="s">
        <v>20669</v>
      </c>
      <c r="C6980" t="s">
        <v>20670</v>
      </c>
    </row>
    <row r="6981" spans="1:3" x14ac:dyDescent="0.35">
      <c r="A6981" t="s">
        <v>20671</v>
      </c>
      <c r="B6981" t="s">
        <v>20672</v>
      </c>
      <c r="C6981" t="s">
        <v>20673</v>
      </c>
    </row>
    <row r="6982" spans="1:3" x14ac:dyDescent="0.35">
      <c r="A6982" t="s">
        <v>20674</v>
      </c>
      <c r="B6982" t="s">
        <v>20675</v>
      </c>
      <c r="C6982" t="s">
        <v>20676</v>
      </c>
    </row>
    <row r="6983" spans="1:3" x14ac:dyDescent="0.35">
      <c r="A6983" t="s">
        <v>20677</v>
      </c>
      <c r="B6983" t="s">
        <v>20678</v>
      </c>
      <c r="C6983" t="s">
        <v>20679</v>
      </c>
    </row>
    <row r="6984" spans="1:3" x14ac:dyDescent="0.35">
      <c r="A6984" t="s">
        <v>20680</v>
      </c>
      <c r="B6984" t="s">
        <v>20681</v>
      </c>
      <c r="C6984" t="s">
        <v>20682</v>
      </c>
    </row>
    <row r="6985" spans="1:3" x14ac:dyDescent="0.35">
      <c r="A6985" t="s">
        <v>20683</v>
      </c>
      <c r="B6985" t="s">
        <v>20666</v>
      </c>
      <c r="C6985" t="s">
        <v>20667</v>
      </c>
    </row>
    <row r="6986" spans="1:3" x14ac:dyDescent="0.35">
      <c r="A6986" t="s">
        <v>20683</v>
      </c>
      <c r="B6986" t="s">
        <v>20684</v>
      </c>
      <c r="C6986" t="s">
        <v>20685</v>
      </c>
    </row>
    <row r="6987" spans="1:3" x14ac:dyDescent="0.35">
      <c r="A6987" t="s">
        <v>20686</v>
      </c>
      <c r="B6987" t="s">
        <v>20687</v>
      </c>
      <c r="C6987" t="s">
        <v>20688</v>
      </c>
    </row>
    <row r="6988" spans="1:3" x14ac:dyDescent="0.35">
      <c r="A6988" t="s">
        <v>20689</v>
      </c>
      <c r="B6988" t="s">
        <v>20690</v>
      </c>
      <c r="C6988" t="s">
        <v>20691</v>
      </c>
    </row>
    <row r="6989" spans="1:3" x14ac:dyDescent="0.35">
      <c r="A6989" t="s">
        <v>20692</v>
      </c>
      <c r="B6989" t="s">
        <v>20693</v>
      </c>
      <c r="C6989" t="s">
        <v>20694</v>
      </c>
    </row>
    <row r="6990" spans="1:3" x14ac:dyDescent="0.35">
      <c r="A6990" t="s">
        <v>20695</v>
      </c>
      <c r="B6990" t="s">
        <v>20696</v>
      </c>
      <c r="C6990" t="s">
        <v>20697</v>
      </c>
    </row>
    <row r="6991" spans="1:3" x14ac:dyDescent="0.35">
      <c r="A6991" t="s">
        <v>20695</v>
      </c>
      <c r="B6991" t="s">
        <v>20698</v>
      </c>
      <c r="C6991" t="s">
        <v>20699</v>
      </c>
    </row>
    <row r="6992" spans="1:3" x14ac:dyDescent="0.35">
      <c r="A6992" t="s">
        <v>20700</v>
      </c>
      <c r="B6992" t="s">
        <v>20701</v>
      </c>
      <c r="C6992" t="s">
        <v>20702</v>
      </c>
    </row>
    <row r="6993" spans="1:3" x14ac:dyDescent="0.35">
      <c r="A6993" t="s">
        <v>20703</v>
      </c>
      <c r="B6993" t="s">
        <v>20704</v>
      </c>
      <c r="C6993" t="s">
        <v>20705</v>
      </c>
    </row>
    <row r="6994" spans="1:3" x14ac:dyDescent="0.35">
      <c r="A6994" t="s">
        <v>20706</v>
      </c>
      <c r="B6994" t="s">
        <v>20707</v>
      </c>
      <c r="C6994" t="s">
        <v>20708</v>
      </c>
    </row>
    <row r="6995" spans="1:3" x14ac:dyDescent="0.35">
      <c r="A6995" t="s">
        <v>20709</v>
      </c>
      <c r="B6995" t="s">
        <v>20710</v>
      </c>
      <c r="C6995" t="s">
        <v>20711</v>
      </c>
    </row>
    <row r="6996" spans="1:3" x14ac:dyDescent="0.35">
      <c r="A6996" t="s">
        <v>20712</v>
      </c>
      <c r="B6996" t="s">
        <v>20713</v>
      </c>
      <c r="C6996" t="s">
        <v>20714</v>
      </c>
    </row>
    <row r="6997" spans="1:3" x14ac:dyDescent="0.35">
      <c r="A6997" t="s">
        <v>20715</v>
      </c>
      <c r="B6997" t="s">
        <v>20716</v>
      </c>
      <c r="C6997" t="s">
        <v>20717</v>
      </c>
    </row>
    <row r="6998" spans="1:3" x14ac:dyDescent="0.35">
      <c r="A6998" t="s">
        <v>20718</v>
      </c>
      <c r="B6998" t="s">
        <v>20719</v>
      </c>
      <c r="C6998" t="s">
        <v>20720</v>
      </c>
    </row>
    <row r="6999" spans="1:3" x14ac:dyDescent="0.35">
      <c r="A6999" t="s">
        <v>20721</v>
      </c>
      <c r="B6999" t="s">
        <v>20722</v>
      </c>
      <c r="C6999" t="s">
        <v>20723</v>
      </c>
    </row>
    <row r="7000" spans="1:3" x14ac:dyDescent="0.35">
      <c r="A7000" t="s">
        <v>20724</v>
      </c>
      <c r="B7000" t="s">
        <v>20725</v>
      </c>
      <c r="C7000" t="s">
        <v>20726</v>
      </c>
    </row>
    <row r="7001" spans="1:3" x14ac:dyDescent="0.35">
      <c r="A7001" t="s">
        <v>20727</v>
      </c>
      <c r="B7001" t="s">
        <v>20728</v>
      </c>
      <c r="C7001" t="s">
        <v>20729</v>
      </c>
    </row>
    <row r="7002" spans="1:3" x14ac:dyDescent="0.35">
      <c r="A7002" t="s">
        <v>20730</v>
      </c>
      <c r="B7002" t="s">
        <v>20731</v>
      </c>
      <c r="C7002" t="s">
        <v>20732</v>
      </c>
    </row>
    <row r="7003" spans="1:3" x14ac:dyDescent="0.35">
      <c r="A7003" t="s">
        <v>20733</v>
      </c>
      <c r="B7003" t="s">
        <v>20734</v>
      </c>
      <c r="C7003" t="s">
        <v>20735</v>
      </c>
    </row>
    <row r="7004" spans="1:3" x14ac:dyDescent="0.35">
      <c r="A7004" t="s">
        <v>20736</v>
      </c>
      <c r="B7004" t="s">
        <v>20737</v>
      </c>
      <c r="C7004" t="s">
        <v>20738</v>
      </c>
    </row>
    <row r="7005" spans="1:3" x14ac:dyDescent="0.35">
      <c r="A7005" t="s">
        <v>20739</v>
      </c>
      <c r="B7005" t="s">
        <v>20740</v>
      </c>
      <c r="C7005" t="s">
        <v>20741</v>
      </c>
    </row>
    <row r="7006" spans="1:3" x14ac:dyDescent="0.35">
      <c r="A7006" t="s">
        <v>20742</v>
      </c>
      <c r="B7006" t="s">
        <v>20743</v>
      </c>
      <c r="C7006" t="s">
        <v>20744</v>
      </c>
    </row>
    <row r="7007" spans="1:3" x14ac:dyDescent="0.35">
      <c r="A7007" t="s">
        <v>20745</v>
      </c>
      <c r="B7007" t="s">
        <v>20746</v>
      </c>
      <c r="C7007" t="s">
        <v>20747</v>
      </c>
    </row>
    <row r="7008" spans="1:3" x14ac:dyDescent="0.35">
      <c r="A7008" t="s">
        <v>20748</v>
      </c>
      <c r="B7008" t="s">
        <v>20749</v>
      </c>
      <c r="C7008" t="s">
        <v>20750</v>
      </c>
    </row>
    <row r="7009" spans="1:3" x14ac:dyDescent="0.35">
      <c r="A7009" t="s">
        <v>20751</v>
      </c>
      <c r="B7009" t="s">
        <v>20752</v>
      </c>
      <c r="C7009" t="s">
        <v>20753</v>
      </c>
    </row>
    <row r="7010" spans="1:3" x14ac:dyDescent="0.35">
      <c r="A7010" t="s">
        <v>20754</v>
      </c>
      <c r="B7010" t="s">
        <v>20755</v>
      </c>
      <c r="C7010" t="s">
        <v>20756</v>
      </c>
    </row>
    <row r="7011" spans="1:3" x14ac:dyDescent="0.35">
      <c r="A7011" t="s">
        <v>20757</v>
      </c>
      <c r="B7011" t="s">
        <v>20758</v>
      </c>
      <c r="C7011" t="s">
        <v>20759</v>
      </c>
    </row>
    <row r="7012" spans="1:3" x14ac:dyDescent="0.35">
      <c r="A7012" t="s">
        <v>20760</v>
      </c>
      <c r="B7012" t="s">
        <v>20761</v>
      </c>
      <c r="C7012" t="s">
        <v>20762</v>
      </c>
    </row>
    <row r="7013" spans="1:3" x14ac:dyDescent="0.35">
      <c r="A7013" t="s">
        <v>20763</v>
      </c>
      <c r="B7013" t="s">
        <v>20764</v>
      </c>
      <c r="C7013" t="s">
        <v>20765</v>
      </c>
    </row>
    <row r="7014" spans="1:3" x14ac:dyDescent="0.35">
      <c r="A7014" t="s">
        <v>20766</v>
      </c>
      <c r="B7014" t="s">
        <v>20767</v>
      </c>
      <c r="C7014" t="s">
        <v>20768</v>
      </c>
    </row>
    <row r="7015" spans="1:3" x14ac:dyDescent="0.35">
      <c r="A7015" t="s">
        <v>20769</v>
      </c>
      <c r="B7015" t="s">
        <v>20770</v>
      </c>
      <c r="C7015" t="s">
        <v>20771</v>
      </c>
    </row>
    <row r="7016" spans="1:3" x14ac:dyDescent="0.35">
      <c r="A7016" t="s">
        <v>20772</v>
      </c>
      <c r="B7016" t="s">
        <v>20773</v>
      </c>
      <c r="C7016" t="s">
        <v>20774</v>
      </c>
    </row>
    <row r="7017" spans="1:3" x14ac:dyDescent="0.35">
      <c r="A7017" t="s">
        <v>20775</v>
      </c>
      <c r="B7017" t="s">
        <v>20776</v>
      </c>
      <c r="C7017" t="s">
        <v>20777</v>
      </c>
    </row>
    <row r="7018" spans="1:3" x14ac:dyDescent="0.35">
      <c r="A7018" t="s">
        <v>20778</v>
      </c>
      <c r="B7018" t="s">
        <v>20779</v>
      </c>
      <c r="C7018" t="s">
        <v>20780</v>
      </c>
    </row>
    <row r="7019" spans="1:3" x14ac:dyDescent="0.35">
      <c r="A7019" t="s">
        <v>20781</v>
      </c>
      <c r="B7019" t="s">
        <v>20782</v>
      </c>
      <c r="C7019" t="s">
        <v>20783</v>
      </c>
    </row>
    <row r="7020" spans="1:3" x14ac:dyDescent="0.35">
      <c r="A7020" t="s">
        <v>20784</v>
      </c>
      <c r="B7020" t="s">
        <v>20785</v>
      </c>
      <c r="C7020" t="s">
        <v>20786</v>
      </c>
    </row>
    <row r="7021" spans="1:3" x14ac:dyDescent="0.35">
      <c r="A7021" t="s">
        <v>20787</v>
      </c>
      <c r="B7021" t="s">
        <v>20788</v>
      </c>
      <c r="C7021" t="s">
        <v>20789</v>
      </c>
    </row>
    <row r="7022" spans="1:3" x14ac:dyDescent="0.35">
      <c r="A7022" t="s">
        <v>20790</v>
      </c>
      <c r="B7022" t="s">
        <v>20791</v>
      </c>
      <c r="C7022" t="s">
        <v>20792</v>
      </c>
    </row>
    <row r="7023" spans="1:3" x14ac:dyDescent="0.35">
      <c r="A7023" t="s">
        <v>20793</v>
      </c>
      <c r="B7023" t="s">
        <v>20794</v>
      </c>
      <c r="C7023" t="s">
        <v>20795</v>
      </c>
    </row>
    <row r="7024" spans="1:3" x14ac:dyDescent="0.35">
      <c r="A7024" t="s">
        <v>20796</v>
      </c>
      <c r="B7024" t="s">
        <v>20797</v>
      </c>
      <c r="C7024" t="s">
        <v>20798</v>
      </c>
    </row>
    <row r="7025" spans="1:3" x14ac:dyDescent="0.35">
      <c r="A7025" t="s">
        <v>20799</v>
      </c>
      <c r="B7025" t="s">
        <v>20800</v>
      </c>
      <c r="C7025" t="s">
        <v>20801</v>
      </c>
    </row>
    <row r="7026" spans="1:3" x14ac:dyDescent="0.35">
      <c r="A7026" t="s">
        <v>20802</v>
      </c>
      <c r="B7026" t="s">
        <v>20803</v>
      </c>
      <c r="C7026" t="s">
        <v>20804</v>
      </c>
    </row>
    <row r="7027" spans="1:3" x14ac:dyDescent="0.35">
      <c r="A7027" t="s">
        <v>20805</v>
      </c>
      <c r="B7027" t="s">
        <v>20806</v>
      </c>
      <c r="C7027" t="s">
        <v>20807</v>
      </c>
    </row>
    <row r="7028" spans="1:3" x14ac:dyDescent="0.35">
      <c r="A7028" t="s">
        <v>20808</v>
      </c>
      <c r="B7028" t="s">
        <v>20809</v>
      </c>
      <c r="C7028" t="s">
        <v>20810</v>
      </c>
    </row>
    <row r="7029" spans="1:3" x14ac:dyDescent="0.35">
      <c r="A7029" t="s">
        <v>20811</v>
      </c>
      <c r="B7029" t="s">
        <v>20812</v>
      </c>
      <c r="C7029" t="s">
        <v>20813</v>
      </c>
    </row>
    <row r="7030" spans="1:3" x14ac:dyDescent="0.35">
      <c r="A7030" t="s">
        <v>20814</v>
      </c>
      <c r="B7030" t="s">
        <v>20815</v>
      </c>
      <c r="C7030" t="s">
        <v>20816</v>
      </c>
    </row>
    <row r="7031" spans="1:3" x14ac:dyDescent="0.35">
      <c r="A7031" t="s">
        <v>20817</v>
      </c>
      <c r="B7031" t="s">
        <v>20818</v>
      </c>
      <c r="C7031" t="s">
        <v>20819</v>
      </c>
    </row>
    <row r="7032" spans="1:3" x14ac:dyDescent="0.35">
      <c r="A7032" t="s">
        <v>135</v>
      </c>
      <c r="B7032" t="s">
        <v>20820</v>
      </c>
      <c r="C7032" t="s">
        <v>20821</v>
      </c>
    </row>
    <row r="7033" spans="1:3" x14ac:dyDescent="0.35">
      <c r="A7033" t="s">
        <v>20822</v>
      </c>
      <c r="B7033" t="s">
        <v>20823</v>
      </c>
      <c r="C7033" t="s">
        <v>20824</v>
      </c>
    </row>
    <row r="7034" spans="1:3" x14ac:dyDescent="0.35">
      <c r="A7034" t="s">
        <v>20825</v>
      </c>
      <c r="B7034" t="s">
        <v>20826</v>
      </c>
      <c r="C7034" t="s">
        <v>20827</v>
      </c>
    </row>
    <row r="7035" spans="1:3" x14ac:dyDescent="0.35">
      <c r="A7035" t="s">
        <v>20828</v>
      </c>
      <c r="B7035" t="s">
        <v>20829</v>
      </c>
      <c r="C7035" t="s">
        <v>20830</v>
      </c>
    </row>
    <row r="7036" spans="1:3" x14ac:dyDescent="0.35">
      <c r="A7036" t="s">
        <v>20831</v>
      </c>
      <c r="B7036" t="s">
        <v>20832</v>
      </c>
      <c r="C7036" t="s">
        <v>20833</v>
      </c>
    </row>
    <row r="7037" spans="1:3" x14ac:dyDescent="0.35">
      <c r="A7037" t="s">
        <v>20834</v>
      </c>
      <c r="B7037" t="s">
        <v>20835</v>
      </c>
      <c r="C7037" t="s">
        <v>20836</v>
      </c>
    </row>
    <row r="7038" spans="1:3" x14ac:dyDescent="0.35">
      <c r="A7038" t="s">
        <v>20837</v>
      </c>
      <c r="B7038" t="s">
        <v>20838</v>
      </c>
      <c r="C7038" t="s">
        <v>20839</v>
      </c>
    </row>
    <row r="7039" spans="1:3" x14ac:dyDescent="0.35">
      <c r="A7039" t="s">
        <v>20840</v>
      </c>
      <c r="B7039" t="s">
        <v>20841</v>
      </c>
      <c r="C7039" t="s">
        <v>20842</v>
      </c>
    </row>
    <row r="7040" spans="1:3" x14ac:dyDescent="0.35">
      <c r="A7040" t="s">
        <v>20843</v>
      </c>
      <c r="B7040" t="s">
        <v>20844</v>
      </c>
      <c r="C7040" t="s">
        <v>20845</v>
      </c>
    </row>
    <row r="7041" spans="1:3" x14ac:dyDescent="0.35">
      <c r="A7041" t="s">
        <v>20846</v>
      </c>
      <c r="B7041" t="s">
        <v>20847</v>
      </c>
      <c r="C7041" t="s">
        <v>20848</v>
      </c>
    </row>
    <row r="7042" spans="1:3" x14ac:dyDescent="0.35">
      <c r="A7042" t="s">
        <v>20846</v>
      </c>
      <c r="B7042" t="s">
        <v>20849</v>
      </c>
      <c r="C7042" t="s">
        <v>20850</v>
      </c>
    </row>
    <row r="7043" spans="1:3" x14ac:dyDescent="0.35">
      <c r="A7043" t="s">
        <v>20851</v>
      </c>
      <c r="B7043" t="s">
        <v>20852</v>
      </c>
      <c r="C7043" t="s">
        <v>20853</v>
      </c>
    </row>
    <row r="7044" spans="1:3" x14ac:dyDescent="0.35">
      <c r="A7044" t="s">
        <v>20854</v>
      </c>
      <c r="B7044" t="s">
        <v>20855</v>
      </c>
      <c r="C7044" t="s">
        <v>20856</v>
      </c>
    </row>
    <row r="7045" spans="1:3" x14ac:dyDescent="0.35">
      <c r="A7045" t="s">
        <v>20857</v>
      </c>
      <c r="B7045" t="s">
        <v>20858</v>
      </c>
      <c r="C7045" t="s">
        <v>20859</v>
      </c>
    </row>
    <row r="7046" spans="1:3" x14ac:dyDescent="0.35">
      <c r="A7046" t="s">
        <v>20860</v>
      </c>
      <c r="B7046" t="s">
        <v>20861</v>
      </c>
      <c r="C7046" t="s">
        <v>20862</v>
      </c>
    </row>
    <row r="7047" spans="1:3" x14ac:dyDescent="0.35">
      <c r="A7047" t="s">
        <v>20863</v>
      </c>
      <c r="B7047" t="s">
        <v>20864</v>
      </c>
      <c r="C7047" t="s">
        <v>20865</v>
      </c>
    </row>
    <row r="7048" spans="1:3" x14ac:dyDescent="0.35">
      <c r="A7048" t="s">
        <v>20866</v>
      </c>
      <c r="B7048" t="s">
        <v>20867</v>
      </c>
      <c r="C7048" t="s">
        <v>20868</v>
      </c>
    </row>
    <row r="7049" spans="1:3" x14ac:dyDescent="0.35">
      <c r="A7049" t="s">
        <v>20869</v>
      </c>
      <c r="B7049" t="s">
        <v>20870</v>
      </c>
      <c r="C7049" t="s">
        <v>20871</v>
      </c>
    </row>
    <row r="7050" spans="1:3" x14ac:dyDescent="0.35">
      <c r="A7050" t="s">
        <v>20872</v>
      </c>
      <c r="B7050" t="s">
        <v>20873</v>
      </c>
      <c r="C7050" t="s">
        <v>20874</v>
      </c>
    </row>
    <row r="7051" spans="1:3" x14ac:dyDescent="0.35">
      <c r="A7051" t="s">
        <v>20875</v>
      </c>
      <c r="B7051" t="s">
        <v>20876</v>
      </c>
      <c r="C7051" t="s">
        <v>20877</v>
      </c>
    </row>
    <row r="7052" spans="1:3" x14ac:dyDescent="0.35">
      <c r="A7052" t="s">
        <v>20878</v>
      </c>
      <c r="B7052" t="s">
        <v>20879</v>
      </c>
      <c r="C7052" t="s">
        <v>20880</v>
      </c>
    </row>
    <row r="7053" spans="1:3" x14ac:dyDescent="0.35">
      <c r="A7053" t="s">
        <v>20881</v>
      </c>
      <c r="B7053" t="s">
        <v>20882</v>
      </c>
      <c r="C7053" t="s">
        <v>20883</v>
      </c>
    </row>
    <row r="7054" spans="1:3" x14ac:dyDescent="0.35">
      <c r="A7054" t="s">
        <v>20884</v>
      </c>
      <c r="B7054" t="s">
        <v>20885</v>
      </c>
      <c r="C7054" t="s">
        <v>20886</v>
      </c>
    </row>
    <row r="7055" spans="1:3" x14ac:dyDescent="0.35">
      <c r="A7055" t="s">
        <v>20887</v>
      </c>
      <c r="B7055" t="s">
        <v>20888</v>
      </c>
      <c r="C7055" t="s">
        <v>20889</v>
      </c>
    </row>
    <row r="7056" spans="1:3" x14ac:dyDescent="0.35">
      <c r="A7056" t="s">
        <v>20890</v>
      </c>
      <c r="B7056" t="s">
        <v>20891</v>
      </c>
      <c r="C7056" t="s">
        <v>20892</v>
      </c>
    </row>
    <row r="7057" spans="1:3" x14ac:dyDescent="0.35">
      <c r="A7057" t="s">
        <v>20893</v>
      </c>
      <c r="B7057" t="s">
        <v>20894</v>
      </c>
      <c r="C7057" t="s">
        <v>20895</v>
      </c>
    </row>
    <row r="7058" spans="1:3" x14ac:dyDescent="0.35">
      <c r="A7058" t="s">
        <v>20896</v>
      </c>
      <c r="B7058" t="s">
        <v>20897</v>
      </c>
      <c r="C7058" t="s">
        <v>20898</v>
      </c>
    </row>
    <row r="7059" spans="1:3" x14ac:dyDescent="0.35">
      <c r="A7059" t="s">
        <v>20899</v>
      </c>
      <c r="B7059" t="s">
        <v>20900</v>
      </c>
      <c r="C7059" t="s">
        <v>20901</v>
      </c>
    </row>
    <row r="7060" spans="1:3" x14ac:dyDescent="0.35">
      <c r="A7060" t="s">
        <v>20902</v>
      </c>
      <c r="B7060" t="s">
        <v>20903</v>
      </c>
      <c r="C7060" t="s">
        <v>20904</v>
      </c>
    </row>
    <row r="7061" spans="1:3" x14ac:dyDescent="0.35">
      <c r="A7061" t="s">
        <v>20905</v>
      </c>
      <c r="B7061" t="s">
        <v>20906</v>
      </c>
      <c r="C7061" t="s">
        <v>20907</v>
      </c>
    </row>
    <row r="7062" spans="1:3" x14ac:dyDescent="0.35">
      <c r="A7062" t="s">
        <v>20908</v>
      </c>
      <c r="B7062" t="s">
        <v>20909</v>
      </c>
      <c r="C7062" t="s">
        <v>20910</v>
      </c>
    </row>
    <row r="7063" spans="1:3" x14ac:dyDescent="0.35">
      <c r="A7063" t="s">
        <v>20911</v>
      </c>
      <c r="B7063" t="s">
        <v>20912</v>
      </c>
      <c r="C7063" t="s">
        <v>20913</v>
      </c>
    </row>
    <row r="7064" spans="1:3" x14ac:dyDescent="0.35">
      <c r="A7064" t="s">
        <v>20914</v>
      </c>
      <c r="B7064" t="s">
        <v>20915</v>
      </c>
      <c r="C7064" t="s">
        <v>20916</v>
      </c>
    </row>
    <row r="7065" spans="1:3" x14ac:dyDescent="0.35">
      <c r="A7065" t="s">
        <v>20917</v>
      </c>
      <c r="B7065" t="s">
        <v>20918</v>
      </c>
      <c r="C7065" t="s">
        <v>20919</v>
      </c>
    </row>
    <row r="7066" spans="1:3" x14ac:dyDescent="0.35">
      <c r="A7066" t="s">
        <v>20920</v>
      </c>
      <c r="B7066" t="s">
        <v>20921</v>
      </c>
      <c r="C7066" t="s">
        <v>20922</v>
      </c>
    </row>
    <row r="7067" spans="1:3" x14ac:dyDescent="0.35">
      <c r="A7067" t="s">
        <v>20923</v>
      </c>
      <c r="B7067" t="s">
        <v>20924</v>
      </c>
      <c r="C7067" t="s">
        <v>20925</v>
      </c>
    </row>
    <row r="7068" spans="1:3" x14ac:dyDescent="0.35">
      <c r="A7068" t="s">
        <v>20926</v>
      </c>
      <c r="B7068" t="s">
        <v>20927</v>
      </c>
      <c r="C7068" t="s">
        <v>20928</v>
      </c>
    </row>
    <row r="7069" spans="1:3" x14ac:dyDescent="0.35">
      <c r="A7069" t="s">
        <v>20929</v>
      </c>
      <c r="B7069" t="s">
        <v>20930</v>
      </c>
      <c r="C7069" t="s">
        <v>20931</v>
      </c>
    </row>
    <row r="7070" spans="1:3" x14ac:dyDescent="0.35">
      <c r="A7070" t="s">
        <v>20932</v>
      </c>
      <c r="B7070" t="s">
        <v>20933</v>
      </c>
      <c r="C7070" t="s">
        <v>20934</v>
      </c>
    </row>
    <row r="7071" spans="1:3" x14ac:dyDescent="0.35">
      <c r="A7071" t="s">
        <v>20935</v>
      </c>
      <c r="B7071" t="s">
        <v>20936</v>
      </c>
      <c r="C7071" t="s">
        <v>20937</v>
      </c>
    </row>
    <row r="7072" spans="1:3" x14ac:dyDescent="0.35">
      <c r="A7072" t="s">
        <v>20938</v>
      </c>
      <c r="B7072" t="s">
        <v>20939</v>
      </c>
      <c r="C7072" t="s">
        <v>20940</v>
      </c>
    </row>
    <row r="7073" spans="1:3" x14ac:dyDescent="0.35">
      <c r="A7073" t="s">
        <v>20941</v>
      </c>
      <c r="B7073" t="s">
        <v>20942</v>
      </c>
      <c r="C7073" t="s">
        <v>20943</v>
      </c>
    </row>
    <row r="7074" spans="1:3" x14ac:dyDescent="0.35">
      <c r="A7074" t="s">
        <v>20944</v>
      </c>
      <c r="B7074" t="s">
        <v>20945</v>
      </c>
      <c r="C7074" t="s">
        <v>20946</v>
      </c>
    </row>
    <row r="7075" spans="1:3" x14ac:dyDescent="0.35">
      <c r="A7075" t="s">
        <v>20947</v>
      </c>
      <c r="B7075" t="s">
        <v>20948</v>
      </c>
      <c r="C7075" t="s">
        <v>20949</v>
      </c>
    </row>
    <row r="7076" spans="1:3" x14ac:dyDescent="0.35">
      <c r="A7076" t="s">
        <v>20950</v>
      </c>
      <c r="B7076" t="s">
        <v>20951</v>
      </c>
      <c r="C7076" t="s">
        <v>20952</v>
      </c>
    </row>
    <row r="7077" spans="1:3" x14ac:dyDescent="0.35">
      <c r="A7077" t="s">
        <v>20953</v>
      </c>
      <c r="B7077" t="s">
        <v>20954</v>
      </c>
      <c r="C7077" t="s">
        <v>20955</v>
      </c>
    </row>
    <row r="7078" spans="1:3" x14ac:dyDescent="0.35">
      <c r="A7078" t="s">
        <v>20956</v>
      </c>
      <c r="B7078" t="s">
        <v>20957</v>
      </c>
      <c r="C7078" t="s">
        <v>20958</v>
      </c>
    </row>
    <row r="7079" spans="1:3" x14ac:dyDescent="0.35">
      <c r="A7079" t="s">
        <v>20959</v>
      </c>
      <c r="B7079" t="s">
        <v>20960</v>
      </c>
      <c r="C7079" t="s">
        <v>20961</v>
      </c>
    </row>
    <row r="7080" spans="1:3" x14ac:dyDescent="0.35">
      <c r="A7080" t="s">
        <v>20962</v>
      </c>
      <c r="B7080" t="s">
        <v>20963</v>
      </c>
      <c r="C7080" t="s">
        <v>20964</v>
      </c>
    </row>
    <row r="7081" spans="1:3" x14ac:dyDescent="0.35">
      <c r="A7081" t="s">
        <v>20965</v>
      </c>
      <c r="B7081" t="s">
        <v>20966</v>
      </c>
      <c r="C7081" t="s">
        <v>20967</v>
      </c>
    </row>
    <row r="7082" spans="1:3" x14ac:dyDescent="0.35">
      <c r="A7082" t="s">
        <v>20968</v>
      </c>
      <c r="B7082" t="s">
        <v>20969</v>
      </c>
      <c r="C7082" t="s">
        <v>20970</v>
      </c>
    </row>
    <row r="7083" spans="1:3" x14ac:dyDescent="0.35">
      <c r="A7083" t="s">
        <v>20971</v>
      </c>
      <c r="B7083" t="s">
        <v>20972</v>
      </c>
      <c r="C7083" t="s">
        <v>20973</v>
      </c>
    </row>
    <row r="7084" spans="1:3" x14ac:dyDescent="0.35">
      <c r="A7084" t="s">
        <v>20974</v>
      </c>
      <c r="B7084" t="s">
        <v>20975</v>
      </c>
      <c r="C7084" t="s">
        <v>20976</v>
      </c>
    </row>
    <row r="7085" spans="1:3" x14ac:dyDescent="0.35">
      <c r="A7085" t="s">
        <v>20977</v>
      </c>
      <c r="B7085" t="s">
        <v>20978</v>
      </c>
      <c r="C7085" t="s">
        <v>20979</v>
      </c>
    </row>
    <row r="7086" spans="1:3" x14ac:dyDescent="0.35">
      <c r="A7086" t="s">
        <v>20980</v>
      </c>
      <c r="B7086" t="s">
        <v>20981</v>
      </c>
      <c r="C7086" t="s">
        <v>20982</v>
      </c>
    </row>
    <row r="7087" spans="1:3" x14ac:dyDescent="0.35">
      <c r="A7087" t="s">
        <v>20983</v>
      </c>
      <c r="B7087" t="s">
        <v>20984</v>
      </c>
      <c r="C7087" t="s">
        <v>20985</v>
      </c>
    </row>
    <row r="7088" spans="1:3" x14ac:dyDescent="0.35">
      <c r="A7088" t="s">
        <v>20986</v>
      </c>
      <c r="B7088" t="s">
        <v>20987</v>
      </c>
      <c r="C7088" t="s">
        <v>20988</v>
      </c>
    </row>
    <row r="7089" spans="1:3" x14ac:dyDescent="0.35">
      <c r="A7089" t="s">
        <v>20989</v>
      </c>
      <c r="B7089" t="s">
        <v>20990</v>
      </c>
      <c r="C7089" t="s">
        <v>20991</v>
      </c>
    </row>
    <row r="7090" spans="1:3" x14ac:dyDescent="0.35">
      <c r="A7090" t="s">
        <v>20992</v>
      </c>
      <c r="B7090" t="s">
        <v>20993</v>
      </c>
      <c r="C7090" t="s">
        <v>20994</v>
      </c>
    </row>
    <row r="7091" spans="1:3" x14ac:dyDescent="0.35">
      <c r="A7091" t="s">
        <v>20995</v>
      </c>
      <c r="B7091" t="s">
        <v>20996</v>
      </c>
      <c r="C7091" t="s">
        <v>20997</v>
      </c>
    </row>
    <row r="7092" spans="1:3" x14ac:dyDescent="0.35">
      <c r="A7092" t="s">
        <v>20998</v>
      </c>
      <c r="B7092" t="s">
        <v>20999</v>
      </c>
      <c r="C7092" t="s">
        <v>21000</v>
      </c>
    </row>
    <row r="7093" spans="1:3" x14ac:dyDescent="0.35">
      <c r="A7093" t="s">
        <v>21001</v>
      </c>
      <c r="B7093" t="s">
        <v>21002</v>
      </c>
      <c r="C7093" t="s">
        <v>21003</v>
      </c>
    </row>
    <row r="7094" spans="1:3" x14ac:dyDescent="0.35">
      <c r="A7094" t="s">
        <v>21004</v>
      </c>
      <c r="B7094" t="s">
        <v>21005</v>
      </c>
      <c r="C7094" t="s">
        <v>21006</v>
      </c>
    </row>
    <row r="7095" spans="1:3" x14ac:dyDescent="0.35">
      <c r="A7095" t="s">
        <v>21007</v>
      </c>
      <c r="B7095" t="s">
        <v>21008</v>
      </c>
      <c r="C7095" t="s">
        <v>21009</v>
      </c>
    </row>
    <row r="7096" spans="1:3" x14ac:dyDescent="0.35">
      <c r="A7096" t="s">
        <v>21010</v>
      </c>
      <c r="B7096" t="s">
        <v>21011</v>
      </c>
      <c r="C7096" t="s">
        <v>21012</v>
      </c>
    </row>
    <row r="7097" spans="1:3" x14ac:dyDescent="0.35">
      <c r="A7097" t="s">
        <v>21013</v>
      </c>
      <c r="B7097" t="s">
        <v>21014</v>
      </c>
      <c r="C7097" t="s">
        <v>21015</v>
      </c>
    </row>
    <row r="7098" spans="1:3" x14ac:dyDescent="0.35">
      <c r="A7098" t="s">
        <v>21016</v>
      </c>
      <c r="B7098" t="s">
        <v>21017</v>
      </c>
      <c r="C7098" t="s">
        <v>21018</v>
      </c>
    </row>
    <row r="7099" spans="1:3" x14ac:dyDescent="0.35">
      <c r="A7099" t="s">
        <v>21019</v>
      </c>
      <c r="B7099" t="s">
        <v>21020</v>
      </c>
      <c r="C7099" t="s">
        <v>21021</v>
      </c>
    </row>
    <row r="7100" spans="1:3" x14ac:dyDescent="0.35">
      <c r="A7100" t="s">
        <v>21022</v>
      </c>
      <c r="B7100" t="s">
        <v>21023</v>
      </c>
      <c r="C7100" t="s">
        <v>21024</v>
      </c>
    </row>
    <row r="7101" spans="1:3" x14ac:dyDescent="0.35">
      <c r="A7101" t="s">
        <v>21025</v>
      </c>
      <c r="B7101" t="s">
        <v>21026</v>
      </c>
      <c r="C7101" t="s">
        <v>21027</v>
      </c>
    </row>
    <row r="7102" spans="1:3" x14ac:dyDescent="0.35">
      <c r="A7102" t="s">
        <v>21028</v>
      </c>
      <c r="B7102" t="s">
        <v>21029</v>
      </c>
      <c r="C7102" t="s">
        <v>21030</v>
      </c>
    </row>
    <row r="7103" spans="1:3" x14ac:dyDescent="0.35">
      <c r="A7103" t="s">
        <v>21031</v>
      </c>
      <c r="B7103" t="s">
        <v>21032</v>
      </c>
      <c r="C7103" t="s">
        <v>21033</v>
      </c>
    </row>
    <row r="7104" spans="1:3" x14ac:dyDescent="0.35">
      <c r="A7104" t="s">
        <v>21034</v>
      </c>
      <c r="B7104" t="s">
        <v>21035</v>
      </c>
      <c r="C7104" t="s">
        <v>21036</v>
      </c>
    </row>
    <row r="7105" spans="1:3" x14ac:dyDescent="0.35">
      <c r="A7105" t="s">
        <v>21037</v>
      </c>
      <c r="B7105" t="s">
        <v>21038</v>
      </c>
      <c r="C7105" t="s">
        <v>21039</v>
      </c>
    </row>
    <row r="7106" spans="1:3" x14ac:dyDescent="0.35">
      <c r="A7106" t="s">
        <v>21040</v>
      </c>
      <c r="B7106" t="s">
        <v>21041</v>
      </c>
      <c r="C7106" t="s">
        <v>21042</v>
      </c>
    </row>
    <row r="7107" spans="1:3" x14ac:dyDescent="0.35">
      <c r="A7107" t="s">
        <v>21043</v>
      </c>
      <c r="B7107" t="s">
        <v>21044</v>
      </c>
      <c r="C7107" t="s">
        <v>21045</v>
      </c>
    </row>
    <row r="7108" spans="1:3" x14ac:dyDescent="0.35">
      <c r="A7108" t="s">
        <v>21046</v>
      </c>
      <c r="B7108" t="s">
        <v>21047</v>
      </c>
      <c r="C7108" t="s">
        <v>21048</v>
      </c>
    </row>
    <row r="7109" spans="1:3" x14ac:dyDescent="0.35">
      <c r="A7109" t="s">
        <v>21049</v>
      </c>
      <c r="B7109" t="s">
        <v>21050</v>
      </c>
      <c r="C7109" t="s">
        <v>21051</v>
      </c>
    </row>
    <row r="7110" spans="1:3" x14ac:dyDescent="0.35">
      <c r="A7110" t="s">
        <v>21052</v>
      </c>
      <c r="B7110" t="s">
        <v>21053</v>
      </c>
      <c r="C7110" t="s">
        <v>21054</v>
      </c>
    </row>
    <row r="7111" spans="1:3" x14ac:dyDescent="0.35">
      <c r="A7111" t="s">
        <v>21055</v>
      </c>
      <c r="B7111" t="s">
        <v>21056</v>
      </c>
      <c r="C7111" t="s">
        <v>21057</v>
      </c>
    </row>
    <row r="7112" spans="1:3" x14ac:dyDescent="0.35">
      <c r="A7112" t="s">
        <v>21058</v>
      </c>
      <c r="B7112" t="s">
        <v>21059</v>
      </c>
      <c r="C7112" t="s">
        <v>21060</v>
      </c>
    </row>
    <row r="7113" spans="1:3" x14ac:dyDescent="0.35">
      <c r="A7113" t="s">
        <v>21061</v>
      </c>
      <c r="B7113" t="s">
        <v>21062</v>
      </c>
      <c r="C7113" t="s">
        <v>21063</v>
      </c>
    </row>
    <row r="7114" spans="1:3" x14ac:dyDescent="0.35">
      <c r="A7114" t="s">
        <v>21064</v>
      </c>
      <c r="B7114" t="s">
        <v>21065</v>
      </c>
      <c r="C7114" t="s">
        <v>21066</v>
      </c>
    </row>
    <row r="7115" spans="1:3" x14ac:dyDescent="0.35">
      <c r="A7115" t="s">
        <v>21067</v>
      </c>
      <c r="B7115" t="s">
        <v>21068</v>
      </c>
      <c r="C7115" t="s">
        <v>21069</v>
      </c>
    </row>
    <row r="7116" spans="1:3" x14ac:dyDescent="0.35">
      <c r="A7116" t="s">
        <v>21070</v>
      </c>
      <c r="B7116" t="s">
        <v>21071</v>
      </c>
      <c r="C7116" t="s">
        <v>21072</v>
      </c>
    </row>
    <row r="7117" spans="1:3" x14ac:dyDescent="0.35">
      <c r="A7117" t="s">
        <v>21073</v>
      </c>
      <c r="B7117" t="s">
        <v>21074</v>
      </c>
      <c r="C7117" t="s">
        <v>21075</v>
      </c>
    </row>
    <row r="7118" spans="1:3" x14ac:dyDescent="0.35">
      <c r="A7118" t="s">
        <v>21076</v>
      </c>
      <c r="B7118" t="s">
        <v>21077</v>
      </c>
      <c r="C7118" t="s">
        <v>21078</v>
      </c>
    </row>
    <row r="7119" spans="1:3" x14ac:dyDescent="0.35">
      <c r="A7119" t="s">
        <v>21079</v>
      </c>
      <c r="B7119" t="s">
        <v>21080</v>
      </c>
      <c r="C7119" t="s">
        <v>21081</v>
      </c>
    </row>
    <row r="7120" spans="1:3" x14ac:dyDescent="0.35">
      <c r="A7120" t="s">
        <v>21082</v>
      </c>
      <c r="B7120" t="s">
        <v>21083</v>
      </c>
      <c r="C7120" t="s">
        <v>21084</v>
      </c>
    </row>
    <row r="7121" spans="1:3" x14ac:dyDescent="0.35">
      <c r="A7121" t="s">
        <v>21085</v>
      </c>
      <c r="B7121" t="s">
        <v>21086</v>
      </c>
      <c r="C7121" t="s">
        <v>21087</v>
      </c>
    </row>
    <row r="7122" spans="1:3" x14ac:dyDescent="0.35">
      <c r="A7122" t="s">
        <v>21088</v>
      </c>
      <c r="B7122" t="s">
        <v>21089</v>
      </c>
      <c r="C7122" t="s">
        <v>21090</v>
      </c>
    </row>
    <row r="7123" spans="1:3" x14ac:dyDescent="0.35">
      <c r="A7123" t="s">
        <v>136</v>
      </c>
      <c r="B7123" t="s">
        <v>21091</v>
      </c>
      <c r="C7123" t="s">
        <v>21092</v>
      </c>
    </row>
    <row r="7124" spans="1:3" x14ac:dyDescent="0.35">
      <c r="A7124" t="s">
        <v>21093</v>
      </c>
      <c r="B7124" t="s">
        <v>21094</v>
      </c>
      <c r="C7124" t="s">
        <v>21095</v>
      </c>
    </row>
    <row r="7125" spans="1:3" x14ac:dyDescent="0.35">
      <c r="A7125" t="s">
        <v>21096</v>
      </c>
      <c r="B7125" t="s">
        <v>21097</v>
      </c>
      <c r="C7125" t="s">
        <v>21098</v>
      </c>
    </row>
    <row r="7126" spans="1:3" x14ac:dyDescent="0.35">
      <c r="A7126" t="s">
        <v>21099</v>
      </c>
      <c r="B7126" t="s">
        <v>21100</v>
      </c>
      <c r="C7126" t="s">
        <v>21101</v>
      </c>
    </row>
    <row r="7127" spans="1:3" x14ac:dyDescent="0.35">
      <c r="A7127" t="s">
        <v>21102</v>
      </c>
      <c r="B7127" t="s">
        <v>21103</v>
      </c>
      <c r="C7127" t="s">
        <v>21104</v>
      </c>
    </row>
    <row r="7128" spans="1:3" x14ac:dyDescent="0.35">
      <c r="A7128" t="s">
        <v>21105</v>
      </c>
      <c r="B7128" t="s">
        <v>21106</v>
      </c>
      <c r="C7128" t="s">
        <v>21107</v>
      </c>
    </row>
    <row r="7129" spans="1:3" x14ac:dyDescent="0.35">
      <c r="A7129" t="s">
        <v>21108</v>
      </c>
      <c r="B7129" t="s">
        <v>21109</v>
      </c>
      <c r="C7129" t="s">
        <v>21110</v>
      </c>
    </row>
    <row r="7130" spans="1:3" x14ac:dyDescent="0.35">
      <c r="A7130" t="s">
        <v>21111</v>
      </c>
      <c r="B7130" t="s">
        <v>21112</v>
      </c>
      <c r="C7130" t="s">
        <v>21113</v>
      </c>
    </row>
    <row r="7131" spans="1:3" x14ac:dyDescent="0.35">
      <c r="A7131" t="s">
        <v>21114</v>
      </c>
      <c r="B7131" t="s">
        <v>21115</v>
      </c>
      <c r="C7131" t="s">
        <v>21116</v>
      </c>
    </row>
    <row r="7132" spans="1:3" x14ac:dyDescent="0.35">
      <c r="A7132" t="s">
        <v>21114</v>
      </c>
      <c r="B7132" t="s">
        <v>21117</v>
      </c>
      <c r="C7132" t="s">
        <v>21116</v>
      </c>
    </row>
    <row r="7133" spans="1:3" x14ac:dyDescent="0.35">
      <c r="A7133" t="s">
        <v>21118</v>
      </c>
      <c r="B7133" t="s">
        <v>21119</v>
      </c>
      <c r="C7133" t="s">
        <v>21120</v>
      </c>
    </row>
    <row r="7134" spans="1:3" x14ac:dyDescent="0.35">
      <c r="A7134" t="s">
        <v>21121</v>
      </c>
      <c r="B7134" t="s">
        <v>21122</v>
      </c>
      <c r="C7134" t="s">
        <v>21123</v>
      </c>
    </row>
    <row r="7135" spans="1:3" x14ac:dyDescent="0.35">
      <c r="A7135" t="s">
        <v>21121</v>
      </c>
      <c r="B7135" t="s">
        <v>21124</v>
      </c>
      <c r="C7135" t="s">
        <v>21123</v>
      </c>
    </row>
    <row r="7136" spans="1:3" x14ac:dyDescent="0.35">
      <c r="A7136" t="s">
        <v>21125</v>
      </c>
      <c r="B7136" t="s">
        <v>21126</v>
      </c>
      <c r="C7136" t="s">
        <v>21127</v>
      </c>
    </row>
    <row r="7137" spans="1:3" x14ac:dyDescent="0.35">
      <c r="A7137" t="s">
        <v>21128</v>
      </c>
      <c r="B7137" t="s">
        <v>21129</v>
      </c>
      <c r="C7137" t="s">
        <v>21130</v>
      </c>
    </row>
    <row r="7138" spans="1:3" x14ac:dyDescent="0.35">
      <c r="A7138" t="s">
        <v>21131</v>
      </c>
      <c r="B7138" t="s">
        <v>21132</v>
      </c>
      <c r="C7138" t="s">
        <v>21133</v>
      </c>
    </row>
    <row r="7139" spans="1:3" x14ac:dyDescent="0.35">
      <c r="A7139" t="s">
        <v>21134</v>
      </c>
      <c r="B7139" t="s">
        <v>21135</v>
      </c>
      <c r="C7139" t="s">
        <v>21136</v>
      </c>
    </row>
    <row r="7140" spans="1:3" x14ac:dyDescent="0.35">
      <c r="A7140" t="s">
        <v>21137</v>
      </c>
      <c r="B7140" t="s">
        <v>21138</v>
      </c>
      <c r="C7140" t="s">
        <v>21139</v>
      </c>
    </row>
    <row r="7141" spans="1:3" x14ac:dyDescent="0.35">
      <c r="A7141" t="s">
        <v>21140</v>
      </c>
      <c r="B7141" t="s">
        <v>21141</v>
      </c>
      <c r="C7141" t="s">
        <v>21142</v>
      </c>
    </row>
    <row r="7142" spans="1:3" x14ac:dyDescent="0.35">
      <c r="A7142" t="s">
        <v>21143</v>
      </c>
      <c r="B7142" t="s">
        <v>21144</v>
      </c>
      <c r="C7142" t="s">
        <v>21145</v>
      </c>
    </row>
    <row r="7143" spans="1:3" x14ac:dyDescent="0.35">
      <c r="A7143" t="s">
        <v>21146</v>
      </c>
      <c r="B7143" t="s">
        <v>21147</v>
      </c>
      <c r="C7143" t="s">
        <v>21148</v>
      </c>
    </row>
    <row r="7144" spans="1:3" x14ac:dyDescent="0.35">
      <c r="A7144" t="s">
        <v>21149</v>
      </c>
      <c r="B7144" t="s">
        <v>21150</v>
      </c>
      <c r="C7144" t="s">
        <v>21151</v>
      </c>
    </row>
    <row r="7145" spans="1:3" x14ac:dyDescent="0.35">
      <c r="A7145" t="s">
        <v>21152</v>
      </c>
      <c r="B7145" t="s">
        <v>21153</v>
      </c>
      <c r="C7145" t="s">
        <v>21154</v>
      </c>
    </row>
    <row r="7146" spans="1:3" x14ac:dyDescent="0.35">
      <c r="A7146" t="s">
        <v>21155</v>
      </c>
      <c r="B7146" t="s">
        <v>21156</v>
      </c>
      <c r="C7146" t="s">
        <v>21157</v>
      </c>
    </row>
    <row r="7147" spans="1:3" x14ac:dyDescent="0.35">
      <c r="A7147" t="s">
        <v>21158</v>
      </c>
      <c r="B7147" t="s">
        <v>21159</v>
      </c>
      <c r="C7147" t="s">
        <v>21160</v>
      </c>
    </row>
    <row r="7148" spans="1:3" x14ac:dyDescent="0.35">
      <c r="A7148" t="s">
        <v>21161</v>
      </c>
      <c r="B7148" t="s">
        <v>21162</v>
      </c>
      <c r="C7148" t="s">
        <v>21163</v>
      </c>
    </row>
    <row r="7149" spans="1:3" x14ac:dyDescent="0.35">
      <c r="A7149" t="s">
        <v>21164</v>
      </c>
      <c r="B7149" t="s">
        <v>21165</v>
      </c>
      <c r="C7149" t="s">
        <v>21166</v>
      </c>
    </row>
    <row r="7150" spans="1:3" x14ac:dyDescent="0.35">
      <c r="A7150" t="s">
        <v>21167</v>
      </c>
      <c r="B7150" t="s">
        <v>21168</v>
      </c>
      <c r="C7150" t="s">
        <v>21169</v>
      </c>
    </row>
    <row r="7151" spans="1:3" x14ac:dyDescent="0.35">
      <c r="A7151" t="s">
        <v>21170</v>
      </c>
      <c r="B7151" t="s">
        <v>21171</v>
      </c>
      <c r="C7151" t="s">
        <v>21172</v>
      </c>
    </row>
    <row r="7152" spans="1:3" x14ac:dyDescent="0.35">
      <c r="A7152" t="s">
        <v>21173</v>
      </c>
      <c r="B7152" t="s">
        <v>21174</v>
      </c>
      <c r="C7152" t="s">
        <v>21175</v>
      </c>
    </row>
    <row r="7153" spans="1:3" x14ac:dyDescent="0.35">
      <c r="A7153" t="s">
        <v>21176</v>
      </c>
      <c r="B7153" t="s">
        <v>21177</v>
      </c>
      <c r="C7153" t="s">
        <v>21178</v>
      </c>
    </row>
    <row r="7154" spans="1:3" x14ac:dyDescent="0.35">
      <c r="A7154" t="s">
        <v>21179</v>
      </c>
      <c r="B7154" t="s">
        <v>21180</v>
      </c>
      <c r="C7154" t="s">
        <v>21181</v>
      </c>
    </row>
    <row r="7155" spans="1:3" x14ac:dyDescent="0.35">
      <c r="A7155" t="s">
        <v>21182</v>
      </c>
      <c r="B7155" t="s">
        <v>21183</v>
      </c>
      <c r="C7155" t="s">
        <v>21184</v>
      </c>
    </row>
    <row r="7156" spans="1:3" x14ac:dyDescent="0.35">
      <c r="A7156" t="s">
        <v>21185</v>
      </c>
      <c r="B7156" t="s">
        <v>21186</v>
      </c>
      <c r="C7156" t="s">
        <v>21187</v>
      </c>
    </row>
    <row r="7157" spans="1:3" x14ac:dyDescent="0.35">
      <c r="A7157" t="s">
        <v>21188</v>
      </c>
      <c r="B7157" t="s">
        <v>21189</v>
      </c>
      <c r="C7157" t="s">
        <v>21190</v>
      </c>
    </row>
    <row r="7158" spans="1:3" x14ac:dyDescent="0.35">
      <c r="A7158" t="s">
        <v>21191</v>
      </c>
      <c r="B7158" t="s">
        <v>21192</v>
      </c>
      <c r="C7158" t="s">
        <v>21193</v>
      </c>
    </row>
    <row r="7159" spans="1:3" x14ac:dyDescent="0.35">
      <c r="A7159" t="s">
        <v>21194</v>
      </c>
      <c r="B7159" t="s">
        <v>21195</v>
      </c>
      <c r="C7159" t="s">
        <v>21196</v>
      </c>
    </row>
    <row r="7160" spans="1:3" x14ac:dyDescent="0.35">
      <c r="A7160" t="s">
        <v>21197</v>
      </c>
      <c r="B7160" t="s">
        <v>21198</v>
      </c>
      <c r="C7160" t="s">
        <v>21199</v>
      </c>
    </row>
    <row r="7161" spans="1:3" x14ac:dyDescent="0.35">
      <c r="A7161" t="s">
        <v>21200</v>
      </c>
      <c r="B7161" t="s">
        <v>21201</v>
      </c>
      <c r="C7161" t="s">
        <v>21202</v>
      </c>
    </row>
    <row r="7162" spans="1:3" x14ac:dyDescent="0.35">
      <c r="A7162" t="s">
        <v>21203</v>
      </c>
      <c r="B7162" t="s">
        <v>21204</v>
      </c>
      <c r="C7162" t="s">
        <v>21205</v>
      </c>
    </row>
    <row r="7163" spans="1:3" x14ac:dyDescent="0.35">
      <c r="A7163" t="s">
        <v>21206</v>
      </c>
      <c r="B7163" t="s">
        <v>21207</v>
      </c>
      <c r="C7163" t="s">
        <v>21208</v>
      </c>
    </row>
    <row r="7164" spans="1:3" x14ac:dyDescent="0.35">
      <c r="A7164" t="s">
        <v>21209</v>
      </c>
      <c r="B7164" t="s">
        <v>21210</v>
      </c>
      <c r="C7164" t="s">
        <v>21211</v>
      </c>
    </row>
    <row r="7165" spans="1:3" x14ac:dyDescent="0.35">
      <c r="A7165" t="s">
        <v>21212</v>
      </c>
      <c r="B7165" t="s">
        <v>21213</v>
      </c>
      <c r="C7165" t="s">
        <v>21214</v>
      </c>
    </row>
    <row r="7166" spans="1:3" x14ac:dyDescent="0.35">
      <c r="A7166" t="s">
        <v>21215</v>
      </c>
      <c r="B7166" t="s">
        <v>21216</v>
      </c>
      <c r="C7166" t="s">
        <v>21217</v>
      </c>
    </row>
    <row r="7167" spans="1:3" x14ac:dyDescent="0.35">
      <c r="A7167" t="s">
        <v>21218</v>
      </c>
      <c r="B7167" t="s">
        <v>21219</v>
      </c>
      <c r="C7167" t="s">
        <v>21220</v>
      </c>
    </row>
    <row r="7168" spans="1:3" x14ac:dyDescent="0.35">
      <c r="A7168" t="s">
        <v>21221</v>
      </c>
      <c r="B7168" t="s">
        <v>21222</v>
      </c>
      <c r="C7168" t="s">
        <v>21223</v>
      </c>
    </row>
    <row r="7169" spans="1:3" x14ac:dyDescent="0.35">
      <c r="A7169" t="s">
        <v>21224</v>
      </c>
      <c r="B7169" t="s">
        <v>21225</v>
      </c>
      <c r="C7169" t="s">
        <v>21226</v>
      </c>
    </row>
    <row r="7170" spans="1:3" x14ac:dyDescent="0.35">
      <c r="A7170" t="s">
        <v>21227</v>
      </c>
      <c r="B7170" t="s">
        <v>21228</v>
      </c>
      <c r="C7170" t="s">
        <v>21229</v>
      </c>
    </row>
    <row r="7171" spans="1:3" x14ac:dyDescent="0.35">
      <c r="A7171" t="s">
        <v>21230</v>
      </c>
      <c r="B7171" t="s">
        <v>21231</v>
      </c>
      <c r="C7171" t="s">
        <v>21232</v>
      </c>
    </row>
    <row r="7172" spans="1:3" x14ac:dyDescent="0.35">
      <c r="A7172" t="s">
        <v>21233</v>
      </c>
      <c r="B7172" t="s">
        <v>21234</v>
      </c>
      <c r="C7172" t="s">
        <v>21235</v>
      </c>
    </row>
    <row r="7173" spans="1:3" x14ac:dyDescent="0.35">
      <c r="A7173" t="s">
        <v>21236</v>
      </c>
      <c r="B7173" t="s">
        <v>21237</v>
      </c>
      <c r="C7173" t="s">
        <v>21238</v>
      </c>
    </row>
    <row r="7174" spans="1:3" x14ac:dyDescent="0.35">
      <c r="A7174" t="s">
        <v>21239</v>
      </c>
      <c r="B7174" t="s">
        <v>21240</v>
      </c>
      <c r="C7174" t="s">
        <v>21241</v>
      </c>
    </row>
    <row r="7175" spans="1:3" x14ac:dyDescent="0.35">
      <c r="A7175" t="s">
        <v>21242</v>
      </c>
      <c r="B7175" t="s">
        <v>21243</v>
      </c>
      <c r="C7175" t="s">
        <v>21244</v>
      </c>
    </row>
    <row r="7176" spans="1:3" x14ac:dyDescent="0.35">
      <c r="A7176" t="s">
        <v>21245</v>
      </c>
      <c r="B7176" t="s">
        <v>21246</v>
      </c>
      <c r="C7176" t="s">
        <v>21247</v>
      </c>
    </row>
    <row r="7177" spans="1:3" x14ac:dyDescent="0.35">
      <c r="A7177" t="s">
        <v>21248</v>
      </c>
      <c r="B7177" t="s">
        <v>21249</v>
      </c>
      <c r="C7177" t="s">
        <v>21250</v>
      </c>
    </row>
    <row r="7178" spans="1:3" x14ac:dyDescent="0.35">
      <c r="A7178" t="s">
        <v>21251</v>
      </c>
      <c r="B7178" t="s">
        <v>21252</v>
      </c>
      <c r="C7178" t="s">
        <v>21253</v>
      </c>
    </row>
    <row r="7179" spans="1:3" x14ac:dyDescent="0.35">
      <c r="A7179" t="s">
        <v>21254</v>
      </c>
      <c r="B7179" t="s">
        <v>21255</v>
      </c>
      <c r="C7179" t="s">
        <v>21256</v>
      </c>
    </row>
    <row r="7180" spans="1:3" x14ac:dyDescent="0.35">
      <c r="A7180" t="s">
        <v>21257</v>
      </c>
      <c r="B7180" t="s">
        <v>21258</v>
      </c>
      <c r="C7180" t="s">
        <v>21259</v>
      </c>
    </row>
    <row r="7181" spans="1:3" x14ac:dyDescent="0.35">
      <c r="A7181" t="s">
        <v>21260</v>
      </c>
      <c r="B7181" t="s">
        <v>21261</v>
      </c>
      <c r="C7181" t="s">
        <v>21262</v>
      </c>
    </row>
    <row r="7182" spans="1:3" x14ac:dyDescent="0.35">
      <c r="A7182" t="s">
        <v>21263</v>
      </c>
      <c r="B7182" t="s">
        <v>21264</v>
      </c>
      <c r="C7182" t="s">
        <v>21265</v>
      </c>
    </row>
    <row r="7183" spans="1:3" x14ac:dyDescent="0.35">
      <c r="A7183" t="s">
        <v>21266</v>
      </c>
      <c r="B7183" t="s">
        <v>21267</v>
      </c>
      <c r="C7183" t="s">
        <v>21268</v>
      </c>
    </row>
    <row r="7184" spans="1:3" x14ac:dyDescent="0.35">
      <c r="A7184" t="s">
        <v>21269</v>
      </c>
      <c r="B7184" t="s">
        <v>21270</v>
      </c>
      <c r="C7184" t="s">
        <v>21271</v>
      </c>
    </row>
    <row r="7185" spans="1:3" x14ac:dyDescent="0.35">
      <c r="A7185" t="s">
        <v>21272</v>
      </c>
      <c r="B7185" t="s">
        <v>2962</v>
      </c>
      <c r="C7185" t="s">
        <v>2963</v>
      </c>
    </row>
    <row r="7186" spans="1:3" x14ac:dyDescent="0.35">
      <c r="A7186" t="s">
        <v>21273</v>
      </c>
      <c r="B7186" t="s">
        <v>21274</v>
      </c>
      <c r="C7186" t="s">
        <v>21275</v>
      </c>
    </row>
    <row r="7187" spans="1:3" x14ac:dyDescent="0.35">
      <c r="A7187" t="s">
        <v>21276</v>
      </c>
      <c r="B7187" t="s">
        <v>21277</v>
      </c>
      <c r="C7187" t="s">
        <v>21278</v>
      </c>
    </row>
    <row r="7188" spans="1:3" x14ac:dyDescent="0.35">
      <c r="A7188" t="s">
        <v>21279</v>
      </c>
      <c r="B7188" t="s">
        <v>21280</v>
      </c>
      <c r="C7188" t="s">
        <v>21281</v>
      </c>
    </row>
    <row r="7189" spans="1:3" x14ac:dyDescent="0.35">
      <c r="A7189" t="s">
        <v>21282</v>
      </c>
      <c r="B7189" t="s">
        <v>21283</v>
      </c>
      <c r="C7189" t="s">
        <v>21284</v>
      </c>
    </row>
    <row r="7190" spans="1:3" x14ac:dyDescent="0.35">
      <c r="A7190" t="s">
        <v>21285</v>
      </c>
      <c r="B7190" t="s">
        <v>21286</v>
      </c>
      <c r="C7190" t="s">
        <v>21287</v>
      </c>
    </row>
    <row r="7191" spans="1:3" x14ac:dyDescent="0.35">
      <c r="A7191" t="s">
        <v>21288</v>
      </c>
      <c r="B7191" t="s">
        <v>21289</v>
      </c>
      <c r="C7191" t="s">
        <v>21290</v>
      </c>
    </row>
    <row r="7192" spans="1:3" x14ac:dyDescent="0.35">
      <c r="A7192" t="s">
        <v>21291</v>
      </c>
      <c r="B7192" t="s">
        <v>21292</v>
      </c>
      <c r="C7192" t="s">
        <v>21293</v>
      </c>
    </row>
    <row r="7193" spans="1:3" x14ac:dyDescent="0.35">
      <c r="A7193" t="s">
        <v>21294</v>
      </c>
      <c r="B7193" t="s">
        <v>21295</v>
      </c>
      <c r="C7193" t="s">
        <v>21296</v>
      </c>
    </row>
    <row r="7194" spans="1:3" x14ac:dyDescent="0.35">
      <c r="A7194" t="s">
        <v>21297</v>
      </c>
      <c r="B7194" t="s">
        <v>21298</v>
      </c>
      <c r="C7194" t="s">
        <v>21299</v>
      </c>
    </row>
    <row r="7195" spans="1:3" x14ac:dyDescent="0.35">
      <c r="A7195" t="s">
        <v>21300</v>
      </c>
      <c r="B7195" t="s">
        <v>21301</v>
      </c>
      <c r="C7195" t="s">
        <v>21302</v>
      </c>
    </row>
    <row r="7196" spans="1:3" x14ac:dyDescent="0.35">
      <c r="A7196" t="s">
        <v>21303</v>
      </c>
      <c r="B7196" t="s">
        <v>21304</v>
      </c>
      <c r="C7196" t="s">
        <v>21305</v>
      </c>
    </row>
    <row r="7197" spans="1:3" x14ac:dyDescent="0.35">
      <c r="A7197" t="s">
        <v>21306</v>
      </c>
      <c r="B7197" t="s">
        <v>21307</v>
      </c>
      <c r="C7197" t="s">
        <v>21308</v>
      </c>
    </row>
    <row r="7198" spans="1:3" x14ac:dyDescent="0.35">
      <c r="A7198" t="s">
        <v>21309</v>
      </c>
      <c r="B7198" t="s">
        <v>21310</v>
      </c>
      <c r="C7198" t="s">
        <v>21311</v>
      </c>
    </row>
    <row r="7199" spans="1:3" x14ac:dyDescent="0.35">
      <c r="A7199" t="s">
        <v>21312</v>
      </c>
      <c r="B7199" t="s">
        <v>21313</v>
      </c>
      <c r="C7199" t="s">
        <v>21314</v>
      </c>
    </row>
    <row r="7200" spans="1:3" x14ac:dyDescent="0.35">
      <c r="A7200" t="s">
        <v>21315</v>
      </c>
      <c r="B7200" t="s">
        <v>21316</v>
      </c>
      <c r="C7200" t="s">
        <v>21317</v>
      </c>
    </row>
    <row r="7201" spans="1:3" x14ac:dyDescent="0.35">
      <c r="A7201" t="s">
        <v>21318</v>
      </c>
      <c r="B7201" t="s">
        <v>21319</v>
      </c>
      <c r="C7201" t="s">
        <v>21320</v>
      </c>
    </row>
    <row r="7202" spans="1:3" x14ac:dyDescent="0.35">
      <c r="A7202" t="s">
        <v>21321</v>
      </c>
      <c r="B7202" t="s">
        <v>21322</v>
      </c>
      <c r="C7202" t="s">
        <v>21323</v>
      </c>
    </row>
    <row r="7203" spans="1:3" x14ac:dyDescent="0.35">
      <c r="A7203" t="s">
        <v>21324</v>
      </c>
      <c r="B7203" t="s">
        <v>21325</v>
      </c>
      <c r="C7203" t="s">
        <v>21326</v>
      </c>
    </row>
    <row r="7204" spans="1:3" x14ac:dyDescent="0.35">
      <c r="A7204" t="s">
        <v>21327</v>
      </c>
      <c r="B7204" t="s">
        <v>21328</v>
      </c>
      <c r="C7204" t="s">
        <v>21329</v>
      </c>
    </row>
    <row r="7205" spans="1:3" x14ac:dyDescent="0.35">
      <c r="A7205" t="s">
        <v>21330</v>
      </c>
      <c r="B7205" t="s">
        <v>21331</v>
      </c>
      <c r="C7205" t="s">
        <v>21332</v>
      </c>
    </row>
    <row r="7206" spans="1:3" x14ac:dyDescent="0.35">
      <c r="A7206" t="s">
        <v>21333</v>
      </c>
      <c r="B7206" t="s">
        <v>21334</v>
      </c>
      <c r="C7206" t="s">
        <v>21335</v>
      </c>
    </row>
    <row r="7207" spans="1:3" x14ac:dyDescent="0.35">
      <c r="A7207" t="s">
        <v>21336</v>
      </c>
      <c r="B7207" t="s">
        <v>21337</v>
      </c>
      <c r="C7207" t="s">
        <v>21338</v>
      </c>
    </row>
    <row r="7208" spans="1:3" x14ac:dyDescent="0.35">
      <c r="A7208" t="s">
        <v>21339</v>
      </c>
      <c r="B7208" t="s">
        <v>21340</v>
      </c>
      <c r="C7208" t="s">
        <v>21341</v>
      </c>
    </row>
    <row r="7209" spans="1:3" x14ac:dyDescent="0.35">
      <c r="A7209" t="s">
        <v>21342</v>
      </c>
      <c r="B7209" t="s">
        <v>21343</v>
      </c>
      <c r="C7209" t="s">
        <v>21344</v>
      </c>
    </row>
    <row r="7210" spans="1:3" x14ac:dyDescent="0.35">
      <c r="A7210" t="s">
        <v>21345</v>
      </c>
      <c r="B7210" t="s">
        <v>21346</v>
      </c>
      <c r="C7210" t="s">
        <v>21347</v>
      </c>
    </row>
    <row r="7211" spans="1:3" x14ac:dyDescent="0.35">
      <c r="A7211" t="s">
        <v>21348</v>
      </c>
      <c r="B7211" t="s">
        <v>21349</v>
      </c>
      <c r="C7211" t="s">
        <v>21350</v>
      </c>
    </row>
    <row r="7212" spans="1:3" x14ac:dyDescent="0.35">
      <c r="A7212" t="s">
        <v>21351</v>
      </c>
      <c r="B7212" t="s">
        <v>21352</v>
      </c>
      <c r="C7212" t="s">
        <v>21353</v>
      </c>
    </row>
    <row r="7213" spans="1:3" x14ac:dyDescent="0.35">
      <c r="A7213" t="s">
        <v>21354</v>
      </c>
      <c r="B7213" t="s">
        <v>9351</v>
      </c>
      <c r="C7213" t="s">
        <v>21355</v>
      </c>
    </row>
    <row r="7214" spans="1:3" x14ac:dyDescent="0.35">
      <c r="A7214" t="s">
        <v>21354</v>
      </c>
      <c r="B7214" t="s">
        <v>21356</v>
      </c>
      <c r="C7214" t="s">
        <v>21355</v>
      </c>
    </row>
    <row r="7215" spans="1:3" x14ac:dyDescent="0.35">
      <c r="A7215" t="s">
        <v>21357</v>
      </c>
      <c r="B7215" t="s">
        <v>21358</v>
      </c>
      <c r="C7215" t="s">
        <v>21359</v>
      </c>
    </row>
    <row r="7216" spans="1:3" x14ac:dyDescent="0.35">
      <c r="A7216" t="s">
        <v>21360</v>
      </c>
      <c r="B7216" t="s">
        <v>21361</v>
      </c>
      <c r="C7216" t="s">
        <v>21362</v>
      </c>
    </row>
    <row r="7217" spans="1:3" x14ac:dyDescent="0.35">
      <c r="A7217" t="s">
        <v>21363</v>
      </c>
      <c r="B7217" t="s">
        <v>21364</v>
      </c>
      <c r="C7217" t="s">
        <v>21365</v>
      </c>
    </row>
    <row r="7218" spans="1:3" x14ac:dyDescent="0.35">
      <c r="A7218" t="s">
        <v>21366</v>
      </c>
      <c r="B7218" t="s">
        <v>21367</v>
      </c>
      <c r="C7218" t="s">
        <v>21368</v>
      </c>
    </row>
    <row r="7219" spans="1:3" x14ac:dyDescent="0.35">
      <c r="A7219" t="s">
        <v>21369</v>
      </c>
      <c r="B7219" t="s">
        <v>21370</v>
      </c>
      <c r="C7219" t="s">
        <v>21371</v>
      </c>
    </row>
    <row r="7220" spans="1:3" x14ac:dyDescent="0.35">
      <c r="A7220" t="s">
        <v>21372</v>
      </c>
      <c r="B7220" t="s">
        <v>21373</v>
      </c>
      <c r="C7220" t="s">
        <v>21374</v>
      </c>
    </row>
    <row r="7221" spans="1:3" x14ac:dyDescent="0.35">
      <c r="A7221" t="s">
        <v>21375</v>
      </c>
      <c r="B7221" t="s">
        <v>21376</v>
      </c>
      <c r="C7221" t="s">
        <v>21377</v>
      </c>
    </row>
    <row r="7222" spans="1:3" x14ac:dyDescent="0.35">
      <c r="A7222" t="s">
        <v>21378</v>
      </c>
      <c r="B7222" t="s">
        <v>21379</v>
      </c>
      <c r="C7222" t="s">
        <v>21380</v>
      </c>
    </row>
    <row r="7223" spans="1:3" x14ac:dyDescent="0.35">
      <c r="A7223" t="s">
        <v>21381</v>
      </c>
      <c r="B7223" t="s">
        <v>21382</v>
      </c>
      <c r="C7223" t="s">
        <v>21383</v>
      </c>
    </row>
    <row r="7224" spans="1:3" x14ac:dyDescent="0.35">
      <c r="A7224" t="s">
        <v>21384</v>
      </c>
      <c r="B7224" t="s">
        <v>21385</v>
      </c>
      <c r="C7224" t="s">
        <v>21386</v>
      </c>
    </row>
    <row r="7225" spans="1:3" x14ac:dyDescent="0.35">
      <c r="A7225" t="s">
        <v>21387</v>
      </c>
      <c r="B7225" t="s">
        <v>21388</v>
      </c>
      <c r="C7225" t="s">
        <v>21389</v>
      </c>
    </row>
    <row r="7226" spans="1:3" x14ac:dyDescent="0.35">
      <c r="A7226" t="s">
        <v>21390</v>
      </c>
      <c r="B7226" t="s">
        <v>21391</v>
      </c>
      <c r="C7226" t="s">
        <v>21392</v>
      </c>
    </row>
    <row r="7227" spans="1:3" x14ac:dyDescent="0.35">
      <c r="A7227" t="s">
        <v>21393</v>
      </c>
      <c r="B7227" t="s">
        <v>21394</v>
      </c>
      <c r="C7227" t="s">
        <v>21395</v>
      </c>
    </row>
    <row r="7228" spans="1:3" x14ac:dyDescent="0.35">
      <c r="A7228" t="s">
        <v>21396</v>
      </c>
      <c r="B7228" t="s">
        <v>21397</v>
      </c>
      <c r="C7228" t="s">
        <v>21398</v>
      </c>
    </row>
    <row r="7229" spans="1:3" x14ac:dyDescent="0.35">
      <c r="A7229" t="s">
        <v>21399</v>
      </c>
      <c r="B7229" t="s">
        <v>21400</v>
      </c>
      <c r="C7229" t="s">
        <v>21401</v>
      </c>
    </row>
    <row r="7230" spans="1:3" x14ac:dyDescent="0.35">
      <c r="A7230" t="s">
        <v>21402</v>
      </c>
      <c r="B7230" t="s">
        <v>21403</v>
      </c>
      <c r="C7230" t="s">
        <v>21404</v>
      </c>
    </row>
    <row r="7231" spans="1:3" x14ac:dyDescent="0.35">
      <c r="A7231" t="s">
        <v>21405</v>
      </c>
      <c r="B7231" t="s">
        <v>21406</v>
      </c>
      <c r="C7231" t="s">
        <v>21407</v>
      </c>
    </row>
    <row r="7232" spans="1:3" x14ac:dyDescent="0.35">
      <c r="A7232" t="s">
        <v>21408</v>
      </c>
      <c r="B7232" t="s">
        <v>21409</v>
      </c>
      <c r="C7232" t="s">
        <v>21410</v>
      </c>
    </row>
    <row r="7233" spans="1:3" x14ac:dyDescent="0.35">
      <c r="A7233" t="s">
        <v>21411</v>
      </c>
      <c r="B7233" t="s">
        <v>21412</v>
      </c>
      <c r="C7233" t="s">
        <v>21413</v>
      </c>
    </row>
    <row r="7234" spans="1:3" x14ac:dyDescent="0.35">
      <c r="A7234" t="s">
        <v>21414</v>
      </c>
      <c r="B7234" t="s">
        <v>21415</v>
      </c>
      <c r="C7234" t="s">
        <v>21416</v>
      </c>
    </row>
    <row r="7235" spans="1:3" x14ac:dyDescent="0.35">
      <c r="A7235" t="s">
        <v>21417</v>
      </c>
      <c r="B7235" t="s">
        <v>21418</v>
      </c>
      <c r="C7235" t="s">
        <v>21419</v>
      </c>
    </row>
    <row r="7236" spans="1:3" x14ac:dyDescent="0.35">
      <c r="A7236" t="s">
        <v>21420</v>
      </c>
      <c r="B7236" t="s">
        <v>21421</v>
      </c>
      <c r="C7236" t="s">
        <v>21422</v>
      </c>
    </row>
    <row r="7237" spans="1:3" x14ac:dyDescent="0.35">
      <c r="A7237" t="s">
        <v>21423</v>
      </c>
      <c r="B7237" t="s">
        <v>21424</v>
      </c>
      <c r="C7237" t="s">
        <v>21425</v>
      </c>
    </row>
    <row r="7238" spans="1:3" x14ac:dyDescent="0.35">
      <c r="A7238" t="s">
        <v>21426</v>
      </c>
      <c r="B7238" t="s">
        <v>21427</v>
      </c>
      <c r="C7238" t="s">
        <v>21428</v>
      </c>
    </row>
    <row r="7239" spans="1:3" x14ac:dyDescent="0.35">
      <c r="A7239" t="s">
        <v>21429</v>
      </c>
      <c r="B7239" t="s">
        <v>21430</v>
      </c>
      <c r="C7239" t="s">
        <v>21431</v>
      </c>
    </row>
    <row r="7240" spans="1:3" x14ac:dyDescent="0.35">
      <c r="A7240" t="s">
        <v>21432</v>
      </c>
      <c r="B7240" t="s">
        <v>21433</v>
      </c>
      <c r="C7240" t="s">
        <v>21434</v>
      </c>
    </row>
    <row r="7241" spans="1:3" x14ac:dyDescent="0.35">
      <c r="A7241" t="s">
        <v>21435</v>
      </c>
      <c r="B7241" t="s">
        <v>21436</v>
      </c>
      <c r="C7241" t="s">
        <v>21437</v>
      </c>
    </row>
    <row r="7242" spans="1:3" x14ac:dyDescent="0.35">
      <c r="A7242" t="s">
        <v>21438</v>
      </c>
      <c r="B7242" t="s">
        <v>21439</v>
      </c>
      <c r="C7242" t="s">
        <v>21440</v>
      </c>
    </row>
    <row r="7243" spans="1:3" x14ac:dyDescent="0.35">
      <c r="A7243" t="s">
        <v>21441</v>
      </c>
      <c r="B7243" t="s">
        <v>21442</v>
      </c>
      <c r="C7243" t="s">
        <v>21443</v>
      </c>
    </row>
    <row r="7244" spans="1:3" x14ac:dyDescent="0.35">
      <c r="A7244" t="s">
        <v>21444</v>
      </c>
      <c r="B7244" t="s">
        <v>21445</v>
      </c>
      <c r="C7244" t="s">
        <v>21446</v>
      </c>
    </row>
    <row r="7245" spans="1:3" x14ac:dyDescent="0.35">
      <c r="A7245" t="s">
        <v>21447</v>
      </c>
      <c r="B7245" t="s">
        <v>21448</v>
      </c>
      <c r="C7245" t="s">
        <v>21449</v>
      </c>
    </row>
    <row r="7246" spans="1:3" x14ac:dyDescent="0.35">
      <c r="A7246" t="s">
        <v>21450</v>
      </c>
      <c r="B7246" t="s">
        <v>21451</v>
      </c>
      <c r="C7246" t="s">
        <v>21452</v>
      </c>
    </row>
    <row r="7247" spans="1:3" x14ac:dyDescent="0.35">
      <c r="A7247" t="s">
        <v>21453</v>
      </c>
      <c r="B7247" t="s">
        <v>21454</v>
      </c>
      <c r="C7247" t="s">
        <v>21455</v>
      </c>
    </row>
    <row r="7248" spans="1:3" x14ac:dyDescent="0.35">
      <c r="A7248" t="s">
        <v>21456</v>
      </c>
      <c r="B7248" t="s">
        <v>21457</v>
      </c>
      <c r="C7248" t="s">
        <v>21458</v>
      </c>
    </row>
    <row r="7249" spans="1:3" x14ac:dyDescent="0.35">
      <c r="A7249" t="s">
        <v>21459</v>
      </c>
      <c r="B7249" t="s">
        <v>21460</v>
      </c>
      <c r="C7249" t="s">
        <v>21461</v>
      </c>
    </row>
    <row r="7250" spans="1:3" x14ac:dyDescent="0.35">
      <c r="A7250" t="s">
        <v>21462</v>
      </c>
      <c r="B7250" t="s">
        <v>21463</v>
      </c>
      <c r="C7250" t="s">
        <v>21464</v>
      </c>
    </row>
    <row r="7251" spans="1:3" x14ac:dyDescent="0.35">
      <c r="A7251" t="s">
        <v>21465</v>
      </c>
      <c r="B7251" t="s">
        <v>21466</v>
      </c>
      <c r="C7251" t="s">
        <v>21467</v>
      </c>
    </row>
    <row r="7252" spans="1:3" x14ac:dyDescent="0.35">
      <c r="A7252" t="s">
        <v>21468</v>
      </c>
      <c r="B7252" t="s">
        <v>21469</v>
      </c>
      <c r="C7252" t="s">
        <v>21470</v>
      </c>
    </row>
    <row r="7253" spans="1:3" x14ac:dyDescent="0.35">
      <c r="A7253" t="s">
        <v>21471</v>
      </c>
      <c r="B7253" t="s">
        <v>21472</v>
      </c>
      <c r="C7253" t="s">
        <v>21473</v>
      </c>
    </row>
    <row r="7254" spans="1:3" x14ac:dyDescent="0.35">
      <c r="A7254" t="s">
        <v>21474</v>
      </c>
      <c r="B7254" t="s">
        <v>21475</v>
      </c>
      <c r="C7254" t="s">
        <v>21476</v>
      </c>
    </row>
    <row r="7255" spans="1:3" x14ac:dyDescent="0.35">
      <c r="A7255" t="s">
        <v>21477</v>
      </c>
      <c r="B7255" t="s">
        <v>21478</v>
      </c>
      <c r="C7255" t="s">
        <v>21479</v>
      </c>
    </row>
    <row r="7256" spans="1:3" x14ac:dyDescent="0.35">
      <c r="A7256" t="s">
        <v>21480</v>
      </c>
      <c r="B7256" t="s">
        <v>21481</v>
      </c>
      <c r="C7256" t="s">
        <v>21482</v>
      </c>
    </row>
    <row r="7257" spans="1:3" x14ac:dyDescent="0.35">
      <c r="A7257" t="s">
        <v>21483</v>
      </c>
      <c r="B7257" t="s">
        <v>21484</v>
      </c>
      <c r="C7257" t="s">
        <v>21485</v>
      </c>
    </row>
    <row r="7258" spans="1:3" x14ac:dyDescent="0.35">
      <c r="A7258" t="s">
        <v>21486</v>
      </c>
      <c r="B7258" t="s">
        <v>21487</v>
      </c>
      <c r="C7258" t="s">
        <v>21488</v>
      </c>
    </row>
    <row r="7259" spans="1:3" x14ac:dyDescent="0.35">
      <c r="A7259" t="s">
        <v>21489</v>
      </c>
      <c r="B7259" t="s">
        <v>21490</v>
      </c>
      <c r="C7259" t="s">
        <v>21491</v>
      </c>
    </row>
    <row r="7260" spans="1:3" x14ac:dyDescent="0.35">
      <c r="A7260" t="s">
        <v>21492</v>
      </c>
      <c r="B7260" t="s">
        <v>21493</v>
      </c>
      <c r="C7260" t="s">
        <v>21494</v>
      </c>
    </row>
    <row r="7261" spans="1:3" x14ac:dyDescent="0.35">
      <c r="A7261" t="s">
        <v>21495</v>
      </c>
      <c r="B7261" t="s">
        <v>21496</v>
      </c>
      <c r="C7261" t="s">
        <v>21497</v>
      </c>
    </row>
    <row r="7262" spans="1:3" x14ac:dyDescent="0.35">
      <c r="A7262" t="s">
        <v>21498</v>
      </c>
      <c r="B7262" t="s">
        <v>21499</v>
      </c>
      <c r="C7262" t="s">
        <v>21500</v>
      </c>
    </row>
    <row r="7263" spans="1:3" x14ac:dyDescent="0.35">
      <c r="A7263" t="s">
        <v>21501</v>
      </c>
      <c r="B7263" t="s">
        <v>21502</v>
      </c>
      <c r="C7263" t="s">
        <v>21503</v>
      </c>
    </row>
    <row r="7264" spans="1:3" x14ac:dyDescent="0.35">
      <c r="A7264" t="s">
        <v>21504</v>
      </c>
      <c r="B7264" t="s">
        <v>21505</v>
      </c>
      <c r="C7264" t="s">
        <v>21506</v>
      </c>
    </row>
    <row r="7265" spans="1:3" x14ac:dyDescent="0.35">
      <c r="A7265" t="s">
        <v>21507</v>
      </c>
      <c r="B7265" t="s">
        <v>21508</v>
      </c>
      <c r="C7265" t="s">
        <v>21509</v>
      </c>
    </row>
    <row r="7266" spans="1:3" x14ac:dyDescent="0.35">
      <c r="A7266" t="s">
        <v>21510</v>
      </c>
      <c r="B7266" t="s">
        <v>21511</v>
      </c>
      <c r="C7266" t="s">
        <v>21512</v>
      </c>
    </row>
    <row r="7267" spans="1:3" x14ac:dyDescent="0.35">
      <c r="A7267" t="s">
        <v>21513</v>
      </c>
      <c r="B7267" t="s">
        <v>21514</v>
      </c>
      <c r="C7267" t="s">
        <v>21515</v>
      </c>
    </row>
    <row r="7268" spans="1:3" x14ac:dyDescent="0.35">
      <c r="A7268" t="s">
        <v>21516</v>
      </c>
      <c r="B7268" t="s">
        <v>21517</v>
      </c>
      <c r="C7268" t="s">
        <v>21518</v>
      </c>
    </row>
    <row r="7269" spans="1:3" x14ac:dyDescent="0.35">
      <c r="A7269" t="s">
        <v>21519</v>
      </c>
      <c r="B7269" t="s">
        <v>21520</v>
      </c>
      <c r="C7269" t="s">
        <v>21521</v>
      </c>
    </row>
    <row r="7270" spans="1:3" x14ac:dyDescent="0.35">
      <c r="A7270" t="s">
        <v>21522</v>
      </c>
      <c r="B7270" t="s">
        <v>21523</v>
      </c>
      <c r="C7270" t="s">
        <v>21524</v>
      </c>
    </row>
    <row r="7271" spans="1:3" x14ac:dyDescent="0.35">
      <c r="A7271" t="s">
        <v>21525</v>
      </c>
      <c r="B7271" t="s">
        <v>21526</v>
      </c>
      <c r="C7271" t="s">
        <v>21527</v>
      </c>
    </row>
    <row r="7272" spans="1:3" x14ac:dyDescent="0.35">
      <c r="A7272" t="s">
        <v>21528</v>
      </c>
      <c r="B7272" t="s">
        <v>21529</v>
      </c>
      <c r="C7272" t="s">
        <v>21530</v>
      </c>
    </row>
    <row r="7273" spans="1:3" x14ac:dyDescent="0.35">
      <c r="A7273" t="s">
        <v>21531</v>
      </c>
      <c r="B7273" t="s">
        <v>21532</v>
      </c>
      <c r="C7273" t="s">
        <v>21533</v>
      </c>
    </row>
    <row r="7274" spans="1:3" x14ac:dyDescent="0.35">
      <c r="A7274" t="s">
        <v>21534</v>
      </c>
      <c r="B7274" t="s">
        <v>21535</v>
      </c>
      <c r="C7274" t="s">
        <v>21536</v>
      </c>
    </row>
    <row r="7275" spans="1:3" x14ac:dyDescent="0.35">
      <c r="A7275" t="s">
        <v>21537</v>
      </c>
      <c r="B7275" t="s">
        <v>21538</v>
      </c>
      <c r="C7275" t="s">
        <v>21539</v>
      </c>
    </row>
    <row r="7276" spans="1:3" x14ac:dyDescent="0.35">
      <c r="A7276" t="s">
        <v>21540</v>
      </c>
      <c r="B7276" t="s">
        <v>21541</v>
      </c>
      <c r="C7276" t="s">
        <v>21542</v>
      </c>
    </row>
    <row r="7277" spans="1:3" x14ac:dyDescent="0.35">
      <c r="A7277" t="s">
        <v>21543</v>
      </c>
      <c r="B7277" t="s">
        <v>21544</v>
      </c>
      <c r="C7277" t="s">
        <v>21545</v>
      </c>
    </row>
    <row r="7278" spans="1:3" x14ac:dyDescent="0.35">
      <c r="A7278" t="s">
        <v>21546</v>
      </c>
      <c r="B7278" t="s">
        <v>21547</v>
      </c>
      <c r="C7278" t="s">
        <v>21548</v>
      </c>
    </row>
    <row r="7279" spans="1:3" x14ac:dyDescent="0.35">
      <c r="A7279" t="s">
        <v>21549</v>
      </c>
      <c r="B7279" t="s">
        <v>21550</v>
      </c>
      <c r="C7279" t="s">
        <v>21551</v>
      </c>
    </row>
    <row r="7280" spans="1:3" x14ac:dyDescent="0.35">
      <c r="A7280" t="s">
        <v>21552</v>
      </c>
      <c r="B7280" t="s">
        <v>21553</v>
      </c>
      <c r="C7280" t="s">
        <v>21554</v>
      </c>
    </row>
    <row r="7281" spans="1:3" x14ac:dyDescent="0.35">
      <c r="A7281" t="s">
        <v>21555</v>
      </c>
      <c r="B7281" t="s">
        <v>21556</v>
      </c>
      <c r="C7281" t="s">
        <v>21557</v>
      </c>
    </row>
    <row r="7282" spans="1:3" x14ac:dyDescent="0.35">
      <c r="A7282" t="s">
        <v>21558</v>
      </c>
      <c r="B7282" t="s">
        <v>21559</v>
      </c>
      <c r="C7282" t="s">
        <v>21560</v>
      </c>
    </row>
    <row r="7283" spans="1:3" x14ac:dyDescent="0.35">
      <c r="A7283" t="s">
        <v>21561</v>
      </c>
      <c r="B7283" t="s">
        <v>21562</v>
      </c>
      <c r="C7283" t="s">
        <v>21563</v>
      </c>
    </row>
    <row r="7284" spans="1:3" x14ac:dyDescent="0.35">
      <c r="A7284" t="s">
        <v>21564</v>
      </c>
      <c r="B7284" t="s">
        <v>21565</v>
      </c>
      <c r="C7284" t="s">
        <v>21566</v>
      </c>
    </row>
    <row r="7285" spans="1:3" x14ac:dyDescent="0.35">
      <c r="A7285" t="s">
        <v>21567</v>
      </c>
      <c r="B7285" t="s">
        <v>21568</v>
      </c>
      <c r="C7285" t="s">
        <v>21569</v>
      </c>
    </row>
    <row r="7286" spans="1:3" x14ac:dyDescent="0.35">
      <c r="A7286" t="s">
        <v>21570</v>
      </c>
      <c r="B7286" t="s">
        <v>21571</v>
      </c>
      <c r="C7286" t="s">
        <v>21572</v>
      </c>
    </row>
    <row r="7287" spans="1:3" x14ac:dyDescent="0.35">
      <c r="A7287" t="s">
        <v>21573</v>
      </c>
      <c r="B7287" t="s">
        <v>21574</v>
      </c>
      <c r="C7287" t="s">
        <v>11753</v>
      </c>
    </row>
    <row r="7288" spans="1:3" x14ac:dyDescent="0.35">
      <c r="A7288" t="s">
        <v>21575</v>
      </c>
      <c r="B7288" t="s">
        <v>21576</v>
      </c>
      <c r="C7288" t="s">
        <v>21577</v>
      </c>
    </row>
    <row r="7289" spans="1:3" x14ac:dyDescent="0.35">
      <c r="A7289" t="s">
        <v>21578</v>
      </c>
      <c r="B7289" t="s">
        <v>21579</v>
      </c>
      <c r="C7289" t="s">
        <v>21580</v>
      </c>
    </row>
    <row r="7290" spans="1:3" x14ac:dyDescent="0.35">
      <c r="A7290" t="s">
        <v>21581</v>
      </c>
      <c r="B7290" t="s">
        <v>21582</v>
      </c>
      <c r="C7290" t="s">
        <v>21583</v>
      </c>
    </row>
    <row r="7291" spans="1:3" x14ac:dyDescent="0.35">
      <c r="A7291" t="s">
        <v>21584</v>
      </c>
      <c r="B7291" t="s">
        <v>21585</v>
      </c>
      <c r="C7291" t="s">
        <v>21586</v>
      </c>
    </row>
    <row r="7292" spans="1:3" x14ac:dyDescent="0.35">
      <c r="A7292" t="s">
        <v>21587</v>
      </c>
      <c r="B7292" t="s">
        <v>21588</v>
      </c>
      <c r="C7292" t="s">
        <v>21589</v>
      </c>
    </row>
    <row r="7293" spans="1:3" x14ac:dyDescent="0.35">
      <c r="A7293" t="s">
        <v>21590</v>
      </c>
      <c r="B7293" t="s">
        <v>21591</v>
      </c>
      <c r="C7293" t="s">
        <v>21592</v>
      </c>
    </row>
    <row r="7294" spans="1:3" x14ac:dyDescent="0.35">
      <c r="A7294" t="s">
        <v>21593</v>
      </c>
      <c r="B7294" t="s">
        <v>21594</v>
      </c>
      <c r="C7294" t="s">
        <v>21595</v>
      </c>
    </row>
    <row r="7295" spans="1:3" x14ac:dyDescent="0.35">
      <c r="A7295" t="s">
        <v>21596</v>
      </c>
      <c r="B7295" t="s">
        <v>21597</v>
      </c>
      <c r="C7295" t="s">
        <v>21598</v>
      </c>
    </row>
    <row r="7296" spans="1:3" x14ac:dyDescent="0.35">
      <c r="A7296" t="s">
        <v>21599</v>
      </c>
      <c r="B7296" t="s">
        <v>21600</v>
      </c>
      <c r="C7296" t="s">
        <v>21601</v>
      </c>
    </row>
    <row r="7297" spans="1:3" x14ac:dyDescent="0.35">
      <c r="A7297" t="s">
        <v>21602</v>
      </c>
      <c r="B7297" t="s">
        <v>21603</v>
      </c>
      <c r="C7297" t="s">
        <v>21604</v>
      </c>
    </row>
    <row r="7298" spans="1:3" x14ac:dyDescent="0.35">
      <c r="A7298" t="s">
        <v>21605</v>
      </c>
      <c r="B7298" t="s">
        <v>21606</v>
      </c>
      <c r="C7298" t="s">
        <v>21607</v>
      </c>
    </row>
    <row r="7299" spans="1:3" x14ac:dyDescent="0.35">
      <c r="A7299" t="s">
        <v>21608</v>
      </c>
      <c r="B7299" t="s">
        <v>21609</v>
      </c>
      <c r="C7299" t="s">
        <v>21610</v>
      </c>
    </row>
    <row r="7300" spans="1:3" x14ac:dyDescent="0.35">
      <c r="A7300" t="s">
        <v>21611</v>
      </c>
      <c r="B7300" t="s">
        <v>21612</v>
      </c>
      <c r="C7300" t="s">
        <v>21613</v>
      </c>
    </row>
    <row r="7301" spans="1:3" x14ac:dyDescent="0.35">
      <c r="A7301" t="s">
        <v>21614</v>
      </c>
      <c r="B7301" t="s">
        <v>21615</v>
      </c>
      <c r="C7301" t="s">
        <v>21616</v>
      </c>
    </row>
    <row r="7302" spans="1:3" x14ac:dyDescent="0.35">
      <c r="A7302" t="s">
        <v>21617</v>
      </c>
      <c r="B7302" t="s">
        <v>21618</v>
      </c>
      <c r="C7302" t="s">
        <v>21619</v>
      </c>
    </row>
    <row r="7303" spans="1:3" x14ac:dyDescent="0.35">
      <c r="A7303" t="s">
        <v>21620</v>
      </c>
      <c r="B7303" t="s">
        <v>21621</v>
      </c>
      <c r="C7303" t="s">
        <v>21622</v>
      </c>
    </row>
    <row r="7304" spans="1:3" x14ac:dyDescent="0.35">
      <c r="A7304" t="s">
        <v>21623</v>
      </c>
      <c r="B7304" t="s">
        <v>21624</v>
      </c>
      <c r="C7304" t="s">
        <v>21625</v>
      </c>
    </row>
    <row r="7305" spans="1:3" x14ac:dyDescent="0.35">
      <c r="A7305" t="s">
        <v>21626</v>
      </c>
      <c r="B7305" t="s">
        <v>21627</v>
      </c>
      <c r="C7305" t="s">
        <v>21628</v>
      </c>
    </row>
    <row r="7306" spans="1:3" x14ac:dyDescent="0.35">
      <c r="A7306" t="s">
        <v>21629</v>
      </c>
      <c r="B7306" t="s">
        <v>21630</v>
      </c>
      <c r="C7306" t="s">
        <v>21631</v>
      </c>
    </row>
    <row r="7307" spans="1:3" x14ac:dyDescent="0.35">
      <c r="A7307" t="s">
        <v>21632</v>
      </c>
      <c r="B7307" t="s">
        <v>21633</v>
      </c>
      <c r="C7307" t="s">
        <v>21634</v>
      </c>
    </row>
    <row r="7308" spans="1:3" x14ac:dyDescent="0.35">
      <c r="A7308" t="s">
        <v>21635</v>
      </c>
      <c r="B7308" t="s">
        <v>21636</v>
      </c>
      <c r="C7308" t="s">
        <v>21637</v>
      </c>
    </row>
    <row r="7309" spans="1:3" x14ac:dyDescent="0.35">
      <c r="A7309" t="s">
        <v>21638</v>
      </c>
      <c r="B7309" t="s">
        <v>21639</v>
      </c>
      <c r="C7309" t="s">
        <v>21640</v>
      </c>
    </row>
    <row r="7310" spans="1:3" x14ac:dyDescent="0.35">
      <c r="A7310" t="s">
        <v>21641</v>
      </c>
      <c r="B7310" t="s">
        <v>21642</v>
      </c>
      <c r="C7310" t="s">
        <v>21643</v>
      </c>
    </row>
    <row r="7311" spans="1:3" x14ac:dyDescent="0.35">
      <c r="A7311" t="s">
        <v>21644</v>
      </c>
      <c r="B7311" t="s">
        <v>21645</v>
      </c>
      <c r="C7311" t="s">
        <v>21646</v>
      </c>
    </row>
    <row r="7312" spans="1:3" x14ac:dyDescent="0.35">
      <c r="A7312" t="s">
        <v>21647</v>
      </c>
      <c r="B7312" t="s">
        <v>21648</v>
      </c>
      <c r="C7312" t="s">
        <v>21649</v>
      </c>
    </row>
    <row r="7313" spans="1:3" x14ac:dyDescent="0.35">
      <c r="A7313" t="s">
        <v>21650</v>
      </c>
      <c r="B7313" t="s">
        <v>21651</v>
      </c>
      <c r="C7313" t="s">
        <v>21652</v>
      </c>
    </row>
    <row r="7314" spans="1:3" x14ac:dyDescent="0.35">
      <c r="A7314" t="s">
        <v>21653</v>
      </c>
      <c r="B7314" t="s">
        <v>21654</v>
      </c>
      <c r="C7314" t="s">
        <v>21655</v>
      </c>
    </row>
    <row r="7315" spans="1:3" x14ac:dyDescent="0.35">
      <c r="A7315" t="s">
        <v>21656</v>
      </c>
      <c r="B7315" t="s">
        <v>21657</v>
      </c>
      <c r="C7315" t="s">
        <v>21658</v>
      </c>
    </row>
    <row r="7316" spans="1:3" x14ac:dyDescent="0.35">
      <c r="A7316" t="s">
        <v>21659</v>
      </c>
      <c r="B7316" t="s">
        <v>21660</v>
      </c>
      <c r="C7316" t="s">
        <v>21661</v>
      </c>
    </row>
    <row r="7317" spans="1:3" x14ac:dyDescent="0.35">
      <c r="A7317" t="s">
        <v>21662</v>
      </c>
      <c r="B7317" t="s">
        <v>21663</v>
      </c>
      <c r="C7317" t="s">
        <v>21664</v>
      </c>
    </row>
    <row r="7318" spans="1:3" x14ac:dyDescent="0.35">
      <c r="A7318" t="s">
        <v>21665</v>
      </c>
      <c r="B7318" t="s">
        <v>21666</v>
      </c>
      <c r="C7318" t="s">
        <v>21667</v>
      </c>
    </row>
    <row r="7319" spans="1:3" x14ac:dyDescent="0.35">
      <c r="A7319" t="s">
        <v>21668</v>
      </c>
      <c r="B7319" t="s">
        <v>21669</v>
      </c>
      <c r="C7319" t="s">
        <v>21670</v>
      </c>
    </row>
    <row r="7320" spans="1:3" x14ac:dyDescent="0.35">
      <c r="A7320" t="s">
        <v>21671</v>
      </c>
      <c r="B7320" t="s">
        <v>21672</v>
      </c>
      <c r="C7320" t="s">
        <v>21673</v>
      </c>
    </row>
    <row r="7321" spans="1:3" x14ac:dyDescent="0.35">
      <c r="A7321" t="s">
        <v>21674</v>
      </c>
      <c r="B7321" t="s">
        <v>21675</v>
      </c>
      <c r="C7321" t="s">
        <v>21676</v>
      </c>
    </row>
    <row r="7322" spans="1:3" x14ac:dyDescent="0.35">
      <c r="A7322" t="s">
        <v>21677</v>
      </c>
      <c r="B7322" t="s">
        <v>21678</v>
      </c>
      <c r="C7322" t="s">
        <v>21679</v>
      </c>
    </row>
    <row r="7323" spans="1:3" x14ac:dyDescent="0.35">
      <c r="A7323" t="s">
        <v>21680</v>
      </c>
      <c r="B7323" t="s">
        <v>21681</v>
      </c>
      <c r="C7323" t="s">
        <v>21682</v>
      </c>
    </row>
    <row r="7324" spans="1:3" x14ac:dyDescent="0.35">
      <c r="A7324" t="s">
        <v>21683</v>
      </c>
      <c r="B7324" t="s">
        <v>21684</v>
      </c>
      <c r="C7324" t="s">
        <v>21685</v>
      </c>
    </row>
    <row r="7325" spans="1:3" x14ac:dyDescent="0.35">
      <c r="A7325" t="s">
        <v>21686</v>
      </c>
      <c r="B7325" t="s">
        <v>21687</v>
      </c>
      <c r="C7325" t="s">
        <v>21688</v>
      </c>
    </row>
    <row r="7326" spans="1:3" x14ac:dyDescent="0.35">
      <c r="A7326" t="s">
        <v>21689</v>
      </c>
      <c r="B7326" t="s">
        <v>21690</v>
      </c>
      <c r="C7326" t="s">
        <v>21691</v>
      </c>
    </row>
    <row r="7327" spans="1:3" x14ac:dyDescent="0.35">
      <c r="A7327" t="s">
        <v>21692</v>
      </c>
      <c r="B7327" t="s">
        <v>21693</v>
      </c>
      <c r="C7327" t="s">
        <v>21694</v>
      </c>
    </row>
    <row r="7328" spans="1:3" x14ac:dyDescent="0.35">
      <c r="A7328" t="s">
        <v>21695</v>
      </c>
      <c r="B7328" t="s">
        <v>21696</v>
      </c>
      <c r="C7328" t="s">
        <v>21697</v>
      </c>
    </row>
    <row r="7329" spans="1:3" x14ac:dyDescent="0.35">
      <c r="A7329" t="s">
        <v>21698</v>
      </c>
      <c r="B7329" t="s">
        <v>21699</v>
      </c>
      <c r="C7329" t="s">
        <v>21700</v>
      </c>
    </row>
    <row r="7330" spans="1:3" x14ac:dyDescent="0.35">
      <c r="A7330" t="s">
        <v>21701</v>
      </c>
      <c r="B7330" t="s">
        <v>21702</v>
      </c>
      <c r="C7330" t="s">
        <v>21703</v>
      </c>
    </row>
    <row r="7331" spans="1:3" x14ac:dyDescent="0.35">
      <c r="A7331" t="s">
        <v>21704</v>
      </c>
      <c r="B7331" t="s">
        <v>21705</v>
      </c>
      <c r="C7331" t="s">
        <v>21706</v>
      </c>
    </row>
    <row r="7332" spans="1:3" x14ac:dyDescent="0.35">
      <c r="A7332" t="s">
        <v>21707</v>
      </c>
      <c r="B7332" t="s">
        <v>21708</v>
      </c>
      <c r="C7332" t="s">
        <v>21709</v>
      </c>
    </row>
    <row r="7333" spans="1:3" x14ac:dyDescent="0.35">
      <c r="A7333" t="s">
        <v>21710</v>
      </c>
      <c r="B7333" t="s">
        <v>21711</v>
      </c>
      <c r="C7333" t="s">
        <v>21712</v>
      </c>
    </row>
    <row r="7334" spans="1:3" x14ac:dyDescent="0.35">
      <c r="A7334" t="s">
        <v>21713</v>
      </c>
      <c r="B7334" t="s">
        <v>21714</v>
      </c>
      <c r="C7334" t="s">
        <v>21715</v>
      </c>
    </row>
    <row r="7335" spans="1:3" x14ac:dyDescent="0.35">
      <c r="A7335" t="s">
        <v>21716</v>
      </c>
      <c r="B7335" t="s">
        <v>21717</v>
      </c>
      <c r="C7335" t="s">
        <v>21718</v>
      </c>
    </row>
    <row r="7336" spans="1:3" x14ac:dyDescent="0.35">
      <c r="A7336" t="s">
        <v>21719</v>
      </c>
      <c r="B7336" t="s">
        <v>21720</v>
      </c>
      <c r="C7336" t="s">
        <v>21721</v>
      </c>
    </row>
    <row r="7337" spans="1:3" x14ac:dyDescent="0.35">
      <c r="A7337" t="s">
        <v>21722</v>
      </c>
      <c r="B7337" t="s">
        <v>21723</v>
      </c>
      <c r="C7337" t="s">
        <v>21724</v>
      </c>
    </row>
    <row r="7338" spans="1:3" x14ac:dyDescent="0.35">
      <c r="A7338" t="s">
        <v>21725</v>
      </c>
      <c r="B7338" t="s">
        <v>21726</v>
      </c>
      <c r="C7338" t="s">
        <v>21727</v>
      </c>
    </row>
    <row r="7339" spans="1:3" x14ac:dyDescent="0.35">
      <c r="A7339" t="s">
        <v>21728</v>
      </c>
      <c r="B7339" t="s">
        <v>21729</v>
      </c>
      <c r="C7339" t="s">
        <v>21730</v>
      </c>
    </row>
    <row r="7340" spans="1:3" x14ac:dyDescent="0.35">
      <c r="A7340" t="s">
        <v>21731</v>
      </c>
      <c r="B7340" t="s">
        <v>21732</v>
      </c>
      <c r="C7340" t="s">
        <v>21733</v>
      </c>
    </row>
    <row r="7341" spans="1:3" x14ac:dyDescent="0.35">
      <c r="A7341" t="s">
        <v>21734</v>
      </c>
      <c r="B7341" t="s">
        <v>21735</v>
      </c>
      <c r="C7341" t="s">
        <v>21736</v>
      </c>
    </row>
    <row r="7342" spans="1:3" x14ac:dyDescent="0.35">
      <c r="A7342" t="s">
        <v>21737</v>
      </c>
      <c r="B7342" t="s">
        <v>21738</v>
      </c>
      <c r="C7342" t="s">
        <v>21739</v>
      </c>
    </row>
    <row r="7343" spans="1:3" x14ac:dyDescent="0.35">
      <c r="A7343" t="s">
        <v>21740</v>
      </c>
      <c r="B7343" t="s">
        <v>21741</v>
      </c>
      <c r="C7343" t="s">
        <v>21742</v>
      </c>
    </row>
    <row r="7344" spans="1:3" x14ac:dyDescent="0.35">
      <c r="A7344" t="s">
        <v>21743</v>
      </c>
      <c r="B7344" t="s">
        <v>21744</v>
      </c>
      <c r="C7344" t="s">
        <v>21745</v>
      </c>
    </row>
    <row r="7345" spans="1:3" x14ac:dyDescent="0.35">
      <c r="A7345" t="s">
        <v>21746</v>
      </c>
      <c r="B7345" t="s">
        <v>21747</v>
      </c>
      <c r="C7345" t="s">
        <v>21748</v>
      </c>
    </row>
    <row r="7346" spans="1:3" x14ac:dyDescent="0.35">
      <c r="A7346" t="s">
        <v>21749</v>
      </c>
      <c r="B7346" t="s">
        <v>21750</v>
      </c>
      <c r="C7346" t="s">
        <v>21751</v>
      </c>
    </row>
    <row r="7347" spans="1:3" x14ac:dyDescent="0.35">
      <c r="A7347" t="s">
        <v>21749</v>
      </c>
      <c r="B7347" t="s">
        <v>21752</v>
      </c>
      <c r="C7347" t="s">
        <v>21753</v>
      </c>
    </row>
    <row r="7348" spans="1:3" x14ac:dyDescent="0.35">
      <c r="A7348" t="s">
        <v>21754</v>
      </c>
      <c r="B7348" t="s">
        <v>21755</v>
      </c>
      <c r="C7348" t="s">
        <v>21756</v>
      </c>
    </row>
    <row r="7349" spans="1:3" x14ac:dyDescent="0.35">
      <c r="A7349" t="s">
        <v>21757</v>
      </c>
      <c r="B7349" t="s">
        <v>21758</v>
      </c>
      <c r="C7349" t="s">
        <v>21759</v>
      </c>
    </row>
    <row r="7350" spans="1:3" x14ac:dyDescent="0.35">
      <c r="A7350" t="s">
        <v>21760</v>
      </c>
      <c r="B7350" t="s">
        <v>21761</v>
      </c>
      <c r="C7350" t="s">
        <v>21762</v>
      </c>
    </row>
    <row r="7351" spans="1:3" x14ac:dyDescent="0.35">
      <c r="A7351" t="s">
        <v>21760</v>
      </c>
      <c r="B7351" t="s">
        <v>21763</v>
      </c>
      <c r="C7351" t="s">
        <v>21764</v>
      </c>
    </row>
    <row r="7352" spans="1:3" x14ac:dyDescent="0.35">
      <c r="A7352" t="s">
        <v>21765</v>
      </c>
      <c r="B7352" t="s">
        <v>21766</v>
      </c>
      <c r="C7352" t="s">
        <v>21767</v>
      </c>
    </row>
    <row r="7353" spans="1:3" x14ac:dyDescent="0.35">
      <c r="A7353" t="s">
        <v>21768</v>
      </c>
      <c r="B7353" t="s">
        <v>21769</v>
      </c>
      <c r="C7353" t="s">
        <v>21770</v>
      </c>
    </row>
    <row r="7354" spans="1:3" x14ac:dyDescent="0.35">
      <c r="A7354" t="s">
        <v>21771</v>
      </c>
      <c r="B7354" t="s">
        <v>21772</v>
      </c>
      <c r="C7354" t="s">
        <v>21773</v>
      </c>
    </row>
    <row r="7355" spans="1:3" x14ac:dyDescent="0.35">
      <c r="A7355" t="s">
        <v>21774</v>
      </c>
      <c r="B7355" t="s">
        <v>21775</v>
      </c>
      <c r="C7355" t="s">
        <v>21776</v>
      </c>
    </row>
    <row r="7356" spans="1:3" x14ac:dyDescent="0.35">
      <c r="A7356" t="s">
        <v>21777</v>
      </c>
      <c r="B7356" t="s">
        <v>21778</v>
      </c>
      <c r="C7356" t="s">
        <v>21779</v>
      </c>
    </row>
    <row r="7357" spans="1:3" x14ac:dyDescent="0.35">
      <c r="A7357" t="s">
        <v>21780</v>
      </c>
      <c r="B7357" t="s">
        <v>21781</v>
      </c>
      <c r="C7357" t="s">
        <v>21782</v>
      </c>
    </row>
    <row r="7358" spans="1:3" x14ac:dyDescent="0.35">
      <c r="A7358" t="s">
        <v>21783</v>
      </c>
      <c r="B7358" t="s">
        <v>21784</v>
      </c>
      <c r="C7358" t="s">
        <v>21785</v>
      </c>
    </row>
    <row r="7359" spans="1:3" x14ac:dyDescent="0.35">
      <c r="A7359" t="s">
        <v>21786</v>
      </c>
      <c r="B7359" t="s">
        <v>21787</v>
      </c>
      <c r="C7359" t="s">
        <v>21788</v>
      </c>
    </row>
    <row r="7360" spans="1:3" x14ac:dyDescent="0.35">
      <c r="A7360" t="s">
        <v>21789</v>
      </c>
      <c r="B7360" t="s">
        <v>21790</v>
      </c>
      <c r="C7360" t="s">
        <v>21791</v>
      </c>
    </row>
    <row r="7361" spans="1:3" x14ac:dyDescent="0.35">
      <c r="A7361" t="s">
        <v>21792</v>
      </c>
      <c r="B7361" t="s">
        <v>21793</v>
      </c>
      <c r="C7361" t="s">
        <v>21794</v>
      </c>
    </row>
    <row r="7362" spans="1:3" x14ac:dyDescent="0.35">
      <c r="A7362" t="s">
        <v>21795</v>
      </c>
      <c r="B7362" t="s">
        <v>21796</v>
      </c>
      <c r="C7362" t="s">
        <v>21797</v>
      </c>
    </row>
    <row r="7363" spans="1:3" x14ac:dyDescent="0.35">
      <c r="A7363" t="s">
        <v>21798</v>
      </c>
      <c r="B7363" t="s">
        <v>21799</v>
      </c>
      <c r="C7363" t="s">
        <v>21800</v>
      </c>
    </row>
    <row r="7364" spans="1:3" x14ac:dyDescent="0.35">
      <c r="A7364" t="s">
        <v>21801</v>
      </c>
      <c r="B7364" t="s">
        <v>21802</v>
      </c>
      <c r="C7364" t="s">
        <v>21803</v>
      </c>
    </row>
    <row r="7365" spans="1:3" x14ac:dyDescent="0.35">
      <c r="A7365" t="s">
        <v>21804</v>
      </c>
      <c r="B7365" t="s">
        <v>21805</v>
      </c>
      <c r="C7365" t="s">
        <v>21806</v>
      </c>
    </row>
    <row r="7366" spans="1:3" x14ac:dyDescent="0.35">
      <c r="A7366" t="s">
        <v>21807</v>
      </c>
      <c r="B7366" t="s">
        <v>21808</v>
      </c>
      <c r="C7366" t="s">
        <v>21809</v>
      </c>
    </row>
    <row r="7367" spans="1:3" x14ac:dyDescent="0.35">
      <c r="A7367" t="s">
        <v>21810</v>
      </c>
      <c r="B7367" t="s">
        <v>21811</v>
      </c>
      <c r="C7367" t="s">
        <v>21812</v>
      </c>
    </row>
    <row r="7368" spans="1:3" x14ac:dyDescent="0.35">
      <c r="A7368" t="s">
        <v>21813</v>
      </c>
      <c r="B7368" t="s">
        <v>21814</v>
      </c>
      <c r="C7368" t="s">
        <v>21815</v>
      </c>
    </row>
    <row r="7369" spans="1:3" x14ac:dyDescent="0.35">
      <c r="A7369" t="s">
        <v>21816</v>
      </c>
      <c r="B7369" t="s">
        <v>21817</v>
      </c>
      <c r="C7369" t="s">
        <v>21818</v>
      </c>
    </row>
    <row r="7370" spans="1:3" x14ac:dyDescent="0.35">
      <c r="A7370" t="s">
        <v>21819</v>
      </c>
      <c r="B7370" t="s">
        <v>21820</v>
      </c>
      <c r="C7370" t="s">
        <v>21821</v>
      </c>
    </row>
    <row r="7371" spans="1:3" x14ac:dyDescent="0.35">
      <c r="A7371" t="s">
        <v>21822</v>
      </c>
      <c r="B7371" t="s">
        <v>21823</v>
      </c>
      <c r="C7371" t="s">
        <v>21824</v>
      </c>
    </row>
    <row r="7372" spans="1:3" x14ac:dyDescent="0.35">
      <c r="A7372" t="s">
        <v>21825</v>
      </c>
      <c r="B7372" t="s">
        <v>21826</v>
      </c>
      <c r="C7372" t="s">
        <v>21827</v>
      </c>
    </row>
    <row r="7373" spans="1:3" x14ac:dyDescent="0.35">
      <c r="A7373" t="s">
        <v>21828</v>
      </c>
      <c r="B7373" t="s">
        <v>21829</v>
      </c>
      <c r="C7373" t="s">
        <v>21830</v>
      </c>
    </row>
    <row r="7374" spans="1:3" x14ac:dyDescent="0.35">
      <c r="A7374" t="s">
        <v>21831</v>
      </c>
      <c r="B7374" t="s">
        <v>21832</v>
      </c>
      <c r="C7374" t="s">
        <v>21833</v>
      </c>
    </row>
    <row r="7375" spans="1:3" x14ac:dyDescent="0.35">
      <c r="A7375" t="s">
        <v>21834</v>
      </c>
      <c r="B7375" t="s">
        <v>21835</v>
      </c>
      <c r="C7375" t="s">
        <v>21836</v>
      </c>
    </row>
    <row r="7376" spans="1:3" x14ac:dyDescent="0.35">
      <c r="A7376" t="s">
        <v>21837</v>
      </c>
      <c r="B7376" t="s">
        <v>21838</v>
      </c>
      <c r="C7376" t="s">
        <v>10716</v>
      </c>
    </row>
    <row r="7377" spans="1:3" x14ac:dyDescent="0.35">
      <c r="A7377" t="s">
        <v>21837</v>
      </c>
      <c r="B7377" t="s">
        <v>21835</v>
      </c>
      <c r="C7377" t="s">
        <v>21839</v>
      </c>
    </row>
    <row r="7378" spans="1:3" x14ac:dyDescent="0.35">
      <c r="A7378" t="s">
        <v>21840</v>
      </c>
      <c r="B7378" t="s">
        <v>21841</v>
      </c>
      <c r="C7378" t="s">
        <v>21842</v>
      </c>
    </row>
    <row r="7379" spans="1:3" x14ac:dyDescent="0.35">
      <c r="A7379" t="s">
        <v>21843</v>
      </c>
      <c r="B7379" t="s">
        <v>21844</v>
      </c>
      <c r="C7379" t="s">
        <v>21845</v>
      </c>
    </row>
    <row r="7380" spans="1:3" x14ac:dyDescent="0.35">
      <c r="A7380" t="s">
        <v>21846</v>
      </c>
      <c r="B7380" t="s">
        <v>21847</v>
      </c>
      <c r="C7380" t="s">
        <v>21848</v>
      </c>
    </row>
    <row r="7381" spans="1:3" x14ac:dyDescent="0.35">
      <c r="A7381" t="s">
        <v>21849</v>
      </c>
      <c r="B7381" t="s">
        <v>21850</v>
      </c>
      <c r="C7381" t="s">
        <v>21851</v>
      </c>
    </row>
    <row r="7382" spans="1:3" x14ac:dyDescent="0.35">
      <c r="A7382" t="s">
        <v>21852</v>
      </c>
      <c r="B7382" t="s">
        <v>21853</v>
      </c>
      <c r="C7382" t="s">
        <v>21854</v>
      </c>
    </row>
    <row r="7383" spans="1:3" x14ac:dyDescent="0.35">
      <c r="A7383" t="s">
        <v>21855</v>
      </c>
      <c r="B7383" t="s">
        <v>21856</v>
      </c>
      <c r="C7383" t="s">
        <v>21857</v>
      </c>
    </row>
    <row r="7384" spans="1:3" x14ac:dyDescent="0.35">
      <c r="A7384" t="s">
        <v>21858</v>
      </c>
      <c r="B7384" t="s">
        <v>21859</v>
      </c>
      <c r="C7384" t="s">
        <v>21860</v>
      </c>
    </row>
    <row r="7385" spans="1:3" x14ac:dyDescent="0.35">
      <c r="A7385" t="s">
        <v>21861</v>
      </c>
      <c r="B7385" t="s">
        <v>21862</v>
      </c>
      <c r="C7385" t="s">
        <v>21863</v>
      </c>
    </row>
    <row r="7386" spans="1:3" x14ac:dyDescent="0.35">
      <c r="A7386" t="s">
        <v>21864</v>
      </c>
      <c r="B7386" t="s">
        <v>21865</v>
      </c>
      <c r="C7386" t="s">
        <v>21866</v>
      </c>
    </row>
    <row r="7387" spans="1:3" x14ac:dyDescent="0.35">
      <c r="A7387" t="s">
        <v>21867</v>
      </c>
      <c r="B7387" t="s">
        <v>21868</v>
      </c>
      <c r="C7387" t="s">
        <v>21869</v>
      </c>
    </row>
    <row r="7388" spans="1:3" x14ac:dyDescent="0.35">
      <c r="A7388" t="s">
        <v>21870</v>
      </c>
      <c r="B7388" t="s">
        <v>21871</v>
      </c>
      <c r="C7388" t="s">
        <v>21872</v>
      </c>
    </row>
    <row r="7389" spans="1:3" x14ac:dyDescent="0.35">
      <c r="A7389" t="s">
        <v>21873</v>
      </c>
      <c r="B7389" t="s">
        <v>21874</v>
      </c>
      <c r="C7389" t="s">
        <v>21875</v>
      </c>
    </row>
    <row r="7390" spans="1:3" x14ac:dyDescent="0.35">
      <c r="A7390" t="s">
        <v>21876</v>
      </c>
      <c r="B7390" t="s">
        <v>21877</v>
      </c>
      <c r="C7390" t="s">
        <v>21878</v>
      </c>
    </row>
    <row r="7391" spans="1:3" x14ac:dyDescent="0.35">
      <c r="A7391" t="s">
        <v>21879</v>
      </c>
      <c r="B7391" t="s">
        <v>21880</v>
      </c>
      <c r="C7391" t="s">
        <v>21881</v>
      </c>
    </row>
    <row r="7392" spans="1:3" x14ac:dyDescent="0.35">
      <c r="A7392" t="s">
        <v>21882</v>
      </c>
      <c r="B7392" t="s">
        <v>21883</v>
      </c>
      <c r="C7392" t="s">
        <v>21884</v>
      </c>
    </row>
    <row r="7393" spans="1:3" x14ac:dyDescent="0.35">
      <c r="A7393" t="s">
        <v>21885</v>
      </c>
      <c r="B7393" t="s">
        <v>21886</v>
      </c>
      <c r="C7393" t="s">
        <v>21887</v>
      </c>
    </row>
    <row r="7394" spans="1:3" x14ac:dyDescent="0.35">
      <c r="A7394" t="s">
        <v>21888</v>
      </c>
      <c r="B7394" t="s">
        <v>21889</v>
      </c>
      <c r="C7394" t="s">
        <v>21890</v>
      </c>
    </row>
    <row r="7395" spans="1:3" x14ac:dyDescent="0.35">
      <c r="A7395" t="s">
        <v>21888</v>
      </c>
      <c r="B7395" t="s">
        <v>21891</v>
      </c>
      <c r="C7395" t="s">
        <v>21892</v>
      </c>
    </row>
    <row r="7396" spans="1:3" x14ac:dyDescent="0.35">
      <c r="A7396" t="s">
        <v>21893</v>
      </c>
      <c r="B7396" t="s">
        <v>21894</v>
      </c>
      <c r="C7396" t="s">
        <v>21895</v>
      </c>
    </row>
    <row r="7397" spans="1:3" x14ac:dyDescent="0.35">
      <c r="A7397" t="s">
        <v>21896</v>
      </c>
      <c r="B7397" t="s">
        <v>21897</v>
      </c>
      <c r="C7397" t="s">
        <v>21898</v>
      </c>
    </row>
    <row r="7398" spans="1:3" x14ac:dyDescent="0.35">
      <c r="A7398" t="s">
        <v>21899</v>
      </c>
      <c r="B7398" t="s">
        <v>21900</v>
      </c>
      <c r="C7398" t="s">
        <v>21901</v>
      </c>
    </row>
    <row r="7399" spans="1:3" x14ac:dyDescent="0.35">
      <c r="A7399" t="s">
        <v>21902</v>
      </c>
      <c r="B7399" t="s">
        <v>21903</v>
      </c>
      <c r="C7399" t="s">
        <v>21904</v>
      </c>
    </row>
    <row r="7400" spans="1:3" x14ac:dyDescent="0.35">
      <c r="A7400" t="s">
        <v>21905</v>
      </c>
      <c r="B7400" t="s">
        <v>21906</v>
      </c>
      <c r="C7400" t="s">
        <v>21907</v>
      </c>
    </row>
    <row r="7401" spans="1:3" x14ac:dyDescent="0.35">
      <c r="A7401" t="s">
        <v>21908</v>
      </c>
      <c r="B7401" t="s">
        <v>21909</v>
      </c>
      <c r="C7401" t="s">
        <v>21910</v>
      </c>
    </row>
    <row r="7402" spans="1:3" x14ac:dyDescent="0.35">
      <c r="A7402" t="s">
        <v>21911</v>
      </c>
      <c r="B7402" t="s">
        <v>21912</v>
      </c>
      <c r="C7402" t="s">
        <v>21913</v>
      </c>
    </row>
    <row r="7403" spans="1:3" x14ac:dyDescent="0.35">
      <c r="A7403" t="s">
        <v>21914</v>
      </c>
      <c r="B7403" t="s">
        <v>21915</v>
      </c>
      <c r="C7403" t="s">
        <v>21916</v>
      </c>
    </row>
    <row r="7404" spans="1:3" x14ac:dyDescent="0.35">
      <c r="A7404" t="s">
        <v>21917</v>
      </c>
      <c r="B7404" t="s">
        <v>21918</v>
      </c>
      <c r="C7404" t="s">
        <v>21919</v>
      </c>
    </row>
    <row r="7405" spans="1:3" x14ac:dyDescent="0.35">
      <c r="A7405" t="s">
        <v>21920</v>
      </c>
      <c r="B7405" t="s">
        <v>21921</v>
      </c>
      <c r="C7405" t="s">
        <v>21922</v>
      </c>
    </row>
    <row r="7406" spans="1:3" x14ac:dyDescent="0.35">
      <c r="A7406" t="s">
        <v>21923</v>
      </c>
      <c r="B7406" t="s">
        <v>21924</v>
      </c>
      <c r="C7406" t="s">
        <v>21925</v>
      </c>
    </row>
    <row r="7407" spans="1:3" x14ac:dyDescent="0.35">
      <c r="A7407" t="s">
        <v>21926</v>
      </c>
      <c r="B7407" t="s">
        <v>21927</v>
      </c>
      <c r="C7407" t="s">
        <v>21928</v>
      </c>
    </row>
    <row r="7408" spans="1:3" x14ac:dyDescent="0.35">
      <c r="A7408" t="s">
        <v>21929</v>
      </c>
      <c r="B7408" t="s">
        <v>21930</v>
      </c>
      <c r="C7408" t="s">
        <v>21931</v>
      </c>
    </row>
    <row r="7409" spans="1:3" x14ac:dyDescent="0.35">
      <c r="A7409" t="s">
        <v>21932</v>
      </c>
      <c r="B7409" t="s">
        <v>21933</v>
      </c>
      <c r="C7409" t="s">
        <v>21934</v>
      </c>
    </row>
    <row r="7410" spans="1:3" x14ac:dyDescent="0.35">
      <c r="A7410" t="s">
        <v>21935</v>
      </c>
      <c r="B7410" t="s">
        <v>21936</v>
      </c>
      <c r="C7410" t="s">
        <v>5648</v>
      </c>
    </row>
    <row r="7411" spans="1:3" x14ac:dyDescent="0.35">
      <c r="A7411" t="s">
        <v>21937</v>
      </c>
      <c r="B7411" t="s">
        <v>21938</v>
      </c>
      <c r="C7411" t="s">
        <v>21939</v>
      </c>
    </row>
    <row r="7412" spans="1:3" x14ac:dyDescent="0.35">
      <c r="A7412" t="s">
        <v>21940</v>
      </c>
      <c r="B7412" t="s">
        <v>21941</v>
      </c>
      <c r="C7412" t="s">
        <v>21942</v>
      </c>
    </row>
    <row r="7413" spans="1:3" x14ac:dyDescent="0.35">
      <c r="A7413" t="s">
        <v>21943</v>
      </c>
      <c r="B7413" t="s">
        <v>21944</v>
      </c>
      <c r="C7413" t="s">
        <v>21945</v>
      </c>
    </row>
    <row r="7414" spans="1:3" x14ac:dyDescent="0.35">
      <c r="A7414" t="s">
        <v>21946</v>
      </c>
      <c r="B7414" t="s">
        <v>21947</v>
      </c>
      <c r="C7414" t="s">
        <v>21948</v>
      </c>
    </row>
    <row r="7415" spans="1:3" x14ac:dyDescent="0.35">
      <c r="A7415" t="s">
        <v>21949</v>
      </c>
      <c r="B7415" t="s">
        <v>21950</v>
      </c>
      <c r="C7415" t="s">
        <v>21951</v>
      </c>
    </row>
    <row r="7416" spans="1:3" x14ac:dyDescent="0.35">
      <c r="A7416" t="s">
        <v>21952</v>
      </c>
      <c r="B7416" t="s">
        <v>21953</v>
      </c>
      <c r="C7416" t="s">
        <v>21954</v>
      </c>
    </row>
    <row r="7417" spans="1:3" x14ac:dyDescent="0.35">
      <c r="A7417" t="s">
        <v>21955</v>
      </c>
      <c r="B7417" t="s">
        <v>21956</v>
      </c>
      <c r="C7417" t="s">
        <v>21957</v>
      </c>
    </row>
    <row r="7418" spans="1:3" x14ac:dyDescent="0.35">
      <c r="A7418" t="s">
        <v>21958</v>
      </c>
      <c r="B7418" t="s">
        <v>21959</v>
      </c>
      <c r="C7418" t="s">
        <v>21960</v>
      </c>
    </row>
    <row r="7419" spans="1:3" x14ac:dyDescent="0.35">
      <c r="A7419" t="s">
        <v>21961</v>
      </c>
      <c r="B7419" t="s">
        <v>21962</v>
      </c>
      <c r="C7419" t="s">
        <v>21963</v>
      </c>
    </row>
    <row r="7420" spans="1:3" x14ac:dyDescent="0.35">
      <c r="A7420" t="s">
        <v>21964</v>
      </c>
      <c r="B7420" t="s">
        <v>21965</v>
      </c>
      <c r="C7420" t="s">
        <v>21966</v>
      </c>
    </row>
    <row r="7421" spans="1:3" x14ac:dyDescent="0.35">
      <c r="A7421" t="s">
        <v>21967</v>
      </c>
      <c r="B7421" t="s">
        <v>21968</v>
      </c>
      <c r="C7421" t="s">
        <v>21969</v>
      </c>
    </row>
    <row r="7422" spans="1:3" x14ac:dyDescent="0.35">
      <c r="A7422" t="s">
        <v>21970</v>
      </c>
      <c r="B7422" t="s">
        <v>21971</v>
      </c>
      <c r="C7422" t="s">
        <v>21972</v>
      </c>
    </row>
    <row r="7423" spans="1:3" x14ac:dyDescent="0.35">
      <c r="A7423" t="s">
        <v>21973</v>
      </c>
      <c r="B7423" t="s">
        <v>21974</v>
      </c>
      <c r="C7423" t="s">
        <v>21975</v>
      </c>
    </row>
    <row r="7424" spans="1:3" x14ac:dyDescent="0.35">
      <c r="A7424" t="s">
        <v>21976</v>
      </c>
      <c r="B7424" t="s">
        <v>21977</v>
      </c>
      <c r="C7424" t="s">
        <v>21978</v>
      </c>
    </row>
    <row r="7425" spans="1:3" x14ac:dyDescent="0.35">
      <c r="A7425" t="s">
        <v>21979</v>
      </c>
      <c r="B7425" t="s">
        <v>21980</v>
      </c>
      <c r="C7425" t="s">
        <v>21981</v>
      </c>
    </row>
    <row r="7426" spans="1:3" x14ac:dyDescent="0.35">
      <c r="A7426" t="s">
        <v>21982</v>
      </c>
      <c r="B7426" t="s">
        <v>21983</v>
      </c>
      <c r="C7426" t="s">
        <v>21984</v>
      </c>
    </row>
    <row r="7427" spans="1:3" x14ac:dyDescent="0.35">
      <c r="A7427" t="s">
        <v>21985</v>
      </c>
      <c r="B7427" t="s">
        <v>21986</v>
      </c>
      <c r="C7427" t="s">
        <v>21987</v>
      </c>
    </row>
    <row r="7428" spans="1:3" x14ac:dyDescent="0.35">
      <c r="A7428" t="s">
        <v>21988</v>
      </c>
      <c r="B7428" t="s">
        <v>21989</v>
      </c>
      <c r="C7428" t="s">
        <v>21990</v>
      </c>
    </row>
    <row r="7429" spans="1:3" x14ac:dyDescent="0.35">
      <c r="A7429" t="s">
        <v>21991</v>
      </c>
      <c r="B7429" t="s">
        <v>21992</v>
      </c>
      <c r="C7429" t="s">
        <v>21993</v>
      </c>
    </row>
    <row r="7430" spans="1:3" x14ac:dyDescent="0.35">
      <c r="A7430" t="s">
        <v>21994</v>
      </c>
      <c r="B7430" t="s">
        <v>21995</v>
      </c>
      <c r="C7430" t="s">
        <v>21996</v>
      </c>
    </row>
    <row r="7431" spans="1:3" x14ac:dyDescent="0.35">
      <c r="A7431" t="s">
        <v>21997</v>
      </c>
      <c r="B7431" t="s">
        <v>21998</v>
      </c>
      <c r="C7431" t="s">
        <v>21999</v>
      </c>
    </row>
    <row r="7432" spans="1:3" x14ac:dyDescent="0.35">
      <c r="A7432" t="s">
        <v>22000</v>
      </c>
      <c r="B7432" t="s">
        <v>22001</v>
      </c>
      <c r="C7432" t="s">
        <v>22002</v>
      </c>
    </row>
    <row r="7433" spans="1:3" x14ac:dyDescent="0.35">
      <c r="A7433" t="s">
        <v>22003</v>
      </c>
      <c r="B7433" t="s">
        <v>22004</v>
      </c>
      <c r="C7433" t="s">
        <v>22005</v>
      </c>
    </row>
    <row r="7434" spans="1:3" x14ac:dyDescent="0.35">
      <c r="A7434" t="s">
        <v>22006</v>
      </c>
      <c r="B7434" t="s">
        <v>22007</v>
      </c>
      <c r="C7434" t="s">
        <v>22008</v>
      </c>
    </row>
    <row r="7435" spans="1:3" x14ac:dyDescent="0.35">
      <c r="A7435" t="s">
        <v>22009</v>
      </c>
      <c r="B7435" t="s">
        <v>22010</v>
      </c>
      <c r="C7435" t="s">
        <v>22011</v>
      </c>
    </row>
    <row r="7436" spans="1:3" x14ac:dyDescent="0.35">
      <c r="A7436" t="s">
        <v>22012</v>
      </c>
      <c r="B7436" t="s">
        <v>22013</v>
      </c>
      <c r="C7436" t="s">
        <v>22014</v>
      </c>
    </row>
    <row r="7437" spans="1:3" x14ac:dyDescent="0.35">
      <c r="A7437" t="s">
        <v>22015</v>
      </c>
      <c r="B7437" t="s">
        <v>22016</v>
      </c>
      <c r="C7437" t="s">
        <v>22017</v>
      </c>
    </row>
    <row r="7438" spans="1:3" x14ac:dyDescent="0.35">
      <c r="A7438" t="s">
        <v>22018</v>
      </c>
      <c r="B7438" t="s">
        <v>22019</v>
      </c>
      <c r="C7438" t="s">
        <v>22020</v>
      </c>
    </row>
    <row r="7439" spans="1:3" x14ac:dyDescent="0.35">
      <c r="A7439" t="s">
        <v>22021</v>
      </c>
      <c r="B7439" t="s">
        <v>22022</v>
      </c>
      <c r="C7439" t="s">
        <v>22023</v>
      </c>
    </row>
    <row r="7440" spans="1:3" x14ac:dyDescent="0.35">
      <c r="A7440" t="s">
        <v>22024</v>
      </c>
      <c r="B7440" t="s">
        <v>22025</v>
      </c>
      <c r="C7440" t="s">
        <v>22026</v>
      </c>
    </row>
    <row r="7441" spans="1:3" x14ac:dyDescent="0.35">
      <c r="A7441" t="s">
        <v>22027</v>
      </c>
      <c r="B7441" t="s">
        <v>22028</v>
      </c>
      <c r="C7441" t="s">
        <v>22029</v>
      </c>
    </row>
    <row r="7442" spans="1:3" x14ac:dyDescent="0.35">
      <c r="A7442" t="s">
        <v>22030</v>
      </c>
      <c r="B7442" t="s">
        <v>22031</v>
      </c>
      <c r="C7442" t="s">
        <v>22032</v>
      </c>
    </row>
    <row r="7443" spans="1:3" x14ac:dyDescent="0.35">
      <c r="A7443" t="s">
        <v>22033</v>
      </c>
      <c r="B7443" t="s">
        <v>22034</v>
      </c>
      <c r="C7443" t="s">
        <v>22035</v>
      </c>
    </row>
    <row r="7444" spans="1:3" x14ac:dyDescent="0.35">
      <c r="A7444" t="s">
        <v>22036</v>
      </c>
      <c r="B7444" t="s">
        <v>22037</v>
      </c>
      <c r="C7444" t="s">
        <v>22038</v>
      </c>
    </row>
    <row r="7445" spans="1:3" x14ac:dyDescent="0.35">
      <c r="A7445" t="s">
        <v>22039</v>
      </c>
      <c r="B7445" t="s">
        <v>22040</v>
      </c>
      <c r="C7445" t="s">
        <v>7786</v>
      </c>
    </row>
    <row r="7446" spans="1:3" x14ac:dyDescent="0.35">
      <c r="A7446" t="s">
        <v>22041</v>
      </c>
      <c r="B7446" t="s">
        <v>22042</v>
      </c>
      <c r="C7446" t="s">
        <v>22043</v>
      </c>
    </row>
    <row r="7447" spans="1:3" x14ac:dyDescent="0.35">
      <c r="A7447" t="s">
        <v>22044</v>
      </c>
      <c r="B7447" t="s">
        <v>22045</v>
      </c>
      <c r="C7447" t="s">
        <v>22046</v>
      </c>
    </row>
    <row r="7448" spans="1:3" x14ac:dyDescent="0.35">
      <c r="A7448" t="s">
        <v>22047</v>
      </c>
      <c r="B7448" t="s">
        <v>22048</v>
      </c>
      <c r="C7448" t="s">
        <v>22049</v>
      </c>
    </row>
    <row r="7449" spans="1:3" x14ac:dyDescent="0.35">
      <c r="A7449" t="s">
        <v>22047</v>
      </c>
      <c r="B7449" t="s">
        <v>22050</v>
      </c>
      <c r="C7449" t="s">
        <v>22049</v>
      </c>
    </row>
    <row r="7450" spans="1:3" x14ac:dyDescent="0.35">
      <c r="A7450" t="s">
        <v>22051</v>
      </c>
      <c r="B7450" t="s">
        <v>22052</v>
      </c>
      <c r="C7450" t="s">
        <v>22053</v>
      </c>
    </row>
    <row r="7451" spans="1:3" x14ac:dyDescent="0.35">
      <c r="A7451" t="s">
        <v>22054</v>
      </c>
      <c r="B7451" t="s">
        <v>22055</v>
      </c>
      <c r="C7451" t="s">
        <v>22056</v>
      </c>
    </row>
    <row r="7452" spans="1:3" x14ac:dyDescent="0.35">
      <c r="A7452" t="s">
        <v>22057</v>
      </c>
      <c r="B7452" t="s">
        <v>22058</v>
      </c>
      <c r="C7452" t="s">
        <v>22059</v>
      </c>
    </row>
    <row r="7453" spans="1:3" x14ac:dyDescent="0.35">
      <c r="A7453" t="s">
        <v>22060</v>
      </c>
      <c r="B7453" t="s">
        <v>22061</v>
      </c>
      <c r="C7453" t="s">
        <v>22062</v>
      </c>
    </row>
    <row r="7454" spans="1:3" x14ac:dyDescent="0.35">
      <c r="A7454" t="s">
        <v>22063</v>
      </c>
      <c r="B7454" t="s">
        <v>22064</v>
      </c>
      <c r="C7454" t="s">
        <v>22065</v>
      </c>
    </row>
    <row r="7455" spans="1:3" x14ac:dyDescent="0.35">
      <c r="A7455" t="s">
        <v>22066</v>
      </c>
      <c r="B7455" t="s">
        <v>22067</v>
      </c>
      <c r="C7455" t="s">
        <v>22068</v>
      </c>
    </row>
    <row r="7456" spans="1:3" x14ac:dyDescent="0.35">
      <c r="A7456" t="s">
        <v>22069</v>
      </c>
      <c r="B7456" t="s">
        <v>22070</v>
      </c>
      <c r="C7456" t="s">
        <v>22071</v>
      </c>
    </row>
    <row r="7457" spans="1:3" x14ac:dyDescent="0.35">
      <c r="A7457" t="s">
        <v>22072</v>
      </c>
      <c r="B7457" t="s">
        <v>22073</v>
      </c>
      <c r="C7457" t="s">
        <v>22074</v>
      </c>
    </row>
    <row r="7458" spans="1:3" x14ac:dyDescent="0.35">
      <c r="A7458" t="s">
        <v>22075</v>
      </c>
      <c r="B7458" t="s">
        <v>22076</v>
      </c>
      <c r="C7458" t="s">
        <v>22077</v>
      </c>
    </row>
    <row r="7459" spans="1:3" x14ac:dyDescent="0.35">
      <c r="A7459" t="s">
        <v>22078</v>
      </c>
      <c r="B7459" t="s">
        <v>22079</v>
      </c>
      <c r="C7459" t="s">
        <v>22080</v>
      </c>
    </row>
    <row r="7460" spans="1:3" x14ac:dyDescent="0.35">
      <c r="A7460" t="s">
        <v>22081</v>
      </c>
      <c r="B7460" t="s">
        <v>22082</v>
      </c>
      <c r="C7460" t="s">
        <v>22083</v>
      </c>
    </row>
    <row r="7461" spans="1:3" x14ac:dyDescent="0.35">
      <c r="A7461" t="s">
        <v>22084</v>
      </c>
      <c r="B7461" t="s">
        <v>22085</v>
      </c>
      <c r="C7461" t="s">
        <v>22086</v>
      </c>
    </row>
    <row r="7462" spans="1:3" x14ac:dyDescent="0.35">
      <c r="A7462" t="s">
        <v>22087</v>
      </c>
      <c r="B7462" t="s">
        <v>22088</v>
      </c>
      <c r="C7462" t="s">
        <v>22089</v>
      </c>
    </row>
    <row r="7463" spans="1:3" x14ac:dyDescent="0.35">
      <c r="A7463" t="s">
        <v>22090</v>
      </c>
      <c r="B7463" t="s">
        <v>22091</v>
      </c>
      <c r="C7463" t="s">
        <v>22092</v>
      </c>
    </row>
    <row r="7464" spans="1:3" x14ac:dyDescent="0.35">
      <c r="A7464" t="s">
        <v>22093</v>
      </c>
      <c r="B7464" t="s">
        <v>22094</v>
      </c>
      <c r="C7464" t="s">
        <v>22095</v>
      </c>
    </row>
    <row r="7465" spans="1:3" x14ac:dyDescent="0.35">
      <c r="A7465" t="s">
        <v>22096</v>
      </c>
      <c r="B7465" t="s">
        <v>22097</v>
      </c>
      <c r="C7465" t="s">
        <v>22098</v>
      </c>
    </row>
    <row r="7466" spans="1:3" x14ac:dyDescent="0.35">
      <c r="A7466" t="s">
        <v>22099</v>
      </c>
      <c r="B7466" t="s">
        <v>22100</v>
      </c>
      <c r="C7466" t="s">
        <v>22101</v>
      </c>
    </row>
    <row r="7467" spans="1:3" x14ac:dyDescent="0.35">
      <c r="A7467" t="s">
        <v>22102</v>
      </c>
      <c r="B7467" t="s">
        <v>22103</v>
      </c>
      <c r="C7467" t="s">
        <v>22104</v>
      </c>
    </row>
    <row r="7468" spans="1:3" x14ac:dyDescent="0.35">
      <c r="A7468" t="s">
        <v>22105</v>
      </c>
      <c r="B7468" t="s">
        <v>22106</v>
      </c>
      <c r="C7468" t="s">
        <v>22107</v>
      </c>
    </row>
    <row r="7469" spans="1:3" x14ac:dyDescent="0.35">
      <c r="A7469" t="s">
        <v>22108</v>
      </c>
      <c r="B7469" t="s">
        <v>22109</v>
      </c>
      <c r="C7469" t="s">
        <v>22110</v>
      </c>
    </row>
    <row r="7470" spans="1:3" x14ac:dyDescent="0.35">
      <c r="A7470" t="s">
        <v>22111</v>
      </c>
      <c r="B7470" t="s">
        <v>22112</v>
      </c>
      <c r="C7470" t="s">
        <v>22113</v>
      </c>
    </row>
    <row r="7471" spans="1:3" x14ac:dyDescent="0.35">
      <c r="A7471" t="s">
        <v>22114</v>
      </c>
      <c r="B7471" t="s">
        <v>22115</v>
      </c>
      <c r="C7471" t="s">
        <v>22116</v>
      </c>
    </row>
    <row r="7472" spans="1:3" x14ac:dyDescent="0.35">
      <c r="A7472" t="s">
        <v>22117</v>
      </c>
      <c r="B7472" t="s">
        <v>22118</v>
      </c>
      <c r="C7472" t="s">
        <v>22119</v>
      </c>
    </row>
    <row r="7473" spans="1:3" x14ac:dyDescent="0.35">
      <c r="A7473" t="s">
        <v>22120</v>
      </c>
      <c r="B7473" t="s">
        <v>22121</v>
      </c>
      <c r="C7473" t="s">
        <v>22122</v>
      </c>
    </row>
    <row r="7474" spans="1:3" x14ac:dyDescent="0.35">
      <c r="A7474" t="s">
        <v>22123</v>
      </c>
      <c r="B7474" t="s">
        <v>22124</v>
      </c>
      <c r="C7474" t="s">
        <v>22125</v>
      </c>
    </row>
    <row r="7475" spans="1:3" x14ac:dyDescent="0.35">
      <c r="A7475" t="s">
        <v>22126</v>
      </c>
      <c r="B7475" t="s">
        <v>22127</v>
      </c>
      <c r="C7475" t="s">
        <v>22128</v>
      </c>
    </row>
    <row r="7476" spans="1:3" x14ac:dyDescent="0.35">
      <c r="A7476" t="s">
        <v>22129</v>
      </c>
      <c r="B7476" t="s">
        <v>22130</v>
      </c>
      <c r="C7476" t="s">
        <v>22131</v>
      </c>
    </row>
    <row r="7477" spans="1:3" x14ac:dyDescent="0.35">
      <c r="A7477" t="s">
        <v>22132</v>
      </c>
      <c r="B7477" t="s">
        <v>22133</v>
      </c>
      <c r="C7477" t="s">
        <v>22134</v>
      </c>
    </row>
    <row r="7478" spans="1:3" x14ac:dyDescent="0.35">
      <c r="A7478" t="s">
        <v>22135</v>
      </c>
      <c r="B7478" t="s">
        <v>22136</v>
      </c>
      <c r="C7478" t="s">
        <v>22137</v>
      </c>
    </row>
    <row r="7479" spans="1:3" x14ac:dyDescent="0.35">
      <c r="A7479" t="s">
        <v>22138</v>
      </c>
      <c r="B7479" t="s">
        <v>22139</v>
      </c>
      <c r="C7479" t="s">
        <v>22140</v>
      </c>
    </row>
    <row r="7480" spans="1:3" x14ac:dyDescent="0.35">
      <c r="A7480" t="s">
        <v>22141</v>
      </c>
      <c r="B7480" t="s">
        <v>22142</v>
      </c>
      <c r="C7480" t="s">
        <v>22143</v>
      </c>
    </row>
    <row r="7481" spans="1:3" x14ac:dyDescent="0.35">
      <c r="A7481" t="s">
        <v>22144</v>
      </c>
      <c r="B7481" t="s">
        <v>22145</v>
      </c>
      <c r="C7481" t="s">
        <v>22146</v>
      </c>
    </row>
    <row r="7482" spans="1:3" x14ac:dyDescent="0.35">
      <c r="A7482" t="s">
        <v>22147</v>
      </c>
      <c r="B7482" t="s">
        <v>22148</v>
      </c>
      <c r="C7482" t="s">
        <v>22149</v>
      </c>
    </row>
    <row r="7483" spans="1:3" x14ac:dyDescent="0.35">
      <c r="A7483" t="s">
        <v>22150</v>
      </c>
      <c r="B7483" t="s">
        <v>22151</v>
      </c>
      <c r="C7483" t="s">
        <v>22152</v>
      </c>
    </row>
    <row r="7484" spans="1:3" x14ac:dyDescent="0.35">
      <c r="A7484" t="s">
        <v>22153</v>
      </c>
      <c r="B7484" t="s">
        <v>22154</v>
      </c>
      <c r="C7484" t="s">
        <v>22155</v>
      </c>
    </row>
    <row r="7485" spans="1:3" x14ac:dyDescent="0.35">
      <c r="A7485" t="s">
        <v>22156</v>
      </c>
      <c r="B7485" t="s">
        <v>22157</v>
      </c>
      <c r="C7485" t="s">
        <v>22158</v>
      </c>
    </row>
    <row r="7486" spans="1:3" x14ac:dyDescent="0.35">
      <c r="A7486" t="s">
        <v>22159</v>
      </c>
      <c r="B7486" t="s">
        <v>22160</v>
      </c>
      <c r="C7486" t="s">
        <v>22161</v>
      </c>
    </row>
    <row r="7487" spans="1:3" x14ac:dyDescent="0.35">
      <c r="A7487" t="s">
        <v>22162</v>
      </c>
      <c r="B7487" t="s">
        <v>22163</v>
      </c>
      <c r="C7487" t="s">
        <v>22164</v>
      </c>
    </row>
    <row r="7488" spans="1:3" x14ac:dyDescent="0.35">
      <c r="A7488" t="s">
        <v>22165</v>
      </c>
      <c r="B7488" t="s">
        <v>22166</v>
      </c>
      <c r="C7488" t="s">
        <v>22167</v>
      </c>
    </row>
    <row r="7489" spans="1:3" x14ac:dyDescent="0.35">
      <c r="A7489" t="s">
        <v>22168</v>
      </c>
      <c r="B7489" t="s">
        <v>22169</v>
      </c>
      <c r="C7489" t="s">
        <v>22170</v>
      </c>
    </row>
    <row r="7490" spans="1:3" x14ac:dyDescent="0.35">
      <c r="A7490" t="s">
        <v>22171</v>
      </c>
      <c r="B7490" t="s">
        <v>22172</v>
      </c>
      <c r="C7490" t="s">
        <v>22173</v>
      </c>
    </row>
    <row r="7491" spans="1:3" x14ac:dyDescent="0.35">
      <c r="A7491" t="s">
        <v>22174</v>
      </c>
      <c r="B7491" t="s">
        <v>22175</v>
      </c>
      <c r="C7491" t="s">
        <v>22176</v>
      </c>
    </row>
    <row r="7492" spans="1:3" x14ac:dyDescent="0.35">
      <c r="A7492" t="s">
        <v>22177</v>
      </c>
      <c r="B7492" t="s">
        <v>22178</v>
      </c>
      <c r="C7492" t="s">
        <v>22179</v>
      </c>
    </row>
    <row r="7493" spans="1:3" x14ac:dyDescent="0.35">
      <c r="A7493" t="s">
        <v>22180</v>
      </c>
      <c r="B7493" t="s">
        <v>22181</v>
      </c>
      <c r="C7493" t="s">
        <v>22182</v>
      </c>
    </row>
    <row r="7494" spans="1:3" x14ac:dyDescent="0.35">
      <c r="A7494" t="s">
        <v>22183</v>
      </c>
      <c r="B7494" t="s">
        <v>22184</v>
      </c>
      <c r="C7494" t="s">
        <v>22185</v>
      </c>
    </row>
    <row r="7495" spans="1:3" x14ac:dyDescent="0.35">
      <c r="A7495" t="s">
        <v>22186</v>
      </c>
      <c r="B7495" t="s">
        <v>22187</v>
      </c>
      <c r="C7495" t="s">
        <v>22188</v>
      </c>
    </row>
    <row r="7496" spans="1:3" x14ac:dyDescent="0.35">
      <c r="A7496" t="s">
        <v>22189</v>
      </c>
      <c r="B7496" t="s">
        <v>22190</v>
      </c>
      <c r="C7496" t="s">
        <v>22191</v>
      </c>
    </row>
    <row r="7497" spans="1:3" x14ac:dyDescent="0.35">
      <c r="A7497" t="s">
        <v>22192</v>
      </c>
      <c r="B7497" t="s">
        <v>22193</v>
      </c>
      <c r="C7497" t="s">
        <v>22194</v>
      </c>
    </row>
    <row r="7498" spans="1:3" x14ac:dyDescent="0.35">
      <c r="A7498" t="s">
        <v>22195</v>
      </c>
      <c r="B7498" t="s">
        <v>22196</v>
      </c>
      <c r="C7498" t="s">
        <v>22197</v>
      </c>
    </row>
    <row r="7499" spans="1:3" x14ac:dyDescent="0.35">
      <c r="A7499" t="s">
        <v>22198</v>
      </c>
      <c r="B7499" t="s">
        <v>22199</v>
      </c>
      <c r="C7499" t="s">
        <v>22200</v>
      </c>
    </row>
    <row r="7500" spans="1:3" x14ac:dyDescent="0.35">
      <c r="A7500" t="s">
        <v>22201</v>
      </c>
      <c r="B7500" t="s">
        <v>22202</v>
      </c>
      <c r="C7500" t="s">
        <v>22203</v>
      </c>
    </row>
    <row r="7501" spans="1:3" x14ac:dyDescent="0.35">
      <c r="A7501" t="s">
        <v>22204</v>
      </c>
      <c r="B7501" t="s">
        <v>22205</v>
      </c>
      <c r="C7501" t="s">
        <v>22206</v>
      </c>
    </row>
    <row r="7502" spans="1:3" x14ac:dyDescent="0.35">
      <c r="A7502" t="s">
        <v>22207</v>
      </c>
      <c r="B7502" t="s">
        <v>22208</v>
      </c>
      <c r="C7502" t="s">
        <v>22209</v>
      </c>
    </row>
    <row r="7503" spans="1:3" x14ac:dyDescent="0.35">
      <c r="A7503" t="s">
        <v>22210</v>
      </c>
      <c r="B7503" t="s">
        <v>22211</v>
      </c>
      <c r="C7503" t="s">
        <v>22212</v>
      </c>
    </row>
    <row r="7504" spans="1:3" x14ac:dyDescent="0.35">
      <c r="A7504" t="s">
        <v>22213</v>
      </c>
      <c r="B7504" t="s">
        <v>22214</v>
      </c>
      <c r="C7504" t="s">
        <v>22215</v>
      </c>
    </row>
    <row r="7505" spans="1:3" x14ac:dyDescent="0.35">
      <c r="A7505" t="s">
        <v>22216</v>
      </c>
      <c r="B7505" t="s">
        <v>22217</v>
      </c>
      <c r="C7505" t="s">
        <v>22218</v>
      </c>
    </row>
    <row r="7506" spans="1:3" x14ac:dyDescent="0.35">
      <c r="A7506" t="s">
        <v>22219</v>
      </c>
      <c r="B7506" t="s">
        <v>22220</v>
      </c>
      <c r="C7506" t="s">
        <v>22221</v>
      </c>
    </row>
    <row r="7507" spans="1:3" x14ac:dyDescent="0.35">
      <c r="A7507" t="s">
        <v>22222</v>
      </c>
      <c r="B7507" t="s">
        <v>22223</v>
      </c>
      <c r="C7507" t="s">
        <v>22224</v>
      </c>
    </row>
    <row r="7508" spans="1:3" x14ac:dyDescent="0.35">
      <c r="A7508" t="s">
        <v>22225</v>
      </c>
      <c r="B7508" t="s">
        <v>22226</v>
      </c>
      <c r="C7508" t="s">
        <v>22227</v>
      </c>
    </row>
    <row r="7509" spans="1:3" x14ac:dyDescent="0.35">
      <c r="A7509" t="s">
        <v>22228</v>
      </c>
      <c r="B7509" t="s">
        <v>22229</v>
      </c>
      <c r="C7509" t="s">
        <v>22230</v>
      </c>
    </row>
    <row r="7510" spans="1:3" x14ac:dyDescent="0.35">
      <c r="A7510" t="s">
        <v>22231</v>
      </c>
      <c r="B7510" t="s">
        <v>22232</v>
      </c>
      <c r="C7510" t="s">
        <v>22233</v>
      </c>
    </row>
    <row r="7511" spans="1:3" x14ac:dyDescent="0.35">
      <c r="A7511" t="s">
        <v>22234</v>
      </c>
      <c r="B7511" t="s">
        <v>22235</v>
      </c>
      <c r="C7511" t="s">
        <v>22236</v>
      </c>
    </row>
    <row r="7512" spans="1:3" x14ac:dyDescent="0.35">
      <c r="A7512" t="s">
        <v>22237</v>
      </c>
      <c r="B7512" t="s">
        <v>22238</v>
      </c>
      <c r="C7512" t="s">
        <v>22239</v>
      </c>
    </row>
    <row r="7513" spans="1:3" x14ac:dyDescent="0.35">
      <c r="A7513" t="s">
        <v>22240</v>
      </c>
      <c r="B7513" t="s">
        <v>22241</v>
      </c>
      <c r="C7513" t="s">
        <v>22242</v>
      </c>
    </row>
    <row r="7514" spans="1:3" x14ac:dyDescent="0.35">
      <c r="A7514" t="s">
        <v>22243</v>
      </c>
      <c r="B7514" t="s">
        <v>22244</v>
      </c>
      <c r="C7514" t="s">
        <v>22245</v>
      </c>
    </row>
    <row r="7515" spans="1:3" x14ac:dyDescent="0.35">
      <c r="A7515" t="s">
        <v>22246</v>
      </c>
      <c r="B7515" t="s">
        <v>22247</v>
      </c>
      <c r="C7515" t="s">
        <v>22248</v>
      </c>
    </row>
    <row r="7516" spans="1:3" x14ac:dyDescent="0.35">
      <c r="A7516" t="s">
        <v>22249</v>
      </c>
      <c r="B7516" t="s">
        <v>22250</v>
      </c>
      <c r="C7516" t="s">
        <v>22251</v>
      </c>
    </row>
    <row r="7517" spans="1:3" x14ac:dyDescent="0.35">
      <c r="A7517" t="s">
        <v>22252</v>
      </c>
      <c r="B7517" t="s">
        <v>22253</v>
      </c>
      <c r="C7517" t="s">
        <v>22254</v>
      </c>
    </row>
    <row r="7518" spans="1:3" x14ac:dyDescent="0.35">
      <c r="A7518" t="s">
        <v>22255</v>
      </c>
      <c r="B7518" t="s">
        <v>22256</v>
      </c>
      <c r="C7518" t="s">
        <v>22257</v>
      </c>
    </row>
    <row r="7519" spans="1:3" x14ac:dyDescent="0.35">
      <c r="A7519" t="s">
        <v>22258</v>
      </c>
      <c r="B7519" t="s">
        <v>22259</v>
      </c>
      <c r="C7519" t="s">
        <v>22260</v>
      </c>
    </row>
    <row r="7520" spans="1:3" x14ac:dyDescent="0.35">
      <c r="A7520" t="s">
        <v>22261</v>
      </c>
      <c r="B7520" t="s">
        <v>22262</v>
      </c>
      <c r="C7520" t="s">
        <v>22263</v>
      </c>
    </row>
    <row r="7521" spans="1:3" x14ac:dyDescent="0.35">
      <c r="A7521" t="s">
        <v>22264</v>
      </c>
      <c r="B7521" t="s">
        <v>22265</v>
      </c>
      <c r="C7521" t="s">
        <v>22266</v>
      </c>
    </row>
    <row r="7522" spans="1:3" x14ac:dyDescent="0.35">
      <c r="A7522" t="s">
        <v>22267</v>
      </c>
      <c r="B7522" t="s">
        <v>22268</v>
      </c>
      <c r="C7522" t="s">
        <v>22269</v>
      </c>
    </row>
    <row r="7523" spans="1:3" x14ac:dyDescent="0.35">
      <c r="A7523" t="s">
        <v>22270</v>
      </c>
      <c r="B7523" t="s">
        <v>22271</v>
      </c>
      <c r="C7523" t="s">
        <v>22272</v>
      </c>
    </row>
    <row r="7524" spans="1:3" x14ac:dyDescent="0.35">
      <c r="A7524" t="s">
        <v>22273</v>
      </c>
      <c r="B7524" t="s">
        <v>22274</v>
      </c>
      <c r="C7524" t="s">
        <v>22275</v>
      </c>
    </row>
    <row r="7525" spans="1:3" x14ac:dyDescent="0.35">
      <c r="A7525" t="s">
        <v>22276</v>
      </c>
      <c r="B7525" t="s">
        <v>22277</v>
      </c>
      <c r="C7525" t="s">
        <v>22278</v>
      </c>
    </row>
    <row r="7526" spans="1:3" x14ac:dyDescent="0.35">
      <c r="A7526" t="s">
        <v>22279</v>
      </c>
      <c r="B7526" t="s">
        <v>22280</v>
      </c>
      <c r="C7526" t="s">
        <v>22281</v>
      </c>
    </row>
    <row r="7527" spans="1:3" x14ac:dyDescent="0.35">
      <c r="A7527" t="s">
        <v>22282</v>
      </c>
      <c r="B7527" t="s">
        <v>22283</v>
      </c>
      <c r="C7527" t="s">
        <v>22284</v>
      </c>
    </row>
    <row r="7528" spans="1:3" x14ac:dyDescent="0.35">
      <c r="A7528" t="s">
        <v>22285</v>
      </c>
      <c r="B7528" t="s">
        <v>22286</v>
      </c>
      <c r="C7528" t="s">
        <v>22287</v>
      </c>
    </row>
    <row r="7529" spans="1:3" x14ac:dyDescent="0.35">
      <c r="A7529" t="s">
        <v>22288</v>
      </c>
      <c r="B7529" t="s">
        <v>22289</v>
      </c>
      <c r="C7529" t="s">
        <v>22290</v>
      </c>
    </row>
    <row r="7530" spans="1:3" x14ac:dyDescent="0.35">
      <c r="A7530" t="s">
        <v>22291</v>
      </c>
      <c r="B7530" t="s">
        <v>22292</v>
      </c>
      <c r="C7530" t="s">
        <v>22293</v>
      </c>
    </row>
    <row r="7531" spans="1:3" x14ac:dyDescent="0.35">
      <c r="A7531" t="s">
        <v>22294</v>
      </c>
      <c r="B7531" t="s">
        <v>22295</v>
      </c>
      <c r="C7531" t="s">
        <v>22296</v>
      </c>
    </row>
    <row r="7532" spans="1:3" x14ac:dyDescent="0.35">
      <c r="A7532" t="s">
        <v>22297</v>
      </c>
      <c r="B7532" t="s">
        <v>22298</v>
      </c>
      <c r="C7532" t="s">
        <v>22299</v>
      </c>
    </row>
    <row r="7533" spans="1:3" x14ac:dyDescent="0.35">
      <c r="A7533" t="s">
        <v>22300</v>
      </c>
      <c r="B7533" t="s">
        <v>22301</v>
      </c>
      <c r="C7533" t="s">
        <v>22302</v>
      </c>
    </row>
    <row r="7534" spans="1:3" x14ac:dyDescent="0.35">
      <c r="A7534" t="s">
        <v>22303</v>
      </c>
      <c r="B7534" t="s">
        <v>22304</v>
      </c>
      <c r="C7534" t="s">
        <v>22305</v>
      </c>
    </row>
    <row r="7535" spans="1:3" x14ac:dyDescent="0.35">
      <c r="A7535" t="s">
        <v>22306</v>
      </c>
      <c r="B7535" t="s">
        <v>22307</v>
      </c>
      <c r="C7535" t="s">
        <v>22308</v>
      </c>
    </row>
    <row r="7536" spans="1:3" x14ac:dyDescent="0.35">
      <c r="A7536" t="s">
        <v>22309</v>
      </c>
      <c r="B7536" t="s">
        <v>22310</v>
      </c>
      <c r="C7536" t="s">
        <v>22311</v>
      </c>
    </row>
    <row r="7537" spans="1:3" x14ac:dyDescent="0.35">
      <c r="A7537" t="s">
        <v>22312</v>
      </c>
      <c r="B7537" t="s">
        <v>22313</v>
      </c>
      <c r="C7537" t="s">
        <v>22314</v>
      </c>
    </row>
    <row r="7538" spans="1:3" x14ac:dyDescent="0.35">
      <c r="A7538" t="s">
        <v>22315</v>
      </c>
      <c r="B7538" t="s">
        <v>22316</v>
      </c>
      <c r="C7538" t="s">
        <v>22317</v>
      </c>
    </row>
    <row r="7539" spans="1:3" x14ac:dyDescent="0.35">
      <c r="A7539" t="s">
        <v>22318</v>
      </c>
      <c r="B7539" t="s">
        <v>22319</v>
      </c>
      <c r="C7539" t="s">
        <v>22320</v>
      </c>
    </row>
    <row r="7540" spans="1:3" x14ac:dyDescent="0.35">
      <c r="A7540" t="s">
        <v>22321</v>
      </c>
      <c r="B7540" t="s">
        <v>22322</v>
      </c>
      <c r="C7540" t="s">
        <v>22323</v>
      </c>
    </row>
    <row r="7541" spans="1:3" x14ac:dyDescent="0.35">
      <c r="A7541" t="s">
        <v>22324</v>
      </c>
      <c r="B7541" t="s">
        <v>22325</v>
      </c>
      <c r="C7541" t="s">
        <v>22326</v>
      </c>
    </row>
    <row r="7542" spans="1:3" x14ac:dyDescent="0.35">
      <c r="A7542" t="s">
        <v>22327</v>
      </c>
      <c r="B7542" t="s">
        <v>22328</v>
      </c>
      <c r="C7542" t="s">
        <v>22329</v>
      </c>
    </row>
    <row r="7543" spans="1:3" x14ac:dyDescent="0.35">
      <c r="A7543" t="s">
        <v>22330</v>
      </c>
      <c r="B7543" t="s">
        <v>22331</v>
      </c>
      <c r="C7543" t="s">
        <v>22332</v>
      </c>
    </row>
    <row r="7544" spans="1:3" x14ac:dyDescent="0.35">
      <c r="A7544" t="s">
        <v>22333</v>
      </c>
      <c r="B7544" t="s">
        <v>22334</v>
      </c>
      <c r="C7544" t="s">
        <v>22335</v>
      </c>
    </row>
    <row r="7545" spans="1:3" x14ac:dyDescent="0.35">
      <c r="A7545" t="s">
        <v>22336</v>
      </c>
      <c r="B7545" t="s">
        <v>22337</v>
      </c>
      <c r="C7545" t="s">
        <v>22338</v>
      </c>
    </row>
    <row r="7546" spans="1:3" x14ac:dyDescent="0.35">
      <c r="A7546" t="s">
        <v>22339</v>
      </c>
      <c r="B7546" t="s">
        <v>22340</v>
      </c>
      <c r="C7546" t="s">
        <v>22341</v>
      </c>
    </row>
    <row r="7547" spans="1:3" x14ac:dyDescent="0.35">
      <c r="A7547" t="s">
        <v>22342</v>
      </c>
      <c r="B7547" t="s">
        <v>22343</v>
      </c>
      <c r="C7547" t="s">
        <v>22344</v>
      </c>
    </row>
    <row r="7548" spans="1:3" x14ac:dyDescent="0.35">
      <c r="A7548" t="s">
        <v>22345</v>
      </c>
      <c r="B7548" t="s">
        <v>22346</v>
      </c>
      <c r="C7548" t="s">
        <v>22347</v>
      </c>
    </row>
    <row r="7549" spans="1:3" x14ac:dyDescent="0.35">
      <c r="A7549" t="s">
        <v>22348</v>
      </c>
      <c r="B7549" t="s">
        <v>22349</v>
      </c>
      <c r="C7549" t="s">
        <v>22350</v>
      </c>
    </row>
    <row r="7550" spans="1:3" x14ac:dyDescent="0.35">
      <c r="A7550" t="s">
        <v>22351</v>
      </c>
      <c r="B7550" t="s">
        <v>22352</v>
      </c>
      <c r="C7550" t="s">
        <v>22353</v>
      </c>
    </row>
    <row r="7551" spans="1:3" x14ac:dyDescent="0.35">
      <c r="A7551" t="s">
        <v>22354</v>
      </c>
      <c r="B7551" t="s">
        <v>22355</v>
      </c>
      <c r="C7551" t="s">
        <v>22356</v>
      </c>
    </row>
    <row r="7552" spans="1:3" x14ac:dyDescent="0.35">
      <c r="A7552" t="s">
        <v>22357</v>
      </c>
      <c r="B7552" t="s">
        <v>22358</v>
      </c>
      <c r="C7552" t="s">
        <v>22359</v>
      </c>
    </row>
    <row r="7553" spans="1:3" x14ac:dyDescent="0.35">
      <c r="A7553" t="s">
        <v>22360</v>
      </c>
      <c r="B7553" t="s">
        <v>22361</v>
      </c>
      <c r="C7553" t="s">
        <v>22362</v>
      </c>
    </row>
    <row r="7554" spans="1:3" x14ac:dyDescent="0.35">
      <c r="A7554" t="s">
        <v>22363</v>
      </c>
      <c r="B7554" t="s">
        <v>22364</v>
      </c>
      <c r="C7554" t="s">
        <v>22365</v>
      </c>
    </row>
    <row r="7555" spans="1:3" x14ac:dyDescent="0.35">
      <c r="A7555" t="s">
        <v>22366</v>
      </c>
      <c r="B7555" t="s">
        <v>22367</v>
      </c>
      <c r="C7555" t="s">
        <v>22368</v>
      </c>
    </row>
    <row r="7556" spans="1:3" x14ac:dyDescent="0.35">
      <c r="A7556" t="s">
        <v>22369</v>
      </c>
      <c r="B7556" t="s">
        <v>22370</v>
      </c>
      <c r="C7556" t="s">
        <v>22371</v>
      </c>
    </row>
    <row r="7557" spans="1:3" x14ac:dyDescent="0.35">
      <c r="A7557" t="s">
        <v>22372</v>
      </c>
      <c r="B7557" t="s">
        <v>22373</v>
      </c>
      <c r="C7557" t="s">
        <v>22374</v>
      </c>
    </row>
    <row r="7558" spans="1:3" x14ac:dyDescent="0.35">
      <c r="A7558" t="s">
        <v>22375</v>
      </c>
      <c r="B7558" t="s">
        <v>22376</v>
      </c>
      <c r="C7558" t="s">
        <v>22377</v>
      </c>
    </row>
    <row r="7559" spans="1:3" x14ac:dyDescent="0.35">
      <c r="A7559" t="s">
        <v>22378</v>
      </c>
      <c r="B7559" t="s">
        <v>22379</v>
      </c>
      <c r="C7559" t="s">
        <v>22380</v>
      </c>
    </row>
    <row r="7560" spans="1:3" x14ac:dyDescent="0.35">
      <c r="A7560" t="s">
        <v>22381</v>
      </c>
      <c r="B7560" t="s">
        <v>22382</v>
      </c>
      <c r="C7560" t="s">
        <v>22383</v>
      </c>
    </row>
    <row r="7561" spans="1:3" x14ac:dyDescent="0.35">
      <c r="A7561" t="s">
        <v>22384</v>
      </c>
      <c r="B7561" t="s">
        <v>22385</v>
      </c>
      <c r="C7561" t="s">
        <v>22386</v>
      </c>
    </row>
    <row r="7562" spans="1:3" x14ac:dyDescent="0.35">
      <c r="A7562" t="s">
        <v>22387</v>
      </c>
      <c r="B7562" t="s">
        <v>22388</v>
      </c>
      <c r="C7562" t="s">
        <v>22389</v>
      </c>
    </row>
    <row r="7563" spans="1:3" x14ac:dyDescent="0.35">
      <c r="A7563" t="s">
        <v>22390</v>
      </c>
      <c r="B7563" t="s">
        <v>22391</v>
      </c>
      <c r="C7563" t="s">
        <v>22392</v>
      </c>
    </row>
    <row r="7564" spans="1:3" x14ac:dyDescent="0.35">
      <c r="A7564" t="s">
        <v>22393</v>
      </c>
      <c r="B7564" t="s">
        <v>22394</v>
      </c>
      <c r="C7564" t="s">
        <v>22395</v>
      </c>
    </row>
    <row r="7565" spans="1:3" x14ac:dyDescent="0.35">
      <c r="A7565" t="s">
        <v>22396</v>
      </c>
      <c r="B7565" t="s">
        <v>22397</v>
      </c>
      <c r="C7565" t="s">
        <v>22398</v>
      </c>
    </row>
    <row r="7566" spans="1:3" x14ac:dyDescent="0.35">
      <c r="A7566" t="s">
        <v>22399</v>
      </c>
      <c r="B7566" t="s">
        <v>22400</v>
      </c>
      <c r="C7566" t="s">
        <v>22401</v>
      </c>
    </row>
    <row r="7567" spans="1:3" x14ac:dyDescent="0.35">
      <c r="A7567" t="s">
        <v>22402</v>
      </c>
      <c r="B7567" t="s">
        <v>22403</v>
      </c>
      <c r="C7567" t="s">
        <v>22404</v>
      </c>
    </row>
    <row r="7568" spans="1:3" x14ac:dyDescent="0.35">
      <c r="A7568" t="s">
        <v>22405</v>
      </c>
      <c r="B7568" t="s">
        <v>22406</v>
      </c>
      <c r="C7568" t="s">
        <v>22407</v>
      </c>
    </row>
    <row r="7569" spans="1:3" x14ac:dyDescent="0.35">
      <c r="A7569" t="s">
        <v>22408</v>
      </c>
      <c r="B7569" t="s">
        <v>22409</v>
      </c>
      <c r="C7569" t="s">
        <v>22410</v>
      </c>
    </row>
    <row r="7570" spans="1:3" x14ac:dyDescent="0.35">
      <c r="A7570" t="s">
        <v>22411</v>
      </c>
      <c r="B7570" t="s">
        <v>22412</v>
      </c>
      <c r="C7570" t="s">
        <v>22413</v>
      </c>
    </row>
    <row r="7571" spans="1:3" x14ac:dyDescent="0.35">
      <c r="A7571" t="s">
        <v>22414</v>
      </c>
      <c r="B7571" t="s">
        <v>22415</v>
      </c>
      <c r="C7571" t="s">
        <v>22416</v>
      </c>
    </row>
    <row r="7572" spans="1:3" x14ac:dyDescent="0.35">
      <c r="A7572" t="s">
        <v>22417</v>
      </c>
      <c r="B7572" t="s">
        <v>22418</v>
      </c>
      <c r="C7572" t="s">
        <v>22419</v>
      </c>
    </row>
    <row r="7573" spans="1:3" x14ac:dyDescent="0.35">
      <c r="A7573" t="s">
        <v>22420</v>
      </c>
      <c r="B7573" t="s">
        <v>22421</v>
      </c>
      <c r="C7573" t="s">
        <v>22422</v>
      </c>
    </row>
    <row r="7574" spans="1:3" x14ac:dyDescent="0.35">
      <c r="A7574" t="s">
        <v>22423</v>
      </c>
      <c r="B7574" t="s">
        <v>22424</v>
      </c>
      <c r="C7574" t="s">
        <v>22425</v>
      </c>
    </row>
    <row r="7575" spans="1:3" x14ac:dyDescent="0.35">
      <c r="A7575" t="s">
        <v>22426</v>
      </c>
      <c r="B7575" t="s">
        <v>22427</v>
      </c>
      <c r="C7575" t="s">
        <v>22428</v>
      </c>
    </row>
    <row r="7576" spans="1:3" x14ac:dyDescent="0.35">
      <c r="A7576" t="s">
        <v>22429</v>
      </c>
      <c r="B7576" t="s">
        <v>22430</v>
      </c>
      <c r="C7576" t="s">
        <v>22431</v>
      </c>
    </row>
    <row r="7577" spans="1:3" x14ac:dyDescent="0.35">
      <c r="A7577" t="s">
        <v>22432</v>
      </c>
      <c r="B7577" t="s">
        <v>22433</v>
      </c>
      <c r="C7577" t="s">
        <v>22434</v>
      </c>
    </row>
    <row r="7578" spans="1:3" x14ac:dyDescent="0.35">
      <c r="A7578" t="s">
        <v>22435</v>
      </c>
      <c r="B7578" t="s">
        <v>22436</v>
      </c>
      <c r="C7578" t="s">
        <v>22437</v>
      </c>
    </row>
    <row r="7579" spans="1:3" x14ac:dyDescent="0.35">
      <c r="A7579" t="s">
        <v>22438</v>
      </c>
      <c r="B7579" t="s">
        <v>22439</v>
      </c>
      <c r="C7579" t="s">
        <v>22440</v>
      </c>
    </row>
    <row r="7580" spans="1:3" x14ac:dyDescent="0.35">
      <c r="A7580" t="s">
        <v>22441</v>
      </c>
      <c r="B7580" t="s">
        <v>22442</v>
      </c>
      <c r="C7580" t="s">
        <v>22443</v>
      </c>
    </row>
    <row r="7581" spans="1:3" x14ac:dyDescent="0.35">
      <c r="A7581" t="s">
        <v>22444</v>
      </c>
      <c r="B7581" t="s">
        <v>22445</v>
      </c>
      <c r="C7581" t="s">
        <v>22446</v>
      </c>
    </row>
    <row r="7582" spans="1:3" x14ac:dyDescent="0.35">
      <c r="A7582" t="s">
        <v>22447</v>
      </c>
      <c r="B7582" t="s">
        <v>22448</v>
      </c>
      <c r="C7582" t="s">
        <v>22449</v>
      </c>
    </row>
    <row r="7583" spans="1:3" x14ac:dyDescent="0.35">
      <c r="A7583" t="s">
        <v>22450</v>
      </c>
      <c r="B7583" t="s">
        <v>22451</v>
      </c>
      <c r="C7583" t="s">
        <v>22452</v>
      </c>
    </row>
    <row r="7584" spans="1:3" x14ac:dyDescent="0.35">
      <c r="A7584" t="s">
        <v>22453</v>
      </c>
      <c r="B7584" t="s">
        <v>22454</v>
      </c>
      <c r="C7584" t="s">
        <v>22455</v>
      </c>
    </row>
    <row r="7585" spans="1:3" x14ac:dyDescent="0.35">
      <c r="A7585" t="s">
        <v>22456</v>
      </c>
      <c r="B7585" t="s">
        <v>22457</v>
      </c>
      <c r="C7585" t="s">
        <v>22458</v>
      </c>
    </row>
    <row r="7586" spans="1:3" x14ac:dyDescent="0.35">
      <c r="A7586" t="s">
        <v>22459</v>
      </c>
      <c r="B7586" t="s">
        <v>22460</v>
      </c>
      <c r="C7586" t="s">
        <v>22461</v>
      </c>
    </row>
    <row r="7587" spans="1:3" x14ac:dyDescent="0.35">
      <c r="A7587" t="s">
        <v>22462</v>
      </c>
      <c r="B7587" t="s">
        <v>22463</v>
      </c>
      <c r="C7587" t="s">
        <v>22464</v>
      </c>
    </row>
    <row r="7588" spans="1:3" x14ac:dyDescent="0.35">
      <c r="A7588" t="s">
        <v>22465</v>
      </c>
      <c r="B7588" t="s">
        <v>22466</v>
      </c>
      <c r="C7588" t="s">
        <v>22467</v>
      </c>
    </row>
    <row r="7589" spans="1:3" x14ac:dyDescent="0.35">
      <c r="A7589" t="s">
        <v>22468</v>
      </c>
      <c r="B7589" t="s">
        <v>22469</v>
      </c>
      <c r="C7589" t="s">
        <v>22470</v>
      </c>
    </row>
    <row r="7590" spans="1:3" x14ac:dyDescent="0.35">
      <c r="A7590" t="s">
        <v>22471</v>
      </c>
      <c r="B7590" t="s">
        <v>22472</v>
      </c>
      <c r="C7590" t="s">
        <v>22473</v>
      </c>
    </row>
    <row r="7591" spans="1:3" x14ac:dyDescent="0.35">
      <c r="A7591" t="s">
        <v>22474</v>
      </c>
      <c r="B7591" t="s">
        <v>22475</v>
      </c>
      <c r="C7591" t="s">
        <v>22476</v>
      </c>
    </row>
    <row r="7592" spans="1:3" x14ac:dyDescent="0.35">
      <c r="A7592" t="s">
        <v>22477</v>
      </c>
      <c r="B7592" t="s">
        <v>22478</v>
      </c>
      <c r="C7592" t="s">
        <v>22479</v>
      </c>
    </row>
    <row r="7593" spans="1:3" x14ac:dyDescent="0.35">
      <c r="A7593" t="s">
        <v>22480</v>
      </c>
      <c r="B7593" t="s">
        <v>22481</v>
      </c>
      <c r="C7593" t="s">
        <v>22482</v>
      </c>
    </row>
    <row r="7594" spans="1:3" x14ac:dyDescent="0.35">
      <c r="A7594" t="s">
        <v>22483</v>
      </c>
      <c r="B7594" t="s">
        <v>22484</v>
      </c>
      <c r="C7594" t="s">
        <v>22485</v>
      </c>
    </row>
    <row r="7595" spans="1:3" x14ac:dyDescent="0.35">
      <c r="A7595" t="s">
        <v>22486</v>
      </c>
      <c r="B7595" t="s">
        <v>22487</v>
      </c>
      <c r="C7595" t="s">
        <v>22488</v>
      </c>
    </row>
    <row r="7596" spans="1:3" x14ac:dyDescent="0.35">
      <c r="A7596" t="s">
        <v>22489</v>
      </c>
      <c r="B7596" t="s">
        <v>22490</v>
      </c>
      <c r="C7596" t="s">
        <v>22491</v>
      </c>
    </row>
    <row r="7597" spans="1:3" x14ac:dyDescent="0.35">
      <c r="A7597" t="s">
        <v>22492</v>
      </c>
      <c r="B7597" t="s">
        <v>22493</v>
      </c>
      <c r="C7597" t="s">
        <v>22494</v>
      </c>
    </row>
    <row r="7598" spans="1:3" x14ac:dyDescent="0.35">
      <c r="A7598" t="s">
        <v>22495</v>
      </c>
      <c r="B7598" t="s">
        <v>22496</v>
      </c>
      <c r="C7598" t="s">
        <v>22497</v>
      </c>
    </row>
    <row r="7599" spans="1:3" x14ac:dyDescent="0.35">
      <c r="A7599" t="s">
        <v>22498</v>
      </c>
      <c r="B7599" t="s">
        <v>22499</v>
      </c>
      <c r="C7599" t="s">
        <v>22500</v>
      </c>
    </row>
    <row r="7600" spans="1:3" x14ac:dyDescent="0.35">
      <c r="A7600" t="s">
        <v>22501</v>
      </c>
      <c r="B7600" t="s">
        <v>22502</v>
      </c>
      <c r="C7600" t="s">
        <v>22503</v>
      </c>
    </row>
    <row r="7601" spans="1:3" x14ac:dyDescent="0.35">
      <c r="A7601" t="s">
        <v>22504</v>
      </c>
      <c r="B7601" t="s">
        <v>22505</v>
      </c>
      <c r="C7601" t="s">
        <v>22506</v>
      </c>
    </row>
    <row r="7602" spans="1:3" x14ac:dyDescent="0.35">
      <c r="A7602" t="s">
        <v>22507</v>
      </c>
      <c r="B7602" t="s">
        <v>22508</v>
      </c>
      <c r="C7602" t="s">
        <v>22509</v>
      </c>
    </row>
    <row r="7603" spans="1:3" x14ac:dyDescent="0.35">
      <c r="A7603" t="s">
        <v>22510</v>
      </c>
      <c r="B7603" t="s">
        <v>22511</v>
      </c>
      <c r="C7603" t="s">
        <v>22512</v>
      </c>
    </row>
    <row r="7604" spans="1:3" x14ac:dyDescent="0.35">
      <c r="A7604" t="s">
        <v>22513</v>
      </c>
      <c r="B7604" t="s">
        <v>22514</v>
      </c>
      <c r="C7604" t="s">
        <v>22515</v>
      </c>
    </row>
    <row r="7605" spans="1:3" x14ac:dyDescent="0.35">
      <c r="A7605" t="s">
        <v>22516</v>
      </c>
      <c r="B7605" t="s">
        <v>22517</v>
      </c>
      <c r="C7605" t="s">
        <v>22518</v>
      </c>
    </row>
    <row r="7606" spans="1:3" x14ac:dyDescent="0.35">
      <c r="A7606" t="s">
        <v>22519</v>
      </c>
      <c r="B7606" t="s">
        <v>22520</v>
      </c>
      <c r="C7606" t="s">
        <v>22521</v>
      </c>
    </row>
    <row r="7607" spans="1:3" x14ac:dyDescent="0.35">
      <c r="A7607" t="s">
        <v>22522</v>
      </c>
      <c r="B7607" t="s">
        <v>22523</v>
      </c>
      <c r="C7607" t="s">
        <v>22524</v>
      </c>
    </row>
    <row r="7608" spans="1:3" x14ac:dyDescent="0.35">
      <c r="A7608" t="s">
        <v>22525</v>
      </c>
      <c r="B7608" t="s">
        <v>22526</v>
      </c>
      <c r="C7608" t="s">
        <v>22527</v>
      </c>
    </row>
    <row r="7609" spans="1:3" x14ac:dyDescent="0.35">
      <c r="A7609" t="s">
        <v>22528</v>
      </c>
      <c r="B7609" t="s">
        <v>22529</v>
      </c>
      <c r="C7609" t="s">
        <v>22530</v>
      </c>
    </row>
    <row r="7610" spans="1:3" x14ac:dyDescent="0.35">
      <c r="A7610" t="s">
        <v>22531</v>
      </c>
      <c r="B7610" t="s">
        <v>22532</v>
      </c>
      <c r="C7610" t="s">
        <v>22533</v>
      </c>
    </row>
    <row r="7611" spans="1:3" x14ac:dyDescent="0.35">
      <c r="A7611" t="s">
        <v>22534</v>
      </c>
      <c r="B7611" t="s">
        <v>22535</v>
      </c>
      <c r="C7611" t="s">
        <v>22536</v>
      </c>
    </row>
    <row r="7612" spans="1:3" x14ac:dyDescent="0.35">
      <c r="A7612" t="s">
        <v>22537</v>
      </c>
      <c r="B7612" t="s">
        <v>22538</v>
      </c>
      <c r="C7612" t="s">
        <v>22539</v>
      </c>
    </row>
    <row r="7613" spans="1:3" x14ac:dyDescent="0.35">
      <c r="A7613" t="s">
        <v>22540</v>
      </c>
      <c r="B7613" t="s">
        <v>22541</v>
      </c>
      <c r="C7613" t="s">
        <v>22542</v>
      </c>
    </row>
    <row r="7614" spans="1:3" x14ac:dyDescent="0.35">
      <c r="A7614" t="s">
        <v>22543</v>
      </c>
      <c r="B7614" t="s">
        <v>22544</v>
      </c>
      <c r="C7614" t="s">
        <v>22545</v>
      </c>
    </row>
    <row r="7615" spans="1:3" x14ac:dyDescent="0.35">
      <c r="A7615" t="s">
        <v>22546</v>
      </c>
      <c r="B7615" t="s">
        <v>22547</v>
      </c>
      <c r="C7615" t="s">
        <v>22548</v>
      </c>
    </row>
    <row r="7616" spans="1:3" x14ac:dyDescent="0.35">
      <c r="A7616" t="s">
        <v>22549</v>
      </c>
      <c r="B7616" t="s">
        <v>22550</v>
      </c>
      <c r="C7616" t="s">
        <v>22551</v>
      </c>
    </row>
    <row r="7617" spans="1:3" x14ac:dyDescent="0.35">
      <c r="A7617" t="s">
        <v>22549</v>
      </c>
      <c r="B7617" t="s">
        <v>22552</v>
      </c>
      <c r="C7617" t="s">
        <v>22553</v>
      </c>
    </row>
    <row r="7618" spans="1:3" x14ac:dyDescent="0.35">
      <c r="A7618" t="s">
        <v>22554</v>
      </c>
      <c r="B7618" t="s">
        <v>22555</v>
      </c>
      <c r="C7618" t="s">
        <v>22556</v>
      </c>
    </row>
    <row r="7619" spans="1:3" x14ac:dyDescent="0.35">
      <c r="A7619" t="s">
        <v>22557</v>
      </c>
      <c r="B7619" t="s">
        <v>22558</v>
      </c>
      <c r="C7619" t="s">
        <v>22559</v>
      </c>
    </row>
    <row r="7620" spans="1:3" x14ac:dyDescent="0.35">
      <c r="A7620" t="s">
        <v>22560</v>
      </c>
      <c r="B7620" t="s">
        <v>22561</v>
      </c>
      <c r="C7620" t="s">
        <v>22562</v>
      </c>
    </row>
    <row r="7621" spans="1:3" x14ac:dyDescent="0.35">
      <c r="A7621" t="s">
        <v>22563</v>
      </c>
      <c r="B7621" t="s">
        <v>22564</v>
      </c>
      <c r="C7621" t="s">
        <v>22565</v>
      </c>
    </row>
    <row r="7622" spans="1:3" x14ac:dyDescent="0.35">
      <c r="A7622" t="s">
        <v>22566</v>
      </c>
      <c r="B7622" t="s">
        <v>22567</v>
      </c>
      <c r="C7622" t="s">
        <v>22568</v>
      </c>
    </row>
    <row r="7623" spans="1:3" x14ac:dyDescent="0.35">
      <c r="A7623" t="s">
        <v>22569</v>
      </c>
      <c r="B7623" t="s">
        <v>22570</v>
      </c>
      <c r="C7623" t="s">
        <v>22571</v>
      </c>
    </row>
    <row r="7624" spans="1:3" x14ac:dyDescent="0.35">
      <c r="A7624" t="s">
        <v>22572</v>
      </c>
      <c r="B7624" t="s">
        <v>22573</v>
      </c>
      <c r="C7624" t="s">
        <v>22574</v>
      </c>
    </row>
    <row r="7625" spans="1:3" x14ac:dyDescent="0.35">
      <c r="A7625" t="s">
        <v>22575</v>
      </c>
      <c r="B7625" t="s">
        <v>22576</v>
      </c>
      <c r="C7625" t="s">
        <v>22577</v>
      </c>
    </row>
    <row r="7626" spans="1:3" x14ac:dyDescent="0.35">
      <c r="A7626" t="s">
        <v>22578</v>
      </c>
      <c r="B7626" t="s">
        <v>22579</v>
      </c>
      <c r="C7626" t="s">
        <v>22580</v>
      </c>
    </row>
    <row r="7627" spans="1:3" x14ac:dyDescent="0.35">
      <c r="A7627" t="s">
        <v>22581</v>
      </c>
      <c r="B7627" t="s">
        <v>22582</v>
      </c>
      <c r="C7627" t="s">
        <v>22583</v>
      </c>
    </row>
    <row r="7628" spans="1:3" x14ac:dyDescent="0.35">
      <c r="A7628" t="s">
        <v>22584</v>
      </c>
      <c r="B7628" t="s">
        <v>22585</v>
      </c>
      <c r="C7628" t="s">
        <v>22586</v>
      </c>
    </row>
    <row r="7629" spans="1:3" x14ac:dyDescent="0.35">
      <c r="A7629" t="s">
        <v>22587</v>
      </c>
      <c r="B7629" t="s">
        <v>22588</v>
      </c>
      <c r="C7629" t="s">
        <v>22589</v>
      </c>
    </row>
    <row r="7630" spans="1:3" x14ac:dyDescent="0.35">
      <c r="A7630" t="s">
        <v>22590</v>
      </c>
      <c r="B7630" t="s">
        <v>22591</v>
      </c>
      <c r="C7630" t="s">
        <v>22592</v>
      </c>
    </row>
    <row r="7631" spans="1:3" x14ac:dyDescent="0.35">
      <c r="A7631" t="s">
        <v>22593</v>
      </c>
      <c r="B7631" t="s">
        <v>22594</v>
      </c>
      <c r="C7631" t="s">
        <v>22595</v>
      </c>
    </row>
    <row r="7632" spans="1:3" x14ac:dyDescent="0.35">
      <c r="A7632" t="s">
        <v>22596</v>
      </c>
      <c r="B7632" t="s">
        <v>22597</v>
      </c>
      <c r="C7632" t="s">
        <v>22598</v>
      </c>
    </row>
    <row r="7633" spans="1:3" x14ac:dyDescent="0.35">
      <c r="A7633" t="s">
        <v>22599</v>
      </c>
      <c r="B7633" t="s">
        <v>22600</v>
      </c>
      <c r="C7633" t="s">
        <v>22601</v>
      </c>
    </row>
    <row r="7634" spans="1:3" x14ac:dyDescent="0.35">
      <c r="A7634" t="s">
        <v>22602</v>
      </c>
      <c r="B7634" t="s">
        <v>22603</v>
      </c>
      <c r="C7634" t="s">
        <v>22604</v>
      </c>
    </row>
    <row r="7635" spans="1:3" x14ac:dyDescent="0.35">
      <c r="A7635" t="s">
        <v>22605</v>
      </c>
      <c r="B7635" t="s">
        <v>22606</v>
      </c>
      <c r="C7635" t="s">
        <v>21869</v>
      </c>
    </row>
    <row r="7636" spans="1:3" x14ac:dyDescent="0.35">
      <c r="A7636" t="s">
        <v>22607</v>
      </c>
      <c r="B7636" t="s">
        <v>22608</v>
      </c>
      <c r="C7636" t="s">
        <v>22609</v>
      </c>
    </row>
    <row r="7637" spans="1:3" x14ac:dyDescent="0.35">
      <c r="A7637" t="s">
        <v>22610</v>
      </c>
      <c r="B7637" t="s">
        <v>22611</v>
      </c>
      <c r="C7637" t="s">
        <v>22612</v>
      </c>
    </row>
    <row r="7638" spans="1:3" x14ac:dyDescent="0.35">
      <c r="A7638" t="s">
        <v>22613</v>
      </c>
      <c r="B7638" t="s">
        <v>22614</v>
      </c>
      <c r="C7638" t="s">
        <v>22615</v>
      </c>
    </row>
    <row r="7639" spans="1:3" x14ac:dyDescent="0.35">
      <c r="A7639" t="s">
        <v>22616</v>
      </c>
      <c r="B7639" t="s">
        <v>22617</v>
      </c>
      <c r="C7639" t="s">
        <v>22618</v>
      </c>
    </row>
    <row r="7640" spans="1:3" x14ac:dyDescent="0.35">
      <c r="A7640" t="s">
        <v>22619</v>
      </c>
      <c r="B7640" t="s">
        <v>22620</v>
      </c>
      <c r="C7640" t="s">
        <v>22621</v>
      </c>
    </row>
    <row r="7641" spans="1:3" x14ac:dyDescent="0.35">
      <c r="A7641" t="s">
        <v>22622</v>
      </c>
      <c r="B7641" t="s">
        <v>22623</v>
      </c>
      <c r="C7641" t="s">
        <v>22624</v>
      </c>
    </row>
    <row r="7642" spans="1:3" x14ac:dyDescent="0.35">
      <c r="A7642" t="s">
        <v>22625</v>
      </c>
      <c r="B7642" t="s">
        <v>22626</v>
      </c>
      <c r="C7642" t="s">
        <v>22627</v>
      </c>
    </row>
    <row r="7643" spans="1:3" x14ac:dyDescent="0.35">
      <c r="A7643" t="s">
        <v>22628</v>
      </c>
      <c r="B7643" t="s">
        <v>22629</v>
      </c>
      <c r="C7643" t="s">
        <v>22630</v>
      </c>
    </row>
    <row r="7644" spans="1:3" x14ac:dyDescent="0.35">
      <c r="A7644" t="s">
        <v>22631</v>
      </c>
      <c r="B7644" t="s">
        <v>22632</v>
      </c>
      <c r="C7644" t="s">
        <v>611</v>
      </c>
    </row>
    <row r="7645" spans="1:3" x14ac:dyDescent="0.35">
      <c r="A7645" t="s">
        <v>22633</v>
      </c>
      <c r="B7645" t="s">
        <v>22634</v>
      </c>
      <c r="C7645" t="s">
        <v>22635</v>
      </c>
    </row>
    <row r="7646" spans="1:3" x14ac:dyDescent="0.35">
      <c r="A7646" t="s">
        <v>22636</v>
      </c>
      <c r="B7646" t="s">
        <v>22637</v>
      </c>
      <c r="C7646" t="s">
        <v>22638</v>
      </c>
    </row>
    <row r="7647" spans="1:3" x14ac:dyDescent="0.35">
      <c r="A7647" t="s">
        <v>22639</v>
      </c>
      <c r="B7647" t="s">
        <v>22640</v>
      </c>
      <c r="C7647" t="s">
        <v>22641</v>
      </c>
    </row>
    <row r="7648" spans="1:3" x14ac:dyDescent="0.35">
      <c r="A7648" t="s">
        <v>22642</v>
      </c>
      <c r="B7648" t="s">
        <v>22643</v>
      </c>
      <c r="C7648" t="s">
        <v>22644</v>
      </c>
    </row>
    <row r="7649" spans="1:3" x14ac:dyDescent="0.35">
      <c r="A7649" t="s">
        <v>22645</v>
      </c>
      <c r="B7649" t="s">
        <v>22646</v>
      </c>
      <c r="C7649" t="s">
        <v>22647</v>
      </c>
    </row>
    <row r="7650" spans="1:3" x14ac:dyDescent="0.35">
      <c r="A7650" t="s">
        <v>22648</v>
      </c>
      <c r="B7650" t="s">
        <v>22649</v>
      </c>
      <c r="C7650" t="s">
        <v>22650</v>
      </c>
    </row>
    <row r="7651" spans="1:3" x14ac:dyDescent="0.35">
      <c r="A7651" t="s">
        <v>22651</v>
      </c>
      <c r="B7651" t="s">
        <v>22652</v>
      </c>
      <c r="C7651" t="s">
        <v>22653</v>
      </c>
    </row>
    <row r="7652" spans="1:3" x14ac:dyDescent="0.35">
      <c r="A7652" t="s">
        <v>22654</v>
      </c>
      <c r="B7652" t="s">
        <v>22655</v>
      </c>
      <c r="C7652" t="s">
        <v>22656</v>
      </c>
    </row>
    <row r="7653" spans="1:3" x14ac:dyDescent="0.35">
      <c r="A7653" t="s">
        <v>22657</v>
      </c>
      <c r="B7653" t="s">
        <v>22658</v>
      </c>
      <c r="C7653" t="s">
        <v>22659</v>
      </c>
    </row>
    <row r="7654" spans="1:3" x14ac:dyDescent="0.35">
      <c r="A7654" t="s">
        <v>22660</v>
      </c>
      <c r="B7654" t="s">
        <v>22661</v>
      </c>
      <c r="C7654" t="s">
        <v>22662</v>
      </c>
    </row>
    <row r="7655" spans="1:3" x14ac:dyDescent="0.35">
      <c r="A7655" t="s">
        <v>22663</v>
      </c>
      <c r="B7655" t="s">
        <v>22664</v>
      </c>
      <c r="C7655" t="s">
        <v>22665</v>
      </c>
    </row>
    <row r="7656" spans="1:3" x14ac:dyDescent="0.35">
      <c r="A7656" t="s">
        <v>22666</v>
      </c>
      <c r="B7656" t="s">
        <v>22667</v>
      </c>
      <c r="C7656" t="s">
        <v>22668</v>
      </c>
    </row>
    <row r="7657" spans="1:3" x14ac:dyDescent="0.35">
      <c r="A7657" t="s">
        <v>22669</v>
      </c>
      <c r="B7657" t="s">
        <v>22670</v>
      </c>
      <c r="C7657" t="s">
        <v>22671</v>
      </c>
    </row>
    <row r="7658" spans="1:3" x14ac:dyDescent="0.35">
      <c r="A7658" t="s">
        <v>22672</v>
      </c>
      <c r="B7658" t="s">
        <v>22673</v>
      </c>
      <c r="C7658" t="s">
        <v>22674</v>
      </c>
    </row>
    <row r="7659" spans="1:3" x14ac:dyDescent="0.35">
      <c r="A7659" t="s">
        <v>22675</v>
      </c>
      <c r="B7659" t="s">
        <v>22676</v>
      </c>
      <c r="C7659" t="s">
        <v>22677</v>
      </c>
    </row>
    <row r="7660" spans="1:3" x14ac:dyDescent="0.35">
      <c r="A7660" t="s">
        <v>22678</v>
      </c>
      <c r="B7660" t="s">
        <v>22679</v>
      </c>
      <c r="C7660" t="s">
        <v>22680</v>
      </c>
    </row>
    <row r="7661" spans="1:3" x14ac:dyDescent="0.35">
      <c r="A7661" t="s">
        <v>22681</v>
      </c>
      <c r="B7661" t="s">
        <v>22682</v>
      </c>
      <c r="C7661" t="s">
        <v>22683</v>
      </c>
    </row>
    <row r="7662" spans="1:3" x14ac:dyDescent="0.35">
      <c r="A7662" t="s">
        <v>22684</v>
      </c>
      <c r="B7662" t="s">
        <v>22685</v>
      </c>
      <c r="C7662" t="s">
        <v>22686</v>
      </c>
    </row>
    <row r="7663" spans="1:3" x14ac:dyDescent="0.35">
      <c r="A7663" t="s">
        <v>22687</v>
      </c>
      <c r="B7663" t="s">
        <v>22688</v>
      </c>
      <c r="C7663" t="s">
        <v>22689</v>
      </c>
    </row>
    <row r="7664" spans="1:3" x14ac:dyDescent="0.35">
      <c r="A7664" t="s">
        <v>22690</v>
      </c>
      <c r="B7664" t="s">
        <v>22691</v>
      </c>
      <c r="C7664" t="s">
        <v>22692</v>
      </c>
    </row>
    <row r="7665" spans="1:3" x14ac:dyDescent="0.35">
      <c r="A7665" t="s">
        <v>22693</v>
      </c>
      <c r="B7665" t="s">
        <v>22694</v>
      </c>
      <c r="C7665" t="s">
        <v>22695</v>
      </c>
    </row>
    <row r="7666" spans="1:3" x14ac:dyDescent="0.35">
      <c r="A7666" t="s">
        <v>22696</v>
      </c>
      <c r="B7666" t="s">
        <v>22697</v>
      </c>
      <c r="C7666" t="s">
        <v>22698</v>
      </c>
    </row>
    <row r="7667" spans="1:3" x14ac:dyDescent="0.35">
      <c r="A7667" t="s">
        <v>22699</v>
      </c>
      <c r="B7667" t="s">
        <v>22700</v>
      </c>
      <c r="C7667" t="s">
        <v>22701</v>
      </c>
    </row>
    <row r="7668" spans="1:3" x14ac:dyDescent="0.35">
      <c r="A7668" t="s">
        <v>22702</v>
      </c>
      <c r="B7668" t="s">
        <v>22703</v>
      </c>
      <c r="C7668" t="s">
        <v>22704</v>
      </c>
    </row>
    <row r="7669" spans="1:3" x14ac:dyDescent="0.35">
      <c r="A7669" t="s">
        <v>22705</v>
      </c>
      <c r="B7669" t="s">
        <v>22706</v>
      </c>
      <c r="C7669" t="s">
        <v>22707</v>
      </c>
    </row>
    <row r="7670" spans="1:3" x14ac:dyDescent="0.35">
      <c r="A7670" t="s">
        <v>22708</v>
      </c>
      <c r="B7670" t="s">
        <v>22709</v>
      </c>
      <c r="C7670" t="s">
        <v>22710</v>
      </c>
    </row>
    <row r="7671" spans="1:3" x14ac:dyDescent="0.35">
      <c r="A7671" t="s">
        <v>22711</v>
      </c>
      <c r="B7671" t="s">
        <v>22712</v>
      </c>
      <c r="C7671" t="s">
        <v>22713</v>
      </c>
    </row>
    <row r="7672" spans="1:3" x14ac:dyDescent="0.35">
      <c r="A7672" t="s">
        <v>22714</v>
      </c>
      <c r="B7672" t="s">
        <v>22715</v>
      </c>
      <c r="C7672" t="s">
        <v>22716</v>
      </c>
    </row>
    <row r="7673" spans="1:3" x14ac:dyDescent="0.35">
      <c r="A7673" t="s">
        <v>22717</v>
      </c>
      <c r="B7673" t="s">
        <v>22718</v>
      </c>
      <c r="C7673" t="s">
        <v>22719</v>
      </c>
    </row>
    <row r="7674" spans="1:3" x14ac:dyDescent="0.35">
      <c r="A7674" t="s">
        <v>22720</v>
      </c>
      <c r="B7674" t="s">
        <v>22721</v>
      </c>
      <c r="C7674" t="s">
        <v>22722</v>
      </c>
    </row>
    <row r="7675" spans="1:3" x14ac:dyDescent="0.35">
      <c r="A7675" t="s">
        <v>22723</v>
      </c>
      <c r="B7675" t="s">
        <v>22724</v>
      </c>
      <c r="C7675" t="s">
        <v>22725</v>
      </c>
    </row>
    <row r="7676" spans="1:3" x14ac:dyDescent="0.35">
      <c r="A7676" t="s">
        <v>22726</v>
      </c>
      <c r="B7676" t="s">
        <v>22727</v>
      </c>
      <c r="C7676" t="s">
        <v>22728</v>
      </c>
    </row>
    <row r="7677" spans="1:3" x14ac:dyDescent="0.35">
      <c r="A7677" t="s">
        <v>22729</v>
      </c>
      <c r="B7677" t="s">
        <v>22730</v>
      </c>
      <c r="C7677" t="s">
        <v>22731</v>
      </c>
    </row>
    <row r="7678" spans="1:3" x14ac:dyDescent="0.35">
      <c r="A7678" t="s">
        <v>22732</v>
      </c>
      <c r="B7678" t="s">
        <v>22733</v>
      </c>
      <c r="C7678" t="s">
        <v>22734</v>
      </c>
    </row>
    <row r="7679" spans="1:3" x14ac:dyDescent="0.35">
      <c r="A7679" t="s">
        <v>22735</v>
      </c>
      <c r="B7679" t="s">
        <v>22736</v>
      </c>
      <c r="C7679" t="s">
        <v>22737</v>
      </c>
    </row>
    <row r="7680" spans="1:3" x14ac:dyDescent="0.35">
      <c r="A7680" t="s">
        <v>22738</v>
      </c>
      <c r="B7680" t="s">
        <v>22739</v>
      </c>
      <c r="C7680" t="s">
        <v>22740</v>
      </c>
    </row>
    <row r="7681" spans="1:3" x14ac:dyDescent="0.35">
      <c r="A7681" t="s">
        <v>22741</v>
      </c>
      <c r="B7681" t="s">
        <v>22742</v>
      </c>
      <c r="C7681" t="s">
        <v>22743</v>
      </c>
    </row>
    <row r="7682" spans="1:3" x14ac:dyDescent="0.35">
      <c r="A7682" t="s">
        <v>22744</v>
      </c>
      <c r="B7682" t="s">
        <v>22745</v>
      </c>
      <c r="C7682" t="s">
        <v>22746</v>
      </c>
    </row>
    <row r="7683" spans="1:3" x14ac:dyDescent="0.35">
      <c r="A7683" t="s">
        <v>22747</v>
      </c>
      <c r="B7683" t="s">
        <v>22748</v>
      </c>
      <c r="C7683" t="s">
        <v>22749</v>
      </c>
    </row>
    <row r="7684" spans="1:3" x14ac:dyDescent="0.35">
      <c r="A7684" t="s">
        <v>22750</v>
      </c>
      <c r="B7684" t="s">
        <v>22751</v>
      </c>
      <c r="C7684" t="s">
        <v>22752</v>
      </c>
    </row>
    <row r="7685" spans="1:3" x14ac:dyDescent="0.35">
      <c r="A7685" t="s">
        <v>22753</v>
      </c>
      <c r="B7685" t="s">
        <v>22754</v>
      </c>
      <c r="C7685" t="s">
        <v>22755</v>
      </c>
    </row>
    <row r="7686" spans="1:3" x14ac:dyDescent="0.35">
      <c r="A7686" t="s">
        <v>22756</v>
      </c>
      <c r="B7686" t="s">
        <v>22757</v>
      </c>
      <c r="C7686" t="s">
        <v>22758</v>
      </c>
    </row>
    <row r="7687" spans="1:3" x14ac:dyDescent="0.35">
      <c r="A7687" t="s">
        <v>22759</v>
      </c>
      <c r="B7687" t="s">
        <v>22760</v>
      </c>
      <c r="C7687" t="s">
        <v>22761</v>
      </c>
    </row>
    <row r="7688" spans="1:3" x14ac:dyDescent="0.35">
      <c r="A7688" t="s">
        <v>22762</v>
      </c>
      <c r="B7688" t="s">
        <v>22763</v>
      </c>
      <c r="C7688" t="s">
        <v>22764</v>
      </c>
    </row>
    <row r="7689" spans="1:3" x14ac:dyDescent="0.35">
      <c r="A7689" t="s">
        <v>22765</v>
      </c>
      <c r="B7689" t="s">
        <v>22766</v>
      </c>
      <c r="C7689" t="s">
        <v>22767</v>
      </c>
    </row>
    <row r="7690" spans="1:3" x14ac:dyDescent="0.35">
      <c r="A7690" t="s">
        <v>22768</v>
      </c>
      <c r="B7690" t="s">
        <v>22769</v>
      </c>
      <c r="C7690" t="s">
        <v>22770</v>
      </c>
    </row>
    <row r="7691" spans="1:3" x14ac:dyDescent="0.35">
      <c r="A7691" t="s">
        <v>22771</v>
      </c>
      <c r="B7691" t="s">
        <v>22772</v>
      </c>
      <c r="C7691" t="s">
        <v>22773</v>
      </c>
    </row>
    <row r="7692" spans="1:3" x14ac:dyDescent="0.35">
      <c r="A7692" t="s">
        <v>22774</v>
      </c>
      <c r="B7692" t="s">
        <v>22775</v>
      </c>
      <c r="C7692" t="s">
        <v>22776</v>
      </c>
    </row>
    <row r="7693" spans="1:3" x14ac:dyDescent="0.35">
      <c r="A7693" t="s">
        <v>22777</v>
      </c>
      <c r="B7693" t="s">
        <v>22778</v>
      </c>
      <c r="C7693" t="s">
        <v>22779</v>
      </c>
    </row>
    <row r="7694" spans="1:3" x14ac:dyDescent="0.35">
      <c r="A7694" t="s">
        <v>22780</v>
      </c>
      <c r="B7694" t="s">
        <v>22781</v>
      </c>
      <c r="C7694" t="s">
        <v>22782</v>
      </c>
    </row>
    <row r="7695" spans="1:3" x14ac:dyDescent="0.35">
      <c r="A7695" t="s">
        <v>22783</v>
      </c>
      <c r="B7695" t="s">
        <v>22784</v>
      </c>
      <c r="C7695" t="s">
        <v>22785</v>
      </c>
    </row>
    <row r="7696" spans="1:3" x14ac:dyDescent="0.35">
      <c r="A7696" t="s">
        <v>22786</v>
      </c>
      <c r="B7696" t="s">
        <v>22787</v>
      </c>
      <c r="C7696" t="s">
        <v>22788</v>
      </c>
    </row>
    <row r="7697" spans="1:3" x14ac:dyDescent="0.35">
      <c r="A7697" t="s">
        <v>22789</v>
      </c>
      <c r="B7697" t="s">
        <v>22790</v>
      </c>
      <c r="C7697" t="s">
        <v>22791</v>
      </c>
    </row>
    <row r="7698" spans="1:3" x14ac:dyDescent="0.35">
      <c r="A7698" t="s">
        <v>22792</v>
      </c>
      <c r="B7698" t="s">
        <v>22793</v>
      </c>
      <c r="C7698" t="s">
        <v>22794</v>
      </c>
    </row>
    <row r="7699" spans="1:3" x14ac:dyDescent="0.35">
      <c r="A7699" t="s">
        <v>22795</v>
      </c>
      <c r="B7699" t="s">
        <v>22796</v>
      </c>
      <c r="C7699" t="s">
        <v>22797</v>
      </c>
    </row>
    <row r="7700" spans="1:3" x14ac:dyDescent="0.35">
      <c r="A7700" t="s">
        <v>22798</v>
      </c>
      <c r="B7700" t="s">
        <v>22799</v>
      </c>
      <c r="C7700" t="s">
        <v>22800</v>
      </c>
    </row>
    <row r="7701" spans="1:3" x14ac:dyDescent="0.35">
      <c r="A7701" t="s">
        <v>22798</v>
      </c>
      <c r="B7701" t="s">
        <v>22801</v>
      </c>
      <c r="C7701" t="s">
        <v>22800</v>
      </c>
    </row>
    <row r="7702" spans="1:3" x14ac:dyDescent="0.35">
      <c r="A7702" t="s">
        <v>22802</v>
      </c>
      <c r="B7702" t="s">
        <v>22803</v>
      </c>
      <c r="C7702" t="s">
        <v>22804</v>
      </c>
    </row>
    <row r="7703" spans="1:3" x14ac:dyDescent="0.35">
      <c r="A7703" t="s">
        <v>22805</v>
      </c>
      <c r="B7703" t="s">
        <v>22806</v>
      </c>
      <c r="C7703" t="s">
        <v>22807</v>
      </c>
    </row>
    <row r="7704" spans="1:3" x14ac:dyDescent="0.35">
      <c r="A7704" t="s">
        <v>22808</v>
      </c>
      <c r="B7704" t="s">
        <v>22809</v>
      </c>
      <c r="C7704" t="s">
        <v>22810</v>
      </c>
    </row>
    <row r="7705" spans="1:3" x14ac:dyDescent="0.35">
      <c r="A7705" t="s">
        <v>22811</v>
      </c>
      <c r="B7705" t="s">
        <v>22812</v>
      </c>
      <c r="C7705" t="s">
        <v>22813</v>
      </c>
    </row>
    <row r="7706" spans="1:3" x14ac:dyDescent="0.35">
      <c r="A7706" t="s">
        <v>22814</v>
      </c>
      <c r="B7706" t="s">
        <v>22815</v>
      </c>
      <c r="C7706" t="s">
        <v>22816</v>
      </c>
    </row>
    <row r="7707" spans="1:3" x14ac:dyDescent="0.35">
      <c r="A7707" t="s">
        <v>22817</v>
      </c>
      <c r="B7707" t="s">
        <v>21891</v>
      </c>
      <c r="C7707" t="s">
        <v>21892</v>
      </c>
    </row>
    <row r="7708" spans="1:3" x14ac:dyDescent="0.35">
      <c r="A7708" t="s">
        <v>22817</v>
      </c>
      <c r="B7708" t="s">
        <v>22818</v>
      </c>
      <c r="C7708" t="s">
        <v>22819</v>
      </c>
    </row>
    <row r="7709" spans="1:3" x14ac:dyDescent="0.35">
      <c r="A7709" t="s">
        <v>22820</v>
      </c>
      <c r="B7709" t="s">
        <v>22821</v>
      </c>
      <c r="C7709" t="s">
        <v>22822</v>
      </c>
    </row>
    <row r="7710" spans="1:3" x14ac:dyDescent="0.35">
      <c r="A7710" t="s">
        <v>22823</v>
      </c>
      <c r="B7710" t="s">
        <v>22818</v>
      </c>
      <c r="C7710" t="s">
        <v>22819</v>
      </c>
    </row>
    <row r="7711" spans="1:3" x14ac:dyDescent="0.35">
      <c r="A7711" t="s">
        <v>22823</v>
      </c>
      <c r="B7711" t="s">
        <v>22824</v>
      </c>
      <c r="C7711" t="s">
        <v>1940</v>
      </c>
    </row>
    <row r="7712" spans="1:3" x14ac:dyDescent="0.35">
      <c r="A7712" t="s">
        <v>22825</v>
      </c>
      <c r="B7712" t="s">
        <v>22826</v>
      </c>
      <c r="C7712" t="s">
        <v>22827</v>
      </c>
    </row>
    <row r="7713" spans="1:3" x14ac:dyDescent="0.35">
      <c r="A7713" t="s">
        <v>22828</v>
      </c>
      <c r="B7713" t="s">
        <v>22829</v>
      </c>
      <c r="C7713" t="s">
        <v>22830</v>
      </c>
    </row>
    <row r="7714" spans="1:3" x14ac:dyDescent="0.35">
      <c r="A7714" t="s">
        <v>22831</v>
      </c>
      <c r="B7714" t="s">
        <v>22832</v>
      </c>
      <c r="C7714" t="s">
        <v>22833</v>
      </c>
    </row>
    <row r="7715" spans="1:3" x14ac:dyDescent="0.35">
      <c r="A7715" t="s">
        <v>22834</v>
      </c>
      <c r="B7715" t="s">
        <v>22835</v>
      </c>
      <c r="C7715" t="s">
        <v>22836</v>
      </c>
    </row>
    <row r="7716" spans="1:3" x14ac:dyDescent="0.35">
      <c r="A7716" t="s">
        <v>22837</v>
      </c>
      <c r="B7716" t="s">
        <v>22838</v>
      </c>
      <c r="C7716" t="s">
        <v>22839</v>
      </c>
    </row>
    <row r="7717" spans="1:3" x14ac:dyDescent="0.35">
      <c r="A7717" t="s">
        <v>22840</v>
      </c>
      <c r="B7717" t="s">
        <v>22841</v>
      </c>
      <c r="C7717" t="s">
        <v>22842</v>
      </c>
    </row>
    <row r="7718" spans="1:3" x14ac:dyDescent="0.35">
      <c r="A7718" t="s">
        <v>22843</v>
      </c>
      <c r="B7718" t="s">
        <v>22844</v>
      </c>
      <c r="C7718" t="s">
        <v>22845</v>
      </c>
    </row>
    <row r="7719" spans="1:3" x14ac:dyDescent="0.35">
      <c r="A7719" t="s">
        <v>22846</v>
      </c>
      <c r="B7719" t="s">
        <v>22847</v>
      </c>
      <c r="C7719" t="s">
        <v>22848</v>
      </c>
    </row>
    <row r="7720" spans="1:3" x14ac:dyDescent="0.35">
      <c r="A7720" t="s">
        <v>22849</v>
      </c>
      <c r="B7720" t="s">
        <v>22850</v>
      </c>
      <c r="C7720" t="s">
        <v>22851</v>
      </c>
    </row>
    <row r="7721" spans="1:3" x14ac:dyDescent="0.35">
      <c r="A7721" t="s">
        <v>22852</v>
      </c>
      <c r="B7721" t="s">
        <v>22853</v>
      </c>
      <c r="C7721" t="s">
        <v>22854</v>
      </c>
    </row>
    <row r="7722" spans="1:3" x14ac:dyDescent="0.35">
      <c r="A7722" t="s">
        <v>22855</v>
      </c>
      <c r="B7722" t="s">
        <v>22856</v>
      </c>
      <c r="C7722" t="s">
        <v>22857</v>
      </c>
    </row>
    <row r="7723" spans="1:3" x14ac:dyDescent="0.35">
      <c r="A7723" t="s">
        <v>22858</v>
      </c>
      <c r="B7723" t="s">
        <v>22859</v>
      </c>
      <c r="C7723" t="s">
        <v>22860</v>
      </c>
    </row>
    <row r="7724" spans="1:3" x14ac:dyDescent="0.35">
      <c r="A7724" t="s">
        <v>22861</v>
      </c>
      <c r="B7724" t="s">
        <v>22862</v>
      </c>
      <c r="C7724" t="s">
        <v>22863</v>
      </c>
    </row>
    <row r="7725" spans="1:3" x14ac:dyDescent="0.35">
      <c r="A7725" t="s">
        <v>22861</v>
      </c>
      <c r="B7725" t="s">
        <v>22864</v>
      </c>
      <c r="C7725" t="s">
        <v>22865</v>
      </c>
    </row>
    <row r="7726" spans="1:3" x14ac:dyDescent="0.35">
      <c r="A7726" t="s">
        <v>22866</v>
      </c>
      <c r="B7726" t="s">
        <v>22867</v>
      </c>
      <c r="C7726" t="s">
        <v>22868</v>
      </c>
    </row>
    <row r="7727" spans="1:3" x14ac:dyDescent="0.35">
      <c r="A7727" t="s">
        <v>22869</v>
      </c>
      <c r="B7727" t="s">
        <v>22870</v>
      </c>
      <c r="C7727" t="s">
        <v>22871</v>
      </c>
    </row>
    <row r="7728" spans="1:3" x14ac:dyDescent="0.35">
      <c r="A7728" t="s">
        <v>22872</v>
      </c>
      <c r="B7728" t="s">
        <v>21630</v>
      </c>
      <c r="C7728" t="s">
        <v>21631</v>
      </c>
    </row>
    <row r="7729" spans="1:3" x14ac:dyDescent="0.35">
      <c r="A7729" t="s">
        <v>22873</v>
      </c>
      <c r="B7729" t="s">
        <v>22874</v>
      </c>
      <c r="C7729" t="s">
        <v>22875</v>
      </c>
    </row>
    <row r="7730" spans="1:3" x14ac:dyDescent="0.35">
      <c r="A7730" t="s">
        <v>22876</v>
      </c>
      <c r="B7730" t="s">
        <v>22877</v>
      </c>
      <c r="C7730" t="s">
        <v>22878</v>
      </c>
    </row>
    <row r="7731" spans="1:3" x14ac:dyDescent="0.35">
      <c r="A7731" t="s">
        <v>22879</v>
      </c>
      <c r="B7731" t="s">
        <v>22880</v>
      </c>
      <c r="C7731" t="s">
        <v>22881</v>
      </c>
    </row>
    <row r="7732" spans="1:3" x14ac:dyDescent="0.35">
      <c r="A7732" t="s">
        <v>22882</v>
      </c>
      <c r="B7732" t="s">
        <v>22883</v>
      </c>
      <c r="C7732" t="s">
        <v>22884</v>
      </c>
    </row>
    <row r="7733" spans="1:3" x14ac:dyDescent="0.35">
      <c r="A7733" t="s">
        <v>22885</v>
      </c>
      <c r="B7733" t="s">
        <v>22886</v>
      </c>
      <c r="C7733" t="s">
        <v>22887</v>
      </c>
    </row>
    <row r="7734" spans="1:3" x14ac:dyDescent="0.35">
      <c r="A7734" t="s">
        <v>22888</v>
      </c>
      <c r="B7734" t="s">
        <v>22889</v>
      </c>
      <c r="C7734" t="s">
        <v>22890</v>
      </c>
    </row>
    <row r="7735" spans="1:3" x14ac:dyDescent="0.35">
      <c r="A7735" t="s">
        <v>22891</v>
      </c>
      <c r="B7735" t="s">
        <v>22892</v>
      </c>
      <c r="C7735" t="s">
        <v>22893</v>
      </c>
    </row>
    <row r="7736" spans="1:3" x14ac:dyDescent="0.35">
      <c r="A7736" t="s">
        <v>22894</v>
      </c>
      <c r="B7736" t="s">
        <v>22895</v>
      </c>
      <c r="C7736" t="s">
        <v>22896</v>
      </c>
    </row>
    <row r="7737" spans="1:3" x14ac:dyDescent="0.35">
      <c r="A7737" t="s">
        <v>22897</v>
      </c>
      <c r="B7737" t="s">
        <v>22898</v>
      </c>
      <c r="C7737" t="s">
        <v>22899</v>
      </c>
    </row>
    <row r="7738" spans="1:3" x14ac:dyDescent="0.35">
      <c r="A7738" t="s">
        <v>22900</v>
      </c>
      <c r="B7738" t="s">
        <v>22901</v>
      </c>
      <c r="C7738" t="s">
        <v>22902</v>
      </c>
    </row>
    <row r="7739" spans="1:3" x14ac:dyDescent="0.35">
      <c r="A7739" t="s">
        <v>22903</v>
      </c>
      <c r="B7739" t="s">
        <v>22904</v>
      </c>
      <c r="C7739" t="s">
        <v>22905</v>
      </c>
    </row>
    <row r="7740" spans="1:3" x14ac:dyDescent="0.35">
      <c r="A7740" t="s">
        <v>22906</v>
      </c>
      <c r="B7740" t="s">
        <v>22907</v>
      </c>
      <c r="C7740" t="s">
        <v>22908</v>
      </c>
    </row>
    <row r="7741" spans="1:3" x14ac:dyDescent="0.35">
      <c r="A7741" t="s">
        <v>22909</v>
      </c>
      <c r="B7741" t="s">
        <v>22910</v>
      </c>
      <c r="C7741" t="s">
        <v>22911</v>
      </c>
    </row>
    <row r="7742" spans="1:3" x14ac:dyDescent="0.35">
      <c r="A7742" t="s">
        <v>22912</v>
      </c>
      <c r="B7742" t="s">
        <v>22913</v>
      </c>
      <c r="C7742" t="s">
        <v>22914</v>
      </c>
    </row>
    <row r="7743" spans="1:3" x14ac:dyDescent="0.35">
      <c r="A7743" t="s">
        <v>22915</v>
      </c>
      <c r="B7743" t="s">
        <v>22916</v>
      </c>
      <c r="C7743" t="s">
        <v>22917</v>
      </c>
    </row>
    <row r="7744" spans="1:3" x14ac:dyDescent="0.35">
      <c r="A7744" t="s">
        <v>22918</v>
      </c>
      <c r="B7744" t="s">
        <v>22919</v>
      </c>
      <c r="C7744" t="s">
        <v>22920</v>
      </c>
    </row>
    <row r="7745" spans="1:3" x14ac:dyDescent="0.35">
      <c r="A7745" t="s">
        <v>22921</v>
      </c>
      <c r="B7745" t="s">
        <v>22922</v>
      </c>
      <c r="C7745" t="s">
        <v>22923</v>
      </c>
    </row>
    <row r="7746" spans="1:3" x14ac:dyDescent="0.35">
      <c r="A7746" t="s">
        <v>22924</v>
      </c>
      <c r="B7746" t="s">
        <v>22925</v>
      </c>
      <c r="C7746" t="s">
        <v>22926</v>
      </c>
    </row>
    <row r="7747" spans="1:3" x14ac:dyDescent="0.35">
      <c r="A7747" t="s">
        <v>22927</v>
      </c>
      <c r="B7747" t="s">
        <v>22928</v>
      </c>
      <c r="C7747" t="s">
        <v>22929</v>
      </c>
    </row>
    <row r="7748" spans="1:3" x14ac:dyDescent="0.35">
      <c r="A7748" t="s">
        <v>22930</v>
      </c>
      <c r="B7748" t="s">
        <v>22931</v>
      </c>
      <c r="C7748" t="s">
        <v>22932</v>
      </c>
    </row>
    <row r="7749" spans="1:3" x14ac:dyDescent="0.35">
      <c r="A7749" t="s">
        <v>22933</v>
      </c>
      <c r="B7749" t="s">
        <v>22934</v>
      </c>
      <c r="C7749" t="s">
        <v>22935</v>
      </c>
    </row>
    <row r="7750" spans="1:3" x14ac:dyDescent="0.35">
      <c r="A7750" t="s">
        <v>22936</v>
      </c>
      <c r="B7750" t="s">
        <v>22937</v>
      </c>
      <c r="C7750" t="s">
        <v>22938</v>
      </c>
    </row>
    <row r="7751" spans="1:3" x14ac:dyDescent="0.35">
      <c r="A7751" t="s">
        <v>22939</v>
      </c>
      <c r="B7751" t="s">
        <v>22940</v>
      </c>
      <c r="C7751" t="s">
        <v>22941</v>
      </c>
    </row>
    <row r="7752" spans="1:3" x14ac:dyDescent="0.35">
      <c r="A7752" t="s">
        <v>22942</v>
      </c>
      <c r="B7752" t="s">
        <v>22943</v>
      </c>
      <c r="C7752" t="s">
        <v>22944</v>
      </c>
    </row>
    <row r="7753" spans="1:3" x14ac:dyDescent="0.35">
      <c r="A7753" t="s">
        <v>22945</v>
      </c>
      <c r="B7753" t="s">
        <v>22946</v>
      </c>
      <c r="C7753" t="s">
        <v>22947</v>
      </c>
    </row>
    <row r="7754" spans="1:3" x14ac:dyDescent="0.35">
      <c r="A7754" t="s">
        <v>22948</v>
      </c>
      <c r="B7754" t="s">
        <v>22949</v>
      </c>
      <c r="C7754" t="s">
        <v>22950</v>
      </c>
    </row>
    <row r="7755" spans="1:3" x14ac:dyDescent="0.35">
      <c r="A7755" t="s">
        <v>22951</v>
      </c>
      <c r="B7755" t="s">
        <v>22952</v>
      </c>
      <c r="C7755" t="s">
        <v>22953</v>
      </c>
    </row>
    <row r="7756" spans="1:3" x14ac:dyDescent="0.35">
      <c r="A7756" t="s">
        <v>22954</v>
      </c>
      <c r="B7756" t="s">
        <v>22955</v>
      </c>
      <c r="C7756" t="s">
        <v>22956</v>
      </c>
    </row>
    <row r="7757" spans="1:3" x14ac:dyDescent="0.35">
      <c r="A7757" t="s">
        <v>22957</v>
      </c>
      <c r="B7757" t="s">
        <v>22958</v>
      </c>
      <c r="C7757" t="s">
        <v>22959</v>
      </c>
    </row>
    <row r="7758" spans="1:3" x14ac:dyDescent="0.35">
      <c r="A7758" t="s">
        <v>22960</v>
      </c>
      <c r="B7758" t="s">
        <v>22961</v>
      </c>
      <c r="C7758" t="s">
        <v>22962</v>
      </c>
    </row>
    <row r="7759" spans="1:3" x14ac:dyDescent="0.35">
      <c r="A7759" t="s">
        <v>22963</v>
      </c>
      <c r="B7759" t="s">
        <v>22964</v>
      </c>
      <c r="C7759" t="s">
        <v>22965</v>
      </c>
    </row>
    <row r="7760" spans="1:3" x14ac:dyDescent="0.35">
      <c r="A7760" t="s">
        <v>22966</v>
      </c>
      <c r="B7760" t="s">
        <v>22967</v>
      </c>
      <c r="C7760" t="s">
        <v>22968</v>
      </c>
    </row>
    <row r="7761" spans="1:3" x14ac:dyDescent="0.35">
      <c r="A7761" t="s">
        <v>22969</v>
      </c>
      <c r="B7761" t="s">
        <v>22970</v>
      </c>
      <c r="C7761" t="s">
        <v>22971</v>
      </c>
    </row>
    <row r="7762" spans="1:3" x14ac:dyDescent="0.35">
      <c r="A7762" t="s">
        <v>22972</v>
      </c>
      <c r="B7762" t="s">
        <v>22973</v>
      </c>
      <c r="C7762" t="s">
        <v>22974</v>
      </c>
    </row>
    <row r="7763" spans="1:3" x14ac:dyDescent="0.35">
      <c r="A7763" t="s">
        <v>22975</v>
      </c>
      <c r="B7763" t="s">
        <v>22976</v>
      </c>
      <c r="C7763" t="s">
        <v>22977</v>
      </c>
    </row>
    <row r="7764" spans="1:3" x14ac:dyDescent="0.35">
      <c r="A7764" t="s">
        <v>22978</v>
      </c>
      <c r="B7764" t="s">
        <v>22979</v>
      </c>
      <c r="C7764" t="s">
        <v>22980</v>
      </c>
    </row>
    <row r="7765" spans="1:3" x14ac:dyDescent="0.35">
      <c r="A7765" t="s">
        <v>22981</v>
      </c>
      <c r="B7765" t="s">
        <v>22982</v>
      </c>
      <c r="C7765" t="s">
        <v>22983</v>
      </c>
    </row>
    <row r="7766" spans="1:3" x14ac:dyDescent="0.35">
      <c r="A7766" t="s">
        <v>22984</v>
      </c>
      <c r="B7766" t="s">
        <v>22985</v>
      </c>
      <c r="C7766" t="s">
        <v>22986</v>
      </c>
    </row>
    <row r="7767" spans="1:3" x14ac:dyDescent="0.35">
      <c r="A7767" t="s">
        <v>22987</v>
      </c>
      <c r="B7767" t="s">
        <v>22988</v>
      </c>
      <c r="C7767" t="s">
        <v>22989</v>
      </c>
    </row>
    <row r="7768" spans="1:3" x14ac:dyDescent="0.35">
      <c r="A7768" t="s">
        <v>22990</v>
      </c>
      <c r="B7768" t="s">
        <v>22991</v>
      </c>
      <c r="C7768" t="s">
        <v>22992</v>
      </c>
    </row>
    <row r="7769" spans="1:3" x14ac:dyDescent="0.35">
      <c r="A7769" t="s">
        <v>22993</v>
      </c>
      <c r="B7769" t="s">
        <v>22994</v>
      </c>
      <c r="C7769" t="s">
        <v>22995</v>
      </c>
    </row>
    <row r="7770" spans="1:3" x14ac:dyDescent="0.35">
      <c r="A7770" t="s">
        <v>22996</v>
      </c>
      <c r="B7770" t="s">
        <v>22997</v>
      </c>
      <c r="C7770" t="s">
        <v>22998</v>
      </c>
    </row>
    <row r="7771" spans="1:3" x14ac:dyDescent="0.35">
      <c r="A7771" t="s">
        <v>22999</v>
      </c>
      <c r="B7771" t="s">
        <v>23000</v>
      </c>
      <c r="C7771" t="s">
        <v>23001</v>
      </c>
    </row>
    <row r="7772" spans="1:3" x14ac:dyDescent="0.35">
      <c r="A7772" t="s">
        <v>23002</v>
      </c>
      <c r="B7772" t="s">
        <v>23003</v>
      </c>
      <c r="C7772" t="s">
        <v>23004</v>
      </c>
    </row>
    <row r="7773" spans="1:3" x14ac:dyDescent="0.35">
      <c r="A7773" t="s">
        <v>23005</v>
      </c>
      <c r="B7773" t="s">
        <v>23006</v>
      </c>
      <c r="C7773" t="s">
        <v>20082</v>
      </c>
    </row>
    <row r="7774" spans="1:3" x14ac:dyDescent="0.35">
      <c r="A7774" t="s">
        <v>23007</v>
      </c>
      <c r="B7774" t="s">
        <v>23008</v>
      </c>
      <c r="C7774" t="s">
        <v>23009</v>
      </c>
    </row>
    <row r="7775" spans="1:3" x14ac:dyDescent="0.35">
      <c r="A7775" t="s">
        <v>23010</v>
      </c>
      <c r="B7775" t="s">
        <v>23011</v>
      </c>
      <c r="C7775" t="s">
        <v>23012</v>
      </c>
    </row>
    <row r="7776" spans="1:3" x14ac:dyDescent="0.35">
      <c r="A7776" t="s">
        <v>23013</v>
      </c>
      <c r="B7776" t="s">
        <v>23014</v>
      </c>
      <c r="C7776" t="s">
        <v>23015</v>
      </c>
    </row>
    <row r="7777" spans="1:3" x14ac:dyDescent="0.35">
      <c r="A7777" t="s">
        <v>23016</v>
      </c>
      <c r="B7777" t="s">
        <v>23017</v>
      </c>
      <c r="C7777" t="s">
        <v>23018</v>
      </c>
    </row>
    <row r="7778" spans="1:3" x14ac:dyDescent="0.35">
      <c r="A7778" t="s">
        <v>23019</v>
      </c>
      <c r="B7778" t="s">
        <v>23020</v>
      </c>
      <c r="C7778" t="s">
        <v>23021</v>
      </c>
    </row>
    <row r="7779" spans="1:3" x14ac:dyDescent="0.35">
      <c r="A7779" t="s">
        <v>23022</v>
      </c>
      <c r="B7779" t="s">
        <v>23023</v>
      </c>
      <c r="C7779" t="s">
        <v>23024</v>
      </c>
    </row>
    <row r="7780" spans="1:3" x14ac:dyDescent="0.35">
      <c r="A7780" t="s">
        <v>23025</v>
      </c>
      <c r="B7780" t="s">
        <v>23026</v>
      </c>
      <c r="C7780" t="s">
        <v>23027</v>
      </c>
    </row>
    <row r="7781" spans="1:3" x14ac:dyDescent="0.35">
      <c r="A7781" t="s">
        <v>23028</v>
      </c>
      <c r="B7781" t="s">
        <v>23029</v>
      </c>
      <c r="C7781" t="s">
        <v>23030</v>
      </c>
    </row>
    <row r="7782" spans="1:3" x14ac:dyDescent="0.35">
      <c r="A7782" t="s">
        <v>23031</v>
      </c>
      <c r="B7782" t="s">
        <v>23032</v>
      </c>
      <c r="C7782" t="s">
        <v>23033</v>
      </c>
    </row>
    <row r="7783" spans="1:3" x14ac:dyDescent="0.35">
      <c r="A7783" t="s">
        <v>23034</v>
      </c>
      <c r="B7783" t="s">
        <v>23035</v>
      </c>
      <c r="C7783" t="s">
        <v>23036</v>
      </c>
    </row>
    <row r="7784" spans="1:3" x14ac:dyDescent="0.35">
      <c r="A7784" t="s">
        <v>23037</v>
      </c>
      <c r="B7784" t="s">
        <v>23038</v>
      </c>
      <c r="C7784" t="s">
        <v>23039</v>
      </c>
    </row>
    <row r="7785" spans="1:3" x14ac:dyDescent="0.35">
      <c r="A7785" t="s">
        <v>23040</v>
      </c>
      <c r="B7785" t="s">
        <v>23041</v>
      </c>
      <c r="C7785" t="s">
        <v>23042</v>
      </c>
    </row>
    <row r="7786" spans="1:3" x14ac:dyDescent="0.35">
      <c r="A7786" t="s">
        <v>23043</v>
      </c>
      <c r="B7786" t="s">
        <v>23044</v>
      </c>
      <c r="C7786" t="s">
        <v>23045</v>
      </c>
    </row>
    <row r="7787" spans="1:3" x14ac:dyDescent="0.35">
      <c r="A7787" t="s">
        <v>23046</v>
      </c>
      <c r="B7787" t="s">
        <v>23047</v>
      </c>
      <c r="C7787" t="s">
        <v>23048</v>
      </c>
    </row>
    <row r="7788" spans="1:3" x14ac:dyDescent="0.35">
      <c r="A7788" t="s">
        <v>23049</v>
      </c>
      <c r="B7788" t="s">
        <v>23050</v>
      </c>
      <c r="C7788" t="s">
        <v>23051</v>
      </c>
    </row>
    <row r="7789" spans="1:3" x14ac:dyDescent="0.35">
      <c r="A7789" t="s">
        <v>23052</v>
      </c>
      <c r="B7789" t="s">
        <v>23053</v>
      </c>
      <c r="C7789" t="s">
        <v>23054</v>
      </c>
    </row>
    <row r="7790" spans="1:3" x14ac:dyDescent="0.35">
      <c r="A7790" t="s">
        <v>23055</v>
      </c>
      <c r="B7790" t="s">
        <v>23056</v>
      </c>
      <c r="C7790" t="s">
        <v>23057</v>
      </c>
    </row>
    <row r="7791" spans="1:3" x14ac:dyDescent="0.35">
      <c r="A7791" t="s">
        <v>23058</v>
      </c>
      <c r="B7791" t="s">
        <v>23059</v>
      </c>
      <c r="C7791" t="s">
        <v>23060</v>
      </c>
    </row>
    <row r="7792" spans="1:3" x14ac:dyDescent="0.35">
      <c r="A7792" t="s">
        <v>23061</v>
      </c>
      <c r="B7792" t="s">
        <v>23062</v>
      </c>
      <c r="C7792" t="s">
        <v>23063</v>
      </c>
    </row>
    <row r="7793" spans="1:3" x14ac:dyDescent="0.35">
      <c r="A7793" t="s">
        <v>23064</v>
      </c>
      <c r="B7793" t="s">
        <v>23065</v>
      </c>
      <c r="C7793" t="s">
        <v>23066</v>
      </c>
    </row>
    <row r="7794" spans="1:3" x14ac:dyDescent="0.35">
      <c r="A7794" t="s">
        <v>23067</v>
      </c>
      <c r="B7794" t="s">
        <v>23068</v>
      </c>
      <c r="C7794" t="s">
        <v>23069</v>
      </c>
    </row>
    <row r="7795" spans="1:3" x14ac:dyDescent="0.35">
      <c r="A7795" t="s">
        <v>23070</v>
      </c>
      <c r="B7795" t="s">
        <v>23071</v>
      </c>
      <c r="C7795" t="s">
        <v>23072</v>
      </c>
    </row>
    <row r="7796" spans="1:3" x14ac:dyDescent="0.35">
      <c r="A7796" t="s">
        <v>23073</v>
      </c>
      <c r="B7796" t="s">
        <v>23074</v>
      </c>
      <c r="C7796" t="s">
        <v>23075</v>
      </c>
    </row>
    <row r="7797" spans="1:3" x14ac:dyDescent="0.35">
      <c r="A7797" t="s">
        <v>23076</v>
      </c>
      <c r="B7797" t="s">
        <v>23077</v>
      </c>
      <c r="C7797" t="s">
        <v>23078</v>
      </c>
    </row>
    <row r="7798" spans="1:3" x14ac:dyDescent="0.35">
      <c r="A7798" t="s">
        <v>23079</v>
      </c>
      <c r="B7798" t="s">
        <v>23080</v>
      </c>
      <c r="C7798" t="s">
        <v>23081</v>
      </c>
    </row>
    <row r="7799" spans="1:3" x14ac:dyDescent="0.35">
      <c r="A7799" t="s">
        <v>23082</v>
      </c>
      <c r="B7799" t="s">
        <v>23083</v>
      </c>
      <c r="C7799" t="s">
        <v>23084</v>
      </c>
    </row>
    <row r="7800" spans="1:3" x14ac:dyDescent="0.35">
      <c r="A7800" t="s">
        <v>23085</v>
      </c>
      <c r="B7800" t="s">
        <v>23086</v>
      </c>
      <c r="C7800" t="s">
        <v>23087</v>
      </c>
    </row>
    <row r="7801" spans="1:3" x14ac:dyDescent="0.35">
      <c r="A7801" t="s">
        <v>23088</v>
      </c>
      <c r="B7801" t="s">
        <v>23089</v>
      </c>
      <c r="C7801" t="s">
        <v>23090</v>
      </c>
    </row>
    <row r="7802" spans="1:3" x14ac:dyDescent="0.35">
      <c r="A7802" t="s">
        <v>23091</v>
      </c>
      <c r="B7802" t="s">
        <v>23092</v>
      </c>
      <c r="C7802" t="s">
        <v>23093</v>
      </c>
    </row>
    <row r="7803" spans="1:3" x14ac:dyDescent="0.35">
      <c r="A7803" t="s">
        <v>23094</v>
      </c>
      <c r="B7803" t="s">
        <v>23095</v>
      </c>
      <c r="C7803" t="s">
        <v>23096</v>
      </c>
    </row>
    <row r="7804" spans="1:3" x14ac:dyDescent="0.35">
      <c r="A7804" t="s">
        <v>23097</v>
      </c>
      <c r="B7804" t="s">
        <v>23098</v>
      </c>
      <c r="C7804" t="s">
        <v>23099</v>
      </c>
    </row>
    <row r="7805" spans="1:3" x14ac:dyDescent="0.35">
      <c r="A7805" t="s">
        <v>23100</v>
      </c>
      <c r="B7805" t="s">
        <v>23101</v>
      </c>
      <c r="C7805" t="s">
        <v>23102</v>
      </c>
    </row>
    <row r="7806" spans="1:3" x14ac:dyDescent="0.35">
      <c r="A7806" t="s">
        <v>23103</v>
      </c>
      <c r="B7806" t="s">
        <v>23104</v>
      </c>
      <c r="C7806" t="s">
        <v>23105</v>
      </c>
    </row>
  </sheetData>
  <pageMargins left="0.7" right="0.7" top="0.75" bottom="0.75" header="0.3" footer="0.3"/>
  <pageSetup paperSize="9" orientation="portrait"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C51010D18BD649A34A0665AEA50E5E" ma:contentTypeVersion="2" ma:contentTypeDescription="Create a new document." ma:contentTypeScope="" ma:versionID="6fc9dc798cb09db624ab420cc1d24cb5">
  <xsd:schema xmlns:xsd="http://www.w3.org/2001/XMLSchema" xmlns:xs="http://www.w3.org/2001/XMLSchema" xmlns:p="http://schemas.microsoft.com/office/2006/metadata/properties" xmlns:ns3="791ca18f-a993-4e2c-aaa7-b5c2fa7afb4c" targetNamespace="http://schemas.microsoft.com/office/2006/metadata/properties" ma:root="true" ma:fieldsID="e37ab4a0ffea58962053c666dc7e7c42" ns3:_="">
    <xsd:import namespace="791ca18f-a993-4e2c-aaa7-b5c2fa7afb4c"/>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91ca18f-a993-4e2c-aaa7-b5c2fa7afb4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6.xml>�� 
</file>

<file path=customXml/itemProps1.xml><?xml version="1.0" encoding="utf-8"?>
<ds:datastoreItem xmlns:ds="http://schemas.openxmlformats.org/officeDocument/2006/customXml" ds:itemID="{3EAEE8EF-4563-4A04-B7E4-3048173D1B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91ca18f-a993-4e2c-aaa7-b5c2fa7afb4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99552C-6A2C-4E49-A6EF-0FC391364FDC}">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940F83CD-D8BE-4BB4-B881-D65071C1AFC8}">
  <ds:schemaRefs>
    <ds:schemaRef ds:uri="http://schemas.microsoft.com/sharepoint/v3/contenttype/forms"/>
  </ds:schemaRefs>
</ds:datastoreItem>
</file>

<file path=customXml/itemProps4.xml><?xml version="1.0" encoding="utf-8"?>
<ds:datastoreItem xmlns:ds="http://schemas.openxmlformats.org/officeDocument/2006/customXml" ds:itemID="{A7838DF2-66AA-45D4-88FA-B6DE98FB7B7C}">
  <ds:schemaRefs>
    <ds:schemaRef ds:uri="http://schemas.microsoft.com/DataMashup"/>
  </ds:schemaRefs>
</ds:datastoreItem>
</file>

<file path=customXml/itemProps5.xml><?xml version="1.0" encoding="utf-8"?>
<ds:datastoreItem xmlns:ds="http://schemas.openxmlformats.org/officeDocument/2006/customXml" ds:itemID="{D63134CA-AA89-4862-8BC8-3474F8FE67E4}">
  <ds:schemaRefs>
    <ds:schemaRef ds:uri="http://purl.org/dc/elements/1.1/"/>
    <ds:schemaRef ds:uri="791ca18f-a993-4e2c-aaa7-b5c2fa7afb4c"/>
    <ds:schemaRef ds:uri="http://purl.org/dc/dcmitype/"/>
    <ds:schemaRef ds:uri="http://schemas.microsoft.com/office/2006/documentManagement/types"/>
    <ds:schemaRef ds:uri="http://www.w3.org/XML/1998/namespace"/>
    <ds:schemaRef ds:uri="http://purl.org/dc/terms/"/>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6.xml><?xml version="1.0" encoding="utf-8"?>
<ds:datastoreItem xmlns:ds="http://schemas.openxmlformats.org/officeDocument/2006/customXml" ds:itemID="{0647A355-0858-4CD8-BA88-F0221E07C1F0}">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30</vt:i4>
      </vt:variant>
    </vt:vector>
  </HeadingPairs>
  <TitlesOfParts>
    <vt:vector size="33" baseType="lpstr">
      <vt:lpstr>Load Plan </vt:lpstr>
      <vt:lpstr>Load Sheet</vt:lpstr>
      <vt:lpstr>Trim Sheet</vt:lpstr>
      <vt:lpstr>Crew</vt:lpstr>
      <vt:lpstr>Crew_bagg</vt:lpstr>
      <vt:lpstr>Fuel</vt:lpstr>
      <vt:lpstr>G1_Cons</vt:lpstr>
      <vt:lpstr>hold_1</vt:lpstr>
      <vt:lpstr>hold_1_A</vt:lpstr>
      <vt:lpstr>hold_1A</vt:lpstr>
      <vt:lpstr>hold_2</vt:lpstr>
      <vt:lpstr>hold_2b</vt:lpstr>
      <vt:lpstr>hold_3</vt:lpstr>
      <vt:lpstr>lav_fluid</vt:lpstr>
      <vt:lpstr>NO_of_CREW</vt:lpstr>
      <vt:lpstr>Overlap_1</vt:lpstr>
      <vt:lpstr>Overlap_2</vt:lpstr>
      <vt:lpstr>Overlap_3</vt:lpstr>
      <vt:lpstr>Overlap_4</vt:lpstr>
      <vt:lpstr>Overlap_5</vt:lpstr>
      <vt:lpstr>Overlap_6</vt:lpstr>
      <vt:lpstr>Pos_1</vt:lpstr>
      <vt:lpstr>Pos_10</vt:lpstr>
      <vt:lpstr>Pos_2</vt:lpstr>
      <vt:lpstr>Pos_3</vt:lpstr>
      <vt:lpstr>Pos_4</vt:lpstr>
      <vt:lpstr>Pos_5</vt:lpstr>
      <vt:lpstr>Pos_6</vt:lpstr>
      <vt:lpstr>Pos_7</vt:lpstr>
      <vt:lpstr>Pos_8</vt:lpstr>
      <vt:lpstr>Pos_9</vt:lpstr>
      <vt:lpstr>'Load Sheet'!Print_Area</vt:lpstr>
      <vt:lpstr>SNY</vt:lpstr>
    </vt:vector>
  </TitlesOfParts>
  <Manager>Cornelius Muraya</Manager>
  <Company>Astral Aviation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5Y-JSK</dc:title>
  <dc:creator>cornelius.muraya@Astral-Aviation.com</dc:creator>
  <cp:lastModifiedBy>Cornelius Muraya K.</cp:lastModifiedBy>
  <cp:lastPrinted>2025-09-26T04:36:56Z</cp:lastPrinted>
  <dcterms:created xsi:type="dcterms:W3CDTF">2015-09-03T11:51:49Z</dcterms:created>
  <dcterms:modified xsi:type="dcterms:W3CDTF">2025-12-09T09:06:41Z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0x0101000CC51010D18BD649A34A0665AEA50E5E</vt:lpwstr>
  </property>
</Properties>
</file>